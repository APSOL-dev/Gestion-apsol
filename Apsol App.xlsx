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e" sheetId="1" r:id="rId5"/>
    <sheet state="visible" name="Credenciales" sheetId="2" r:id="rId6"/>
    <sheet state="visible" name="Usuarios" sheetId="3" r:id="rId7"/>
    <sheet state="visible" name="EnvioWhatsApp" sheetId="4" r:id="rId8"/>
    <sheet state="visible" name="Empresa" sheetId="5" r:id="rId9"/>
    <sheet state="visible" name="API" sheetId="6" r:id="rId10"/>
    <sheet state="visible" name="Capacitación" sheetId="7" r:id="rId11"/>
    <sheet state="visible" name="Videos" sheetId="8" r:id="rId12"/>
    <sheet state="visible" name="Colaboradores" sheetId="9" r:id="rId13"/>
    <sheet state="visible" name="Comentarios Cap" sheetId="10" r:id="rId14"/>
    <sheet state="visible" name="ProyectoActivos" sheetId="11" r:id="rId15"/>
    <sheet state="visible" name="Tickets" sheetId="12" r:id="rId16"/>
    <sheet state="visible" name="Preventivo" sheetId="13" r:id="rId17"/>
    <sheet state="visible" name="Pagos" sheetId="14" r:id="rId18"/>
    <sheet state="visible" name="Facturación" sheetId="15" r:id="rId19"/>
    <sheet state="visible" name="Log_Ejecucion" sheetId="16" r:id="rId20"/>
    <sheet state="visible" name="Facturas Colaboradores" sheetId="17" r:id="rId21"/>
    <sheet state="visible" name="Contrato Colaboradores" sheetId="18" r:id="rId22"/>
    <sheet state="visible" name="Prospectos" sheetId="19" r:id="rId23"/>
    <sheet state="visible" name="Filtros" sheetId="20" r:id="rId24"/>
    <sheet state="visible" name="Cuentas Bancarias" sheetId="21" r:id="rId25"/>
    <sheet state="visible" name="Estado" sheetId="22" r:id="rId26"/>
    <sheet state="visible" name="Mejoras" sheetId="23" r:id="rId27"/>
    <sheet state="visible" name="CRM Cadena e-mails" sheetId="24" r:id="rId28"/>
    <sheet state="visible" name="Cronograma Local" sheetId="25" r:id="rId29"/>
    <sheet state="visible" name="Resumen" sheetId="26" r:id="rId30"/>
    <sheet state="visible" name="Detalle Observaciones" sheetId="27" r:id="rId31"/>
    <sheet state="visible" name="Contactos" sheetId="28" r:id="rId32"/>
    <sheet state="visible" name="Chats" sheetId="29" r:id="rId33"/>
    <sheet state="visible" name="Mensajes" sheetId="30" r:id="rId34"/>
  </sheets>
  <definedNames>
    <definedName hidden="1" localSheetId="3" name="_xlnm._FilterDatabase">EnvioWhatsApp!$A$1:$L$1000</definedName>
    <definedName hidden="1" localSheetId="4" name="_xlnm._FilterDatabase">Empresa!$A$1:$M$1000</definedName>
    <definedName hidden="1" localSheetId="6" name="_xlnm._FilterDatabase">'Capacitación'!$A$1:$H$1000</definedName>
    <definedName hidden="1" localSheetId="7" name="_xlnm._FilterDatabase">Videos!$A$1:$L$999</definedName>
    <definedName hidden="1" localSheetId="10" name="_xlnm._FilterDatabase">ProyectoActivos!$A$1:$G$1000</definedName>
    <definedName hidden="1" localSheetId="11" name="_xlnm._FilterDatabase">Tickets!$A$1:$T$1001</definedName>
    <definedName hidden="1" localSheetId="12" name="_xlnm._FilterDatabase">Preventivo!$A$1:$K$991</definedName>
    <definedName hidden="1" localSheetId="13" name="_xlnm._FilterDatabase">Pagos!$A$1:$E$1000</definedName>
    <definedName hidden="1" localSheetId="14" name="_xlnm._FilterDatabase">'Facturación'!$A$1:$AE$986</definedName>
    <definedName hidden="1" localSheetId="18" name="_xlnm._FilterDatabase">Prospectos!$A$1:$AB$980</definedName>
    <definedName hidden="1" localSheetId="20" name="_xlnm._FilterDatabase">'Cuentas Bancarias'!$A$1:$Q$1000</definedName>
    <definedName hidden="1" localSheetId="27" name="_xlnm._FilterDatabase">Contactos!$A$1:$H$998</definedName>
  </definedNames>
  <calcPr/>
</workbook>
</file>

<file path=xl/sharedStrings.xml><?xml version="1.0" encoding="utf-8"?>
<sst xmlns="http://schemas.openxmlformats.org/spreadsheetml/2006/main" count="43264" uniqueCount="16230">
  <si>
    <t>Índice de Hojas</t>
  </si>
  <si>
    <t>ID</t>
  </si>
  <si>
    <t>Nombre</t>
  </si>
  <si>
    <t>Tipo</t>
  </si>
  <si>
    <t>Ambito</t>
  </si>
  <si>
    <t>Cliente</t>
  </si>
  <si>
    <t>Servicio</t>
  </si>
  <si>
    <t>Usuario</t>
  </si>
  <si>
    <t>Password</t>
  </si>
  <si>
    <t>URL / Host</t>
  </si>
  <si>
    <t>Puerto</t>
  </si>
  <si>
    <t>Nombre BD</t>
  </si>
  <si>
    <t>Notas</t>
  </si>
  <si>
    <t>Estado</t>
  </si>
  <si>
    <t>UltimaActualizacion</t>
  </si>
  <si>
    <t>Lectores</t>
  </si>
  <si>
    <t>Criticidad</t>
  </si>
  <si>
    <t>Archivo</t>
  </si>
  <si>
    <t>b79de404</t>
  </si>
  <si>
    <t>Google Sheet</t>
  </si>
  <si>
    <t>API</t>
  </si>
  <si>
    <t>Propio</t>
  </si>
  <si>
    <t>Api de google Sheet</t>
  </si>
  <si>
    <t>465352166917-ua3fin80k4rspjok3ta29mo2o649fi8d.apps.googleusercontent.com</t>
  </si>
  <si>
    <t>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</t>
  </si>
  <si>
    <t>Para que poder acceder a la configuración ir a https://console.cloud.google.com/auth/clients/465352166917-ua3fin80k4rspjok3ta29mo2o649fi8d.apps.googleusercontent.com?hl=es-419&amp;project=n8n-apsol... a su vez tiene que estar una URI (URL) habilitada</t>
  </si>
  <si>
    <t>Activo</t>
  </si>
  <si>
    <t>Adrian Patriarca</t>
  </si>
  <si>
    <t>Alta</t>
  </si>
  <si>
    <t>3348ad33</t>
  </si>
  <si>
    <t>EasyPanel</t>
  </si>
  <si>
    <t>Licencia</t>
  </si>
  <si>
    <t>EasyPanel administrador del servidor</t>
  </si>
  <si>
    <t>apatriarca.apsol@gmail.com</t>
  </si>
  <si>
    <t>1816D010-2657-4812-9638-379393F47A53</t>
  </si>
  <si>
    <t>http://207.180.220.111:3000/settings/server/license</t>
  </si>
  <si>
    <t>Puede que no me tome la licencia, en ese caso lo que hay que hacer es ir al link de gestión de licencia y poner reestablecer licencia.</t>
  </si>
  <si>
    <t>1e23abb2</t>
  </si>
  <si>
    <t>Chat GPT</t>
  </si>
  <si>
    <t>Servicio Open IA - Sistemas</t>
  </si>
  <si>
    <t>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</t>
  </si>
  <si>
    <t>https://api.openai.com/v1</t>
  </si>
  <si>
    <t>No tiene usuario, solo con la URL + la API Key es suficiente</t>
  </si>
  <si>
    <t>Media</t>
  </si>
  <si>
    <t>611c2843</t>
  </si>
  <si>
    <t>Postgres Supabase</t>
  </si>
  <si>
    <t>Credencial Base de datos</t>
  </si>
  <si>
    <t>Base de datos Postgres SQL alojada en SUPABASE</t>
  </si>
  <si>
    <t>postgres.cjqziapqtyjsxqxumgbx</t>
  </si>
  <si>
    <t>BF71ExQrKyPc6D8m</t>
  </si>
  <si>
    <t>aws-0-sa-east-1.pooler.supabase.com</t>
  </si>
  <si>
    <t>5432</t>
  </si>
  <si>
    <t>postgres</t>
  </si>
  <si>
    <t>Asi es como me tengo que conectar a Supabase como si fuera una base de datos, con estas credenciales.</t>
  </si>
  <si>
    <t>3d891f36</t>
  </si>
  <si>
    <t>Evolution API</t>
  </si>
  <si>
    <t>https://prueba-evolution-api.uxxqdc.easypanel.host</t>
  </si>
  <si>
    <t>429683C4C977415CAAFCCE10F7D57E11</t>
  </si>
  <si>
    <t>47b9c8c5</t>
  </si>
  <si>
    <t>Manager Evolution API</t>
  </si>
  <si>
    <t>Contraseña de Usuario</t>
  </si>
  <si>
    <t>Manager de evolution api para crear instancias y conectar numeros a WhatsAppp</t>
  </si>
  <si>
    <t>https://prueba-evolution-api.uxxqdc.easypanel.host/manager/</t>
  </si>
  <si>
    <t>El usuario es la URL, yo aca me estoy conectando al manager pero en realidad me estoy conectando a todas las APIs que tiene</t>
  </si>
  <si>
    <t>4acc2e13</t>
  </si>
  <si>
    <t>Redis acceso API</t>
  </si>
  <si>
    <t>DYuc6FoIvLTPcgN8ko7AzIfcIKrYffya</t>
  </si>
  <si>
    <t>redis-18376.c99.us-east-1-4.ec2.redns.redis-cloud.com</t>
  </si>
  <si>
    <t>18376</t>
  </si>
  <si>
    <t>Redis no lleva Usuario para N8n</t>
  </si>
  <si>
    <t>cbdd3f38</t>
  </si>
  <si>
    <t>Redis Manager</t>
  </si>
  <si>
    <t>Servicio Redis para manejo de colas</t>
  </si>
  <si>
    <t>Loggeado con gmail mediante email desarrollo.apsol@gmail.com</t>
  </si>
  <si>
    <t>https://cloud.redis.io/#/subscriptions/subscription/2857046/bdb-view/13446838/configuration</t>
  </si>
  <si>
    <t>56670b42</t>
  </si>
  <si>
    <t>Maquina 4 (Santiago)</t>
  </si>
  <si>
    <t>Computadora</t>
  </si>
  <si>
    <t>maquina4.apsol@outlook.com</t>
  </si>
  <si>
    <t>Apsol2026</t>
  </si>
  <si>
    <t>8adcd235</t>
  </si>
  <si>
    <t>Token de usuario DISTRIBUIDORA TORI (System User Access Token)</t>
  </si>
  <si>
    <t>ea38b54e</t>
  </si>
  <si>
    <t>Facebook (Whatsapp WABA)</t>
  </si>
  <si>
    <t>EAALw309cGj8BQgT255YQBMrpWtGe5NBm3da8qeLBrWWhBqrNNBJV650VXOlgRC0uGC6QW9ssogdXkKbeIOcymrUpPzWpp1IweNDAb3YXgNtDIblgEejLeeZA8FDEY2aCkxS9M3J5Lrlz4Xa4LOYtsgJ12XgSgFnC1JN9Kv7uQJ6fv0OJc3ruS247ChvuOPwZDZD</t>
  </si>
  <si>
    <t>Este es el token principal para administrar las cuentas de Whatsapp</t>
  </si>
  <si>
    <t>Credenciales_Images/8adcd235.Archivo.193426.png</t>
  </si>
  <si>
    <t>895093b6</t>
  </si>
  <si>
    <t>Token de Usuario facebook CONEXION MARKET</t>
  </si>
  <si>
    <t>Facebook WhatsApp</t>
  </si>
  <si>
    <t>EAAQyUuofpiMBQKx2hRk0qZCv8lxnP3p1OJdxPit3Nax1dssZCLihmZCnJ2Av2Q0IbeWa10cX0pu9EAHJp0ZB0JdFFGX6NwFGhEibgJ6Y7JKzhTeYxA0ZAwHAyVvYIzgcF9EbCVHz4YLy5ljnf6ZBvz13DYGQI7nbxwKmlyGrBkCn6HQc8kbOAuzts6AnD734ehTAZDZD</t>
  </si>
  <si>
    <t>e007d933</t>
  </si>
  <si>
    <t>Usuario Power Bi en la Nube</t>
  </si>
  <si>
    <t>Servicio de Power Bi en la nube</t>
  </si>
  <si>
    <t>apatriarca@apatriarca.onmicrosoft.com</t>
  </si>
  <si>
    <t>Flop9922</t>
  </si>
  <si>
    <t>Pide Validación en el telefono de Adrian</t>
  </si>
  <si>
    <t>4cb66622</t>
  </si>
  <si>
    <t>Maquina Virtual</t>
  </si>
  <si>
    <t>Contraseña Maquina virtual</t>
  </si>
  <si>
    <t>apsolmv</t>
  </si>
  <si>
    <t>Esta es la contraseña de la maquina virtual</t>
  </si>
  <si>
    <t>6cd84692</t>
  </si>
  <si>
    <t>Email distribuidora Tori</t>
  </si>
  <si>
    <t>Gmail</t>
  </si>
  <si>
    <t>Distribuidora Tori</t>
  </si>
  <si>
    <t>Conexion.2026</t>
  </si>
  <si>
    <t>bc969947</t>
  </si>
  <si>
    <t>Servidor</t>
  </si>
  <si>
    <t>Servidor Fisico</t>
  </si>
  <si>
    <t>Renata Morano</t>
  </si>
  <si>
    <t>9674d0fd</t>
  </si>
  <si>
    <t>Contraseña Gmail Mateo</t>
  </si>
  <si>
    <t>gmail</t>
  </si>
  <si>
    <t>mateo.apsol@gmail.com</t>
  </si>
  <si>
    <t>MateoApsol2026</t>
  </si>
  <si>
    <t>Usuario de Gmail de Mateo</t>
  </si>
  <si>
    <t>fb56b33a</t>
  </si>
  <si>
    <t>Email Insuga</t>
  </si>
  <si>
    <t>Email hostinger</t>
  </si>
  <si>
    <t>insuga@apsol.com.ar</t>
  </si>
  <si>
    <t>Flop9922.</t>
  </si>
  <si>
    <t>Este email se creó para poder administrar los tableros de control de Insuga</t>
  </si>
  <si>
    <t>Nombre y Apellido</t>
  </si>
  <si>
    <t>Contraseña</t>
  </si>
  <si>
    <t>email</t>
  </si>
  <si>
    <t>Cargo</t>
  </si>
  <si>
    <t>email Personal</t>
  </si>
  <si>
    <t>acpacp</t>
  </si>
  <si>
    <t>Dueño</t>
  </si>
  <si>
    <t>a_patriarca@hotmail.com</t>
  </si>
  <si>
    <t>Rena123</t>
  </si>
  <si>
    <t>renatamorano.apsol@gmail.com</t>
  </si>
  <si>
    <t>Desarrollador</t>
  </si>
  <si>
    <t>moranorenata@gmail.com</t>
  </si>
  <si>
    <t>Felipe Duarte</t>
  </si>
  <si>
    <t>Felipe08/2023</t>
  </si>
  <si>
    <t>asistente.apsol@gmail.com</t>
  </si>
  <si>
    <t>felipeduarte120@gmail.com</t>
  </si>
  <si>
    <t>Santiago Toscano</t>
  </si>
  <si>
    <t>Santiago0226</t>
  </si>
  <si>
    <t>santiagot.apsol@gmail.com</t>
  </si>
  <si>
    <t>santiagotoscanom@gmail.com</t>
  </si>
  <si>
    <t>Mateo Courault</t>
  </si>
  <si>
    <t>Mateo0426</t>
  </si>
  <si>
    <t>couraultmateo@gmail.com</t>
  </si>
  <si>
    <t>Fecha</t>
  </si>
  <si>
    <t>Telefono</t>
  </si>
  <si>
    <t>Factura 1</t>
  </si>
  <si>
    <t>Factura 2</t>
  </si>
  <si>
    <t>Factura 3</t>
  </si>
  <si>
    <t>Documento</t>
  </si>
  <si>
    <t>Mensaje</t>
  </si>
  <si>
    <t>Link factura 1</t>
  </si>
  <si>
    <t>Link Factura 2</t>
  </si>
  <si>
    <t>Link Factura 3</t>
  </si>
  <si>
    <t>Link Documento</t>
  </si>
  <si>
    <t>Link Mensaje</t>
  </si>
  <si>
    <t>06/20/2025 07:07:55</t>
  </si>
  <si>
    <t>3426293881</t>
  </si>
  <si>
    <t>Facturación_Files_/4d8dd1db.FACTURA 1.064758.pdf</t>
  </si>
  <si>
    <t>ApsolAPP/Invoice/Apsol_2.pdf</t>
  </si>
  <si>
    <t>Hola Adrian! 👋 
 Espero que todo esté yendo bien. Quisiera recordarte que aún no hemos recibido el pago correspondiente a la factura N° 31 emitida el 20/06/25. 
📋 *Detalles de la factura:* 
• Número: 31 
• Vencimiento: 27/06/25 
• Monto total: $277800. 
💼 *Cuenta a depositar:*- Titular: Adrian Patriarca
- Banco: Citibank
- Moneda: USD
- Dirección del Banco: 111 Wall Street New York, NY 10043 USA
- Número de enrutamiento de ABA: 31100209
- Código SWIFT: CITIUS33
- Número de cuenta: 70580840001795095
Adjunto encontrarás la factura para tu referencia. 
Si ya has realizado el pago, por favor, ignora este mensaje. 
Gracias por tu pronta atención a este asunto. 
APSOL - Consultoría Empresarial</t>
  </si>
  <si>
    <t>https://api.textmebot.com/send.php?recipient=5493426293881&amp;apikey=xoF6EUkK31se&amp;document=https%3A%2F%2Fdrive.google.com%2Ffile%2Fd%2F1GG5PS5WkHu28JVzXBtSnDbTXNZexVe8V</t>
  </si>
  <si>
    <t>https://api.textmebot.com/send.php?recipient=5493426293881&amp;apikey=xoF6EUkK31se&amp;document=https%3A%2F%2Fdrive.google.com%2Ffile%2Fd%2F1Nyxqp9yLNMintYAMoRjP7swR6RgBniRJ</t>
  </si>
  <si>
    <t>https://api.textmebot.com/send.php?recipient=5493426293881&amp;apikey=xoF6EUkK31se&amp;text=Hola%20Adrian!%20%F0%9F%91%8B%20%0A%20Espero%20que%20todo%20est%C3%A9%20yendo%20bien.%20Quisiera%20recordarte%20que%20a%C3%BAn%20no%20hemos%20recibido%20el%20pago%20correspondiente%20a%20la%20factura%20N%C2%B0%2031%20emitida%20el%2020%2F06%2F25.%20%0A%0A%F0%9F%93%8B%20*Detalles%20de%20la%20factura%3A*%20%0A%E2%80%A2%20N%C3%BAmero%3A%2031%20%0A%E2%80%A2%20Vencimiento%3A%2027%2F06%2F25%20%0A%E2%80%A2%20Monto%20total%3A%20%24277800.%20%0A%0A%F0%9F%92%BC%20*Cuenta%20a%20depositar%3A*-%20Titular%3A%20Adrian%20Patriarca%0A-%20Banco%3A%20Citibank%0A-%20Moneda%3A%20USD%0A-%20Direcci%C3%B3n%20del%20Banco%3A%20111%20Wall%20Street%20New%20York%2C%20NY%2010043%20USA%0A-%20N%C3%BAmero%20de%20enrutamiento%20de%20ABA%3A%2031100209%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</si>
  <si>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06/23/2025 11:06:48</t>
  </si>
  <si>
    <t>1164872810</t>
  </si>
  <si>
    <t>ApsolAPP/Invoice/OnTheRoad viajes_159.pdf</t>
  </si>
  <si>
    <t>Hola Andrea! 👋 
Te envío la factura correspondiente por la prestación de servicios durante el período 14/05/25 al 14/06/25. 
📋 *Detalles de la factura:* 
• Número:  
• Fecha de Emisión: 23/06/25 
• Fecha de Vencimiento: 27/06/25 
• Monto Total: $ 470.56.
💼 *Cuenta para el depósito:*- Titular: Adrian Patriarca
- Banco: Citibank
- Moneda: USD
- Dirección del Banco: 111 Wall Street New York, NY 10043 USA
- Número de enrutamiento de ABA: 31100209
- Código SWIFT: CITIUS33
- Número de cuenta: 70580840001795095
Te agradecería si me confirmás la recepción y me avisás una fecha estimada de pago. 😊 
Desde ya, muchas gracias!</t>
  </si>
  <si>
    <t>https://api.textmebot.com/send.php?recipient=5491164872810&amp;apikey=xoF6EUkK31se&amp;document=https%3A%2F%2Fdrive.google.com%2Ffile%2Fd%2F1XPIKQIattiFfTIuToVbd5B0x0vV4azRp</t>
  </si>
  <si>
    <t>https://api.textmebot.com/send.php?recipient=5491164872810&amp;apikey=xoF6EUkK31se&amp;text=Hola%20Andrea!%20%F0%9F%91%8B%20%0ATe%20env%C3%ADo%20la%20factura%20correspondiente%20por%20la%20prestaci%C3%B3n%20de%20servicios%20durante%20el%20per%C3%ADodo%2014%2F05%2F25%20al%2014%2F06%2F25.%20%0A%0A%F0%9F%93%8B%20*Detalles%20de%20la%20factura%3A*%20%0A%E2%80%A2%20N%C3%BAmero%3A%20%20%0A%E2%80%A2%20Fecha%20de%20Emisi%C3%B3n%3A%2023%2F06%2F25%20%0A%E2%80%A2%20Fecha%20de%20Vencimiento%3A%2027%2F06%2F25%20%0A%E2%80%A2%20Monto%20Total%3A%20%24%20470.56.%0A%20%20%0A%0A%F0%9F%92%BC%20*Cuenta%20para%20el%20dep%C3%B3sito%3A*-%20Titular%3A%20Adrian%20Patriarca%0A-%20Banco%3A%20Citibank%0A-%20Moneda%3A%20USD%0A-%20Direcci%C3%B3n%20del%20Banco%3A%20111%20Wall%20Street%20New%20York%2C%20NY%2010043%20USA%0A-%20N%C3%BAmero%20de%20enrutamiento%20de%20ABA%3A%2031100209%0A-%20C%C3%B3digo%20SWIFT%3A%20CITIUS33%0A-%20N%C3%BAmero%20de%20cuenta%3A%2070580840001795095%0ATe%20agradecer%C3%ADa%20si%20me%20confirm%C3%A1s%20la%20recepci%C3%B3n%20y%20me%20avis%C3%A1s%20una%20fecha%20estimada%20de%20pago.%20%F0%9F%98%8A%20%0A%0ADesde%20ya%2C%20muchas%20gracias!</t>
  </si>
  <si>
    <t>06/25/2025 09:00:03</t>
  </si>
  <si>
    <t>2267434320</t>
  </si>
  <si>
    <t>Facturación_Files_/06d97b20.FACTURA 1.195441.pdf</t>
  </si>
  <si>
    <t>ApsolAPP/Invoice/Hiper Limpieza_149.pdf</t>
  </si>
  <si>
    <t>Hola Pablo! 👋 
 Espero que todo esté yendo bien. Quisiera recordarte que aún no hemos recibido el pago correspondiente a la factura N° 35 emitida el 22/05/25. 
📋 *Detalles de la factura:* 
• Número: 35 
• Vencimiento: 26/05/25 
• Monto total: $485000. 
💼 *Cuenta a depositar:*Adjunto encontrarás la factura para tu referencia. 
Si ya has realizado el pago, por favor, ignora este mensaje. 
Gracias por tu pronta atención a este asunto. 
APSOL - Consultoría Empresarial</t>
  </si>
  <si>
    <t>https://api.textmebot.com/send.php?recipient=5492267434320&amp;apikey=xoF6EUkK31se&amp;document=https%3A%2F%2Fdrive.google.com%2Ffile%2Fd%2F11zm1k9Rh2ZgELJo_cPuCEINuiv9aVxJk</t>
  </si>
  <si>
    <t>https://api.textmebot.com/send.php?recipient=5492267434320&amp;apikey=xoF6EUkK31se&amp;document=https%3A%2F%2Fdrive.google.com%2Ffile%2Fd%2F1VGm10HnRrlrtCsYLtJxNhEYPcbdDMBL_</t>
  </si>
  <si>
    <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t>
  </si>
  <si>
    <t>06/27/2025 10:10:19</t>
  </si>
  <si>
    <t>3424770891</t>
  </si>
  <si>
    <t>Facturación_Files_/ccb1d9b1.FACTURA 1.130955.pdf</t>
  </si>
  <si>
    <t>ApsolAPP/Invoice/Natión_160.pdf</t>
  </si>
  <si>
    <t>Hola Juan! 👋 
Te envío la factura correspondiente por la prestación de servicios durante el período 23/05/25 al 23/06/25. 
📋 *Detalles de la factura:* 
• Número: 186 
• Fecha de Emisión: 27/06/25 
• Fecha de Vencimiento: 09/07/25 
• Monto Total: $ 998000.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</si>
  <si>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https://api.textmebot.com/send.php?recipient=5493424770891&amp;apikey=xoF6EUkK31se&amp;document=https%3A%2F%2Fdrive.google.com%2Ffile%2Fd%2F1E-yr7cZCuTyx_rim4EVHHtKrI84dfa3w</t>
  </si>
  <si>
    <t>https://api.textmebot.com/send.php?recipient=5493424770891&amp;apikey=xoF6EUkK31se&amp;document=https%3A%2F%2Fdrive.google.com%2Ffile%2Fd%2F147npmBcCA__d9T1N_fYCpvL0GZ0tuLcu</t>
  </si>
  <si>
    <t>https://api.textmebot.com/send.php?recipient=5493424770891&amp;apikey=xoF6EUkK31se&amp;text=Hola%20Juan!%20%F0%9F%91%8B%20%0ATe%20env%C3%ADo%20la%20factura%20correspondiente%20por%20la%20prestaci%C3%B3n%20de%20servicios%20durante%20el%20per%C3%ADodo%2023%2F05%2F25%20al%2023%2F06%2F25.%20%0A%0A%F0%9F%93%8B%20*Detalles%20de%20la%20factura%3A*%20%0A%E2%80%A2%20N%C3%BAmero%3A%20186%20%0A%E2%80%A2%20Fecha%20de%20Emisi%C3%B3n%3A%2027%2F06%2F25%20%0A%E2%80%A2%20Fecha%20de%20Vencimiento%3A%2009%2F07%2F25%20%0A%E2%80%A2%20Monto%20Total%3A%20%24%20998000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</si>
  <si>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06/27/2025 10:12:15</t>
  </si>
  <si>
    <t>Facturación_Files_/691b6944.FACTURA 1.131202.pdf</t>
  </si>
  <si>
    <t>Hola Juan! 👋 
Te envío la factura correspondiente por la prestación de servicios durante el período 23/05/25 al 23/06/25. 
📋 *Detalles de la factura:* 
• Número: 186 
• Fecha de Emisión: 27/06/25 
• Fecha de Vencimiento: 09/07/25 
• Monto Total: $ 873250.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</si>
  <si>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https://api.textmebot.com/send.php?recipient=5493424770891&amp;apikey=xoF6EUkK31se&amp;document=https%3A%2F%2Fdrive.google.com%2Ffile%2Fd%2F1X_yhh1PuaNtYefjLfOYcBjbMO7L2akga</t>
  </si>
  <si>
    <t>https://api.textmebot.com/send.php?recipient=5493424770891&amp;apikey=xoF6EUkK31se&amp;document=https%3A%2F%2Fdrive.google.com%2Ffile%2Fd%2F1UbXEfh2asKIlXNcinIQ8FVvcsDwVlHgb</t>
  </si>
  <si>
    <t>https://api.textmebot.com/send.php?recipient=5493424770891&amp;apikey=xoF6EUkK31se&amp;text=Hola%20Juan!%20%F0%9F%91%8B%20%0ATe%20env%C3%ADo%20la%20factura%20correspondiente%20por%20la%20prestaci%C3%B3n%20de%20servicios%20durante%20el%20per%C3%ADodo%2023%2F05%2F25%20al%2023%2F06%2F25.%20%0A%0A%F0%9F%93%8B%20*Detalles%20de%20la%20factura%3A*%20%0A%E2%80%A2%20N%C3%BAmero%3A%20186%20%0A%E2%80%A2%20Fecha%20de%20Emisi%C3%B3n%3A%2027%2F06%2F25%20%0A%E2%80%A2%20Fecha%20de%20Vencimiento%3A%2009%2F07%2F25%20%0A%E2%80%A2%20Monto%20Total%3A%20%24%20873250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</si>
  <si>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06/30/2025 13:28:39</t>
  </si>
  <si>
    <t>3492527138</t>
  </si>
  <si>
    <t>ApsolAPP/Invoice/Vertiente del Sur_161.pdf</t>
  </si>
  <si>
    <t>Hola Gastón! 👋 
Te envío la factura correspondiente por la prestación de servicios durante el período 22/05/25 al 22/06/25. 
📋 *Detalles de la factura:* 
• Número:  
• Fecha de Emisión: 30/06/25 
• Fecha de Vencimiento: 08/07/25 
• Monto Total: $ 549000.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</si>
  <si>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https://api.textmebot.com/send.php?recipient=5493492527138&amp;apikey=xoF6EUkK31se&amp;document=https%3A%2F%2Fdrive.google.com%2Ffile%2Fd%2F1N4mWJgMG-f38cArSA2Mx4PltcagiIIUk</t>
  </si>
  <si>
    <t>https://api.textmebot.com/send.php?recipient=5493492527138&amp;apikey=xoF6EUkK31se&amp;text=Hola%20Gast%C3%B3n!%20%F0%9F%91%8B%20%0ATe%20env%C3%ADo%20la%20factura%20correspondiente%20por%20la%20prestaci%C3%B3n%20de%20servicios%20durante%20el%20per%C3%ADodo%2022%2F05%2F25%20al%2022%2F06%2F25.%20%0A%0A%F0%9F%93%8B%20*Detalles%20de%20la%20factura%3A*%20%0A%E2%80%A2%20N%C3%BAmero%3A%20%20%0A%E2%80%A2%20Fecha%20de%20Emisi%C3%B3n%3A%2030%2F06%2F25%20%0A%E2%80%A2%20Fecha%20de%20Vencimiento%3A%2008%2F07%2F25%20%0A%E2%80%A2%20Monto%20Total%3A%20%24%20549000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</si>
  <si>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06/30/2025 18:41:03</t>
  </si>
  <si>
    <t>ApsolAPP/Invoice/Apsol_162.pdf</t>
  </si>
  <si>
    <t>Hola Adrian! 👋 
Te envío la factura correspondiente por la prestación de servicios durante el período 03/05/25 al 03/06/25. 
📋 *Detalles de la factura:* 
• Número:  
• Fecha de Emisión: 30/06/25 
• Fecha de Vencimiento: 07/07/25 
• Monto Total: $ 277800.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</si>
  <si>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https://api.textmebot.com/send.php?recipient=5493426293881&amp;apikey=xoF6EUkK31se&amp;document=https%3A%2F%2Fdrive.google.com%2Ffile%2Fd%2F1A9FxDJlZqQ22p0M_3wgHEo9Oekzi97yM</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</si>
  <si>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20%0A%E2%80%A2%20Fecha%20de%20Emisi%C3%B3n%3A%2030%2F06%2F25%20%0A%E2%80%A2%20Fecha%20de%20Vencimiento%3A%2007%2F07%2F25%20%0A%E2%80%A2%20Monto%20Total%3A%20%24%20277800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</si>
  <si>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06/30/2025 18:50:09</t>
  </si>
  <si>
    <t>ApsolAPP/Invoice/Apsol_163.pdf</t>
  </si>
  <si>
    <t>https://api.textmebot.com/send.php?recipient=5493426293881&amp;apikey=xoF6EUkK31se&amp;document=https%3A%2F%2Fdrive.google.com%2Ffile%2Fd%2F15SnIsxcmNt9N7jPNHnBcwI5Jdr0DRINc</t>
  </si>
  <si>
    <t>06/30/2025 20:25:27</t>
  </si>
  <si>
    <t>Hola Adrian! 👋 
 Espero que todo esté yendo bien. Quisiera recordarte que aún no hemos recibido el pago correspondiente a la factura N°  emitida el 30/06/25. 
📋 *Detalles de la factura:* 
• Número:  
• Vencimiento: 07/07/25 
• Monto total: $277800.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</si>
  <si>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5493426293881&amp;apikey=xoF6EUkK31se&amp;text=Hola%20Adrian!%20%F0%9F%91%8B%20%0A%20Espero%20que%20todo%20est%C3%A9%20yendo%20bien.%20Quisiera%20recordarte%20que%20a%C3%BAn%20no%20hemos%20recibido%20el%20pago%20correspondiente%20a%20la%20factura%20N%C2%B0%20%20emitida%20el%2030%2F06%2F25.%20%0A%0A%F0%9F%93%8B%20*Detalles%20de%20la%20factura%3A*%20%0A%E2%80%A2%20N%C3%BAmero%3A%20%20%0A%E2%80%A2%20Vencimiento%3A%2007%2F07%2F25%20%0A%E2%80%A2%20Monto%20total%3A%20%24277800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</si>
  <si>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07/01/2025 09:00:13</t>
  </si>
  <si>
    <t>Facturación_Images/01e76cba.FACTURA 1.192928.jpg</t>
  </si>
  <si>
    <t>ApsolAPP/Invoice/OnTheRoad viajes_146.pdf</t>
  </si>
  <si>
    <t>Hola Andrea! 👋 
 Espero que todo esté yendo bien. Quisiera recordarte que aún no hemos recibido el pago correspondiente a la factura N° - emitida el 15/05/25. 
📋 *Detalles de la factura:* 
• Número: - 
• Vencimiento: 21/05/25 
• Monto total: $423. 
💼 *Cuenta a depositar:*- Moneda: USDT
- Wallet address: TC5fTBZgcAKAFvKUwB1JSfsKWjktkNA4Sj
- Red: Tron - TRX - TRC20
Adjunto encontrarás la factura para tu referencia. 
Si ya has realizado el pago, por favor, ignora este mensaje. 
Gracias por tu pronta atención a este asunto. 
APSOL - Consultoría Empresarial</t>
  </si>
  <si>
    <t>https://api.textmebot.com/send.php?recipient=5491164872810&amp;apikey=xoF6EUkK31se&amp;document=https%3A%2F%2Fdrive.google.com%2Ffile%2Fd%2F1QdbGT71UJzLa0LHJxY5NcRPcA6BLCsUW</t>
  </si>
  <si>
    <t>https://api.textmebot.com/send.php?recipient=5491164872810&amp;apikey=xoF6EUkK31se&amp;document=https%3A%2F%2Fdrive.google.com%2Ffile%2Fd%2F12OzAUmYfySHYYd4c62xLNa-aNhl0NiKT</t>
  </si>
  <si>
    <t>https://api.textmebot.com/send.php?recipient=5491164872810&amp;apikey=xoF6EUkK31se&amp;text=Hola%20Andrea!%20%F0%9F%91%8B%20%0A%20Espero%20que%20todo%20est%C3%A9%20yendo%20bien.%20Quisiera%20recordarte%20que%20a%C3%BAn%20no%20hemos%20recibido%20el%20pago%20correspondiente%20a%20la%20factura%20N%C2%B0%20-%20emitida%20el%2015%2F05%2F25.%20%0A%0A%F0%9F%93%8B%20*Detalles%20de%20la%20factura%3A*%20%0A%E2%80%A2%20N%C3%BAmero%3A%20-%20%0A%E2%80%A2%20Vencimiento%3A%2021%2F05%2F25%20%0A%E2%80%A2%20Monto%20total%3A%20%24423.%20%0A%0A%F0%9F%92%BC%20*Cuenta%20a%20depositar%3A*-%20Moneda%3A%20USDT%0A-%20Wallet%20address%3A%20TC5fTBZgcAKAFvKUwB1JSfsKWjktkNA4Sj%0A-%20Red%3A%20Tron%20-%20TRX%20-%20TRC20%0AAdjunto%20encontrar%C3%A1s%20la%20factura%20para%20tu%20referencia.%20%0A%0ASi%20ya%20has%20realizado%20el%20pago%2C%20por%20favor%2C%20ignora%20este%20mensaje.%20%0A%0AGracias%20por%20tu%20pronta%20atenci%C3%B3n%20a%20este%20asunto.%20%0A%0AAPSOL%20-%20Consultor%C3%ADa%20Empresarial</t>
  </si>
  <si>
    <t>3425295451</t>
  </si>
  <si>
    <t>Facturación_Files_/a054255d.FACTURA 1.123721.pdf</t>
  </si>
  <si>
    <t>ApsolAPP/Invoice/Insuga_152.pdf</t>
  </si>
  <si>
    <t>Hola Gonzalo! 👋 
 Espero que todo esté yendo bien. Quisiera recordarte que aún no hemos recibido el pago correspondiente a la factura N° 183 emitida el 09/06/25. 
📋 *Detalles de la factura:* 
• Número: 183 
• Vencimiento: 18/06/25 
• Monto total: $654000.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</si>
  <si>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https://api.textmebot.com/send.php?recipient=5493425295451&amp;apikey=xoF6EUkK31se&amp;document=https%3A%2F%2Fdrive.google.com%2Ffile%2Fd%2F1BfNP3hrQDv_aaaA5qFXV5noFRYmODdLq</t>
  </si>
  <si>
    <t>https://api.textmebot.com/send.php?recipient=5493425295451&amp;apikey=xoF6EUkK31se&amp;document=https%3A%2F%2Fdrive.google.com%2Ffile%2Fd%2F1K4TDUeYt4ho5L6PdbBsMe5u5sYTEG4BO</t>
  </si>
  <si>
    <t>https://api.textmebot.com/send.php?recipient=5493425295451&amp;apikey=xoF6EUkK31se&amp;text=Hola%20Gonzalo!%20%F0%9F%91%8B%20%0A%20Espero%20que%20todo%20est%C3%A9%20yendo%20bien.%20Quisiera%20recordarte%20que%20a%C3%BAn%20no%20hemos%20recibido%20el%20pago%20correspondiente%20a%20la%20factura%20N%C2%B0%20183%20emitida%20el%2009%2F06%2F25.%20%0A%0A%F0%9F%93%8B%20*Detalles%20de%20la%20factura%3A*%20%0A%E2%80%A2%20N%C3%BAmero%3A%20183%20%0A%E2%80%A2%20Vencimiento%3A%2018%2F06%2F25%20%0A%E2%80%A2%20Monto%20total%3A%20%24654000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</si>
  <si>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Hola Andrea! 👋 
 Espero que todo esté yendo bien. Quisiera recordarte que aún no hemos recibido el pago correspondiente a la factura N°  emitida el 23/06/25. 
📋 *Detalles de la factura:* 
• Número:  
• Vencimiento: 27/06/25 
• Monto total: $470.56. 
💼 *Cuenta a depositar:*- Titular: Adrian Patriarca
- Banco: Citibank
- Moneda: USD
- Dirección del Banco: 111 Wall Street New York, NY 10043 USA
- Número de enrutamiento de ABA: 31100209
- Código SWIFT: CITIUS33
- Número de cuenta: 70580840001795095
Adjunto encontrarás la factura para tu referencia. 
Si ya has realizado el pago, por favor, ignora este mensaje. 
Gracias por tu pronta atención a este asunto. 
APSOL - Consultoría Empresarial</t>
  </si>
  <si>
    <t>https://api.textmebot.com/send.php?recipient=5491164872810&amp;apikey=xoF6EUkK31se&amp;text=Hola%20Andrea!%20%F0%9F%91%8B%20%0A%20Espero%20que%20todo%20est%C3%A9%20yendo%20bien.%20Quisiera%20recordarte%20que%20a%C3%BAn%20no%20hemos%20recibido%20el%20pago%20correspondiente%20a%20la%20factura%20N%C2%B0%20%20emitida%20el%2023%2F06%2F25.%20%0A%0A%F0%9F%93%8B%20*Detalles%20de%20la%20factura%3A*%20%0A%E2%80%A2%20N%C3%BAmero%3A%20%20%0A%E2%80%A2%20Vencimiento%3A%2027%2F06%2F25%20%0A%E2%80%A2%20Monto%20total%3A%20%24470.56.%20%0A%0A%F0%9F%92%BC%20*Cuenta%20a%20depositar%3A*-%20Titular%3A%20Adrian%20Patriarca%0A-%20Banco%3A%20Citibank%0A-%20Moneda%3A%20USD%0A-%20Direcci%C3%B3n%20del%20Banco%3A%20111%20Wall%20Street%20New%20York%2C%20NY%2010043%20USA%0A-%20N%C3%BAmero%20de%20enrutamiento%20de%20ABA%3A%2031100209%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</si>
  <si>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07/02/2025 09:00:05</t>
  </si>
  <si>
    <t>3493661975</t>
  </si>
  <si>
    <t>Facturación_Images/d868a4bf.FACTURA 1.140514.png</t>
  </si>
  <si>
    <t>ApsolAPP/Invoice/Amipack_157.pdf</t>
  </si>
  <si>
    <t>Hola Estefania! 👋 
 Espero que todo esté yendo bien. Quisiera recordarte que aún no hemos recibido el pago correspondiente a la factura N° - emitida el 18/06/25. 
📋 *Detalles de la factura:* 
• Número: - 
• Vencimiento: 30/06/25 
• Monto total: $809000.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</si>
  <si>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https://api.textmebot.com/send.php?recipient=5493493661975&amp;apikey=xoF6EUkK31se&amp;document=https%3A%2F%2Fdrive.google.com%2Ffile%2Fd%2F1dZVRjw0WUuyAMXFHG8CO1vvG5q6SAopA</t>
  </si>
  <si>
    <t>https://api.textmebot.com/send.php?recipient=5493493661975&amp;apikey=xoF6EUkK31se&amp;document=https%3A%2F%2Fdrive.google.com%2Ffile%2Fd%2F17RjVrnguRzTjRzw-yqB78ExN7uYvog2I</t>
  </si>
  <si>
    <t>https://api.textmebot.com/send.php?recipient=5493493661975&amp;apikey=xoF6EUkK31se&amp;text=Hola%20Estefania!%20%F0%9F%91%8B%20%0A%20Espero%20que%20todo%20est%C3%A9%20yendo%20bien.%20Quisiera%20recordarte%20que%20a%C3%BAn%20no%20hemos%20recibido%20el%20pago%20correspondiente%20a%20la%20factura%20N%C2%B0%20-%20emitida%20el%2018%2F06%2F25.%20%0A%0A%F0%9F%93%8B%20*Detalles%20de%20la%20factura%3A*%20%0A%E2%80%A2%20N%C3%BAmero%3A%20-%20%0A%E2%80%A2%20Vencimiento%3A%2030%2F06%2F25%20%0A%E2%80%A2%20Monto%20total%3A%20%24809000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</si>
  <si>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07/07/2025 09:00:04</t>
  </si>
  <si>
    <t>Facturación_Files_/06d97b20.FACTURA 2.202911.pdf</t>
  </si>
  <si>
    <t>https://api.textmebot.com/send.php?recipient=5492267434320&amp;apikey=xoF6EUkK31se&amp;document=https%3A%2F%2Fdrive.google.com%2Ffile%2Fd%2F1jrzteOJI4QQoLVHYst75TXeo3dO200Z6</t>
  </si>
  <si>
    <t>https://api.textmebot.com/send.php?recipient=5492267434320&amp;apikey=xoF6EUkK31se&amp;document=https%3A%2F%2Fdrive.google.com%2Ffile%2Fd%2F1Tdw7nwkNH9QkCRMsXY4ZMGVlarJAqLNF</t>
  </si>
  <si>
    <t>07/08/2025 16:34:23</t>
  </si>
  <si>
    <t>3521639222</t>
  </si>
  <si>
    <t>Facturación_Files_/459f2814.FACTURA 1.193313.pdf</t>
  </si>
  <si>
    <t>ApsolAPP/Invoice/Metalurgica HQ_162.pdf</t>
  </si>
  <si>
    <t>Hola Alan! 👋 
Te envío la factura correspondiente por la prestación de servicios durante el período 07/06/25 al 07/07/25. 
📋 *Detalles de la factura:* 
• Número: 39 
• Fecha de Emisión: 08/07/25 
• Fecha de Vencimiento: 15/07/25 
• Monto Total: $ 642000.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</si>
  <si>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https://api.textmebot.com/send.php?recipient=5493521639222&amp;apikey=xoF6EUkK31se&amp;document=https%3A%2F%2Fdrive.google.com%2Ffile%2Fd%2F1rEghPrsnKTcRqH7FuBYll_u1s1LWnUeA</t>
  </si>
  <si>
    <t>https://api.textmebot.com/send.php?recipient=5493521639222&amp;apikey=xoF6EUkK31se&amp;document=https%3A%2F%2Fdrive.google.com%2Ffile%2Fd%2F1PABliKwRoSPM2VruUbXhfiVxUh-OJrpW</t>
  </si>
  <si>
    <t>https://api.textmebot.com/send.php?recipient=5493521639222&amp;apikey=xoF6EUkK31se&amp;text=Hola%20Alan!%20%F0%9F%91%8B%20%0ATe%20env%C3%ADo%20la%20factura%20correspondiente%20por%20la%20prestaci%C3%B3n%20de%20servicios%20durante%20el%20per%C3%ADodo%2007%2F06%2F25%20al%2007%2F07%2F25.%20%0A%0A%F0%9F%93%8B%20*Detalles%20de%20la%20factura%3A*%20%0A%E2%80%A2%20N%C3%BAmero%3A%2039%20%0A%E2%80%A2%20Fecha%20de%20Emisi%C3%B3n%3A%2008%2F07%2F25%20%0A%E2%80%A2%20Fecha%20de%20Vencimiento%3A%2015%2F07%2F25%20%0A%E2%80%A2%20Monto%20Total%3A%20%24%20642000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</si>
  <si>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07/08/2025 16:36:11</t>
  </si>
  <si>
    <t>3425225459</t>
  </si>
  <si>
    <t>Facturación_Files_/18d0015e.FACTURA 1.193540.pdf</t>
  </si>
  <si>
    <t>ApsolAPP/Invoice/Dg Distribuciones_163.pdf</t>
  </si>
  <si>
    <t>Hola Ignacio! 👋 
Te envío la factura correspondiente por la prestación de servicios durante el período 04/06/25 al 04/07/25. 
📋 *Detalles de la factura:* 
• Número: 40 
• Fecha de Emisión: 08/07/25 
• Fecha de Vencimiento: 15/07/25 
• Monto Total: $ 1364000.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</si>
  <si>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https://api.textmebot.com/send.php?recipient=5493425225459&amp;apikey=xoF6EUkK31se&amp;document=https%3A%2F%2Fdrive.google.com%2Ffile%2Fd%2F16wuphuZGZNfXD0cplMEiANcIpVu6fZBw</t>
  </si>
  <si>
    <t>https://api.textmebot.com/send.php?recipient=5493425225459&amp;apikey=xoF6EUkK31se&amp;document=https%3A%2F%2Fdrive.google.com%2Ffile%2Fd%2F1gztiwiGd9ssTKH6n5HOFuPOyoYFSZ_tB</t>
  </si>
  <si>
    <t>https://api.textmebot.com/send.php?recipient=5493425225459&amp;apikey=xoF6EUkK31se&amp;text=Hola%20Ignacio!%20%F0%9F%91%8B%20%0ATe%20env%C3%ADo%20la%20factura%20correspondiente%20por%20la%20prestaci%C3%B3n%20de%20servicios%20durante%20el%20per%C3%ADodo%2004%2F06%2F25%20al%2004%2F07%2F25.%20%0A%0A%F0%9F%93%8B%20*Detalles%20de%20la%20factura%3A*%20%0A%E2%80%A2%20N%C3%BAmero%3A%2040%20%0A%E2%80%A2%20Fecha%20de%20Emisi%C3%B3n%3A%2008%2F07%2F25%20%0A%E2%80%A2%20Fecha%20de%20Vencimiento%3A%2015%2F07%2F25%20%0A%E2%80%A2%20Monto%20Total%3A%20%24%201364000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</si>
  <si>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07/08/2025 18:53:17</t>
  </si>
  <si>
    <t>ApsolAPP/Invoice/Apsol_164.pdf</t>
  </si>
  <si>
    <t>Hola Adrian! 👋 
Te envío la factura correspondiente por la prestación de servicios durante el período 08/06/25 al 08/07/25. 
📋 *Detalles de la factura:* 
• Número: 12 
• Fecha de Emisión: 08/07/25 
• Fecha de Vencimiento: 15/07/25 
• Monto Total: $ 100000.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</si>
  <si>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https://api.textmebot.com/send.php?recipient=5493426293881&amp;apikey=xoF6EUkK31se&amp;document=https%3A%2F%2Fdrive.google.com%2Ffile%2Fd%2F1tMS6XXa9ovnpuSwsN3A5ScFn4ZRGcjBZ</t>
  </si>
  <si>
    <t>https://api.textmebot.com/send.php?recipient=5493426293881&amp;apikey=xoF6EUkK31se&amp;text=Hola%20Adrian!%20%F0%9F%91%8B%20%0ATe%20env%C3%ADo%20la%20factura%20correspondiente%20por%20la%20prestaci%C3%B3n%20de%20servicios%20durante%20el%20per%C3%ADodo%2008%2F06%2F25%20al%2008%2F07%2F25.%20%0A%0A%F0%9F%93%8B%20*Detalles%20de%20la%20factura%3A*%20%0A%E2%80%A2%20N%C3%BAmero%3A%2012%20%0A%E2%80%A2%20Fecha%20de%20Emisi%C3%B3n%3A%2008%2F07%2F25%20%0A%E2%80%A2%20Fecha%20de%20Vencimiento%3A%2015%2F07%2F25%20%0A%E2%80%A2%20Monto%20Total%3A%20%24%20100000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</si>
  <si>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07/09/2025 11:18:35</t>
  </si>
  <si>
    <t>ApsolAPP/Invoice/Apsol_165.pdf</t>
  </si>
  <si>
    <t>Hola Adrian! 👋 
Te envío la factura correspondiente por la prestación de servicios durante el período 08/06/25 al 08/07/25. 
📋 *Detalles de la factura:* 
• Número: 123 
• Fecha de Emisión: 09/07/25 
• Fecha de Vencimiento: 16/07/25 
• Monto Total: $ 10000.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</si>
  <si>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https://api.textmebot.com/send.php?recipient=5493426293881&amp;apikey=xoF6EUkK31se&amp;document=https%3A%2F%2Fdrive.google.com%2Ffile%2Fd%2F1G-4HtnhMLBQ9zsa5LV0o97ecTm0S1zsA</t>
  </si>
  <si>
    <t>https://api.textmebot.com/send.php?recipient=5493426293881&amp;apikey=xoF6EUkK31se&amp;text=Hola%20Adrian!%20%F0%9F%91%8B%20%0ATe%20env%C3%ADo%20la%20factura%20correspondiente%20por%20la%20prestaci%C3%B3n%20de%20servicios%20durante%20el%20per%C3%ADodo%2008%2F06%2F25%20al%2008%2F07%2F25.%20%0A%0A%F0%9F%93%8B%20*Detalles%20de%20la%20factura%3A*%20%0A%E2%80%A2%20N%C3%BAmero%3A%20123%20%0A%E2%80%A2%20Fecha%20de%20Emisi%C3%B3n%3A%2009%2F07%2F25%20%0A%E2%80%A2%20Fecha%20de%20Vencimiento%3A%2016%2F07%2F25%20%0A%E2%80%A2%20Monto%20Total%3A%20%24%2010000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</si>
  <si>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07/09/2025 11:43:49</t>
  </si>
  <si>
    <t>Hola Adrian! 👋 
Te envío la factura correspondiente por la prestación de servicios durante el período 08/06/25 al 08/07/25. 
📋 *Detalles de la factura:* 
• Número:  
• Fecha de Emisión: 09/07/25 
• Fecha de Vencimiento: 16/07/25 
• Monto Total: $ 100000.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</si>
  <si>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5493426293881&amp;apikey=xoF6EUkK31se&amp;text=Hola%20Adrian!%20%F0%9F%91%8B%20%0ATe%20env%C3%ADo%20la%20factura%20correspondiente%20por%20la%20prestaci%C3%B3n%20de%20servicios%20durante%20el%20per%C3%ADodo%2008%2F06%2F25%20al%2008%2F07%2F25.%20%0A%0A%F0%9F%93%8B%20*Detalles%20de%20la%20factura%3A*%20%0A%E2%80%A2%20N%C3%BAmero%3A%20%20%0A%E2%80%A2%20Fecha%20de%20Emisi%C3%B3n%3A%2009%2F07%2F25%20%0A%E2%80%A2%20Fecha%20de%20Vencimiento%3A%2016%2F07%2F25%20%0A%E2%80%A2%20Monto%20Total%3A%20%24%20100000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</si>
  <si>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07/09/2025 11:55:32</t>
  </si>
  <si>
    <t>07/10/2025 09:27:26</t>
  </si>
  <si>
    <t>Facturación_Files_/858cdd80.FACTURA 1.122646.pdf</t>
  </si>
  <si>
    <t>ApsolAPP/Invoice/Insuga_166.pdf</t>
  </si>
  <si>
    <t>Hola Gonzalo! 👋 
Te envío la factura correspondiente por la prestación de servicios durante el período 28/06/25 al 28/07/25. 
📋 *Detalles de la factura:* 
• Número: 187 
• Fecha de Emisión: 10/07/25 
• Fecha de Vencimiento: 21/07/25 
• Monto Total: $ 669000.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</si>
  <si>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https://api.textmebot.com/send.php?recipient=5493425295451&amp;apikey=xoF6EUkK31se&amp;document=https%3A%2F%2Fdrive.google.com%2Ffile%2Fd%2F1TPbok4XAVCY_ROBvAp8qKt6sKVmcP5jo</t>
  </si>
  <si>
    <t>https://api.textmebot.com/send.php?recipient=5493425295451&amp;apikey=xoF6EUkK31se&amp;document=https%3A%2F%2Fdrive.google.com%2Ffile%2Fd%2F1sY4zAxgcVuAn1NXki320jDGZHEM_zpnS</t>
  </si>
  <si>
    <t>https://api.textmebot.com/send.php?recipient=5493425295451&amp;apikey=xoF6EUkK31se&amp;text=Hola%20Gonzalo!%20%F0%9F%91%8B%20%0ATe%20env%C3%ADo%20la%20factura%20correspondiente%20por%20la%20prestaci%C3%B3n%20de%20servicios%20durante%20el%20per%C3%ADodo%2028%2F06%2F25%20al%2028%2F07%2F25.%20%0A%0A%F0%9F%93%8B%20*Detalles%20de%20la%20factura%3A*%20%0A%E2%80%A2%20N%C3%BAmero%3A%20187%20%0A%E2%80%A2%20Fecha%20de%20Emisi%C3%B3n%3A%2010%2F07%2F25%20%0A%E2%80%A2%20Fecha%20de%20Vencimiento%3A%2021%2F07%2F25%20%0A%E2%80%A2%20Monto%20Total%3A%20%24%20669000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</si>
  <si>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07/10/2025 17:20:13</t>
  </si>
  <si>
    <t>3425389073</t>
  </si>
  <si>
    <t>Facturación_Files_/9b96bcc3.FACTURA 1.201922.pdf</t>
  </si>
  <si>
    <t>ApsolAPP/Invoice/El Norte_167.pdf</t>
  </si>
  <si>
    <t>Hola Martin! 👋 
Te envío la factura correspondiente por la prestación de servicios durante el período 06/06/25 al 06/07/25. 
📋 *Detalles de la factura:* 
• Número: 41 
• Fecha de Emisión: 10/07/25 
• Fecha de Vencimiento: 21/07/25 
• Monto Total: $ 621000.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</si>
  <si>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https://api.textmebot.com/send.php?recipient=5493425389073&amp;apikey=xoF6EUkK31se&amp;document=https%3A%2F%2Fdrive.google.com%2Ffile%2Fd%2F1GnB_4dmE8iJxCIv02cZdH_u8-VyGiHrt</t>
  </si>
  <si>
    <t>https://api.textmebot.com/send.php?recipient=5493425389073&amp;apikey=xoF6EUkK31se&amp;document=https%3A%2F%2Fdrive.google.com%2Ffile%2Fd%2F1WHRMYAEa2LNalwH81Bxwf7vW1eFWdQqO</t>
  </si>
  <si>
    <t>https://api.textmebot.com/send.php?recipient=5493425389073&amp;apikey=xoF6EUkK31se&amp;text=Hola%20Martin!%20%F0%9F%91%8B%20%0ATe%20env%C3%ADo%20la%20factura%20correspondiente%20por%20la%20prestaci%C3%B3n%20de%20servicios%20durante%20el%20per%C3%ADodo%2006%2F06%2F25%20al%2006%2F07%2F25.%20%0A%0A%F0%9F%93%8B%20*Detalles%20de%20la%20factura%3A*%20%0A%E2%80%A2%20N%C3%BAmero%3A%2041%20%0A%E2%80%A2%20Fecha%20de%20Emisi%C3%B3n%3A%2010%2F07%2F25%20%0A%E2%80%A2%20Fecha%20de%20Vencimiento%3A%2021%2F07%2F25%20%0A%E2%80%A2%20Monto%20Total%3A%20%24%20621000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</si>
  <si>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07/10/2025 17:22:04</t>
  </si>
  <si>
    <t>Facturación_Files_/cc2d2c08.FACTURA 1.202135.pdf</t>
  </si>
  <si>
    <t>https://api.textmebot.com/send.php?recipient=5493425389073&amp;apikey=xoF6EUkK31se&amp;document=https%3A%2F%2Fdrive.google.com%2Ffile%2Fd%2F1R3taaLx8KJzfHIL7UDO14m83FZhCJ6i_</t>
  </si>
  <si>
    <t>07/11/2025 09:00:16</t>
  </si>
  <si>
    <t>Hola Juan! 👋 
 Espero que todo esté yendo bien. Quisiera recordarte que aún no hemos recibido el pago correspondiente a la factura N° 186 emitida el 27/06/25. 
📋 *Detalles de la factura:* 
• Número: 186 
• Vencimiento: 09/07/25 
• Monto total: $873250.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</si>
  <si>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5493424770891&amp;apikey=xoF6EUkK31se&amp;text=Hola%20Juan!%20%F0%9F%91%8B%20%0A%20Espero%20que%20todo%20est%C3%A9%20yendo%20bien.%20Quisiera%20recordarte%20que%20a%C3%BAn%20no%20hemos%20recibido%20el%20pago%20correspondiente%20a%20la%20factura%20N%C2%B0%20186%20emitida%20el%2027%2F06%2F25.%20%0A%0A%F0%9F%93%8B%20*Detalles%20de%20la%20factura%3A*%20%0A%E2%80%A2%20N%C3%BAmero%3A%20186%20%0A%E2%80%A2%20Vencimiento%3A%2009%2F07%2F25%20%0A%E2%80%A2%20Monto%20total%3A%20%24873250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</si>
  <si>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07/14/2025 08:51:30</t>
  </si>
  <si>
    <t>ApsolAPP/Invoice/Amipack_168.pdf</t>
  </si>
  <si>
    <t>Hola Estefania! 👋 
Te envío la factura correspondiente por la prestación de servicios durante el período 11/06/25 al 11/07/25. 
📋 *Detalles de la factura:* 
• Número:  
• Fecha de Emisión: 14/07/25 
• Fecha de Vencimiento: 24/07/25 
• Monto Total: $ 822000.
💼 *Cuenta para el depósito:*- CUIT: 2033122879
- Titular: Adrian Patriarca
- Alias: Efectivo
- Banco: Efectivo
Te agradecería si me confirmás la recepción y me avisás una fecha estimada de pago. 😊 
Desde ya, muchas gracias!</t>
  </si>
  <si>
    <t>https://api.textmebot.com/send.php?recipient=5493493661975&amp;apikey=xoF6EUkK31se&amp;document=https%3A%2F%2Fdrive.google.com%2Ffile%2Fd%2F1jhZd13_z45SkmcuPbhJdol7Ec-kKYjs0</t>
  </si>
  <si>
    <t>https://api.textmebot.com/send.php?recipient=5493493661975&amp;apikey=xoF6EUkK31se&amp;text=Hola%20Estefania!%20%F0%9F%91%8B%20%0ATe%20env%C3%ADo%20la%20factura%20correspondiente%20por%20la%20prestaci%C3%B3n%20de%20servicios%20durante%20el%20per%C3%ADodo%2011%2F06%2F25%20al%2011%2F07%2F25.%20%0A%0A%F0%9F%93%8B%20*Detalles%20de%20la%20factura%3A*%20%0A%E2%80%A2%20N%C3%BAmero%3A%20%20%0A%E2%80%A2%20Fecha%20de%20Emisi%C3%B3n%3A%2014%2F07%2F25%20%0A%E2%80%A2%20Fecha%20de%20Vencimiento%3A%2024%2F07%2F25%20%0A%E2%80%A2%20Monto%20Total%3A%20%24%20822000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t>
  </si>
  <si>
    <t>07/14/2025 09:05:58</t>
  </si>
  <si>
    <t>1141908925</t>
  </si>
  <si>
    <t>Facturación_Files_/e9ce6da3.FACTURA 1.120507.pdf</t>
  </si>
  <si>
    <t>ApsolAPP/Invoice/Laboratorío Roca_169.pdf</t>
  </si>
  <si>
    <t>Hola Nelson! 👋 
Te envío la factura correspondiente por la prestación de servicios durante el período 11/06/25 al 11/07/25. 
📋 *Detalles de la factura:* 
• Número: 42 
• Fecha de Emisión: 14/07/25 
• Fecha de Vencimiento: 18/07/25 
• Monto Total: $ 500000.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</si>
  <si>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https://api.textmebot.com/send.php?recipient=5491141908925&amp;apikey=xoF6EUkK31se&amp;document=https%3A%2F%2Fdrive.google.com%2Ffile%2Fd%2F11VpsegzAndX4aW2SEM6X_-n73GqhADRL</t>
  </si>
  <si>
    <t>https://api.textmebot.com/send.php?recipient=5491141908925&amp;apikey=xoF6EUkK31se&amp;document=https%3A%2F%2Fdrive.google.com%2Ffile%2Fd%2F1MSYZN4o1P4JIJHsJXhQSUWFDpH9fxl-X</t>
  </si>
  <si>
    <t>https://api.textmebot.com/send.php?recipient=5491141908925&amp;apikey=xoF6EUkK31se&amp;text=Hola%20Nelson!%20%F0%9F%91%8B%20%0ATe%20env%C3%ADo%20la%20factura%20correspondiente%20por%20la%20prestaci%C3%B3n%20de%20servicios%20durante%20el%20per%C3%ADodo%2011%2F06%2F25%20al%2011%2F07%2F25.%20%0A%0A%F0%9F%93%8B%20*Detalles%20de%20la%20factura%3A*%20%0A%E2%80%A2%20N%C3%BAmero%3A%2042%20%0A%E2%80%A2%20Fecha%20de%20Emisi%C3%B3n%3A%2014%2F07%2F25%20%0A%E2%80%A2%20Fecha%20de%20Vencimiento%3A%2018%2F07%2F25%20%0A%E2%80%A2%20Monto%20Total%3A%20%24%20500000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</si>
  <si>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07/17/2025 09:00:11</t>
  </si>
  <si>
    <t>Hola Alan! 👋 
 Espero que todo esté yendo bien. Quisiera recordarte que aún no hemos recibido el pago correspondiente a la factura N° 39 emitida el 08/07/25. 
📋 *Detalles de la factura:* 
• Número: 39 
• Vencimiento: 15/07/25 
• Monto total: $642000.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</si>
  <si>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5493521639222&amp;apikey=xoF6EUkK31se&amp;text=Hola%20Alan!%20%F0%9F%91%8B%20%0A%20Espero%20que%20todo%20est%C3%A9%20yendo%20bien.%20Quisiera%20recordarte%20que%20a%C3%BAn%20no%20hemos%20recibido%20el%20pago%20correspondiente%20a%20la%20factura%20N%C2%B0%2039%20emitida%20el%2008%2F07%2F25.%20%0A%0A%F0%9F%93%8B%20*Detalles%20de%20la%20factura%3A*%20%0A%E2%80%A2%20N%C3%BAmero%3A%2039%20%0A%E2%80%A2%20Vencimiento%3A%2015%2F07%2F25%20%0A%E2%80%A2%20Monto%20total%3A%20%24642000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</si>
  <si>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Hola Ignacio! 👋 
 Espero que todo esté yendo bien. Quisiera recordarte que aún no hemos recibido el pago correspondiente a la factura N° 40 emitida el 08/07/25. 
📋 *Detalles de la factura:* 
• Número: 40 
• Vencimiento: 15/07/25 
• Monto total: $1364000.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</si>
  <si>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5493425225459&amp;apikey=xoF6EUkK31se&amp;text=Hola%20Ignacio!%20%F0%9F%91%8B%20%0A%20Espero%20que%20todo%20est%C3%A9%20yendo%20bien.%20Quisiera%20recordarte%20que%20a%C3%BAn%20no%20hemos%20recibido%20el%20pago%20correspondiente%20a%20la%20factura%20N%C2%B0%2040%20emitida%20el%2008%2F07%2F25.%20%0A%0A%F0%9F%93%8B%20*Detalles%20de%20la%20factura%3A*%20%0A%E2%80%A2%20N%C3%BAmero%3A%2040%20%0A%E2%80%A2%20Vencimiento%3A%2015%2F07%2F25%20%0A%E2%80%A2%20Monto%20total%3A%20%241364000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</si>
  <si>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07/17/2025 09:10:18</t>
  </si>
  <si>
    <t>ApsolAPP/Invoice/OnTheRoad viajes_170.pdf</t>
  </si>
  <si>
    <t>Hola Andrea! 👋 
Te envío la factura correspondiente por la prestación de servicios durante el período 14/06/25 al 14/07/25. 
📋 *Detalles de la factura:* 
• Número:  
• Fecha de Emisión: 17/07/25 
• Fecha de Vencimiento: 23/07/25 
• Monto Total: $ 423.
💼 *Cuenta para el depósito:*- Titular: Adrian Patriarca
- Banco: Citibank
- Moneda: USD
- Dirección del Banco: 111 Wall Street New York, NY 10043 USA
- Número de enrutamiento de ABA: 31100209
- Código SWIFT: CITIUS33
- Número de cuenta: 70580840001795095
Te agradecería si me confirmás la recepción y me avisás una fecha estimada de pago. 😊 
Desde ya, muchas gracias!</t>
  </si>
  <si>
    <t>https://api.textmebot.com/send.php?recipient=5491164872810&amp;apikey=xoF6EUkK31se&amp;document=https%3A%2F%2Fdrive.google.com%2Ffile%2Fd%2F1p_FZ65awXx9sas9EWQwFN2UWH5F2mPKS</t>
  </si>
  <si>
    <t>https://api.textmebot.com/send.php?recipient=5491164872810&amp;apikey=xoF6EUkK31se&amp;text=Hola%20Andrea!%20%F0%9F%91%8B%20%0ATe%20env%C3%ADo%20la%20factura%20correspondiente%20por%20la%20prestaci%C3%B3n%20de%20servicios%20durante%20el%20per%C3%ADodo%2014%2F06%2F25%20al%2014%2F07%2F25.%20%0A%0A%F0%9F%93%8B%20*Detalles%20de%20la%20factura%3A*%20%0A%E2%80%A2%20N%C3%BAmero%3A%20%20%0A%E2%80%A2%20Fecha%20de%20Emisi%C3%B3n%3A%2017%2F07%2F25%20%0A%E2%80%A2%20Fecha%20de%20Vencimiento%3A%2023%2F07%2F25%20%0A%E2%80%A2%20Monto%20Total%3A%20%24%20423.%0A%20%20%0A%0A%F0%9F%92%BC%20*Cuenta%20para%20el%20dep%C3%B3sito%3A*-%20Titular%3A%20Adrian%20Patriarca%0A-%20Banco%3A%20Citibank%0A-%20Moneda%3A%20USD%0A-%20Direcci%C3%B3n%20del%20Banco%3A%20111%20Wall%20Street%20New%20York%2C%20NY%2010043%20USA%0A-%20N%C3%BAmero%20de%20enrutamiento%20de%20ABA%3A%2031100209%0A-%20C%C3%B3digo%20SWIFT%3A%20CITIUS33%0A-%20N%C3%BAmero%20de%20cuenta%3A%2070580840001795095%0ATe%20agradecer%C3%ADa%20si%20me%20confirm%C3%A1s%20la%20recepci%C3%B3n%20y%20me%20avis%C3%A1s%20una%20fecha%20estimada%20de%20pago.%20%F0%9F%98%8A%20%0A%0ADesde%20ya%2C%20muchas%20gracias!</t>
  </si>
  <si>
    <t>07/21/2025 09:33:04</t>
  </si>
  <si>
    <t>Facturación_Files_/4119aafc.FACTURA 1.123241.xlsx</t>
  </si>
  <si>
    <t>ApsolAPP/Invoice/Apsol_171.pdf</t>
  </si>
  <si>
    <t>Hola Adrian! 👋 
Te envío la factura correspondiente por la prestación de servicios durante el período 03/06/25 al 03/07/25. 
📋 *Detalles de la factura:* 
• Número: 12 
• Fecha de Emisión: 21/07/25 
• Fecha de Vencimiento: 28/07/25 
• Monto Total: $ 277800.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</si>
  <si>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https://api.textmebot.com/send.php?recipient=5493426293881&amp;apikey=xoF6EUkK31se&amp;document=https%3A%2F%2Fdrive.google.com%2Ffile%2Fd%2F1tjWYlmAcYiUlURuKr6HHVxVdPXBPVn80</t>
  </si>
  <si>
    <t>https://api.textmebot.com/send.php?recipient=5493426293881&amp;apikey=xoF6EUkK31se&amp;document=https%3A%2F%2Fdrive.google.com%2Ffile%2Fd%2F1Evn-ZpKGl01OdUhcOwoUqgrjXSKTAU6i</t>
  </si>
  <si>
    <t>https://api.textmebot.com/send.php?recipient=5493426293881&amp;apikey=xoF6EUkK31se&amp;text=Hola%20Adrian!%20%F0%9F%91%8B%20%0ATe%20env%C3%ADo%20la%20factura%20correspondiente%20por%20la%20prestaci%C3%B3n%20de%20servicios%20durante%20el%20per%C3%ADodo%2003%2F06%2F25%20al%2003%2F07%2F25.%20%0A%0A%F0%9F%93%8B%20*Detalles%20de%20la%20factura%3A*%20%0A%E2%80%A2%20N%C3%BAmero%3A%2012%20%0A%E2%80%A2%20Fecha%20de%20Emisi%C3%B3n%3A%2021%2F07%2F25%20%0A%E2%80%A2%20Fecha%20de%20Vencimiento%3A%2028%2F07%2F25%20%0A%E2%80%A2%20Monto%20Total%3A%20%24%20277800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</si>
  <si>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07/21/2025 09:52:12</t>
  </si>
  <si>
    <t>Facturación_Files_/a7fbb702.FACTURA 1.125146.xlsx</t>
  </si>
  <si>
    <t>ApsolAPP/Invoice/Apsol_172.pdf</t>
  </si>
  <si>
    <t>https://api.textmebot.com/send.php?recipient=5493426293881&amp;apikey=xoF6EUkK31se&amp;document=https%3A%2F%2Fdrive.google.com%2Ffile%2Fd%2F145GGU2P_K3DHRTEAkZ8qEfMGnljfcrk-</t>
  </si>
  <si>
    <t>https://api.textmebot.com/send.php?recipient=5493426293881&amp;apikey=xoF6EUkK31se&amp;document=https%3A%2F%2Fdrive.google.com%2Ffile%2Fd%2F1K2fZli4t0fYnV6XnnKPJU1Sj0VrKAYt5</t>
  </si>
  <si>
    <t>07/22/2025 14:09:08</t>
  </si>
  <si>
    <t>341 307-7374</t>
  </si>
  <si>
    <t>Facturación_Files_/d7e7d1e8.FACTURA 1.170823.pdf</t>
  </si>
  <si>
    <t>ApsolAPP/Invoice/Conexion Market_171.pdf</t>
  </si>
  <si>
    <t>Hola Noelia! 👋 
Te envío la factura correspondiente por la prestación de servicios durante el período 18/06/25 al 18/07/25. 
📋 *Detalles de la factura:* 
• Número: 188 
• Fecha de Emisión: 22/07/25 
• Fecha de Vencimiento: 28/07/25 
• Monto Total: $ 1000000.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</si>
  <si>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https://api.textmebot.com/send.php?recipient=549341 307-7374&amp;apikey=xoF6EUkK31se&amp;document=https%3A%2F%2Fdrive.google.com%2Ffile%2Fd%2F1DoKM4WXyoCumTHIbsW41hkmfZchhK2XK</t>
  </si>
  <si>
    <t>https://api.textmebot.com/send.php?recipient=549341 307-7374&amp;apikey=xoF6EUkK31se&amp;document=https%3A%2F%2Fdrive.google.com%2Ffile%2Fd%2F1xyDIWjR1TLBs8u9ZCMC5amJjn1GvKOpo</t>
  </si>
  <si>
    <t>https://api.textmebot.com/send.php?recipient=549341 307-7374&amp;apikey=xoF6EUkK31se&amp;text=Hola%20Noelia!%20%F0%9F%91%8B%20%0ATe%20env%C3%ADo%20la%20factura%20correspondiente%20por%20la%20prestaci%C3%B3n%20de%20servicios%20durante%20el%20per%C3%ADodo%2018%2F06%2F25%20al%2018%2F07%2F25.%20%0A%0A%F0%9F%93%8B%20*Detalles%20de%20la%20factura%3A*%20%0A%E2%80%A2%20N%C3%BAmero%3A%20188%20%0A%E2%80%A2%20Fecha%20de%20Emisi%C3%B3n%3A%2022%2F07%2F25%20%0A%E2%80%A2%20Fecha%20de%20Vencimiento%3A%2028%2F07%2F25%20%0A%E2%80%A2%20Monto%20Total%3A%20%24%201000000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</si>
  <si>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07/22/2025 14:40:22</t>
  </si>
  <si>
    <t>3425380483</t>
  </si>
  <si>
    <t>Facturación_Files_/61458ad6.FACTURA 1.173942.pdf</t>
  </si>
  <si>
    <t>ApsolAPP/Invoice/Natión_172.pdf</t>
  </si>
  <si>
    <t>Hola Marketing! 👋 
Te envío la factura correspondiente por la prestación de servicios durante el período 18/06/25 al 18/07/25. 
📋 *Detalles de la factura:* 
• Número: 189 
• Fecha de Emisión: 22/07/25 
• Fecha de Vencimiento: 01/08/25 
• Monto Total: $ 378000.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</si>
  <si>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https://api.textmebot.com/send.php?recipient=5493425380483&amp;apikey=xoF6EUkK31se&amp;document=https%3A%2F%2Fdrive.google.com%2Ffile%2Fd%2F1ZsFVad_Ua2R37iG2DzxKa1HEoEkX4FJB</t>
  </si>
  <si>
    <t>https://api.textmebot.com/send.php?recipient=5493425380483&amp;apikey=xoF6EUkK31se&amp;document=https%3A%2F%2Fdrive.google.com%2Ffile%2Fd%2F1NxRsLpLy8U_oYht_3RV8t6rE3El81OTt</t>
  </si>
  <si>
    <t>https://api.textmebot.com/send.php?recipient=5493425380483&amp;apikey=xoF6EUkK31se&amp;text=Hola%20Marketing!%20%F0%9F%91%8B%20%0ATe%20env%C3%ADo%20la%20factura%20correspondiente%20por%20la%20prestaci%C3%B3n%20de%20servicios%20durante%20el%20per%C3%ADodo%2018%2F06%2F25%20al%2018%2F07%2F25.%20%0A%0A%F0%9F%93%8B%20*Detalles%20de%20la%20factura%3A*%20%0A%E2%80%A2%20N%C3%BAmero%3A%20189%20%0A%E2%80%A2%20Fecha%20de%20Emisi%C3%B3n%3A%2022%2F07%2F25%20%0A%E2%80%A2%20Fecha%20de%20Vencimiento%3A%2001%2F08%2F25%20%0A%E2%80%A2%20Monto%20Total%3A%20%24%20378000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</si>
  <si>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07/23/2025 09:00:11</t>
  </si>
  <si>
    <t>https://api.textmebot.com/send.php?recipient=5492267434320&amp;apikey=xoF6EUkK31se&amp;document=https%3A%2F%2Fdrive.google.com%2Ffile%2Fd%2F1MzXpNNFNSe_aErf5jHdNf9OTxiC0IrTI</t>
  </si>
  <si>
    <t>https://api.textmebot.com/send.php?recipient=5492267434320&amp;apikey=xoF6EUkK31se&amp;document=https%3A%2F%2Fdrive.google.com%2Ffile%2Fd%2F1Vp1MMlN6MQhPH89Y0_amoMyR53UR4ZxP</t>
  </si>
  <si>
    <t>Hola Gonzalo! 👋 
 Espero que todo esté yendo bien. Quisiera recordarte que aún no hemos recibido el pago correspondiente a la factura N° 187 emitida el 10/07/25. 
📋 *Detalles de la factura:* 
• Número: 187 
• Vencimiento: 21/07/25 
• Monto total: $669000.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</si>
  <si>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https://api.textmebot.com/send.php?recipient=5493425295451&amp;apikey=xoF6EUkK31se&amp;document=https%3A%2F%2Fdrive.google.com%2Ffile%2Fd%2F1bxYDweNi5fg-vMSG792QAOaKHFTCL6km</t>
  </si>
  <si>
    <t>https://api.textmebot.com/send.php?recipient=5493425295451&amp;apikey=xoF6EUkK31se&amp;text=Hola%20Gonzalo!%20%F0%9F%91%8B%20%0A%20Espero%20que%20todo%20est%C3%A9%20yendo%20bien.%20Quisiera%20recordarte%20que%20a%C3%BAn%20no%20hemos%20recibido%20el%20pago%20correspondiente%20a%20la%20factura%20N%C2%B0%20187%20emitida%20el%2010%2F07%2F25.%20%0A%0A%F0%9F%93%8B%20*Detalles%20de%20la%20factura%3A*%20%0A%E2%80%A2%20N%C3%BAmero%3A%20187%20%0A%E2%80%A2%20Vencimiento%3A%2021%2F07%2F25%20%0A%E2%80%A2%20Monto%20total%3A%20%24669000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</si>
  <si>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07/24/2025 09:54:00</t>
  </si>
  <si>
    <t>Facturación_Files_/070ddc32.FACTURA 1.125332.pdf</t>
  </si>
  <si>
    <t>ApsolAPP/Invoice/Natión_173.pdf</t>
  </si>
  <si>
    <t>Hola Juan! 👋 
Te envío la factura correspondiente por la prestación de servicios durante el período 23/06/25 al 23/07/25. 
📋 *Detalles de la factura:* 
• Número:  
• Fecha de Emisión: 24/07/25 
• Fecha de Vencimiento: 05/08/25 
• Monto Total: $ 315000.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</si>
  <si>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https://api.textmebot.com/send.php?recipient=5493424770891&amp;apikey=xoF6EUkK31se&amp;document=https%3A%2F%2Fdrive.google.com%2Ffile%2Fd%2F1pOKhXR4EAmxpovUosVoUmOp-s8S5IqdI</t>
  </si>
  <si>
    <t>https://api.textmebot.com/send.php?recipient=5493424770891&amp;apikey=xoF6EUkK31se&amp;document=https%3A%2F%2Fdrive.google.com%2Ffile%2Fd%2F1fmH-Wt3HLIsAMWIuLceRwTuPfyIFbBn5</t>
  </si>
  <si>
    <t>https://api.textmebot.com/send.php?recipient=5493424770891&amp;apikey=xoF6EUkK31se&amp;text=Hola%20Juan!%20%F0%9F%91%8B%20%0ATe%20env%C3%ADo%20la%20factura%20correspondiente%20por%20la%20prestaci%C3%B3n%20de%20servicios%20durante%20el%20per%C3%ADodo%2023%2F06%2F25%20al%2023%2F07%2F25.%20%0A%0A%F0%9F%93%8B%20*Detalles%20de%20la%20factura%3A*%20%0A%E2%80%A2%20N%C3%BAmero%3A%20%20%0A%E2%80%A2%20Fecha%20de%20Emisi%C3%B3n%3A%2024%2F07%2F25%20%0A%E2%80%A2%20Fecha%20de%20Vencimiento%3A%2005%2F08%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</si>
  <si>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07/25/2025 09:00:08</t>
  </si>
  <si>
    <t>Hola Andrea! 👋 
 Espero que todo esté yendo bien. Quisiera recordarte que aún no hemos recibido el pago correspondiente a la factura N°  emitida el 17/07/25. 
📋 *Detalles de la factura:* 
• Número:  
• Vencimiento: 23/07/25 
• Monto total: $423. 
💼 *Cuenta a depositar:*- Titular: Adrian Patriarca
- Banco: Citibank
- Moneda: USD
- Dirección del Banco: 111 Wall Street New York, NY 10043 USA
- Número de enrutamiento de ABA: 31100209
- Código SWIFT: CITIUS33
- Número de cuenta: 70580840001795095
Adjunto encontrarás la factura para tu referencia. 
Si ya has realizado el pago, por favor, ignora este mensaje. 
Gracias por tu pronta atención a este asunto. 
APSOL - Consultoría Empresarial</t>
  </si>
  <si>
    <t>https://api.textmebot.com/send.php?recipient=5491164872810&amp;apikey=xoF6EUkK31se&amp;text=Hola%20Andrea!%20%F0%9F%91%8B%20%0A%20Espero%20que%20todo%20est%C3%A9%20yendo%20bien.%20Quisiera%20recordarte%20que%20a%C3%BAn%20no%20hemos%20recibido%20el%20pago%20correspondiente%20a%20la%20factura%20N%C2%B0%20%20emitida%20el%2017%2F07%2F25.%20%0A%0A%F0%9F%93%8B%20*Detalles%20de%20la%20factura%3A*%20%0A%E2%80%A2%20N%C3%BAmero%3A%20%20%0A%E2%80%A2%20Vencimiento%3A%2023%2F07%2F25%20%0A%E2%80%A2%20Monto%20total%3A%20%24423.%20%0A%0A%F0%9F%92%BC%20*Cuenta%20a%20depositar%3A*-%20Titular%3A%20Adrian%20Patriarca%0A-%20Banco%3A%20Citibank%0A-%20Moneda%3A%20USD%0A-%20Direcci%C3%B3n%20del%20Banco%3A%20111%20Wall%20Street%20New%20York%2C%20NY%2010043%20USA%0A-%20N%C3%BAmero%20de%20enrutamiento%20de%20ABA%3A%2031100209%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</si>
  <si>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07/28/2025 09:00:04</t>
  </si>
  <si>
    <t>Hola Estefania! 👋 
 Espero que todo esté yendo bien. Quisiera recordarte que aún no hemos recibido el pago correspondiente a la factura N°  emitida el 14/07/25. 
📋 *Detalles de la factura:* 
• Número:  
• Vencimiento: 24/07/25 
• Monto total: $822000. 
💼 *Cuenta a depositar:*- CUIT: 2033122879
- Titular: Adrian Patriarca
- Alias: Efectivo
- Banco: Efectivo
Adjunto encontrarás la factura para tu referencia. 
Si ya has realizado el pago, por favor, ignora este mensaje. 
Gracias por tu pronta atención a este asunto. 
APSOL - Consultoría Empresarial</t>
  </si>
  <si>
    <t>https://api.textmebot.com/send.php?recipient=5493493661975&amp;apikey=xoF6EUkK31se&amp;text=Hola%20Estefania!%20%F0%9F%91%8B%20%0A%20Espero%20que%20todo%20est%C3%A9%20yendo%20bien.%20Quisiera%20recordarte%20que%20a%C3%BAn%20no%20hemos%20recibido%20el%20pago%20correspondiente%20a%20la%20factura%20N%C2%B0%20%20emitida%20el%2014%2F07%2F25.%20%0A%0A%F0%9F%93%8B%20*Detalles%20de%20la%20factura%3A*%20%0A%E2%80%A2%20N%C3%BAmero%3A%20%20%0A%E2%80%A2%20Vencimiento%3A%2024%2F07%2F25%20%0A%E2%80%A2%20Monto%20total%3A%20%24822000.%20%0A%0A%F0%9F%92%BC%20*Cuenta%20a%20depositar%3A*-%20CUIT%3A%202033122879%0A-%20Titular%3A%20Adrian%20Patriarca%0A-%20Alias%3A%20Efectivo%0A-%20Banco%3A%20Efectivo%0AAdjunto%20encontrar%C3%A1s%20la%20factura%20para%20tu%20referencia.%20%0A%0ASi%20ya%20has%20realizado%20el%20pago%2C%20por%20favor%2C%20ignora%20este%20mensaje.%20%0A%0AGracias%20por%20tu%20pronta%20atenci%C3%B3n%20a%20este%20asunto.%20%0A%0AAPSOL%20-%20Consultor%C3%ADa%20Empresarial</t>
  </si>
  <si>
    <t>07/28/2025 14:34:00</t>
  </si>
  <si>
    <t>ApsolAPP/Invoice/Vertiente del Sur_174.pdf</t>
  </si>
  <si>
    <t>Hola Gastón! 👋 
Te envío la factura correspondiente por la prestación de servicios durante el período 22/06/25 al 22/07/25. 
📋 *Detalles de la factura:* 
• Número:  
• Fecha de Emisión: 28/07/25 
• Fecha de Vencimiento: 05/08/25 
• Monto Total: $ 549000.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</si>
  <si>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https://api.textmebot.com/send.php?recipient=5493492527138&amp;apikey=xoF6EUkK31se&amp;document=https%3A%2F%2Fdrive.google.com%2Ffile%2Fd%2F1pvNUj22CuJrVOfafnMRiuhlezrDeX2st</t>
  </si>
  <si>
    <t>https://api.textmebot.com/send.php?recipient=5493492527138&amp;apikey=xoF6EUkK31se&amp;text=Hola%20Gast%C3%B3n!%20%F0%9F%91%8B%20%0ATe%20env%C3%ADo%20la%20factura%20correspondiente%20por%20la%20prestaci%C3%B3n%20de%20servicios%20durante%20el%20per%C3%ADodo%2022%2F06%2F25%20al%2022%2F07%2F25.%20%0A%0A%F0%9F%93%8B%20*Detalles%20de%20la%20factura%3A*%20%0A%E2%80%A2%20N%C3%BAmero%3A%20%20%0A%E2%80%A2%20Fecha%20de%20Emisi%C3%B3n%3A%2028%2F07%2F25%20%0A%E2%80%A2%20Fecha%20de%20Vencimiento%3A%2005%2F08%2F25%20%0A%E2%80%A2%20Monto%20Total%3A%20%24%20549000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</si>
  <si>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07/29/2025 09:00:12</t>
  </si>
  <si>
    <t>08/01/2025 20:29:45</t>
  </si>
  <si>
    <t>3425468752</t>
  </si>
  <si>
    <t>ApsolAPP/Invoice/A todo Color_175.pdf</t>
  </si>
  <si>
    <t>Hola Luciano! 👋 
Te envío la factura correspondiente por la prestación de servicios durante el período 01/07/25 al 01/08/25. 
📋 *Detalles de la factura:* 
• Número:  
• Fecha de Emisión: 01/08/25 
• Fecha de Vencimiento: 08/08/25 
• Monto Total: $ 0.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</si>
  <si>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https://api.textmebot.com/send.php?recipient=5493425468752&amp;apikey=xoF6EUkK31se&amp;document=https%3A%2F%2Fdrive.google.com%2Ffile%2Fd%2F1cC743lF7FOaPjzgtMIOpt2v1566Vepsg</t>
  </si>
  <si>
    <t>https://api.textmebot.com/send.php?recipient=5493425468752&amp;apikey=xoF6EUkK31se&amp;text=Hola%20Luciano!%20%F0%9F%91%8B%20%0ATe%20env%C3%ADo%20la%20factura%20correspondiente%20por%20la%20prestaci%C3%B3n%20de%20servicios%20durante%20el%20per%C3%ADodo%2001%2F07%2F25%20al%2001%2F08%2F25.%20%0A%0A%F0%9F%93%8B%20*Detalles%20de%20la%20factura%3A*%20%0A%E2%80%A2%20N%C3%BAmero%3A%20%20%0A%E2%80%A2%20Fecha%20de%20Emisi%C3%B3n%3A%2001%2F08%2F25%20%0A%E2%80%A2%20Fecha%20de%20Vencimiento%3A%2008%2F08%2F25%20%0A%E2%80%A2%20Monto%20Total%3A%20%24%200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</si>
  <si>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08/04/2025 09:00:39</t>
  </si>
  <si>
    <t>08/06/2025 09:31:34</t>
  </si>
  <si>
    <t>Facturación_Files_/0e5a39bd.FACTURA 1.123054.pdf</t>
  </si>
  <si>
    <t>ApsolAPP/Invoice/Insuga_176.pdf</t>
  </si>
  <si>
    <t>Hola Gonzalo! 👋 
Te envío la factura correspondiente por la prestación de servicios durante el período 28/07/25 al 28/08/25. 
📋 *Detalles de la factura:* 
• Número: 191 
• Fecha de Emisión: 06/08/25 
• Fecha de Vencimiento: 15/08/25 
• Monto Total: $ 678000.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</si>
  <si>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https://api.textmebot.com/send.php?recipient=5493425295451&amp;apikey=xoF6EUkK31se&amp;document=https%3A%2F%2Fdrive.google.com%2Ffile%2Fd%2F15P9YDHf2dfu9ym3rF4Jw9S0ulLw7brcR</t>
  </si>
  <si>
    <t>https://api.textmebot.com/send.php?recipient=5493425295451&amp;apikey=xoF6EUkK31se&amp;document=https%3A%2F%2Fdrive.google.com%2Ffile%2Fd%2F1Ot4hIG4-Au8WPchUEpEGduJw1Pc1GS34</t>
  </si>
  <si>
    <t>https://api.textmebot.com/send.php?recipient=5493425295451&amp;apikey=xoF6EUkK31se&amp;text=Hola%20Gonzalo!%20%F0%9F%91%8B%20%0ATe%20env%C3%ADo%20la%20factura%20correspondiente%20por%20la%20prestaci%C3%B3n%20de%20servicios%20durante%20el%20per%C3%ADodo%2028%2F07%2F25%20al%2028%2F08%2F25.%20%0A%0A%F0%9F%93%8B%20*Detalles%20de%20la%20factura%3A*%20%0A%E2%80%A2%20N%C3%BAmero%3A%20191%20%0A%E2%80%A2%20Fecha%20de%20Emisi%C3%B3n%3A%2006%2F08%2F25%20%0A%E2%80%A2%20Fecha%20de%20Vencimiento%3A%2015%2F08%2F25%20%0A%E2%80%A2%20Monto%20Total%3A%20%24%20678000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</si>
  <si>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08/06/2025 09:38:44</t>
  </si>
  <si>
    <t>Facturación_Files_/edb1a8ca.FACTURA 1.123809.pdf</t>
  </si>
  <si>
    <t>ApsolAPP/Invoice/Dg Distribuciones_177.pdf</t>
  </si>
  <si>
    <t>Hola Ignacio! 👋 
Te envío la factura correspondiente por la prestación de servicios durante el período 04/07/25 al 04/08/25. 
📋 *Detalles de la factura:* 
• Número: 43 
• Fecha de Emisión: 06/08/25 
• Fecha de Vencimiento: 13/08/25 
• Monto Total: $ 1437000.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</si>
  <si>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https://api.textmebot.com/send.php?recipient=5493425225459&amp;apikey=xoF6EUkK31se&amp;document=https%3A%2F%2Fdrive.google.com%2Ffile%2Fd%2F1Ig0AuSpTTv7cVHcTmCRBA9gOXAXGwgrS</t>
  </si>
  <si>
    <t>https://api.textmebot.com/send.php?recipient=5493425225459&amp;apikey=xoF6EUkK31se&amp;document=https%3A%2F%2Fdrive.google.com%2Ffile%2Fd%2F1MYvDXB6_M7xkODKfX1MydoQ7txpu7nG3</t>
  </si>
  <si>
    <t>https://api.textmebot.com/send.php?recipient=5493425225459&amp;apikey=xoF6EUkK31se&amp;text=Hola%20Ignacio!%20%F0%9F%91%8B%20%0ATe%20env%C3%ADo%20la%20factura%20correspondiente%20por%20la%20prestaci%C3%B3n%20de%20servicios%20durante%20el%20per%C3%ADodo%2004%2F07%2F25%20al%2004%2F08%2F25.%20%0A%0A%F0%9F%93%8B%20*Detalles%20de%20la%20factura%3A*%20%0A%E2%80%A2%20N%C3%BAmero%3A%2043%20%0A%E2%80%A2%20Fecha%20de%20Emisi%C3%B3n%3A%2006%2F08%2F25%20%0A%E2%80%A2%20Fecha%20de%20Vencimiento%3A%2013%2F08%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</si>
  <si>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08/06/2025 09:45:41</t>
  </si>
  <si>
    <t>1171282725</t>
  </si>
  <si>
    <t>Facturación_Files_/c6683318.FACTURA 1.124453.pdf</t>
  </si>
  <si>
    <t>ApsolAPP/Invoice/Refri Integral_178.pdf</t>
  </si>
  <si>
    <t>Hola Martin! 👋 
Te envío la factura correspondiente por la prestación de servicios durante el período 01/07/25 al 01/08/25. 
📋 *Detalles de la factura:* 
• Número: 44 
• Fecha de Emisión: 06/08/25 
• Fecha de Vencimiento: 13/08/25 
• Monto Total: $ 436000.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</si>
  <si>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https://api.textmebot.com/send.php?recipient=5491171282725&amp;apikey=xoF6EUkK31se&amp;document=https%3A%2F%2Fdrive.google.com%2Ffile%2Fd%2F1BDkw_UqZ9WKG9kRYI_aX95fmPq4JQNc8</t>
  </si>
  <si>
    <t>https://api.textmebot.com/send.php?recipient=5491171282725&amp;apikey=xoF6EUkK31se&amp;document=https%3A%2F%2Fdrive.google.com%2Ffile%2Fd%2F1EwM-DWxmFSb4IZszLwIvavWK5-X10gMg</t>
  </si>
  <si>
    <t>https://api.textmebot.com/send.php?recipient=5491171282725&amp;apikey=xoF6EUkK31se&amp;text=Hola%20Martin!%20%F0%9F%91%8B%20%0ATe%20env%C3%ADo%20la%20factura%20correspondiente%20por%20la%20prestaci%C3%B3n%20de%20servicios%20durante%20el%20per%C3%ADodo%2001%2F07%2F25%20al%2001%2F08%2F25.%20%0A%0A%F0%9F%93%8B%20*Detalles%20de%20la%20factura%3A*%20%0A%E2%80%A2%20N%C3%BAmero%3A%2044%20%0A%E2%80%A2%20Fecha%20de%20Emisi%C3%B3n%3A%2006%2F08%2F25%20%0A%E2%80%A2%20Fecha%20de%20Vencimiento%3A%2013%2F08%2F25%20%0A%E2%80%A2%20Monto%20Total%3A%20%24%20436000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</si>
  <si>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08/11/2025 09:53:28</t>
  </si>
  <si>
    <t>Facturación_Files_/21ab9d17.FACTURA 1.125259.pdf</t>
  </si>
  <si>
    <t>ApsolAPP/Invoice/Metalurgica HQ_179.pdf</t>
  </si>
  <si>
    <t>Hola Alan! 👋 
Te envío la factura correspondiente por la prestación de servicios durante el período 07/07/25 al 07/08/25. 
📋 *Detalles de la factura:* 
• Número: 45 
• Fecha de Emisión: 11/08/25 
• Fecha de Vencimiento: 18/08/25 
• Monto Total: $ 440000.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</si>
  <si>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https://api.textmebot.com/send.php?recipient=5493521639222&amp;apikey=xoF6EUkK31se&amp;document=https%3A%2F%2Fdrive.google.com%2Ffile%2Fd%2F1BDcPJ-OaAkQgd4ob2C4Fr1pxTcyJSaoD</t>
  </si>
  <si>
    <t>https://api.textmebot.com/send.php?recipient=5493521639222&amp;apikey=xoF6EUkK31se&amp;document=https%3A%2F%2Fdrive.google.com%2Ffile%2Fd%2F1V9SlOyZ75CXtpoPFSidiUsHYOn00o1am</t>
  </si>
  <si>
    <t>https://api.textmebot.com/send.php?recipient=5493521639222&amp;apikey=xoF6EUkK31se&amp;text=Hola%20Alan!%20%F0%9F%91%8B%20%0ATe%20env%C3%ADo%20la%20factura%20correspondiente%20por%20la%20prestaci%C3%B3n%20de%20servicios%20durante%20el%20per%C3%ADodo%2007%2F07%2F25%20al%2007%2F08%2F25.%20%0A%0A%F0%9F%93%8B%20*Detalles%20de%20la%20factura%3A*%20%0A%E2%80%A2%20N%C3%BAmero%3A%2045%20%0A%E2%80%A2%20Fecha%20de%20Emisi%C3%B3n%3A%2011%2F08%2F25%20%0A%E2%80%A2%20Fecha%20de%20Vencimiento%3A%2018%2F08%2F25%20%0A%E2%80%A2%20Monto%20Total%3A%20%24%20440000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</si>
  <si>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08/11/2025 09:54:37</t>
  </si>
  <si>
    <t>ApsolAPP/Invoice/Amipack_180.pdf</t>
  </si>
  <si>
    <t>Hola Estefania! 👋 
Te envío la factura correspondiente por la prestación de servicios durante el período 11/07/25 al 11/08/25. 
📋 *Detalles de la factura:* 
• Número:  
• Fecha de Emisión: 11/08/25 
• Fecha de Vencimiento: 21/08/25 
• Monto Total: $ 835000.
💼 *Cuenta para el depósito:*- CUIT: 2033122879
- Titular: Adrian Patriarca
- Alias: Efectivo
- Banco: Efectivo
Te agradecería si me confirmás la recepción y me avisás una fecha estimada de pago. 😊 
Desde ya, muchas gracias!</t>
  </si>
  <si>
    <t>https://api.textmebot.com/send.php?recipient=5493493661975&amp;apikey=xoF6EUkK31se&amp;document=https%3A%2F%2Fdrive.google.com%2Ffile%2Fd%2F1U8Z1wciYVe580gKDe0LHicX1v5L0pTCQ</t>
  </si>
  <si>
    <t>https://api.textmebot.com/send.php?recipient=5493493661975&amp;apikey=xoF6EUkK31se&amp;text=Hola%20Estefania!%20%F0%9F%91%8B%20%0ATe%20env%C3%ADo%20la%20factura%20correspondiente%20por%20la%20prestaci%C3%B3n%20de%20servicios%20durante%20el%20per%C3%ADodo%2011%2F07%2F25%20al%2011%2F08%2F25.%20%0A%0A%F0%9F%93%8B%20*Detalles%20de%20la%20factura%3A*%20%0A%E2%80%A2%20N%C3%BAmero%3A%20%20%0A%E2%80%A2%20Fecha%20de%20Emisi%C3%B3n%3A%2011%2F08%2F25%20%0A%E2%80%A2%20Fecha%20de%20Vencimiento%3A%2021%2F08%2F25%20%0A%E2%80%A2%20Monto%20Total%3A%20%24%20835000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t>
  </si>
  <si>
    <t>08/11/2025 09:56:19</t>
  </si>
  <si>
    <t>Facturación_Files_/29b846f2.FACTURA 1.125536.pdf</t>
  </si>
  <si>
    <t>ApsolAPP/Invoice/Laboratorío Roca_181.pdf</t>
  </si>
  <si>
    <t>Hola Nelson! 👋 
Te envío la factura correspondiente por la prestación de servicios durante el período 11/07/25 al 11/08/25. 
📋 *Detalles de la factura:* 
• Número: 46 
• Fecha de Emisión: 11/08/25 
• Fecha de Vencimiento: 15/08/25 
• Monto Total: $ 500000.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</si>
  <si>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https://api.textmebot.com/send.php?recipient=5491141908925&amp;apikey=xoF6EUkK31se&amp;document=https%3A%2F%2Fdrive.google.com%2Ffile%2Fd%2F1ixnjPDRZbxU2Wa3Uc-jlb-Y673LgJ75d</t>
  </si>
  <si>
    <t>https://api.textmebot.com/send.php?recipient=5491141908925&amp;apikey=xoF6EUkK31se&amp;document=https%3A%2F%2Fdrive.google.com%2Ffile%2Fd%2F17CHhQLLEE0K7J1c3t6xBI8Gkh1u2B9S2</t>
  </si>
  <si>
    <t>https://api.textmebot.com/send.php?recipient=5491141908925&amp;apikey=xoF6EUkK31se&amp;text=Hola%20Nelson!%20%F0%9F%91%8B%20%0ATe%20env%C3%ADo%20la%20factura%20correspondiente%20por%20la%20prestaci%C3%B3n%20de%20servicios%20durante%20el%20per%C3%ADodo%2011%2F07%2F25%20al%2011%2F08%2F25.%20%0A%0A%F0%9F%93%8B%20*Detalles%20de%20la%20factura%3A*%20%0A%E2%80%A2%20N%C3%BAmero%3A%2046%20%0A%E2%80%A2%20Fecha%20de%20Emisi%C3%B3n%3A%2011%2F08%2F25%20%0A%E2%80%A2%20Fecha%20de%20Vencimiento%3A%2015%2F08%2F25%20%0A%E2%80%A2%20Monto%20Total%3A%20%24%20500000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</si>
  <si>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08/12/2025 13:12:43</t>
  </si>
  <si>
    <t>Facturación_Files_/3bbca941.FACTURA 1.161152.pdf</t>
  </si>
  <si>
    <t>ApsolAPP/Invoice/El Norte_182.pdf</t>
  </si>
  <si>
    <t>Hola Martin! 👋 
Te envío la factura correspondiente por la prestación de servicios durante el período 06/07/25 al 06/08/25. 
📋 *Detalles de la factura:* 
• Número: 47 
• Fecha de Emisión: 12/08/25 
• Fecha de Vencimiento: 21/08/25 
• Monto Total: $ 631000.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</si>
  <si>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https://api.textmebot.com/send.php?recipient=5493425389073&amp;apikey=xoF6EUkK31se&amp;document=https%3A%2F%2Fdrive.google.com%2Ffile%2Fd%2F15TBO3wFI-SQ-jUpAYYJUqtqSWRYbkvPc</t>
  </si>
  <si>
    <t>https://api.textmebot.com/send.php?recipient=5493425389073&amp;apikey=xoF6EUkK31se&amp;document=https%3A%2F%2Fdrive.google.com%2Ffile%2Fd%2F1KdIUaVL7YuPzhaMAGBMHMgYRwlHJ68aU</t>
  </si>
  <si>
    <t>https://api.textmebot.com/send.php?recipient=5493425389073&amp;apikey=xoF6EUkK31se&amp;text=Hola%20Martin!%20%F0%9F%91%8B%20%0ATe%20env%C3%ADo%20la%20factura%20correspondiente%20por%20la%20prestaci%C3%B3n%20de%20servicios%20durante%20el%20per%C3%ADodo%2006%2F07%2F25%20al%2006%2F08%2F25.%20%0A%0A%F0%9F%93%8B%20*Detalles%20de%20la%20factura%3A*%20%0A%E2%80%A2%20N%C3%BAmero%3A%2047%20%0A%E2%80%A2%20Fecha%20de%20Emisi%C3%B3n%3A%2012%2F08%2F25%20%0A%E2%80%A2%20Fecha%20de%20Vencimiento%3A%2021%2F08%2F25%20%0A%E2%80%A2%20Monto%20Total%3A%20%24%20631000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</si>
  <si>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08/12/2025 13:25:59</t>
  </si>
  <si>
    <t>3424791582</t>
  </si>
  <si>
    <t>Facturación_Files_/a0f60543.FACTURA 1.162528.pdf</t>
  </si>
  <si>
    <t>ApsolAPP/Invoice/Escobar_183.pdf</t>
  </si>
  <si>
    <t>Hola Pablo! 👋 
Te envío la factura correspondiente por la prestación de servicios durante el período 08/07/25 al 08/08/25. 
📋 *Detalles de la factura:* 
• Número: 192 
• Fecha de Emisión: 12/08/25 
• Fecha de Vencimiento: 20/08/25 
• Monto Total: $ 1274000.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</si>
  <si>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https://api.textmebot.com/send.php?recipient=5493424791582&amp;apikey=xoF6EUkK31se&amp;document=https%3A%2F%2Fdrive.google.com%2Ffile%2Fd%2F1URHhxc74Gm3OyOAqJ5tJOl9CSggxZguN</t>
  </si>
  <si>
    <t>https://api.textmebot.com/send.php?recipient=5493424791582&amp;apikey=xoF6EUkK31se&amp;document=https%3A%2F%2Fdrive.google.com%2Ffile%2Fd%2F1MJlsZmgSnMGVfTEsZ0pdiizg_PFsYfC_</t>
  </si>
  <si>
    <t>https://api.textmebot.com/send.php?recipient=5493424791582&amp;apikey=xoF6EUkK31se&amp;text=Hola%20Pablo!%20%F0%9F%91%8B%20%0ATe%20env%C3%ADo%20la%20factura%20correspondiente%20por%20la%20prestaci%C3%B3n%20de%20servicios%20durante%20el%20per%C3%ADodo%2008%2F07%2F25%20al%2008%2F08%2F25.%20%0A%0A%F0%9F%93%8B%20*Detalles%20de%20la%20factura%3A*%20%0A%E2%80%A2%20N%C3%BAmero%3A%20192%20%0A%E2%80%A2%20Fecha%20de%20Emisi%C3%B3n%3A%2012%2F08%2F25%20%0A%E2%80%A2%20Fecha%20de%20Vencimiento%3A%2020%2F08%2F25%20%0A%E2%80%A2%20Monto%20Total%3A%20%24%201274000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</si>
  <si>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08/13/2025 09:00:11</t>
  </si>
  <si>
    <t>08/18/2025 09:00:07</t>
  </si>
  <si>
    <t>Hola Martin! 👋 
 Espero que todo esté yendo bien. Quisiera recordarte que aún no hemos recibido el pago correspondiente a la factura N° 44 emitida el 06/08/25. 
📋 *Detalles de la factura:* 
• Número: 44 
• Vencimiento: 13/08/25 
• Monto total: $436000.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</si>
  <si>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5491171282725&amp;apikey=xoF6EUkK31se&amp;text=Hola%20Martin!%20%F0%9F%91%8B%20%0A%20Espero%20que%20todo%20est%C3%A9%20yendo%20bien.%20Quisiera%20recordarte%20que%20a%C3%BAn%20no%20hemos%20recibido%20el%20pago%20correspondiente%20a%20la%20factura%20N%C2%B0%2044%20emitida%20el%2006%2F08%2F25.%20%0A%0A%F0%9F%93%8B%20*Detalles%20de%20la%20factura%3A*%20%0A%E2%80%A2%20N%C3%BAmero%3A%2044%20%0A%E2%80%A2%20Vencimiento%3A%2013%2F08%2F25%20%0A%E2%80%A2%20Monto%20total%3A%20%24436000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</si>
  <si>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08/18/2025 10:10:46</t>
  </si>
  <si>
    <t>ApsolAPP/Invoice/OnTheRoad viajes_184.pdf</t>
  </si>
  <si>
    <t>Hola Andrea! 👋 
Te envío la factura correspondiente por la prestación de servicios durante el período 14/07/25 al 14/08/25. 
📋 *Detalles de la factura:* 
• Número:  
• Fecha de Emisión: 18/08/25 
• Fecha de Vencimiento: 22/08/25 
• Monto Total: $ 423.
💼 *Cuenta para el depósito:*- Titular: Adrian Patriarca
- Banco: Citibank
- Moneda: USD
- Dirección del Banco: 111 Wall Street New York, NY 10043 USA
- Número de enrutamiento de ABA: 31100209
- Código SWIFT: CITIUS33
- Número de cuenta: 70580840001795095
Te agradecería si me confirmás la recepción y me avisás una fecha estimada de pago. 😊 
Desde ya, muchas gracias!</t>
  </si>
  <si>
    <t>https://api.textmebot.com/send.php?recipient=5491164872810&amp;apikey=xoF6EUkK31se&amp;document=https%3A%2F%2Fdrive.google.com%2Ffile%2Fd%2F1Re_bvmR1JE4ArI7fYWWFf0iFVtTMjEN7</t>
  </si>
  <si>
    <t>https://api.textmebot.com/send.php?recipient=5491164872810&amp;apikey=xoF6EUkK31se&amp;text=Hola%20Andrea!%20%F0%9F%91%8B%20%0ATe%20env%C3%ADo%20la%20factura%20correspondiente%20por%20la%20prestaci%C3%B3n%20de%20servicios%20durante%20el%20per%C3%ADodo%2014%2F07%2F25%20al%2014%2F08%2F25.%20%0A%0A%F0%9F%93%8B%20*Detalles%20de%20la%20factura%3A*%20%0A%E2%80%A2%20N%C3%BAmero%3A%20%20%0A%E2%80%A2%20Fecha%20de%20Emisi%C3%B3n%3A%2018%2F08%2F25%20%0A%E2%80%A2%20Fecha%20de%20Vencimiento%3A%2022%2F08%2F25%20%0A%E2%80%A2%20Monto%20Total%3A%20%24%20423.%0A%20%20%0A%0A%F0%9F%92%BC%20*Cuenta%20para%20el%20dep%C3%B3sito%3A*-%20Titular%3A%20Adrian%20Patriarca%0A-%20Banco%3A%20Citibank%0A-%20Moneda%3A%20USD%0A-%20Direcci%C3%B3n%20del%20Banco%3A%20111%20Wall%20Street%20New%20York%2C%20NY%2010043%20USA%0A-%20N%C3%BAmero%20de%20enrutamiento%20de%20ABA%3A%2031100209%0A-%20C%C3%B3digo%20SWIFT%3A%20CITIUS33%0A-%20N%C3%BAmero%20de%20cuenta%3A%2070580840001795095%0ATe%20agradecer%C3%ADa%20si%20me%20confirm%C3%A1s%20la%20recepci%C3%B3n%20y%20me%20avis%C3%A1s%20una%20fecha%20estimada%20de%20pago.%20%F0%9F%98%8A%20%0A%0ADesde%20ya%2C%20muchas%20gracias!</t>
  </si>
  <si>
    <t>08/20/2025 09:00:04</t>
  </si>
  <si>
    <t>Hola Gonzalo! 👋 
 Espero que todo esté yendo bien. Quisiera recordarte que aún no hemos recibido el pago correspondiente a la factura N° 191 emitida el 06/08/25. 
📋 *Detalles de la factura:* 
• Número: 191 
• Vencimiento: 15/08/25 
• Monto total: $678000.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</si>
  <si>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5493425295451&amp;apikey=xoF6EUkK31se&amp;text=Hola%20Gonzalo!%20%F0%9F%91%8B%20%0A%20Espero%20que%20todo%20est%C3%A9%20yendo%20bien.%20Quisiera%20recordarte%20que%20a%C3%BAn%20no%20hemos%20recibido%20el%20pago%20correspondiente%20a%20la%20factura%20N%C2%B0%20191%20emitida%20el%2006%2F08%2F25.%20%0A%0A%F0%9F%93%8B%20*Detalles%20de%20la%20factura%3A*%20%0A%E2%80%A2%20N%C3%BAmero%3A%20191%20%0A%E2%80%A2%20Vencimiento%3A%2015%2F08%2F25%20%0A%E2%80%A2%20Monto%20total%3A%20%24678000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</si>
  <si>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08/20/2025 09:24:42</t>
  </si>
  <si>
    <t>3413077374</t>
  </si>
  <si>
    <t>Facturación_Files_/25a568b5.FACTURA 1.122414.pdf</t>
  </si>
  <si>
    <t>ApsolAPP/Invoice/Conexion Market_185.pdf</t>
  </si>
  <si>
    <t>Hola Noelia! 👋 
Te envío la factura correspondiente por la prestación de servicios durante el período 18/07/25 al 18/08/25. 
📋 *Detalles de la factura:* 
• Número: 193 
• Fecha de Emisión: 20/08/25 
• Fecha de Vencimiento: 26/08/25 
• Monto Total: $ 1000000.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</si>
  <si>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https://api.textmebot.com/send.php?recipient=5493413077374&amp;apikey=xoF6EUkK31se&amp;document=https%3A%2F%2Fdrive.google.com%2Ffile%2Fd%2F1JJbqUWUSzgwzCqMY5SFPo7dgd09QVU-p</t>
  </si>
  <si>
    <t>https://api.textmebot.com/send.php?recipient=5493413077374&amp;apikey=xoF6EUkK31se&amp;document=https%3A%2F%2Fdrive.google.com%2Ffile%2Fd%2F16iCexN-v4EjAEICYrgloBg0HmrGVaI_R</t>
  </si>
  <si>
    <t>https://api.textmebot.com/send.php?recipient=5493413077374&amp;apikey=xoF6EUkK31se&amp;text=Hola%20Noelia!%20%F0%9F%91%8B%20%0ATe%20env%C3%ADo%20la%20factura%20correspondiente%20por%20la%20prestaci%C3%B3n%20de%20servicios%20durante%20el%20per%C3%ADodo%2018%2F07%2F25%20al%2018%2F08%2F25.%20%0A%0A%F0%9F%93%8B%20*Detalles%20de%20la%20factura%3A*%20%0A%E2%80%A2%20N%C3%BAmero%3A%20193%20%0A%E2%80%A2%20Fecha%20de%20Emisi%C3%B3n%3A%2020%2F08%2F25%20%0A%E2%80%A2%20Fecha%20de%20Vencimiento%3A%2026%2F08%2F25%20%0A%E2%80%A2%20Monto%20Total%3A%20%24%201000000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</si>
  <si>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08/21/2025 09:00:10</t>
  </si>
  <si>
    <t>Hola Andrea! 👋 
 Espero que todo esté yendo bien. Quisiera recordarte que aún no hemos recibido el pago correspondiente a la factura N°  emitida el 17/07/25. 
📋 *Detalles de la factura:* 
• Número:  
• Vencimiento: 23/07/25 
• Monto total: $423. 
💼 *Cuenta a depositar:*- Titular: Adrian Patriarca
- Banco: Citibank
- Moneda: USD
- Dirección del Banco: 111 Wall Street New York, NY 10043 USA
- Número de enrutamiento de ABA: 031100209
- Código SWIFT: CITIUS33
- Número de cuenta: 70580840001795095
Adjunto encontrarás la factura para tu referencia. 
Si ya has realizado el pago, por favor, ignora este mensaje. 
Gracias por tu pronta atención a este asunto. 
APSOL - Consultoría Empresarial</t>
  </si>
  <si>
    <t>https://api.textmebot.com/send.php?recipient=5491164872810&amp;apikey=xoF6EUkK31se&amp;text=Hola%20Andrea!%20%F0%9F%91%8B%20%0A%20Espero%20que%20todo%20est%C3%A9%20yendo%20bien.%20Quisiera%20recordarte%20que%20a%C3%BAn%20no%20hemos%20recibido%20el%20pago%20correspondiente%20a%20la%20factura%20N%C2%B0%20%20emitida%20el%2017%2F07%2F25.%20%0A%0A%F0%9F%93%8B%20*Detalles%20de%20la%20factura%3A*%20%0A%E2%80%A2%20N%C3%BAmero%3A%20%20%0A%E2%80%A2%20Vencimiento%3A%2023%2F07%2F25%20%0A%E2%80%A2%20Monto%20total%3A%20%24423.%20%0A%0A%F0%9F%92%BC%20*Cuenta%20a%20depositar%3A*-%20Titular%3A%20Adrian%20Patriarca%0A-%20Banco%3A%20Citibank%0A-%20Moneda%3A%20USD%0A-%20Direcci%C3%B3n%20del%20Banco%3A%20111%20Wall%20Street%20New%20York%2C%20NY%2010043%20USA%0A-%20N%C3%BAmero%20de%20enrutamiento%20de%20ABA%3A%20031100209%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</si>
  <si>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08/22/2025 15:24:45</t>
  </si>
  <si>
    <t>Facturación_Files_/bc741214.FACTURA 1.182401.pdf</t>
  </si>
  <si>
    <t>Facturación_Files_/bc741214.FACTURA 2.182401.124453.pdf</t>
  </si>
  <si>
    <t>ApsolAPP/Invoice/Refri Integral_186.pdf</t>
  </si>
  <si>
    <t>Hola Martin! 👋 
Te envío la factura correspondiente por la prestación de servicios durante el período 01/07/25 al 01/08/25. 
📋 *Detalles de la factura:* 
• Número: FC 44 - NC 02 
• Fecha de Emisión: 22/08/25 
• Fecha de Vencimiento: 29/08/25 
• Monto Total: $ 305000.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</si>
  <si>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https://api.textmebot.com/send.php?recipient=5491171282725&amp;apikey=xoF6EUkK31se&amp;document=https%3A%2F%2Fdrive.google.com%2Ffile%2Fd%2F1VjL4j6s4NK1GJgOfSw0BF7ksxUdh_8Wu</t>
  </si>
  <si>
    <t>https://api.textmebot.com/send.php?recipient=5491171282725&amp;apikey=xoF6EUkK31se&amp;document=https%3A%2F%2Fdrive.google.com%2Ffile%2Fd%2F1XTAlXgVsR1XlpP7V5XPfcdVnEJunKj2B</t>
  </si>
  <si>
    <t>https://api.textmebot.com/send.php?recipient=5491171282725&amp;apikey=xoF6EUkK31se&amp;document=https%3A%2F%2Fdrive.google.com%2Ffile%2Fd%2F1arfTz7JLcJE_8v4IFdv34DZc3L_akot6</t>
  </si>
  <si>
    <t>https://api.textmebot.com/send.php?recipient=5491171282725&amp;apikey=xoF6EUkK31se&amp;text=Hola%20Martin!%20%F0%9F%91%8B%20%0ATe%20env%C3%ADo%20la%20factura%20correspondiente%20por%20la%20prestaci%C3%B3n%20de%20servicios%20durante%20el%20per%C3%ADodo%2001%2F07%2F25%20al%2001%2F08%2F25.%20%0A%0A%F0%9F%93%8B%20*Detalles%20de%20la%20factura%3A*%20%0A%E2%80%A2%20N%C3%BAmero%3A%20FC%2044%20-%20NC%2002%20%0A%E2%80%A2%20Fecha%20de%20Emisi%C3%B3n%3A%2022%2F08%2F25%20%0A%E2%80%A2%20Fecha%20de%20Vencimiento%3A%2029%2F08%2F25%20%0A%E2%80%A2%20Monto%20Total%3A%20%24%20305000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</si>
  <si>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08/25/2025 12:17:49</t>
  </si>
  <si>
    <t>Facturación_Files_/0279a30f.FACTURA 1.151658.pdf</t>
  </si>
  <si>
    <t>ApsolAPP/Invoice/Natión_187.pdf</t>
  </si>
  <si>
    <t>Hola Juan! 👋 
Te envío la factura correspondiente por la prestación de servicios durante el período 23/07/25 al 23/08/25. 
📋 *Detalles de la factura:* 
• Número: 194 
• Fecha de Emisión: 25/08/25 
• Fecha de Vencimiento: 04/09/25 
• Monto Total: $ 315000.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</si>
  <si>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https://api.textmebot.com/send.php?recipient=5493424770891&amp;apikey=xoF6EUkK31se&amp;document=https%3A%2F%2Fdrive.google.com%2Ffile%2Fd%2F1fwgPl0TgLApyUXAMjp0TCkqJF2r_2KYI</t>
  </si>
  <si>
    <t>https://api.textmebot.com/send.php?recipient=5493424770891&amp;apikey=xoF6EUkK31se&amp;document=https%3A%2F%2Fdrive.google.com%2Ffile%2Fd%2F1MpC4e92KGrW-mm4LxlXwMfT3hLcUikmh</t>
  </si>
  <si>
    <t>https://api.textmebot.com/send.php?recipient=5493424770891&amp;apikey=xoF6EUkK31se&amp;text=Hola%20Juan!%20%F0%9F%91%8B%20%0ATe%20env%C3%ADo%20la%20factura%20correspondiente%20por%20la%20prestaci%C3%B3n%20de%20servicios%20durante%20el%20per%C3%ADodo%2023%2F07%2F25%20al%2023%2F08%2F25.%20%0A%0A%F0%9F%93%8B%20*Detalles%20de%20la%20factura%3A*%20%0A%E2%80%A2%20N%C3%BAmero%3A%20194%20%0A%E2%80%A2%20Fecha%20de%20Emisi%C3%B3n%3A%2025%2F08%2F25%20%0A%E2%80%A2%20Fecha%20de%20Vencimiento%3A%2004%2F09%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</si>
  <si>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08/26/2025 09:00:06</t>
  </si>
  <si>
    <t>Hola Andrea! 👋 
 Espero que todo esté yendo bien. Quisiera recordarte que aún no hemos recibido el pago correspondiente a la factura N°  emitida el 18/08/25. 
📋 *Detalles de la factura:* 
• Número:  
• Vencimiento: 22/08/25 
• Monto total: $423. 
💼 *Cuenta a depositar:*- Titular: Adrian Patriarca
- Banco: Citibank
- Moneda: USD
- Dirección del Banco: 111 Wall Street New York, NY 10043 USA
- Número de enrutamiento de ABA: 031100209
- Código SWIFT: CITIUS33
- Número de cuenta: 70580840001795095
Adjunto encontrarás la factura para tu referencia. 
Si ya has realizado el pago, por favor, ignora este mensaje. 
Gracias por tu pronta atención a este asunto. 
APSOL - Consultoría Empresarial</t>
  </si>
  <si>
    <t>https://api.textmebot.com/send.php?recipient=5491164872810&amp;apikey=xoF6EUkK31se&amp;text=Hola%20Andrea!%20%F0%9F%91%8B%20%0A%20Espero%20que%20todo%20est%C3%A9%20yendo%20bien.%20Quisiera%20recordarte%20que%20a%C3%BAn%20no%20hemos%20recibido%20el%20pago%20correspondiente%20a%20la%20factura%20N%C2%B0%20%20emitida%20el%2018%2F08%2F25.%20%0A%0A%F0%9F%93%8B%20*Detalles%20de%20la%20factura%3A*%20%0A%E2%80%A2%20N%C3%BAmero%3A%20%20%0A%E2%80%A2%20Vencimiento%3A%2022%2F08%2F25%20%0A%E2%80%A2%20Monto%20total%3A%20%24423.%20%0A%0A%F0%9F%92%BC%20*Cuenta%20a%20depositar%3A*-%20Titular%3A%20Adrian%20Patriarca%0A-%20Banco%3A%20Citibank%0A-%20Moneda%3A%20USD%0A-%20Direcci%C3%B3n%20del%20Banco%3A%20111%20Wall%20Street%20New%20York%2C%20NY%2010043%20USA%0A-%20N%C3%BAmero%20de%20enrutamiento%20de%20ABA%3A%20031100209%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</si>
  <si>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09/01/2025 10:36:04</t>
  </si>
  <si>
    <t>ApsolAPP/Invoice/Vertiente del Sur_188.pdf</t>
  </si>
  <si>
    <t>Hola Gastón! 👋 
Te envío la factura correspondiente por la prestación de servicios durante el período 22/07/25 al 22/08/25. 
📋 *Detalles de la factura:* 
• Número:  
• Fecha de Emisión: 01/09/25 
• Fecha de Vencimiento: 09/09/25 
• Monto Total: $ 593000.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</si>
  <si>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https://api.textmebot.com/send.php?recipient=5493492527138&amp;apikey=xoF6EUkK31se&amp;document=https%3A%2F%2Fdrive.google.com%2Ffile%2Fd%2F1KcFm2KSj6OX9ntuGlovdh45dE52tOHJP</t>
  </si>
  <si>
    <t>https://api.textmebot.com/send.php?recipient=5493492527138&amp;apikey=xoF6EUkK31se&amp;text=Hola%20Gast%C3%B3n!%20%F0%9F%91%8B%20%0ATe%20env%C3%ADo%20la%20factura%20correspondiente%20por%20la%20prestaci%C3%B3n%20de%20servicios%20durante%20el%20per%C3%ADodo%2022%2F07%2F25%20al%2022%2F08%2F25.%20%0A%0A%F0%9F%93%8B%20*Detalles%20de%20la%20factura%3A*%20%0A%E2%80%A2%20N%C3%BAmero%3A%20%20%0A%E2%80%A2%20Fecha%20de%20Emisi%C3%B3n%3A%2001%2F09%2F25%20%0A%E2%80%A2%20Fecha%20de%20Vencimiento%3A%2009%2F09%2F25%20%0A%E2%80%A2%20Monto%20Total%3A%20%24%20593000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</si>
  <si>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09/03/2025 09:00:08</t>
  </si>
  <si>
    <t>09/03/2025 14:28:10</t>
  </si>
  <si>
    <t>Facturación_Files_/c1a2b322.FACTURA 1.172747.pdf</t>
  </si>
  <si>
    <t>ApsolAPP/Invoice/Insuga_189.pdf</t>
  </si>
  <si>
    <t>Hola Gonzalo! 👋 
Te envío la factura correspondiente por la prestación de servicios durante el período 28/07/25 al 28/08/25. 
📋 *Detalles de la factura:* 
• Número: 195 
• Fecha de Emisión: 03/09/25 
• Fecha de Vencimiento: 12/09/25 
• Monto Total: $ 691000.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</si>
  <si>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https://api.textmebot.com/send.php?recipient=5493425295451&amp;apikey=xoF6EUkK31se&amp;document=https%3A%2F%2Fdrive.google.com%2Ffile%2Fd%2F1qRVGqPqrHm5QoExb2zQgeb6Z-v8pIPM9</t>
  </si>
  <si>
    <t>https://api.textmebot.com/send.php?recipient=5493425295451&amp;apikey=xoF6EUkK31se&amp;document=https%3A%2F%2Fdrive.google.com%2Ffile%2Fd%2F1oJZg-qwsWXOt2DsEfBrKnXCDAEgXV8ZN</t>
  </si>
  <si>
    <t>https://api.textmebot.com/send.php?recipient=5493425295451&amp;apikey=xoF6EUkK31se&amp;text=Hola%20Gonzalo!%20%F0%9F%91%8B%20%0ATe%20env%C3%ADo%20la%20factura%20correspondiente%20por%20la%20prestaci%C3%B3n%20de%20servicios%20durante%20el%20per%C3%ADodo%2028%2F07%2F25%20al%2028%2F08%2F25.%20%0A%0A%F0%9F%93%8B%20*Detalles%20de%20la%20factura%3A*%20%0A%E2%80%A2%20N%C3%BAmero%3A%20195%20%0A%E2%80%A2%20Fecha%20de%20Emisi%C3%B3n%3A%2003%2F09%2F25%20%0A%E2%80%A2%20Fecha%20de%20Vencimiento%3A%2012%2F09%2F25%20%0A%E2%80%A2%20Monto%20Total%3A%20%24%20691000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</si>
  <si>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09/03/2025 14:29:09</t>
  </si>
  <si>
    <t>ApsolAPP/Invoice/A todo Color_190.pdf</t>
  </si>
  <si>
    <t>Hola Luciano! 👋 
Te envío la factura correspondiente por la prestación de servicios durante el período 01/08/25 al 01/09/25. 
📋 *Detalles de la factura:* 
• Número:  
• Fecha de Emisión: 03/09/25 
• Fecha de Vencimiento: 10/09/25 
• Monto Total: $ 0.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</si>
  <si>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https://api.textmebot.com/send.php?recipient=5493425468752&amp;apikey=xoF6EUkK31se&amp;document=https%3A%2F%2Fdrive.google.com%2Ffile%2Fd%2F1M01DZMkXKuI_sHnZAOrhPql1RA1PpqmG</t>
  </si>
  <si>
    <t>https://api.textmebot.com/send.php?recipient=5493425468752&amp;apikey=xoF6EUkK31se&amp;text=Hola%20Luciano!%20%F0%9F%91%8B%20%0ATe%20env%C3%ADo%20la%20factura%20correspondiente%20por%20la%20prestaci%C3%B3n%20de%20servicios%20durante%20el%20per%C3%ADodo%2001%2F08%2F25%20al%2001%2F09%2F25.%20%0A%0A%F0%9F%93%8B%20*Detalles%20de%20la%20factura%3A*%20%0A%E2%80%A2%20N%C3%BAmero%3A%20%20%0A%E2%80%A2%20Fecha%20de%20Emisi%C3%B3n%3A%2003%2F09%2F25%20%0A%E2%80%A2%20Fecha%20de%20Vencimiento%3A%2010%2F09%2F25%20%0A%E2%80%A2%20Monto%20Total%3A%20%24%200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</si>
  <si>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09/03/2025 18:20:10</t>
  </si>
  <si>
    <t>Facturación_Files_/03f63b75.FACTURA 1.211951.pdf</t>
  </si>
  <si>
    <t>ApsolAPP/Invoice/Natión_191.pdf</t>
  </si>
  <si>
    <t>Hola Marketing! 👋 
Te envío la factura correspondiente por la prestación de servicios durante el período 17/07/25 al 17/08/25. 
📋 *Detalles de la factura:* 
• Número: 196 
• Fecha de Emisión: 03/09/25 
• Fecha de Vencimiento: 15/09/25 
• Monto Total: $ 148000.
💼 *Cuenta para el depósito:*Te agradecería si me confirmás la recepción y me avisás una fecha estimada de pago. 😊 
Desde ya, muchas gracias!</t>
  </si>
  <si>
    <t>https://api.textmebot.com/send.php?recipient=5493425380483&amp;apikey=xoF6EUkK31se&amp;document=https%3A%2F%2Fdrive.google.com%2Ffile%2Fd%2F1heR5mEeqBYfof-i-dWXN0Us0z7ESX5iA</t>
  </si>
  <si>
    <t>https://api.textmebot.com/send.php?recipient=5493425380483&amp;apikey=xoF6EUkK31se&amp;document=https%3A%2F%2Fdrive.google.com%2Ffile%2Fd%2F16BA9vzMqo_h57TYjFdLAql15Q9UogBVE</t>
  </si>
  <si>
    <t>https://api.textmebot.com/send.php?recipient=5493425380483&amp;apikey=xoF6EUkK31se&amp;text=Hola%20Marketing!%20%F0%9F%91%8B%20%0ATe%20env%C3%ADo%20la%20factura%20correspondiente%20por%20la%20prestaci%C3%B3n%20de%20servicios%20durante%20el%20per%C3%ADodo%2017%2F07%2F25%20al%2017%2F08%2F25.%20%0A%0A%F0%9F%93%8B%20*Detalles%20de%20la%20factura%3A*%20%0A%E2%80%A2%20N%C3%BAmero%3A%20196%20%0A%E2%80%A2%20Fecha%20de%20Emisi%C3%B3n%3A%2003%2F09%2F25%20%0A%E2%80%A2%20Fecha%20de%20Vencimiento%3A%2015%2F09%2F25%20%0A%E2%80%A2%20Monto%20Total%3A%20%24%20148000.%0A%20%20%0A%0A%F0%9F%92%BC%20*Cuenta%20para%20el%20dep%C3%B3sito%3A*Te%20agradecer%C3%ADa%20si%20me%20confirm%C3%A1s%20la%20recepci%C3%B3n%20y%20me%20avis%C3%A1s%20una%20fecha%20estimada%20de%20pago.%20%F0%9F%98%8A%20%0A%0ADesde%20ya%2C%20muchas%20gracias!</t>
  </si>
  <si>
    <t>09/03/2025 18:30:57</t>
  </si>
  <si>
    <t>Facturación_Files_/a3980fa7.FACTURA 1.213036.pdf</t>
  </si>
  <si>
    <t>ApsolAPP/Invoice/Refri Integral_192.pdf</t>
  </si>
  <si>
    <t>Hola Martin! 👋 
Te envío la factura correspondiente por la prestación de servicios durante el período 01/08/25 al 01/09/25. 
📋 *Detalles de la factura:* 
• Número: 48 
• Fecha de Emisión: 03/09/25 
• Fecha de Vencimiento: 10/09/25 
• Monto Total: $ 290000.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</si>
  <si>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https://api.textmebot.com/send.php?recipient=5491171282725&amp;apikey=xoF6EUkK31se&amp;document=https%3A%2F%2Fdrive.google.com%2Ffile%2Fd%2F1stQ1DzY9zyE5j96xxQZaR8su6_SN2BWO</t>
  </si>
  <si>
    <t>https://api.textmebot.com/send.php?recipient=5491171282725&amp;apikey=xoF6EUkK31se&amp;document=https%3A%2F%2Fdrive.google.com%2Ffile%2Fd%2F1cbHCIeJWOCH2BEtqykBVY5lNXpHq9qSW</t>
  </si>
  <si>
    <t>https://api.textmebot.com/send.php?recipient=5491171282725&amp;apikey=xoF6EUkK31se&amp;text=Hola%20Martin!%20%F0%9F%91%8B%20%0ATe%20env%C3%ADo%20la%20factura%20correspondiente%20por%20la%20prestaci%C3%B3n%20de%20servicios%20durante%20el%20per%C3%ADodo%2001%2F08%2F25%20al%2001%2F09%2F25.%20%0A%0A%F0%9F%93%8B%20*Detalles%20de%20la%20factura%3A*%20%0A%E2%80%A2%20N%C3%BAmero%3A%2048%20%0A%E2%80%A2%20Fecha%20de%20Emisi%C3%B3n%3A%2003%2F09%2F25%20%0A%E2%80%A2%20Fecha%20de%20Vencimiento%3A%2010%2F09%2F25%20%0A%E2%80%A2%20Monto%20Total%3A%20%24%20290000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</si>
  <si>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09/09/2025 17:48:20</t>
  </si>
  <si>
    <t>Facturación_Files_/b4a088bc.FACTURA 1.204800.pdf</t>
  </si>
  <si>
    <t>ApsolAPP/Invoice/Escobar_193.pdf</t>
  </si>
  <si>
    <t>Hola Pablo! 👋 
Te envío la factura correspondiente por la prestación de servicios durante el período 08/08/25 al 08/09/25. 
📋 *Detalles de la factura:* 
• Número: 197 
• Fecha de Emisión: 09/09/25 
• Fecha de Vencimiento: 17/09/25 
• Monto Total: $ 1274000.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</si>
  <si>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https://api.textmebot.com/send.php?recipient=5493424791582&amp;apikey=xoF6EUkK31se&amp;document=https%3A%2F%2Fdrive.google.com%2Ffile%2Fd%2F1xcksCBZ00NDU3vgqUGb1GeNN5slFFqEl</t>
  </si>
  <si>
    <t>https://api.textmebot.com/send.php?recipient=5493424791582&amp;apikey=xoF6EUkK31se&amp;document=https%3A%2F%2Fdrive.google.com%2Ffile%2Fd%2F11-UT0TbOmWGrLAZ3PmyL6kIpHLFrxaDC</t>
  </si>
  <si>
    <t>https://api.textmebot.com/send.php?recipient=5493424791582&amp;apikey=xoF6EUkK31se&amp;text=Hola%20Pablo!%20%F0%9F%91%8B%20%0ATe%20env%C3%ADo%20la%20factura%20correspondiente%20por%20la%20prestaci%C3%B3n%20de%20servicios%20durante%20el%20per%C3%ADodo%2008%2F08%2F25%20al%2008%2F09%2F25.%20%0A%0A%F0%9F%93%8B%20*Detalles%20de%20la%20factura%3A*%20%0A%E2%80%A2%20N%C3%BAmero%3A%20197%20%0A%E2%80%A2%20Fecha%20de%20Emisi%C3%B3n%3A%2009%2F09%2F25%20%0A%E2%80%A2%20Fecha%20de%20Vencimiento%3A%2017%2F09%2F25%20%0A%E2%80%A2%20Monto%20Total%3A%20%24%201274000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</si>
  <si>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09/11/2025 09:00:14</t>
  </si>
  <si>
    <t>09/11/2025 09:23:06</t>
  </si>
  <si>
    <t>ApsolAPP/Invoice/Amipack_194.pdf</t>
  </si>
  <si>
    <t>Hola Estefania! 👋 
Te envío la factura correspondiente por la prestación de servicios durante el período 11/08/25 al 11/09/25. 
📋 *Detalles de la factura:* 
• Número:  
• Fecha de Emisión: 11/09/25 
• Fecha de Vencimiento: 23/09/25 
• Monto Total: $ 851000.
💼 *Cuenta para el depósito:*- CUIT: 2033122879
- Titular: Adrian Patriarca
- Alias: Efectivo
- Banco: Efectivo
Te agradecería si me confirmás la recepción y me avisás una fecha estimada de pago. 😊 
Desde ya, muchas gracias!</t>
  </si>
  <si>
    <t>https://api.textmebot.com/send.php?recipient=5493493661975&amp;apikey=xoF6EUkK31se&amp;document=https%3A%2F%2Fdrive.google.com%2Ffile%2Fd%2F1fOsMfIVeBQ3AA8mk6dOkHz3VXQrzmPeA</t>
  </si>
  <si>
    <t>https://api.textmebot.com/send.php?recipient=5493493661975&amp;apikey=xoF6EUkK31se&amp;text=Hola%20Estefania!%20%F0%9F%91%8B%20%0ATe%20env%C3%ADo%20la%20factura%20correspondiente%20por%20la%20prestaci%C3%B3n%20de%20servicios%20durante%20el%20per%C3%ADodo%2011%2F08%2F25%20al%2011%2F09%2F25.%20%0A%0A%F0%9F%93%8B%20*Detalles%20de%20la%20factura%3A*%20%0A%E2%80%A2%20N%C3%BAmero%3A%20%20%0A%E2%80%A2%20Fecha%20de%20Emisi%C3%B3n%3A%2011%2F09%2F25%20%0A%E2%80%A2%20Fecha%20de%20Vencimiento%3A%2023%2F09%2F25%20%0A%E2%80%A2%20Monto%20Total%3A%20%24%20851000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t>
  </si>
  <si>
    <t>09/11/2025 09:25:13</t>
  </si>
  <si>
    <t>Facturación_Files_/88d573da.FACTURA 1.122457.pdf</t>
  </si>
  <si>
    <t>ApsolAPP/Invoice/Laboratorío Roca_195.pdf</t>
  </si>
  <si>
    <t>Hola Nelson! 👋 
Te envío la factura correspondiente por la prestación de servicios durante el período 11/08/25 al 11/09/25. 
📋 *Detalles de la factura:* 
• Número: 49 
• Fecha de Emisión: 11/09/25 
• Fecha de Vencimiento: 17/09/25 
• Monto Total: $ 500000.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</si>
  <si>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https://api.textmebot.com/send.php?recipient=5491141908925&amp;apikey=xoF6EUkK31se&amp;document=https%3A%2F%2Fdrive.google.com%2Ffile%2Fd%2F1Czs8e3RKans1rizgmacSLjTQbyvr6DpT</t>
  </si>
  <si>
    <t>https://api.textmebot.com/send.php?recipient=5491141908925&amp;apikey=xoF6EUkK31se&amp;document=https%3A%2F%2Fdrive.google.com%2Ffile%2Fd%2F1gJdrzoeV1CubtqGXiOrWY0As4Ql3W8gj</t>
  </si>
  <si>
    <t>https://api.textmebot.com/send.php?recipient=5491141908925&amp;apikey=xoF6EUkK31se&amp;text=Hola%20Nelson!%20%F0%9F%91%8B%20%0ATe%20env%C3%ADo%20la%20factura%20correspondiente%20por%20la%20prestaci%C3%B3n%20de%20servicios%20durante%20el%20per%C3%ADodo%2011%2F08%2F25%20al%2011%2F09%2F25.%20%0A%0A%F0%9F%93%8B%20*Detalles%20de%20la%20factura%3A*%20%0A%E2%80%A2%20N%C3%BAmero%3A%2049%20%0A%E2%80%A2%20Fecha%20de%20Emisi%C3%B3n%3A%2011%2F09%2F25%20%0A%E2%80%A2%20Fecha%20de%20Vencimiento%3A%2017%2F09%2F25%20%0A%E2%80%A2%20Monto%20Total%3A%20%24%20500000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</si>
  <si>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09/11/2025 09:28:44</t>
  </si>
  <si>
    <t>Facturación_Files_/e2d435a8.FACTURA 1.122828.pdf</t>
  </si>
  <si>
    <t>ApsolAPP/Invoice/Dg Distribuciones_196.pdf</t>
  </si>
  <si>
    <t>Hola Ignacio! 👋 
Te envío la factura correspondiente por la prestación de servicios durante el período 04/08/25 al 04/09/25. 
📋 *Detalles de la factura:* 
• Número: 50 
• Fecha de Emisión: 11/09/25 
• Fecha de Vencimiento: 18/09/25 
• Monto Total: $ 1437000.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</si>
  <si>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https://api.textmebot.com/send.php?recipient=5493425225459&amp;apikey=xoF6EUkK31se&amp;document=https%3A%2F%2Fdrive.google.com%2Ffile%2Fd%2F1OLfjIcmzpgVPzsuEQh7VTTSSvR7nupv3</t>
  </si>
  <si>
    <t>https://api.textmebot.com/send.php?recipient=5493425225459&amp;apikey=xoF6EUkK31se&amp;document=https%3A%2F%2Fdrive.google.com%2Ffile%2Fd%2F14nlhBD0A5S2ebSXHEyTXcRI6jNi7ML_O</t>
  </si>
  <si>
    <t>https://api.textmebot.com/send.php?recipient=5493425225459&amp;apikey=xoF6EUkK31se&amp;text=Hola%20Ignacio!%20%F0%9F%91%8B%20%0ATe%20env%C3%ADo%20la%20factura%20correspondiente%20por%20la%20prestaci%C3%B3n%20de%20servicios%20durante%20el%20per%C3%ADodo%2004%2F08%2F25%20al%2004%2F09%2F25.%20%0A%0A%F0%9F%93%8B%20*Detalles%20de%20la%20factura%3A*%20%0A%E2%80%A2%20N%C3%BAmero%3A%2050%20%0A%E2%80%A2%20Fecha%20de%20Emisi%C3%B3n%3A%2011%2F09%2F25%20%0A%E2%80%A2%20Fecha%20de%20Vencimiento%3A%2018%2F09%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</si>
  <si>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09/11/2025 09:31:22</t>
  </si>
  <si>
    <t>Facturación_Files_/7c5cd750.FACTURA 1.123059.pdf</t>
  </si>
  <si>
    <t>ApsolAPP/Invoice/El Norte_197.pdf</t>
  </si>
  <si>
    <t>Hola Martin! 👋 
Te envío la factura correspondiente por la prestación de servicios durante el período 06/08/25 al 06/09/25. 
📋 *Detalles de la factura:* 
• Número: 51 
• Fecha de Emisión: 11/09/25 
• Fecha de Vencimiento: 22/09/25 
• Monto Total: $ 642000.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</si>
  <si>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https://api.textmebot.com/send.php?recipient=5493425389073&amp;apikey=xoF6EUkK31se&amp;document=https%3A%2F%2Fdrive.google.com%2Ffile%2Fd%2F1NAUdx_QjyanQSbf2EvgyWj9QrnaAb3Y3</t>
  </si>
  <si>
    <t>https://api.textmebot.com/send.php?recipient=5493425389073&amp;apikey=xoF6EUkK31se&amp;document=https%3A%2F%2Fdrive.google.com%2Ffile%2Fd%2F1YQDvDvwfEbBHxm1wj4PL0LXj_-3BccbQ</t>
  </si>
  <si>
    <t>https://api.textmebot.com/send.php?recipient=5493425389073&amp;apikey=xoF6EUkK31se&amp;text=Hola%20Martin!%20%F0%9F%91%8B%20%0ATe%20env%C3%ADo%20la%20factura%20correspondiente%20por%20la%20prestaci%C3%B3n%20de%20servicios%20durante%20el%20per%C3%ADodo%2006%2F08%2F25%20al%2006%2F09%2F25.%20%0A%0A%F0%9F%93%8B%20*Detalles%20de%20la%20factura%3A*%20%0A%E2%80%A2%20N%C3%BAmero%3A%2051%20%0A%E2%80%A2%20Fecha%20de%20Emisi%C3%B3n%3A%2011%2F09%2F25%20%0A%E2%80%A2%20Fecha%20de%20Vencimiento%3A%2022%2F09%2F25%20%0A%E2%80%A2%20Monto%20Total%3A%20%24%20642000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</si>
  <si>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09/11/2025 09:33:40</t>
  </si>
  <si>
    <t>Facturación_Files_/b397da97.FACTURA 1.123326.pdf</t>
  </si>
  <si>
    <t>ApsolAPP/Invoice/Metalurgica HQ_198.pdf</t>
  </si>
  <si>
    <t>Hola Alan! 👋 
Te envío la factura correspondiente por la prestación de servicios durante el período 07/08/25 al 07/09/25. 
📋 *Detalles de la factura:* 
• Número:  
• Fecha de Emisión: 11/09/25 
• Fecha de Vencimiento: 18/09/25 
• Monto Total: $ 440000.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</si>
  <si>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https://api.textmebot.com/send.php?recipient=5493521639222&amp;apikey=xoF6EUkK31se&amp;document=https%3A%2F%2Fdrive.google.com%2Ffile%2Fd%2F1k2z9alo7v-ZUss9EUnUA7qXV_lcp5whD</t>
  </si>
  <si>
    <t>https://api.textmebot.com/send.php?recipient=5493521639222&amp;apikey=xoF6EUkK31se&amp;document=https%3A%2F%2Fdrive.google.com%2Ffile%2Fd%2F1iZQwzjEJY3Ju8NuJ463UTtqHo-awnqNg</t>
  </si>
  <si>
    <t>https://api.textmebot.com/send.php?recipient=5493521639222&amp;apikey=xoF6EUkK31se&amp;text=Hola%20Alan!%20%F0%9F%91%8B%20%0ATe%20env%C3%ADo%20la%20factura%20correspondiente%20por%20la%20prestaci%C3%B3n%20de%20servicios%20durante%20el%20per%C3%ADodo%2007%2F08%2F25%20al%2007%2F09%2F25.%20%0A%0A%F0%9F%93%8B%20*Detalles%20de%20la%20factura%3A*%20%0A%E2%80%A2%20N%C3%BAmero%3A%20%20%0A%E2%80%A2%20Fecha%20de%20Emisi%C3%B3n%3A%2011%2F09%2F25%20%0A%E2%80%A2%20Fecha%20de%20Vencimiento%3A%2018%2F09%2F25%20%0A%E2%80%A2%20Monto%20Total%3A%20%24%20440000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</si>
  <si>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09/11/2025 09:43:56</t>
  </si>
  <si>
    <t>ApsolAPP/Invoice/Apsol_199.pdf</t>
  </si>
  <si>
    <t>Hola Adrian! 👋 
Te envío la factura correspondiente por la prestación de servicios durante el período 03/08/25 al 03/09/25. 
📋 *Detalles de la factura:* 
• Número:  
• Fecha de Emisión: 11/09/25 
• Fecha de Vencimiento: 18/09/25 
• Monto Total: $ 277800.
💼 *Cuenta para el depósito:*Te agradecería si me confirmás la recepción y me avisás una fecha estimada de pago. 😊 
Desde ya, muchas gracias!</t>
  </si>
  <si>
    <t>09/11/2025 09:57:00</t>
  </si>
  <si>
    <t>3424476596</t>
  </si>
  <si>
    <t>Hola Adrian! 👋 
Te envío la factura correspondiente por la prestación de servicios durante el período 03/08/25 al 03/09/25. 
📋 *Detalles de la factura:* 
• Número:  
• Fecha de Emisión: 11/09/25 
• Fecha de Vencimiento: 18/09/25 
• Monto Total: $ 277800.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</si>
  <si>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https://api.textmebot.com/send.php?recipient=5493424476596&amp;apikey=xoF6EUkK31se&amp;document=https%3A%2F%2Fdrive.google.com%2Ffile%2Fd%2F1BRIwp-hHATJUFOL3ck02T5RLUF8SH2Vq</t>
  </si>
  <si>
    <t>https://api.textmebot.com/send.php?recipient=5493424476596&amp;apikey=xoF6EUkK31se&amp;text=Hola%20Adrian!%20%F0%9F%91%8B%20%0ATe%20env%C3%ADo%20la%20factura%20correspondiente%20por%20la%20prestaci%C3%B3n%20de%20servicios%20durante%20el%20per%C3%ADodo%2003%2F08%2F25%20al%2003%2F09%2F25.%20%0A%0A%F0%9F%93%8B%20*Detalles%20de%20la%20factura%3A*%20%0A%E2%80%A2%20N%C3%BAmero%3A%20%20%0A%E2%80%A2%20Fecha%20de%20Emisi%C3%B3n%3A%2011%2F09%2F25%20%0A%E2%80%A2%20Fecha%20de%20Vencimiento%3A%2018%2F09%2F25%20%0A%E2%80%A2%20Monto%20Total%3A%20%24%20277800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</si>
  <si>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09/12/2025 09:00:10</t>
  </si>
  <si>
    <t>Hola Martin! 👋 
 Espero que todo esté yendo bien. Quisiera recordarte que aún no hemos recibido el pago correspondiente a la factura N° 48 emitida el 03/09/25. 
📋 *Detalles de la factura:* 
• Número: 48 
• Vencimiento: 10/09/25 
• Monto total: $290000.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</si>
  <si>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5491171282725&amp;apikey=xoF6EUkK31se&amp;text=Hola%20Martin!%20%F0%9F%91%8B%20%0A%20Espero%20que%20todo%20est%C3%A9%20yendo%20bien.%20Quisiera%20recordarte%20que%20a%C3%BAn%20no%20hemos%20recibido%20el%20pago%20correspondiente%20a%20la%20factura%20N%C2%B0%2048%20emitida%20el%2003%2F09%2F25.%20%0A%0A%F0%9F%93%8B%20*Detalles%20de%20la%20factura%3A*%20%0A%E2%80%A2%20N%C3%BAmero%3A%2048%20%0A%E2%80%A2%20Vencimiento%3A%2010%2F09%2F25%20%0A%E2%80%A2%20Monto%20total%3A%20%24290000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</si>
  <si>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09/15/2025 11:13:45</t>
  </si>
  <si>
    <t>2665036264</t>
  </si>
  <si>
    <t>ApsolAPP/Invoice/Beamar Alimentos_200.pdf</t>
  </si>
  <si>
    <t>Hola Santiago! 👋 
Te envío la factura correspondiente por la prestación de servicios durante el período 01/09/25 al 03/09/25. 
📋 *Detalles de la factura:* 
• Número:  
• Fecha de Emisión: 15/09/25 
• Fecha de Vencimiento: 19/09/25 
• Monto Total: $ 370500.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</si>
  <si>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https://api.textmebot.com/send.php?recipient=5492665036264&amp;apikey=xoF6EUkK31se&amp;document=https%3A%2F%2Fdrive.google.com%2Ffile%2Fd%2F1pwZ-APkcolrlHslgKIVDGeSYYn9qmxLs</t>
  </si>
  <si>
    <t>https://api.textmebot.com/send.php?recipient=5492665036264&amp;apikey=xoF6EUkK31se&amp;text=Hola%20Santiago!%20%F0%9F%91%8B%20%0ATe%20env%C3%ADo%20la%20factura%20correspondiente%20por%20la%20prestaci%C3%B3n%20de%20servicios%20durante%20el%20per%C3%ADodo%2001%2F09%2F25%20al%2003%2F09%2F25.%20%0A%0A%F0%9F%93%8B%20*Detalles%20de%20la%20factura%3A*%20%0A%E2%80%A2%20N%C3%BAmero%3A%20%20%0A%E2%80%A2%20Fecha%20de%20Emisi%C3%B3n%3A%2015%2F09%2F25%20%0A%E2%80%A2%20Fecha%20de%20Vencimiento%3A%2019%2F09%2F25%20%0A%E2%80%A2%20Monto%20Total%3A%20%24%20370500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</si>
  <si>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09/16/2025 09:00:08</t>
  </si>
  <si>
    <t>Hola Gonzalo! 👋 
 Espero que todo esté yendo bien. Quisiera recordarte que aún no hemos recibido el pago correspondiente a la factura N° 195 emitida el 03/09/25. 
📋 *Detalles de la factura:* 
• Número: 195 
• Vencimiento: 12/09/25 
• Monto total: $691000.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</si>
  <si>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5493425295451&amp;apikey=xoF6EUkK31se&amp;text=Hola%20Gonzalo!%20%F0%9F%91%8B%20%0A%20Espero%20que%20todo%20est%C3%A9%20yendo%20bien.%20Quisiera%20recordarte%20que%20a%C3%BAn%20no%20hemos%20recibido%20el%20pago%20correspondiente%20a%20la%20factura%20N%C2%B0%20195%20emitida%20el%2003%2F09%2F25.%20%0A%0A%F0%9F%93%8B%20*Detalles%20de%20la%20factura%3A*%20%0A%E2%80%A2%20N%C3%BAmero%3A%20195%20%0A%E2%80%A2%20Vencimiento%3A%2012%2F09%2F25%20%0A%E2%80%A2%20Monto%20total%3A%20%24691000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</si>
  <si>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09/17/2025 09:00:11</t>
  </si>
  <si>
    <t>Hola Marketing! 👋 
 Espero que todo esté yendo bien. Quisiera recordarte que aún no hemos recibido el pago correspondiente a la factura N° 196 emitida el 03/09/25. 
📋 *Detalles de la factura:* 
• Número: 196 
• Vencimiento: 15/09/25 
• Monto total: $148000.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</si>
  <si>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5493425380483&amp;apikey=xoF6EUkK31se&amp;text=Hola%20Marketing!%20%F0%9F%91%8B%20%0A%20Espero%20que%20todo%20est%C3%A9%20yendo%20bien.%20Quisiera%20recordarte%20que%20a%C3%BAn%20no%20hemos%20recibido%20el%20pago%20correspondiente%20a%20la%20factura%20N%C2%B0%20196%20emitida%20el%2003%2F09%2F25.%20%0A%0A%F0%9F%93%8B%20*Detalles%20de%20la%20factura%3A*%20%0A%E2%80%A2%20N%C3%BAmero%3A%20196%20%0A%E2%80%A2%20Vencimiento%3A%2015%2F09%2F25%20%0A%E2%80%A2%20Monto%20total%3A%20%24148000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</si>
  <si>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09/18/2025 17:48:46</t>
  </si>
  <si>
    <t>ApsolAPP/Invoice/OnTheRoad viajes_201.pdf</t>
  </si>
  <si>
    <t>Hola Andrea! 👋 
Te envío la factura correspondiente por la prestación de servicios durante el período 14/08/25 al 14/09/25. 
📋 *Detalles de la factura:* 
• Número:  
• Fecha de Emisión: 18/09/25 
• Fecha de Vencimiento: 24/09/25 
• Monto Total: $ 423.
💼 *Cuenta para el depósito:*- Titular: Adrian Patriarca
- Banco: Citibank
- Moneda: USD
- Dirección del Banco: 111 Wall Street New York, NY 10043 USA
- Número de enrutamiento de ABA: 031100209
- Código SWIFT: CITIUS33
- Número de cuenta: 70580840001795095
Te agradecería si me confirmás la recepción y me avisás una fecha estimada de pago. 😊 
Desde ya, muchas gracias!</t>
  </si>
  <si>
    <t>https://api.textmebot.com/send.php?recipient=5491164872810&amp;apikey=xoF6EUkK31se&amp;document=https%3A%2F%2Fdrive.google.com%2Ffile%2Fd%2F117QeFfsS4iEwV53uQRPMlnVREE38Rro8</t>
  </si>
  <si>
    <t>https://api.textmebot.com/send.php?recipient=5491164872810&amp;apikey=xoF6EUkK31se&amp;text=Hola%20Andrea!%20%F0%9F%91%8B%20%0ATe%20env%C3%ADo%20la%20factura%20correspondiente%20por%20la%20prestaci%C3%B3n%20de%20servicios%20durante%20el%20per%C3%ADodo%2014%2F08%2F25%20al%2014%2F09%2F25.%20%0A%0A%F0%9F%93%8B%20*Detalles%20de%20la%20factura%3A*%20%0A%E2%80%A2%20N%C3%BAmero%3A%20%20%0A%E2%80%A2%20Fecha%20de%20Emisi%C3%B3n%3A%2018%2F09%2F25%20%0A%E2%80%A2%20Fecha%20de%20Vencimiento%3A%2024%2F09%2F25%20%0A%E2%80%A2%20Monto%20Total%3A%20%24%20423.%0A%20%20%0A%0A%F0%9F%92%BC%20*Cuenta%20para%20el%20dep%C3%B3sito%3A*-%20Titular%3A%20Adrian%20Patriarca%0A-%20Banco%3A%20Citibank%0A-%20Moneda%3A%20USD%0A-%20Direcci%C3%B3n%20del%20Banco%3A%20111%20Wall%20Street%20New%20York%2C%20NY%2010043%20USA%0A-%20N%C3%BAmero%20de%20enrutamiento%20de%20ABA%3A%20031100209%0A-%20C%C3%B3digo%20SWIFT%3A%20CITIUS33%0A-%20N%C3%BAmero%20de%20cuenta%3A%2070580840001795095%0ATe%20agradecer%C3%ADa%20si%20me%20confirm%C3%A1s%20la%20recepci%C3%B3n%20y%20me%20avis%C3%A1s%20una%20fecha%20estimada%20de%20pago.%20%F0%9F%98%8A%20%0A%0ADesde%20ya%2C%20muchas%20gracias!</t>
  </si>
  <si>
    <t>09/19/2025 09:00:08</t>
  </si>
  <si>
    <t>Hola Pablo! 👋 
 Espero que todo esté yendo bien. Quisiera recordarte que aún no hemos recibido el pago correspondiente a la factura N° 197 emitida el 09/09/25. 
📋 *Detalles de la factura:* 
• Número: 197 
• Vencimiento: 17/09/25 
• Monto total: $1274000.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</si>
  <si>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5493424791582&amp;apikey=xoF6EUkK31se&amp;text=Hola%20Pablo!%20%F0%9F%91%8B%20%0A%20Espero%20que%20todo%20est%C3%A9%20yendo%20bien.%20Quisiera%20recordarte%20que%20a%C3%BAn%20no%20hemos%20recibido%20el%20pago%20correspondiente%20a%20la%20factura%20N%C2%B0%20197%20emitida%20el%2009%2F09%2F25.%20%0A%0A%F0%9F%93%8B%20*Detalles%20de%20la%20factura%3A*%20%0A%E2%80%A2%20N%C3%BAmero%3A%20197%20%0A%E2%80%A2%20Vencimiento%3A%2017%2F09%2F25%20%0A%E2%80%A2%20Monto%20total%3A%20%241274000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</si>
  <si>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09/23/2025 09:00:03</t>
  </si>
  <si>
    <t>09/24/2025 10:46:20</t>
  </si>
  <si>
    <t>Facturación_Files_/c1a5badb.FACTURA 1.134556.pdf</t>
  </si>
  <si>
    <t>ApsolAPP/Invoice/Natión_202.pdf</t>
  </si>
  <si>
    <t>Hola Juan! 👋 
Te envío la factura correspondiente por la prestación de servicios durante el período 23/08/25 al 23/09/25. 
📋 *Detalles de la factura:* 
• Número: 198 
• Fecha de Emisión: 24/09/25 
• Fecha de Vencimiento: 06/10/25 
• Monto Total: $ 315000.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</si>
  <si>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https://api.textmebot.com/send.php?recipient=5493424770891&amp;apikey=xoF6EUkK31se&amp;document=https%3A%2F%2Fdrive.google.com%2Ffile%2Fd%2F1b0da06TJDGdaMd0PynMSfIIp7dpZXAB7</t>
  </si>
  <si>
    <t>https://api.textmebot.com/send.php?recipient=5493424770891&amp;apikey=xoF6EUkK31se&amp;document=https%3A%2F%2Fdrive.google.com%2Ffile%2Fd%2F1dY4OmPE_W68euC6UdAUka_4KqoFIMUxK</t>
  </si>
  <si>
    <t>https://api.textmebot.com/send.php?recipient=5493424770891&amp;apikey=xoF6EUkK31se&amp;text=Hola%20Juan!%20%F0%9F%91%8B%20%0ATe%20env%C3%ADo%20la%20factura%20correspondiente%20por%20la%20prestaci%C3%B3n%20de%20servicios%20durante%20el%20per%C3%ADodo%2023%2F08%2F25%20al%2023%2F09%2F25.%20%0A%0A%F0%9F%93%8B%20*Detalles%20de%20la%20factura%3A*%20%0A%E2%80%A2%20N%C3%BAmero%3A%20198%20%0A%E2%80%A2%20Fecha%20de%20Emisi%C3%B3n%3A%2024%2F09%2F25%20%0A%E2%80%A2%20Fecha%20de%20Vencimiento%3A%2006%2F10%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</si>
  <si>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09/24/2025 11:06:58</t>
  </si>
  <si>
    <t>Facturación_Files_/9f394b2a.FACTURA 1.140638.pdf</t>
  </si>
  <si>
    <t>ApsolAPP/Invoice/Natión_203.pdf</t>
  </si>
  <si>
    <t>Hola Marketing! 👋 
Te envío la factura correspondiente por la prestación de servicios durante el período 17/08/25 al 17/09/25. 
📋 *Detalles de la factura:* 
• Número: 199 
• Fecha de Emisión: 24/09/25 
• Fecha de Vencimiento: 06/10/25 
• Monto Total: $ 149000.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</si>
  <si>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https://api.textmebot.com/send.php?recipient=5493425380483&amp;apikey=xoF6EUkK31se&amp;document=https%3A%2F%2Fdrive.google.com%2Ffile%2Fd%2F1oM1uiPVs811RxFWQXVXOCX0gHLtzIr1M</t>
  </si>
  <si>
    <t>https://api.textmebot.com/send.php?recipient=5493425380483&amp;apikey=xoF6EUkK31se&amp;document=https%3A%2F%2Fdrive.google.com%2Ffile%2Fd%2F1q8R5L3IzOCRvrCOehJm_9tjVf3a6b_0s</t>
  </si>
  <si>
    <t>https://api.textmebot.com/send.php?recipient=5493425380483&amp;apikey=xoF6EUkK31se&amp;text=Hola%20Marketing!%20%F0%9F%91%8B%20%0ATe%20env%C3%ADo%20la%20factura%20correspondiente%20por%20la%20prestaci%C3%B3n%20de%20servicios%20durante%20el%20per%C3%ADodo%2017%2F08%2F25%20al%2017%2F09%2F25.%20%0A%0A%F0%9F%93%8B%20*Detalles%20de%20la%20factura%3A*%20%0A%E2%80%A2%20N%C3%BAmero%3A%20199%20%0A%E2%80%A2%20Fecha%20de%20Emisi%C3%B3n%3A%2024%2F09%2F25%20%0A%E2%80%A2%20Fecha%20de%20Vencimiento%3A%2006%2F10%2F25%20%0A%E2%80%A2%20Monto%20Total%3A%20%24%20149000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</si>
  <si>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09/25/2025 12:19:48</t>
  </si>
  <si>
    <t>Facturación_Files_/70462df1.FACTURA 1.151929.pdf</t>
  </si>
  <si>
    <t>ApsolAPP/Invoice/Conexion Market_204.pdf</t>
  </si>
  <si>
    <t>Hola Noelia! 👋 
Te envío la factura correspondiente por la prestación de servicios durante el período 18/08/25 al 18/09/25. 
📋 *Detalles de la factura:* 
• Número: 200 
• Fecha de Emisión: 25/09/25 
• Fecha de Vencimiento: 01/10/25 
• Monto Total: $ 1000000.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</si>
  <si>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https://api.textmebot.com/send.php?recipient=5493413077374&amp;apikey=xoF6EUkK31se&amp;document=https%3A%2F%2Fdrive.google.com%2Ffile%2Fd%2F1LLrBRDE6_3CqSwDmVNFab6-RLJW2mm0o</t>
  </si>
  <si>
    <t>https://api.textmebot.com/send.php?recipient=5493413077374&amp;apikey=xoF6EUkK31se&amp;document=https%3A%2F%2Fdrive.google.com%2Ffile%2Fd%2F1SBXTEJHYwsvkeK2PF_R0_K3fI5FbZRj8</t>
  </si>
  <si>
    <t>https://api.textmebot.com/send.php?recipient=5493413077374&amp;apikey=xoF6EUkK31se&amp;text=Hola%20Noelia!%20%F0%9F%91%8B%20%0ATe%20env%C3%ADo%20la%20factura%20correspondiente%20por%20la%20prestaci%C3%B3n%20de%20servicios%20durante%20el%20per%C3%ADodo%2018%2F08%2F25%20al%2018%2F09%2F25.%20%0A%0A%F0%9F%93%8B%20*Detalles%20de%20la%20factura%3A*%20%0A%E2%80%A2%20N%C3%BAmero%3A%20200%20%0A%E2%80%A2%20Fecha%20de%20Emisi%C3%B3n%3A%2025%2F09%2F25%20%0A%E2%80%A2%20Fecha%20de%20Vencimiento%3A%2001%2F10%2F25%20%0A%E2%80%A2%20Monto%20Total%3A%20%24%201000000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</si>
  <si>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09/25/2025 12:30:56</t>
  </si>
  <si>
    <t>ApsolAPP/Invoice/Apsol_205.pdf</t>
  </si>
  <si>
    <t>Hola Adrian! 👋 
Te envío la factura correspondiente por la prestación de servicios durante el período 03/08/25 al 03/09/25. 
📋 *Detalles de la factura:* 
• Número:  
• Fecha de Emisión: 25/09/25 
• Fecha de Vencimiento: 02/10/25 
• Monto Total: $ 277800.
💼 *Cuenta para el depósito:*Te agradecería si me confirmás la recepción y me avisás una fecha estimada de pago. 😊 
Desde ya, muchas gracias!</t>
  </si>
  <si>
    <t>https://api.textmebot.com/send.php?recipient=5493424476596&amp;apikey=xoF6EUkK31se&amp;document=https%3A%2F%2Fdrive.google.com%2Ffile%2Fd%2F1aUVyPIWNVVXzFCuAW2APRIiHQxT7sQxt</t>
  </si>
  <si>
    <t>https://api.textmebot.com/send.php?recipient=5493424476596&amp;apikey=xoF6EUkK31se&amp;text=Hola%20Adrian!%20%F0%9F%91%8B%20%0ATe%20env%C3%ADo%20la%20factura%20correspondiente%20por%20la%20prestaci%C3%B3n%20de%20servicios%20durante%20el%20per%C3%ADodo%2003%2F08%2F25%20al%2003%2F09%2F25.%20%0A%0A%F0%9F%93%8B%20*Detalles%20de%20la%20factura%3A*%20%0A%E2%80%A2%20N%C3%BAmero%3A%20%20%0A%E2%80%A2%20Fecha%20de%20Emisi%C3%B3n%3A%2025%2F09%2F25%20%0A%E2%80%A2%20Fecha%20de%20Vencimiento%3A%2002%2F10%2F25%20%0A%E2%80%A2%20Monto%20Total%3A%20%24%20277800.%0A%20%20%0A%0A%F0%9F%92%BC%20*Cuenta%20para%20el%20dep%C3%B3sito%3A*Te%20agradecer%C3%ADa%20si%20me%20confirm%C3%A1s%20la%20recepci%C3%B3n%20y%20me%20avis%C3%A1s%20una%20fecha%20estimada%20de%20pago.%20%F0%9F%98%8A%20%0A%0ADesde%20ya%2C%20muchas%20gracias!</t>
  </si>
  <si>
    <t>09/26/2025 09:00:02</t>
  </si>
  <si>
    <t>Hola Andrea! 👋 
 Espero que todo esté yendo bien. Quisiera recordarte que aún no hemos recibido el pago correspondiente a la factura N°  emitida el 18/09/25. 
📋 *Detalles de la factura:* 
• Número:  
• Vencimiento: 24/09/25 
• Monto total: $423. 
💼 *Cuenta a depositar:*- Titular: Adrian Patriarca
- Banco: Citibank
- Moneda: USD
- Dirección del Banco: 111 Wall Street New York, NY 10043 USA
- Número de enrutamiento de ABA: 031100209
- Código SWIFT: CITIUS33
- Número de cuenta: 70580840001795095
Adjunto encontrarás la factura para tu referencia. 
Si ya has realizado el pago, por favor, ignora este mensaje. 
Gracias por tu pronta atención a este asunto. 
APSOL - Consultoría Empresarial</t>
  </si>
  <si>
    <t>https://api.textmebot.com/send.php?recipient=5491164872810&amp;apikey=xoF6EUkK31se&amp;text=Hola%20Andrea!%20%F0%9F%91%8B%20%0A%20Espero%20que%20todo%20est%C3%A9%20yendo%20bien.%20Quisiera%20recordarte%20que%20a%C3%BAn%20no%20hemos%20recibido%20el%20pago%20correspondiente%20a%20la%20factura%20N%C2%B0%20%20emitida%20el%2018%2F09%2F25.%20%0A%0A%F0%9F%93%8B%20*Detalles%20de%20la%20factura%3A*%20%0A%E2%80%A2%20N%C3%BAmero%3A%20%20%0A%E2%80%A2%20Vencimiento%3A%2024%2F09%2F25%20%0A%E2%80%A2%20Monto%20total%3A%20%24423.%20%0A%0A%F0%9F%92%BC%20*Cuenta%20a%20depositar%3A*-%20Titular%3A%20Adrian%20Patriarca%0A-%20Banco%3A%20Citibank%0A-%20Moneda%3A%20USD%0A-%20Direcci%C3%B3n%20del%20Banco%3A%20111%20Wall%20Street%20New%20York%2C%20NY%2010043%20USA%0A-%20N%C3%BAmero%20de%20enrutamiento%20de%20ABA%3A%20031100209%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</si>
  <si>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09/29/2025 09:27:25</t>
  </si>
  <si>
    <t>ApsolAPP/Invoice/Vertiente del Sur_205.pdf</t>
  </si>
  <si>
    <t>Hola Gastón! 👋 
Te envío la factura correspondiente por la prestación de servicios durante el período 22/08/25 al 22/09/25. 
📋 *Detalles de la factura:* 
• Número:  
• Fecha de Emisión: 29/09/25 
• Fecha de Vencimiento: 07/10/25 
• Monto Total: $ 593000.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</si>
  <si>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https://api.textmebot.com/send.php?recipient=5493492527138&amp;apikey=xoF6EUkK31se&amp;document=https%3A%2F%2Fdrive.google.com%2Ffile%2Fd%2F1KBE_nMVety6je4l6pi0TTy5hRfu5NPwA</t>
  </si>
  <si>
    <t>https://api.textmebot.com/send.php?recipient=5493492527138&amp;apikey=xoF6EUkK31se&amp;text=Hola%20Gast%C3%B3n!%20%F0%9F%91%8B%20%0ATe%20env%C3%ADo%20la%20factura%20correspondiente%20por%20la%20prestaci%C3%B3n%20de%20servicios%20durante%20el%20per%C3%ADodo%2022%2F08%2F25%20al%2022%2F09%2F25.%20%0A%0A%F0%9F%93%8B%20*Detalles%20de%20la%20factura%3A*%20%0A%E2%80%A2%20N%C3%BAmero%3A%20%20%0A%E2%80%A2%20Fecha%20de%20Emisi%C3%B3n%3A%2029%2F09%2F25%20%0A%E2%80%A2%20Fecha%20de%20Vencimiento%3A%2007%2F10%2F25%20%0A%E2%80%A2%20Monto%20Total%3A%20%24%20593000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</si>
  <si>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10/06/2025 09:00:09</t>
  </si>
  <si>
    <t>10/07/2025 09:00:03</t>
  </si>
  <si>
    <t>Hola Juan! 👋 
 Espero que todo esté yendo bien. Quisiera recordarte que aún no hemos recibido el pago correspondiente a la factura N° 198 emitida el 24/09/25. 
📋 *Detalles de la factura:* 
• Número: 198 
• Vencimiento: 06/10/25 
• Monto total: $315000.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</si>
  <si>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5493424770891&amp;apikey=xoF6EUkK31se&amp;text=Hola%20Juan!%20%F0%9F%91%8B%20%0A%20Espero%20que%20todo%20est%C3%A9%20yendo%20bien.%20Quisiera%20recordarte%20que%20a%C3%BAn%20no%20hemos%20recibido%20el%20pago%20correspondiente%20a%20la%20factura%20N%C2%B0%20198%20emitida%20el%2024%2F09%2F25.%20%0A%0A%F0%9F%93%8B%20*Detalles%20de%20la%20factura%3A*%20%0A%E2%80%A2%20N%C3%BAmero%3A%20198%20%0A%E2%80%A2%20Vencimiento%3A%2006%2F10%2F25%20%0A%E2%80%A2%20Monto%20total%3A%20%24315000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</si>
  <si>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Hola Marketing! 👋 
 Espero que todo esté yendo bien. Quisiera recordarte que aún no hemos recibido el pago correspondiente a la factura N° 199 emitida el 24/09/25. 
📋 *Detalles de la factura:* 
• Número: 199 
• Vencimiento: 06/10/25 
• Monto total: $149000.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</si>
  <si>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5493425380483&amp;apikey=xoF6EUkK31se&amp;text=Hola%20Marketing!%20%F0%9F%91%8B%20%0A%20Espero%20que%20todo%20est%C3%A9%20yendo%20bien.%20Quisiera%20recordarte%20que%20a%C3%BAn%20no%20hemos%20recibido%20el%20pago%20correspondiente%20a%20la%20factura%20N%C2%B0%20199%20emitida%20el%2024%2F09%2F25.%20%0A%0A%F0%9F%93%8B%20*Detalles%20de%20la%20factura%3A*%20%0A%E2%80%A2%20N%C3%BAmero%3A%20199%20%0A%E2%80%A2%20Vencimiento%3A%2006%2F10%2F25%20%0A%E2%80%A2%20Monto%20total%3A%20%24149000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</si>
  <si>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10/09/2025 11:15:07</t>
  </si>
  <si>
    <t>Facturación_Files_/7fdc172b.FACTURA 1.141447.pdf</t>
  </si>
  <si>
    <t>ApsolAPP/Invoice/Dg Distribuciones_206.pdf</t>
  </si>
  <si>
    <t>Hola Ignacio! 👋 
Te envío la factura correspondiente por la prestación de servicios durante el período 04/09/25 al 04/10/25. 
📋 *Detalles de la factura:* 
• Número: 53 
• Fecha de Emisión: 09/10/25 
• Fecha de Vencimiento: 16/10/25 
• Monto Total: $ 1437000.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</si>
  <si>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https://api.textmebot.com/send.php?recipient=5493425225459&amp;apikey=xoF6EUkK31se&amp;document=https%3A%2F%2Fdrive.google.com%2Ffile%2Fd%2F1_WMivFyDZt3UcUeUbBPO_NzVc0PZJoJ_</t>
  </si>
  <si>
    <t>https://api.textmebot.com/send.php?recipient=5493425225459&amp;apikey=xoF6EUkK31se&amp;document=https%3A%2F%2Fdrive.google.com%2Ffile%2Fd%2F1fquPduaWHb6clpbw9Y73hFsFFeP4Yn6n</t>
  </si>
  <si>
    <t>https://api.textmebot.com/send.php?recipient=5493425225459&amp;apikey=xoF6EUkK31se&amp;text=Hola%20Ignacio!%20%F0%9F%91%8B%20%0ATe%20env%C3%ADo%20la%20factura%20correspondiente%20por%20la%20prestaci%C3%B3n%20de%20servicios%20durante%20el%20per%C3%ADodo%2004%2F09%2F25%20al%2004%2F10%2F25.%20%0A%0A%F0%9F%93%8B%20*Detalles%20de%20la%20factura%3A*%20%0A%E2%80%A2%20N%C3%BAmero%3A%2053%20%0A%E2%80%A2%20Fecha%20de%20Emisi%C3%B3n%3A%2009%2F10%2F25%20%0A%E2%80%A2%20Fecha%20de%20Vencimiento%3A%2016%2F10%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</si>
  <si>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10/09/2025 11:16:32</t>
  </si>
  <si>
    <t>Facturación_Files_/3ee2fc3f.FACTURA 1.141619.pdf</t>
  </si>
  <si>
    <t>ApsolAPP/Invoice/Escobar_207.pdf</t>
  </si>
  <si>
    <t>Hola Pablo! 👋 
Te envío la factura correspondiente por la prestación de servicios durante el período 08/09/25 al 08/10/25. 
📋 *Detalles de la factura:* 
• Número: 201 
• Fecha de Emisión: 09/10/25 
• Fecha de Vencimiento: 17/10/25 
• Monto Total: $ 1274000.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</si>
  <si>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https://api.textmebot.com/send.php?recipient=5493424791582&amp;apikey=xoF6EUkK31se&amp;document=https%3A%2F%2Fdrive.google.com%2Ffile%2Fd%2F1fhgBbRQtyNiqCdxhNIb4wa-kHgsMGviD</t>
  </si>
  <si>
    <t>https://api.textmebot.com/send.php?recipient=5493424791582&amp;apikey=xoF6EUkK31se&amp;document=https%3A%2F%2Fdrive.google.com%2Ffile%2Fd%2F11i8Qd2Rn6ZSjgPJvfkjVKExuZArw1dS1</t>
  </si>
  <si>
    <t>https://api.textmebot.com/send.php?recipient=5493424791582&amp;apikey=xoF6EUkK31se&amp;text=Hola%20Pablo!%20%F0%9F%91%8B%20%0ATe%20env%C3%ADo%20la%20factura%20correspondiente%20por%20la%20prestaci%C3%B3n%20de%20servicios%20durante%20el%20per%C3%ADodo%2008%2F09%2F25%20al%2008%2F10%2F25.%20%0A%0A%F0%9F%93%8B%20*Detalles%20de%20la%20factura%3A*%20%0A%E2%80%A2%20N%C3%BAmero%3A%20201%20%0A%E2%80%A2%20Fecha%20de%20Emisi%C3%B3n%3A%2009%2F10%2F25%20%0A%E2%80%A2%20Fecha%20de%20Vencimiento%3A%2017%2F10%2F25%20%0A%E2%80%A2%20Monto%20Total%3A%20%24%201274000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</si>
  <si>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10/09/2025 11:20:10</t>
  </si>
  <si>
    <t>Facturación_Files_/0def1d1b.FACTURA 1.141953.pdf</t>
  </si>
  <si>
    <t>ApsolAPP/Invoice/El Norte_208.pdf</t>
  </si>
  <si>
    <t>Hola Martin! 👋 
Te envío la factura correspondiente por la prestación de servicios durante el período 06/09/25 al 06/10/25. 
📋 *Detalles de la factura:* 
• Número: 54 
• Fecha de Emisión: 09/10/25 
• Fecha de Vencimiento: 20/10/25 
• Monto Total: $ 655000.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</si>
  <si>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https://api.textmebot.com/send.php?recipient=5493425389073&amp;apikey=xoF6EUkK31se&amp;document=https%3A%2F%2Fdrive.google.com%2Ffile%2Fd%2F1BT6H-eyi5ZpD7X43KvbnVNX5lnfPgmgr</t>
  </si>
  <si>
    <t>https://api.textmebot.com/send.php?recipient=5493425389073&amp;apikey=xoF6EUkK31se&amp;document=https%3A%2F%2Fdrive.google.com%2Ffile%2Fd%2F1Mf2zJVJeSpA5AnxV6_UhP5TFMHqFQcd7</t>
  </si>
  <si>
    <t>https://api.textmebot.com/send.php?recipient=5493425389073&amp;apikey=xoF6EUkK31se&amp;text=Hola%20Martin!%20%F0%9F%91%8B%20%0ATe%20env%C3%ADo%20la%20factura%20correspondiente%20por%20la%20prestaci%C3%B3n%20de%20servicios%20durante%20el%20per%C3%ADodo%2006%2F09%2F25%20al%2006%2F10%2F25.%20%0A%0A%F0%9F%93%8B%20*Detalles%20de%20la%20factura%3A*%20%0A%E2%80%A2%20N%C3%BAmero%3A%2054%20%0A%E2%80%A2%20Fecha%20de%20Emisi%C3%B3n%3A%2009%2F10%2F25%20%0A%E2%80%A2%20Fecha%20de%20Vencimiento%3A%2020%2F10%2F25%20%0A%E2%80%A2%20Monto%20Total%3A%20%24%20655000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</si>
  <si>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10/09/2025 11:22:58</t>
  </si>
  <si>
    <t>Facturación_Files_/450f9a48.FACTURA 1.142240.pdf</t>
  </si>
  <si>
    <t>ApsolAPP/Invoice/Metalurgica HQ_209.pdf</t>
  </si>
  <si>
    <t>Hola Alan! 👋 
Te envío la factura correspondiente por la prestación de servicios durante el período 07/09/25 al 07/10/25. 
📋 *Detalles de la factura:* 
• Número: 55 
• Fecha de Emisión: 09/10/25 
• Fecha de Vencimiento: 16/10/25 
• Monto Total: $ 440000.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</si>
  <si>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https://api.textmebot.com/send.php?recipient=5493521639222&amp;apikey=xoF6EUkK31se&amp;document=https%3A%2F%2Fdrive.google.com%2Ffile%2Fd%2F1P6j5PAKoO6rILx0yWhDTNHJ7S9qciOln</t>
  </si>
  <si>
    <t>https://api.textmebot.com/send.php?recipient=5493521639222&amp;apikey=xoF6EUkK31se&amp;document=https%3A%2F%2Fdrive.google.com%2Ffile%2Fd%2F1jGWNGnHt2U4g3BlHLlTbX6RUhfznPaZu</t>
  </si>
  <si>
    <t>https://api.textmebot.com/send.php?recipient=5493521639222&amp;apikey=xoF6EUkK31se&amp;text=Hola%20Alan!%20%F0%9F%91%8B%20%0ATe%20env%C3%ADo%20la%20factura%20correspondiente%20por%20la%20prestaci%C3%B3n%20de%20servicios%20durante%20el%20per%C3%ADodo%2007%2F09%2F25%20al%2007%2F10%2F25.%20%0A%0A%F0%9F%93%8B%20*Detalles%20de%20la%20factura%3A*%20%0A%E2%80%A2%20N%C3%BAmero%3A%2055%20%0A%E2%80%A2%20Fecha%20de%20Emisi%C3%B3n%3A%2009%2F10%2F25%20%0A%E2%80%A2%20Fecha%20de%20Vencimiento%3A%2016%2F10%2F25%20%0A%E2%80%A2%20Monto%20Total%3A%20%24%20440000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</si>
  <si>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10/09/2025 11:23:57</t>
  </si>
  <si>
    <t>ApsolAPP/Invoice/A todo Color_210.pdf</t>
  </si>
  <si>
    <t>Hola Luciano! 👋 
Te envío la factura correspondiente por la prestación de servicios durante el período 01/09/25 al 01/10/25. 
📋 *Detalles de la factura:* 
• Número:  
• Fecha de Emisión: 09/10/25 
• Fecha de Vencimiento: 16/10/25 
• Monto Total: $ 0.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</si>
  <si>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https://api.textmebot.com/send.php?recipient=5493425468752&amp;apikey=xoF6EUkK31se&amp;document=https%3A%2F%2Fdrive.google.com%2Ffile%2Fd%2F18SyS7uiS_Ho3PopILkN6ZAxqbMGnN-1j</t>
  </si>
  <si>
    <t>https://api.textmebot.com/send.php?recipient=5493425468752&amp;apikey=xoF6EUkK31se&amp;text=Hola%20Luciano!%20%F0%9F%91%8B%20%0ATe%20env%C3%ADo%20la%20factura%20correspondiente%20por%20la%20prestaci%C3%B3n%20de%20servicios%20durante%20el%20per%C3%ADodo%2001%2F09%2F25%20al%2001%2F10%2F25.%20%0A%0A%F0%9F%93%8B%20*Detalles%20de%20la%20factura%3A*%20%0A%E2%80%A2%20N%C3%BAmero%3A%20%20%0A%E2%80%A2%20Fecha%20de%20Emisi%C3%B3n%3A%2009%2F10%2F25%20%0A%E2%80%A2%20Fecha%20de%20Vencimiento%3A%2016%2F10%2F25%20%0A%E2%80%A2%20Monto%20Total%3A%20%24%200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</si>
  <si>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10/15/2025 09:00:04</t>
  </si>
  <si>
    <t>10/16/2025 12:09:54</t>
  </si>
  <si>
    <t>ApsolAPP/Invoice/Amipack_211.pdf</t>
  </si>
  <si>
    <t>Hola Estefania! 👋 
Te envío la factura correspondiente por la prestación de servicios durante el período 10/09/25 al 10/10/25. 
📋 *Detalles de la factura:* 
• Número:  
• Fecha de Emisión: 16/10/25 
• Fecha de Vencimiento: 28/10/25 
• Monto Total: $ 1127000.
💼 *Cuenta para el depósito:*- CUIT: 2033122879
- Titular: Adrian Patriarca
- Alias: Efectivo
- Banco: Efectivo
Te agradecería si me confirmás la recepción y me avisás una fecha estimada de pago. 😊 
Desde ya, muchas gracias!</t>
  </si>
  <si>
    <t>https://api.textmebot.com/send.php?recipient=5493493661975&amp;apikey=xoF6EUkK31se&amp;document=https%3A%2F%2Fdrive.google.com%2Ffile%2Fd%2F1WLLSA43t8txAj8dFBuJuLSys2utLvl6p</t>
  </si>
  <si>
    <t>https://api.textmebot.com/send.php?recipient=5493493661975&amp;apikey=xoF6EUkK31se&amp;text=Hola%20Estefania!%20%F0%9F%91%8B%20%0ATe%20env%C3%ADo%20la%20factura%20correspondiente%20por%20la%20prestaci%C3%B3n%20de%20servicios%20durante%20el%20per%C3%ADodo%2010%2F09%2F25%20al%2010%2F10%2F25.%20%0A%0A%F0%9F%93%8B%20*Detalles%20de%20la%20factura%3A*%20%0A%E2%80%A2%20N%C3%BAmero%3A%20%20%0A%E2%80%A2%20Fecha%20de%20Emisi%C3%B3n%3A%2016%2F10%2F25%20%0A%E2%80%A2%20Fecha%20de%20Vencimiento%3A%2028%2F10%2F25%20%0A%E2%80%A2%20Monto%20Total%3A%20%24%201127000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t>
  </si>
  <si>
    <t>10/16/2025 12:13:33</t>
  </si>
  <si>
    <t>Facturación_Files_/ae8a879d.FACTURA 1.151320.pdf</t>
  </si>
  <si>
    <t>ApsolAPP/Invoice/Laboratorío Roca_212.pdf</t>
  </si>
  <si>
    <t>Hola Nelson! 👋 
Te envío la factura correspondiente por la prestación de servicios durante el período 10/09/25 al 10/10/25. 
📋 *Detalles de la factura:* 
• Número: 56 
• Fecha de Emisión: 16/10/25 
• Fecha de Vencimiento: 22/10/25 
• Monto Total: $ 500000.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</si>
  <si>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https://api.textmebot.com/send.php?recipient=5491141908925&amp;apikey=xoF6EUkK31se&amp;document=https%3A%2F%2Fdrive.google.com%2Ffile%2Fd%2F1efF86zFnRmwMAHA79isMY3F14fQajr2y</t>
  </si>
  <si>
    <t>https://api.textmebot.com/send.php?recipient=5491141908925&amp;apikey=xoF6EUkK31se&amp;document=https%3A%2F%2Fdrive.google.com%2Ffile%2Fd%2F1gpRYhWhpcgRGzbVwwDUiZA7VkKzwI0xw</t>
  </si>
  <si>
    <t>https://api.textmebot.com/send.php?recipient=5491141908925&amp;apikey=xoF6EUkK31se&amp;text=Hola%20Nelson!%20%F0%9F%91%8B%20%0ATe%20env%C3%ADo%20la%20factura%20correspondiente%20por%20la%20prestaci%C3%B3n%20de%20servicios%20durante%20el%20per%C3%ADodo%2010%2F09%2F25%20al%2010%2F10%2F25.%20%0A%0A%F0%9F%93%8B%20*Detalles%20de%20la%20factura%3A*%20%0A%E2%80%A2%20N%C3%BAmero%3A%2056%20%0A%E2%80%A2%20Fecha%20de%20Emisi%C3%B3n%3A%2016%2F10%2F25%20%0A%E2%80%A2%20Fecha%20de%20Vencimiento%3A%2022%2F10%2F25%20%0A%E2%80%A2%20Monto%20Total%3A%20%24%20500000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</si>
  <si>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10/16/2025 12:23:08</t>
  </si>
  <si>
    <t>Facturación_Files_/e6237bf7.FACTURA 1.152250.pdf</t>
  </si>
  <si>
    <t>ApsolAPP/Invoice/Refri Integral_213.pdf</t>
  </si>
  <si>
    <t>Hola Martin! 👋 
Te envío la factura correspondiente por la prestación de servicios durante el período 01/09/25 al 01/10/25. 
📋 *Detalles de la factura:* 
• Número: 57 
• Fecha de Emisión: 16/10/25 
• Fecha de Vencimiento: 23/10/25 
• Monto Total: $ 28800.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</si>
  <si>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https://api.textmebot.com/send.php?recipient=5491171282725&amp;apikey=xoF6EUkK31se&amp;document=https%3A%2F%2Fdrive.google.com%2Ffile%2Fd%2F1b0J5slmL7m1-9e9yN-dcPhdo41isoT5E</t>
  </si>
  <si>
    <t>https://api.textmebot.com/send.php?recipient=5491171282725&amp;apikey=xoF6EUkK31se&amp;document=https%3A%2F%2Fdrive.google.com%2Ffile%2Fd%2F1aQs34noU9M9USEn5wL08tsHN-m7XQLri</t>
  </si>
  <si>
    <t>https://api.textmebot.com/send.php?recipient=5491171282725&amp;apikey=xoF6EUkK31se&amp;text=Hola%20Martin!%20%F0%9F%91%8B%20%0ATe%20env%C3%ADo%20la%20factura%20correspondiente%20por%20la%20prestaci%C3%B3n%20de%20servicios%20durante%20el%20per%C3%ADodo%2001%2F09%2F25%20al%2001%2F10%2F25.%20%0A%0A%F0%9F%93%8B%20*Detalles%20de%20la%20factura%3A*%20%0A%E2%80%A2%20N%C3%BAmero%3A%2057%20%0A%E2%80%A2%20Fecha%20de%20Emisi%C3%B3n%3A%2016%2F10%2F25%20%0A%E2%80%A2%20Fecha%20de%20Vencimiento%3A%2023%2F10%2F25%20%0A%E2%80%A2%20Monto%20Total%3A%20%24%2028800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</si>
  <si>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10/20/2025 09:00:05</t>
  </si>
  <si>
    <t>Hola Ignacio! 👋 
 Espero que todo esté yendo bien. Quisiera recordarte que aún no hemos recibido el pago correspondiente a la factura N° 53 emitida el 09/10/25. 
📋 *Detalles de la factura:* 
• Número: 53 
• Vencimiento: 16/10/25 
• Monto total: $1437000.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</si>
  <si>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5493425225459&amp;apikey=xoF6EUkK31se&amp;text=Hola%20Ignacio!%20%F0%9F%91%8B%20%0A%20Espero%20que%20todo%20est%C3%A9%20yendo%20bien.%20Quisiera%20recordarte%20que%20a%C3%BAn%20no%20hemos%20recibido%20el%20pago%20correspondiente%20a%20la%20factura%20N%C2%B0%2053%20emitida%20el%2009%2F10%2F25.%20%0A%0A%F0%9F%93%8B%20*Detalles%20de%20la%20factura%3A*%20%0A%E2%80%A2%20N%C3%BAmero%3A%2053%20%0A%E2%80%A2%20Vencimiento%3A%2016%2F10%2F25%20%0A%E2%80%A2%20Monto%20total%3A%20%241437000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</si>
  <si>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10/20/2025 13:04:10</t>
  </si>
  <si>
    <t>Facturación_Files_/9f906bf3.FACTURA 1.160351.pdf</t>
  </si>
  <si>
    <t>ApsolAPP/Invoice/Conexion Market_214.pdf</t>
  </si>
  <si>
    <t>Hola Noelia! 👋 
Te envío la factura correspondiente por la prestación de servicios durante el período 18/09/25 al 18/10/25. 
📋 *Detalles de la factura:* 
• Número: 202 
• Fecha de Emisión: 20/10/25 
• Fecha de Vencimiento: 24/10/25 
• Monto Total: $ 1050000.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</si>
  <si>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https://api.textmebot.com/send.php?recipient=5493413077374&amp;apikey=xoF6EUkK31se&amp;document=https%3A%2F%2Fdrive.google.com%2Ffile%2Fd%2F1z3RuM3xm4ujfxcHVZCPpeTyl3UBi_K3B</t>
  </si>
  <si>
    <t>https://api.textmebot.com/send.php?recipient=5493413077374&amp;apikey=xoF6EUkK31se&amp;document=https%3A%2F%2Fdrive.google.com%2Ffile%2Fd%2F1LK5dL3REA_SSdtCRYmKaRVZ45eBPLkq5</t>
  </si>
  <si>
    <t>https://api.textmebot.com/send.php?recipient=5493413077374&amp;apikey=xoF6EUkK31se&amp;text=Hola%20Noelia!%20%F0%9F%91%8B%20%0ATe%20env%C3%ADo%20la%20factura%20correspondiente%20por%20la%20prestaci%C3%B3n%20de%20servicios%20durante%20el%20per%C3%ADodo%2018%2F09%2F25%20al%2018%2F10%2F25.%20%0A%0A%F0%9F%93%8B%20*Detalles%20de%20la%20factura%3A*%20%0A%E2%80%A2%20N%C3%BAmero%3A%20202%20%0A%E2%80%A2%20Fecha%20de%20Emisi%C3%B3n%3A%2020%2F10%2F25%20%0A%E2%80%A2%20Fecha%20de%20Vencimiento%3A%2024%2F10%2F25%20%0A%E2%80%A2%20Monto%20Total%3A%20%24%201050000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</si>
  <si>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10/20/2025 13:33:22</t>
  </si>
  <si>
    <t>Facturación_Files_/2a987957.FACTURA 1.163303.pdf</t>
  </si>
  <si>
    <t>ApsolAPP/Invoice/Insuga_215.pdf</t>
  </si>
  <si>
    <t>Hola Gonzalo! 👋 
Te envío la factura correspondiente por la prestación de servicios durante el período 28/08/25 al 28/09/25. 
📋 *Detalles de la factura:* 
• Número: 203 
• Fecha de Emisión: 20/10/25 
• Fecha de Vencimiento: 29/10/25 
• Monto Total: $ 950000.
💼 *Cuenta para el depósito:*Te agradecería si me confirmás la recepción y me avisás una fecha estimada de pago. 😊 
Desde ya, muchas gracias!</t>
  </si>
  <si>
    <t>https://api.textmebot.com/send.php?recipient=5493425295451&amp;apikey=xoF6EUkK31se&amp;document=https%3A%2F%2Fdrive.google.com%2Ffile%2Fd%2F1Ve483u4VsUGjTTOjLrVeV_MmsqIFiAHz</t>
  </si>
  <si>
    <t>https://api.textmebot.com/send.php?recipient=5493425295451&amp;apikey=xoF6EUkK31se&amp;document=https%3A%2F%2Fdrive.google.com%2Ffile%2Fd%2F1tehsQZ1n2RFZwxQoD82Eu-6PaT8Bhqz5</t>
  </si>
  <si>
    <t>https://api.textmebot.com/send.php?recipient=5493425295451&amp;apikey=xoF6EUkK31se&amp;text=Hola%20Gonzalo!%20%F0%9F%91%8B%20%0ATe%20env%C3%ADo%20la%20factura%20correspondiente%20por%20la%20prestaci%C3%B3n%20de%20servicios%20durante%20el%20per%C3%ADodo%2028%2F08%2F25%20al%2028%2F09%2F25.%20%0A%0A%F0%9F%93%8B%20*Detalles%20de%20la%20factura%3A*%20%0A%E2%80%A2%20N%C3%BAmero%3A%20203%20%0A%E2%80%A2%20Fecha%20de%20Emisi%C3%B3n%3A%2020%2F10%2F25%20%0A%E2%80%A2%20Fecha%20de%20Vencimiento%3A%2029%2F10%2F25%20%0A%E2%80%A2%20Monto%20Total%3A%20%24%20950000.%0A%20%20%0A%0A%F0%9F%92%BC%20*Cuenta%20para%20el%20dep%C3%B3sito%3A*Te%20agradecer%C3%ADa%20si%20me%20confirm%C3%A1s%20la%20recepci%C3%B3n%20y%20me%20avis%C3%A1s%20una%20fecha%20estimada%20de%20pago.%20%F0%9F%98%8A%20%0A%0ADesde%20ya%2C%20muchas%20gracias!</t>
  </si>
  <si>
    <t>10/20/2025 15:02:57</t>
  </si>
  <si>
    <t>ApsolAPP/Invoice/Beamar Alimentos_216.pdf</t>
  </si>
  <si>
    <t>Hola Santiago! 👋 
Te envío la factura correspondiente por la prestación de servicios durante el período 15/09/25 al 15/10/25. 
📋 *Detalles de la factura:* 
• Número:  
• Fecha de Emisión: 20/10/25 
• Fecha de Vencimiento: 24/10/25 
• Monto Total: $ 236000.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</si>
  <si>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https://api.textmebot.com/send.php?recipient=5492665036264&amp;apikey=xoF6EUkK31se&amp;document=https%3A%2F%2Fdrive.google.com%2Ffile%2Fd%2F1b0adcv9O6sjAg0p92iwl_LP2S3AUI-_R</t>
  </si>
  <si>
    <t>https://api.textmebot.com/send.php?recipient=5492665036264&amp;apikey=xoF6EUkK31se&amp;text=Hola%20Santiago!%20%F0%9F%91%8B%20%0ATe%20env%C3%ADo%20la%20factura%20correspondiente%20por%20la%20prestaci%C3%B3n%20de%20servicios%20durante%20el%20per%C3%ADodo%2015%2F09%2F25%20al%2015%2F10%2F25.%20%0A%0A%F0%9F%93%8B%20*Detalles%20de%20la%20factura%3A*%20%0A%E2%80%A2%20N%C3%BAmero%3A%20%20%0A%E2%80%A2%20Fecha%20de%20Emisi%C3%B3n%3A%2020%2F10%2F25%20%0A%E2%80%A2%20Fecha%20de%20Vencimiento%3A%2024%2F10%2F25%20%0A%E2%80%A2%20Monto%20Total%3A%20%24%20236000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</si>
  <si>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10/21/2025 09:00:04</t>
  </si>
  <si>
    <t>Hola Pablo! 👋 
 Espero que todo esté yendo bien. Quisiera recordarte que aún no hemos recibido el pago correspondiente a la factura N° 201 emitida el 09/10/25. 
📋 *Detalles de la factura:* 
• Número: 201 
• Vencimiento: 17/10/25 
• Monto total: $1274000.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</si>
  <si>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5493424791582&amp;apikey=xoF6EUkK31se&amp;text=Hola%20Pablo!%20%F0%9F%91%8B%20%0A%20Espero%20que%20todo%20est%C3%A9%20yendo%20bien.%20Quisiera%20recordarte%20que%20a%C3%BAn%20no%20hemos%20recibido%20el%20pago%20correspondiente%20a%20la%20factura%20N%C2%B0%20201%20emitida%20el%2009%2F10%2F25.%20%0A%0A%F0%9F%93%8B%20*Detalles%20de%20la%20factura%3A*%20%0A%E2%80%A2%20N%C3%BAmero%3A%20201%20%0A%E2%80%A2%20Vencimiento%3A%2017%2F10%2F25%20%0A%E2%80%A2%20Monto%20total%3A%20%241274000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</si>
  <si>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10/22/2025 09:00:03</t>
  </si>
  <si>
    <t>Hola Martin! 👋 
 Espero que todo esté yendo bien. Quisiera recordarte que aún no hemos recibido el pago correspondiente a la factura N° 54 emitida el 09/10/25. 
📋 *Detalles de la factura:* 
• Número: 54 
• Vencimiento: 20/10/25 
• Monto total: $655000.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</si>
  <si>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5493425389073&amp;apikey=xoF6EUkK31se&amp;text=Hola%20Martin!%20%F0%9F%91%8B%20%0A%20Espero%20que%20todo%20est%C3%A9%20yendo%20bien.%20Quisiera%20recordarte%20que%20a%C3%BAn%20no%20hemos%20recibido%20el%20pago%20correspondiente%20a%20la%20factura%20N%C2%B0%2054%20emitida%20el%2009%2F10%2F25.%20%0A%0A%F0%9F%93%8B%20*Detalles%20de%20la%20factura%3A*%20%0A%E2%80%A2%20N%C3%BAmero%3A%2054%20%0A%E2%80%A2%20Vencimiento%3A%2020%2F10%2F25%20%0A%E2%80%A2%20Monto%20total%3A%20%24655000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</si>
  <si>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10/22/2025 16:29:30</t>
  </si>
  <si>
    <t>Facturación_Files_/b74d4549.FACTURA 1.192913.pdf</t>
  </si>
  <si>
    <t>ApsolAPP/Invoice/Natión_217.pdf</t>
  </si>
  <si>
    <t>Hola Marketing! 👋 
Te envío la factura correspondiente por la prestación de servicios durante el período 16/09/25 al 16/10/25. 
📋 *Detalles de la factura:* 
• Número: 204 
• Fecha de Emisión: 22/10/25 
• Fecha de Vencimiento: 03/11/25 
• Monto Total: $ 151000.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</si>
  <si>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https://api.textmebot.com/send.php?recipient=5493425380483&amp;apikey=xoF6EUkK31se&amp;document=https%3A%2F%2Fdrive.google.com%2Ffile%2Fd%2F1fnAqoa1_mMFqcH7XksXgzv4zmLWezcbw</t>
  </si>
  <si>
    <t>https://api.textmebot.com/send.php?recipient=5493425380483&amp;apikey=xoF6EUkK31se&amp;document=https%3A%2F%2Fdrive.google.com%2Ffile%2Fd%2F1Xn_6duJ3d8G-NKW_nkGWs_DUpuUZnEtL</t>
  </si>
  <si>
    <t>https://api.textmebot.com/send.php?recipient=5493425380483&amp;apikey=xoF6EUkK31se&amp;text=Hola%20Marketing!%20%F0%9F%91%8B%20%0ATe%20env%C3%ADo%20la%20factura%20correspondiente%20por%20la%20prestaci%C3%B3n%20de%20servicios%20durante%20el%20per%C3%ADodo%2016%2F09%2F25%20al%2016%2F10%2F25.%20%0A%0A%F0%9F%93%8B%20*Detalles%20de%20la%20factura%3A*%20%0A%E2%80%A2%20N%C3%BAmero%3A%20204%20%0A%E2%80%A2%20Fecha%20de%20Emisi%C3%B3n%3A%2022%2F10%2F25%20%0A%E2%80%A2%20Fecha%20de%20Vencimiento%3A%2003%2F11%2F25%20%0A%E2%80%A2%20Monto%20Total%3A%20%24%20151000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</si>
  <si>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10/22/2025 18:09:40</t>
  </si>
  <si>
    <t>ApsolAPP/Invoice/OnTheRoad viajes_218.pdf</t>
  </si>
  <si>
    <t>Hola Andrea! 👋 
Te envío la factura correspondiente por la prestación de servicios durante el período 13/09/25 al 13/10/25. 
📋 *Detalles de la factura:* 
• Número:  
• Fecha de Emisión: 22/10/25 
• Fecha de Vencimiento: 28/10/25 
• Monto Total: $ 423.
💼 *Cuenta para el depósito:*- Titular: Adrian Patriarca
- Banco: Citibank
- Moneda: USD
- Dirección del Banco: 111 Wall Street New York, NY 10043 USA
- Número de enrutamiento de ABA: 031100209
- Código SWIFT: CITIUS33
- Número de cuenta: 70580840001795095
Te agradecería si me confirmás la recepción y me avisás una fecha estimada de pago. 😊 
Desde ya, muchas gracias!</t>
  </si>
  <si>
    <t>https://api.textmebot.com/send.php?recipient=5491164872810&amp;apikey=xoF6EUkK31se&amp;document=https%3A%2F%2Fdrive.google.com%2Ffile%2Fd%2F1If-SrHV7hlZ5DN243cd0VYw7BhIE9nxr</t>
  </si>
  <si>
    <t>https://api.textmebot.com/send.php?recipient=5491164872810&amp;apikey=xoF6EUkK31se&amp;text=Hola%20Andrea!%20%F0%9F%91%8B%20%0ATe%20env%C3%ADo%20la%20factura%20correspondiente%20por%20la%20prestaci%C3%B3n%20de%20servicios%20durante%20el%20per%C3%ADodo%2013%2F09%2F25%20al%2013%2F10%2F25.%20%0A%0A%F0%9F%93%8B%20*Detalles%20de%20la%20factura%3A*%20%0A%E2%80%A2%20N%C3%BAmero%3A%20%20%0A%E2%80%A2%20Fecha%20de%20Emisi%C3%B3n%3A%2022%2F10%2F25%20%0A%E2%80%A2%20Fecha%20de%20Vencimiento%3A%2028%2F10%2F25%20%0A%E2%80%A2%20Monto%20Total%3A%20%24%20423.%0A%20%20%0A%0A%F0%9F%92%BC%20*Cuenta%20para%20el%20dep%C3%B3sito%3A*-%20Titular%3A%20Adrian%20Patriarca%0A-%20Banco%3A%20Citibank%0A-%20Moneda%3A%20USD%0A-%20Direcci%C3%B3n%20del%20Banco%3A%20111%20Wall%20Street%20New%20York%2C%20NY%2010043%20USA%0A-%20N%C3%BAmero%20de%20enrutamiento%20de%20ABA%3A%20031100209%0A-%20C%C3%B3digo%20SWIFT%3A%20CITIUS33%0A-%20N%C3%BAmero%20de%20cuenta%3A%2070580840001795095%0ATe%20agradecer%C3%ADa%20si%20me%20confirm%C3%A1s%20la%20recepci%C3%B3n%20y%20me%20avis%C3%A1s%20una%20fecha%20estimada%20de%20pago.%20%F0%9F%98%8A%20%0A%0ADesde%20ya%2C%20muchas%20gracias!</t>
  </si>
  <si>
    <t>10/23/2025 09:00:09</t>
  </si>
  <si>
    <t>10/23/2025 15:56:23</t>
  </si>
  <si>
    <t>Facturación_Files_/7d99e748.DOCUMENTO.185546.pdf</t>
  </si>
  <si>
    <t>Hola Gastón! 👋 
Te envío la factura correspondiente por la prestación de servicios durante el período 21/09/25 al 21/10/25. 
📋 *Detalles de la factura:* 
• Número:  
• Fecha de Emisión: 23/10/25 
• Fecha de Vencimiento: 31/10/25 
• Monto Total: $ 593000.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</si>
  <si>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https://api.textmebot.com/send.php?recipient=5493492527138&amp;apikey=xoF6EUkK31se&amp;document=https%3A%2F%2Fdrive.google.com%2Ffile%2Fd%2F1amyFm-cm6JC2eK0cjOJmhltZY1xsysf8</t>
  </si>
  <si>
    <t>https://api.textmebot.com/send.php?recipient=5493492527138&amp;apikey=xoF6EUkK31se&amp;text=Hola%20Gast%C3%B3n!%20%F0%9F%91%8B%20%0ATe%20env%C3%ADo%20la%20factura%20correspondiente%20por%20la%20prestaci%C3%B3n%20de%20servicios%20durante%20el%20per%C3%ADodo%2021%2F09%2F25%20al%2021%2F10%2F25.%20%0A%0A%F0%9F%93%8B%20*Detalles%20de%20la%20factura%3A*%20%0A%E2%80%A2%20N%C3%BAmero%3A%20%20%0A%E2%80%A2%20Fecha%20de%20Emisi%C3%B3n%3A%2023%2F10%2F25%20%0A%E2%80%A2%20Fecha%20de%20Vencimiento%3A%2031%2F10%2F25%20%0A%E2%80%A2%20Monto%20Total%3A%20%24%20593000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</si>
  <si>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10/27/2025 08:27:40</t>
  </si>
  <si>
    <t>Facturación_Files_/bc025275.FACTURA 1.112620.pdf</t>
  </si>
  <si>
    <t>ApsolAPP/Invoice/Natión_220.pdf</t>
  </si>
  <si>
    <t>Hola Juan! 👋 
Te envío la factura correspondiente por la prestación de servicios durante el período 22/09/25 al 22/10/25. 
📋 *Detalles de la factura:* 
• Número:  
• Fecha de Emisión: 27/10/25 
• Fecha de Vencimiento: 06/11/25 
• Monto Total: $ 315000.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</si>
  <si>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https://api.textmebot.com/send.php?recipient=5493424770891&amp;apikey=xoF6EUkK31se&amp;document=https%3A%2F%2Fdrive.google.com%2Ffile%2Fd%2F1ECqumtB9LutHdX9f6GGCXRwK2ec12K_k</t>
  </si>
  <si>
    <t>https://api.textmebot.com/send.php?recipient=5493424770891&amp;apikey=xoF6EUkK31se&amp;document=https%3A%2F%2Fdrive.google.com%2Ffile%2Fd%2F1QMZNH_2pnKHQdXFADUpG-AY2gRzzQPFk</t>
  </si>
  <si>
    <t>https://api.textmebot.com/send.php?recipient=5493424770891&amp;apikey=xoF6EUkK31se&amp;text=Hola%20Juan!%20%F0%9F%91%8B%20%0ATe%20env%C3%ADo%20la%20factura%20correspondiente%20por%20la%20prestaci%C3%B3n%20de%20servicios%20durante%20el%20per%C3%ADodo%2022%2F09%2F25%20al%2022%2F10%2F25.%20%0A%0A%F0%9F%93%8B%20*Detalles%20de%20la%20factura%3A*%20%0A%E2%80%A2%20N%C3%BAmero%3A%20%20%0A%E2%80%A2%20Fecha%20de%20Emisi%C3%B3n%3A%2027%2F10%2F25%20%0A%E2%80%A2%20Fecha%20de%20Vencimiento%3A%2006%2F11%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</si>
  <si>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10/27/2025 09:00:05</t>
  </si>
  <si>
    <t>Hola Martin! 👋 
 Espero que todo esté yendo bien. Quisiera recordarte que aún no hemos recibido el pago correspondiente a la factura N° 57 emitida el 16/10/25. 
📋 *Detalles de la factura:* 
• Número: 57 
• Vencimiento: 23/10/25 
• Monto total: $28800.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</si>
  <si>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5491171282725&amp;apikey=xoF6EUkK31se&amp;text=Hola%20Martin!%20%F0%9F%91%8B%20%0A%20Espero%20que%20todo%20est%C3%A9%20yendo%20bien.%20Quisiera%20recordarte%20que%20a%C3%BAn%20no%20hemos%20recibido%20el%20pago%20correspondiente%20a%20la%20factura%20N%C2%B0%2057%20emitida%20el%2016%2F10%2F25.%20%0A%0A%F0%9F%93%8B%20*Detalles%20de%20la%20factura%3A*%20%0A%E2%80%A2%20N%C3%BAmero%3A%2057%20%0A%E2%80%A2%20Vencimiento%3A%2023%2F10%2F25%20%0A%E2%80%A2%20Monto%20total%3A%20%2428800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</si>
  <si>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10/30/2025 09:00:04</t>
  </si>
  <si>
    <t>Hola Estefania! 👋 
 Espero que todo esté yendo bien. Quisiera recordarte que aún no hemos recibido el pago correspondiente a la factura N°  emitida el 16/10/25. 
📋 *Detalles de la factura:* 
• Número:  
• Vencimiento: 28/10/25 
• Monto total: $1127000. 
💼 *Cuenta a depositar:*- CUIT: 2033122879
- Titular: Adrian Patriarca
- Alias: Efectivo
- Banco: Efectivo
Adjunto encontrarás la factura para tu referencia. 
Si ya has realizado el pago, por favor, ignora este mensaje. 
Gracias por tu pronta atención a este asunto. 
APSOL - Consultoría Empresarial</t>
  </si>
  <si>
    <t>https://api.textmebot.com/send.php?recipient=5493493661975&amp;apikey=xoF6EUkK31se&amp;text=Hola%20Estefania!%20%F0%9F%91%8B%20%0A%20Espero%20que%20todo%20est%C3%A9%20yendo%20bien.%20Quisiera%20recordarte%20que%20a%C3%BAn%20no%20hemos%20recibido%20el%20pago%20correspondiente%20a%20la%20factura%20N%C2%B0%20%20emitida%20el%2016%2F10%2F25.%20%0A%0A%F0%9F%93%8B%20*Detalles%20de%20la%20factura%3A*%20%0A%E2%80%A2%20N%C3%BAmero%3A%20%20%0A%E2%80%A2%20Vencimiento%3A%2028%2F10%2F25%20%0A%E2%80%A2%20Monto%20total%3A%20%241127000.%20%0A%0A%F0%9F%92%BC%20*Cuenta%20a%20depositar%3A*-%20CUIT%3A%202033122879%0A-%20Titular%3A%20Adrian%20Patriarca%0A-%20Alias%3A%20Efectivo%0A-%20Banco%3A%20Efectivo%0AAdjunto%20encontrar%C3%A1s%20la%20factura%20para%20tu%20referencia.%20%0A%0ASi%20ya%20has%20realizado%20el%20pago%2C%20por%20favor%2C%20ignora%20este%20mensaje.%20%0A%0AGracias%20por%20tu%20pronta%20atenci%C3%B3n%20a%20este%20asunto.%20%0A%0AAPSOL%20-%20Consultor%C3%ADa%20Empresarial</t>
  </si>
  <si>
    <t>Hola Andrea! 👋 
 Espero que todo esté yendo bien. Quisiera recordarte que aún no hemos recibido el pago correspondiente a la factura N°  emitida el 22/10/25. 
📋 *Detalles de la factura:* 
• Número:  
• Vencimiento: 28/10/25 
• Monto total: $423. 
💼 *Cuenta a depositar:*- Titular: Adrian Patriarca
- Banco: Citibank
- Moneda: USD
- Dirección del Banco: 111 Wall Street New York, NY 10043 USA
- Número de enrutamiento de ABA: 031100209
- Código SWIFT: CITIUS33
- Número de cuenta: 70580840001795095
Adjunto encontrarás la factura para tu referencia. 
Si ya has realizado el pago, por favor, ignora este mensaje. 
Gracias por tu pronta atención a este asunto. 
APSOL - Consultoría Empresarial</t>
  </si>
  <si>
    <t>https://api.textmebot.com/send.php?recipient=5491164872810&amp;apikey=xoF6EUkK31se&amp;text=Hola%20Andrea!%20%F0%9F%91%8B%20%0A%20Espero%20que%20todo%20est%C3%A9%20yendo%20bien.%20Quisiera%20recordarte%20que%20a%C3%BAn%20no%20hemos%20recibido%20el%20pago%20correspondiente%20a%20la%20factura%20N%C2%B0%20%20emitida%20el%2022%2F10%2F25.%20%0A%0A%F0%9F%93%8B%20*Detalles%20de%20la%20factura%3A*%20%0A%E2%80%A2%20N%C3%BAmero%3A%20%20%0A%E2%80%A2%20Vencimiento%3A%2028%2F10%2F25%20%0A%E2%80%A2%20Monto%20total%3A%20%24423.%20%0A%0A%F0%9F%92%BC%20*Cuenta%20a%20depositar%3A*-%20Titular%3A%20Adrian%20Patriarca%0A-%20Banco%3A%20Citibank%0A-%20Moneda%3A%20USD%0A-%20Direcci%C3%B3n%20del%20Banco%3A%20111%20Wall%20Street%20New%20York%2C%20NY%2010043%20USA%0A-%20N%C3%BAmero%20de%20enrutamiento%20de%20ABA%3A%20031100209%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</si>
  <si>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10/31/2025 09:00:04</t>
  </si>
  <si>
    <t>Hola Gonzalo! 👋 
 Espero que todo esté yendo bien. Quisiera recordarte que aún no hemos recibido el pago correspondiente a la factura N° 203 emitida el 20/10/25. 
📋 *Detalles de la factura:* 
• Número: 203 
• Vencimiento: 29/10/25 
• Monto total: $950000.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</si>
  <si>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5493425295451&amp;apikey=xoF6EUkK31se&amp;text=Hola%20Gonzalo!%20%F0%9F%91%8B%20%0A%20Espero%20que%20todo%20est%C3%A9%20yendo%20bien.%20Quisiera%20recordarte%20que%20a%C3%BAn%20no%20hemos%20recibido%20el%20pago%20correspondiente%20a%20la%20factura%20N%C2%B0%20203%20emitida%20el%2020%2F10%2F25.%20%0A%0A%F0%9F%93%8B%20*Detalles%20de%20la%20factura%3A*%20%0A%E2%80%A2%20N%C3%BAmero%3A%20203%20%0A%E2%80%A2%20Vencimiento%3A%2029%2F10%2F25%20%0A%E2%80%A2%20Monto%20total%3A%20%24950000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</si>
  <si>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11/04/2025 14:03:31</t>
  </si>
  <si>
    <t>Facturación_Files_/e5a4ca79.FACTURA 1.170305.pdf</t>
  </si>
  <si>
    <t>ApsolAPP/Invoice/Dg Distribuciones_221.pdf</t>
  </si>
  <si>
    <t>Hola Ignacio! 👋 
Te envío la factura correspondiente por la prestación de servicios durante el período 04/10/25 al 04/11/25. 
📋 *Detalles de la factura:* 
• Número: 58 
• Fecha de Emisión: 04/11/25 
• Fecha de Vencimiento: 11/11/25 
• Monto Total: $ 1437000.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</si>
  <si>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https://api.textmebot.com/send.php?recipient=5493425225459&amp;apikey=xoF6EUkK31se&amp;document=https%3A%2F%2Fdrive.google.com%2Ffile%2Fd%2F1gkwW8402UYGDSsGxPW4ITzmiJddQvmNb</t>
  </si>
  <si>
    <t>https://api.textmebot.com/send.php?recipient=5493425225459&amp;apikey=xoF6EUkK31se&amp;document=https%3A%2F%2Fdrive.google.com%2Ffile%2Fd%2F1kjGisovSakCHMTpEGaZxhd9XW-vod2Hr</t>
  </si>
  <si>
    <t>https://api.textmebot.com/send.php?recipient=5493425225459&amp;apikey=xoF6EUkK31se&amp;text=Hola%20Ignacio!%20%F0%9F%91%8B%20%0ATe%20env%C3%ADo%20la%20factura%20correspondiente%20por%20la%20prestaci%C3%B3n%20de%20servicios%20durante%20el%20per%C3%ADodo%2004%2F10%2F25%20al%2004%2F11%2F25.%20%0A%0A%F0%9F%93%8B%20*Detalles%20de%20la%20factura%3A*%20%0A%E2%80%A2%20N%C3%BAmero%3A%2058%20%0A%E2%80%A2%20Fecha%20de%20Emisi%C3%B3n%3A%2004%2F11%2F25%20%0A%E2%80%A2%20Fecha%20de%20Vencimiento%3A%2011%2F11%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</si>
  <si>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11/04/2025 14:18:56</t>
  </si>
  <si>
    <t>1166128341</t>
  </si>
  <si>
    <t>Facturación_Files_/b05412f5.FACTURA 1.171833.pdf</t>
  </si>
  <si>
    <t>ApsolAPP/Invoice/ISAA_222.pdf</t>
  </si>
  <si>
    <t>Hola Sergio! 👋 
Te envío la factura correspondiente por la prestación de servicios durante el período 18/10/25 al 19/11/25. 
📋 *Detalles de la factura:* 
• Número: 206 
• Fecha de Emisión: 04/11/25 
• Fecha de Vencimiento: 10/11/25 
• Monto Total: $ 700000.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</si>
  <si>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https://api.textmebot.com/send.php?recipient=5491166128341&amp;apikey=xoF6EUkK31se&amp;document=https%3A%2F%2Fdrive.google.com%2Ffile%2Fd%2F1QLm-Nae8wBVwmnmNGyJK_C6C-lWZPAuL</t>
  </si>
  <si>
    <t>https://api.textmebot.com/send.php?recipient=5491166128341&amp;apikey=xoF6EUkK31se&amp;document=https%3A%2F%2Fdrive.google.com%2Ffile%2Fd%2F1CBGcRjzpPHnzOpAjNnXsqkTIXhWiBu6I</t>
  </si>
  <si>
    <t>https://api.textmebot.com/send.php?recipient=5491166128341&amp;apikey=xoF6EUkK31se&amp;text=Hola%20Sergio!%20%F0%9F%91%8B%20%0ATe%20env%C3%ADo%20la%20factura%20correspondiente%20por%20la%20prestaci%C3%B3n%20de%20servicios%20durante%20el%20per%C3%ADodo%2018%2F10%2F25%20al%2019%2F11%2F25.%20%0A%0A%F0%9F%93%8B%20*Detalles%20de%20la%20factura%3A*%20%0A%E2%80%A2%20N%C3%BAmero%3A%20206%20%0A%E2%80%A2%20Fecha%20de%20Emisi%C3%B3n%3A%2004%2F11%2F25%20%0A%E2%80%A2%20Fecha%20de%20Vencimiento%3A%2010%2F11%2F25%20%0A%E2%80%A2%20Monto%20Total%3A%20%24%20700000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</si>
  <si>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11/04/2025 19:14:43</t>
  </si>
  <si>
    <t>3498478357</t>
  </si>
  <si>
    <t>Facturación_Files_/cbb61003.FACTURA 1.221427.pdf</t>
  </si>
  <si>
    <t>ApsolAPP/Invoice/A todo Color_223.pdf</t>
  </si>
  <si>
    <t>Hola Marcelo! 👋 
Te envío la factura correspondiente por la prestación de servicios durante el período 01/10/25 al 01/11/25. 
📋 *Detalles de la factura:* 
• Número: 207 
• Fecha de Emisión: 04/11/25 
• Fecha de Vencimiento: 11/11/25 
• Monto Total: $ 970000.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</si>
  <si>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https://api.textmebot.com/send.php?recipient=5493498478357&amp;apikey=xoF6EUkK31se&amp;document=https%3A%2F%2Fdrive.google.com%2Ffile%2Fd%2F1QMxC53QO_kyB-t5k1aOVOnQXppq2LYf-</t>
  </si>
  <si>
    <t>https://api.textmebot.com/send.php?recipient=5493498478357&amp;apikey=xoF6EUkK31se&amp;document=https%3A%2F%2Fdrive.google.com%2Ffile%2Fd%2F1SM4q7mLDDzU0gHVjs95gZ3RkYxuweJc_</t>
  </si>
  <si>
    <t>https://api.textmebot.com/send.php?recipient=5493498478357&amp;apikey=xoF6EUkK31se&amp;text=Hola%20Marcelo!%20%F0%9F%91%8B%20%0ATe%20env%C3%ADo%20la%20factura%20correspondiente%20por%20la%20prestaci%C3%B3n%20de%20servicios%20durante%20el%20per%C3%ADodo%2001%2F10%2F25%20al%2001%2F11%2F25.%20%0A%0A%F0%9F%93%8B%20*Detalles%20de%20la%20factura%3A*%20%0A%E2%80%A2%20N%C3%BAmero%3A%20207%20%0A%E2%80%A2%20Fecha%20de%20Emisi%C3%B3n%3A%2004%2F11%2F25%20%0A%E2%80%A2%20Fecha%20de%20Vencimiento%3A%2011%2F11%2F25%20%0A%E2%80%A2%20Monto%20Total%3A%20%24%20970000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</si>
  <si>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11/05/2025 09:00:04</t>
  </si>
  <si>
    <t>11/07/2025 09:00:04</t>
  </si>
  <si>
    <t>11/10/2025 13:29:33</t>
  </si>
  <si>
    <t>Facturación_Files_/84990545.FACTURA 1.162913.pdf</t>
  </si>
  <si>
    <t>ApsolAPP/Invoice/Metalurgica HQ_224.pdf</t>
  </si>
  <si>
    <t>Hola Alan! 👋 
Te envío la factura correspondiente por la prestación de servicios durante el período 07/10/25 al 07/11/25. 
📋 *Detalles de la factura:* 
• Número: 59 
• Fecha de Emisión: 10/11/25 
• Fecha de Vencimiento: 17/11/25 
• Monto Total: $ 459000.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</si>
  <si>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https://api.textmebot.com/send.php?recipient=5493521639222&amp;apikey=xoF6EUkK31se&amp;document=https%3A%2F%2Fdrive.google.com%2Ffile%2Fd%2F1ALl3i7qvb74mZBh3oSAGkqXwYn2j6Yq4</t>
  </si>
  <si>
    <t>https://api.textmebot.com/send.php?recipient=5493521639222&amp;apikey=xoF6EUkK31se&amp;document=https%3A%2F%2Fdrive.google.com%2Ffile%2Fd%2F1EKkklvUK-7mlYRWPgUN98lM2GTDIQ9uR</t>
  </si>
  <si>
    <t>https://api.textmebot.com/send.php?recipient=5493521639222&amp;apikey=xoF6EUkK31se&amp;text=Hola%20Alan!%20%F0%9F%91%8B%20%0ATe%20env%C3%ADo%20la%20factura%20correspondiente%20por%20la%20prestaci%C3%B3n%20de%20servicios%20durante%20el%20per%C3%ADodo%2007%2F10%2F25%20al%2007%2F11%2F25.%20%0A%0A%F0%9F%93%8B%20*Detalles%20de%20la%20factura%3A*%20%0A%E2%80%A2%20N%C3%BAmero%3A%2059%20%0A%E2%80%A2%20Fecha%20de%20Emisi%C3%B3n%3A%2010%2F11%2F25%20%0A%E2%80%A2%20Fecha%20de%20Vencimiento%3A%2017%2F11%2F25%20%0A%E2%80%A2%20Monto%20Total%3A%20%24%20459000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</si>
  <si>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11/10/2025 15:45:18</t>
  </si>
  <si>
    <t>Facturación_Files_/13da0b0d.FACTURA 1.184500.pdf</t>
  </si>
  <si>
    <t>ApsolAPP/Invoice/Escobar_225.pdf</t>
  </si>
  <si>
    <t>Hola Pablo! 👋 
Te envío la factura correspondiente por la prestación de servicios durante el período 08/10/25 al 08/11/25. 
📋 *Detalles de la factura:* 
• Número: 208 
• Fecha de Emisión: 10/11/25 
• Fecha de Vencimiento: 18/11/25 
• Monto Total: $ 1342000.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</si>
  <si>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https://api.textmebot.com/send.php?recipient=5493424791582&amp;apikey=xoF6EUkK31se&amp;document=https%3A%2F%2Fdrive.google.com%2Ffile%2Fd%2F1FMGe9GP3WFVNcaHXpRQ52S9AlEjNVIka</t>
  </si>
  <si>
    <t>https://api.textmebot.com/send.php?recipient=5493424791582&amp;apikey=xoF6EUkK31se&amp;document=https%3A%2F%2Fdrive.google.com%2Ffile%2Fd%2F1qCXaboA-Xlbvu9pagwdccrLkPv0nCJnX</t>
  </si>
  <si>
    <t>https://api.textmebot.com/send.php?recipient=5493424791582&amp;apikey=xoF6EUkK31se&amp;text=Hola%20Pablo!%20%F0%9F%91%8B%20%0ATe%20env%C3%ADo%20la%20factura%20correspondiente%20por%20la%20prestaci%C3%B3n%20de%20servicios%20durante%20el%20per%C3%ADodo%2008%2F10%2F25%20al%2008%2F11%2F25.%20%0A%0A%F0%9F%93%8B%20*Detalles%20de%20la%20factura%3A*%20%0A%E2%80%A2%20N%C3%BAmero%3A%20208%20%0A%E2%80%A2%20Fecha%20de%20Emisi%C3%B3n%3A%2010%2F11%2F25%20%0A%E2%80%A2%20Fecha%20de%20Vencimiento%3A%2018%2F11%2F25%20%0A%E2%80%A2%20Monto%20Total%3A%20%24%201342000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</si>
  <si>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11/10/2025 15:51:43</t>
  </si>
  <si>
    <t>Facturación_Files_/2d35e875.FACTURA 1.185126.pdf</t>
  </si>
  <si>
    <t>ApsolAPP/Invoice/El Norte_226.pdf</t>
  </si>
  <si>
    <t>Hola Martin! 👋 
Te envío la factura correspondiente por la prestación de servicios durante el período 06/10/25 al 06/11/25. 
📋 *Detalles de la factura:* 
• Número: 60 
• Fecha de Emisión: 10/11/25 
• Fecha de Vencimiento: 19/11/25 
• Monto Total: $ 668000.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</si>
  <si>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https://api.textmebot.com/send.php?recipient=5493425389073&amp;apikey=xoF6EUkK31se&amp;document=https%3A%2F%2Fdrive.google.com%2Ffile%2Fd%2F1H_wdOSRkL17NxoL20NNCwQrfrklsPYGi</t>
  </si>
  <si>
    <t>https://api.textmebot.com/send.php?recipient=5493425389073&amp;apikey=xoF6EUkK31se&amp;document=https%3A%2F%2Fdrive.google.com%2Ffile%2Fd%2F1MWUMls1h1xudZOj6vLNbVzuTKFCa9q43</t>
  </si>
  <si>
    <t>https://api.textmebot.com/send.php?recipient=5493425389073&amp;apikey=xoF6EUkK31se&amp;text=Hola%20Martin!%20%F0%9F%91%8B%20%0ATe%20env%C3%ADo%20la%20factura%20correspondiente%20por%20la%20prestaci%C3%B3n%20de%20servicios%20durante%20el%20per%C3%ADodo%2006%2F10%2F25%20al%2006%2F11%2F25.%20%0A%0A%F0%9F%93%8B%20*Detalles%20de%20la%20factura%3A*%20%0A%E2%80%A2%20N%C3%BAmero%3A%2060%20%0A%E2%80%A2%20Fecha%20de%20Emisi%C3%B3n%3A%2010%2F11%2F25%20%0A%E2%80%A2%20Fecha%20de%20Vencimiento%3A%2019%2F11%2F25%20%0A%E2%80%A2%20Monto%20Total%3A%20%24%20668000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</si>
  <si>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11/10/2025 15:58:03</t>
  </si>
  <si>
    <t>Facturación_Files_/2b844b97.FACTURA 1.185743.pdf</t>
  </si>
  <si>
    <t>ApsolAPP/Invoice/Insuga_227.pdf</t>
  </si>
  <si>
    <t>Hola Gonzalo! 👋 
Te envío la factura correspondiente por la prestación de servicios durante el período 28/09/25 al 28/10/25. 
📋 *Detalles de la factura:* 
• Número: 209 
• Fecha de Emisión: 10/11/25 
• Fecha de Vencimiento: 19/11/25 
• Monto Total: $ 950000.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</si>
  <si>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https://api.textmebot.com/send.php?recipient=5493425295451&amp;apikey=xoF6EUkK31se&amp;document=https%3A%2F%2Fdrive.google.com%2Ffile%2Fd%2F1dzTAGA8Qm66S0vMz6MtdTSlZuL1yfaGq</t>
  </si>
  <si>
    <t>https://api.textmebot.com/send.php?recipient=5493425295451&amp;apikey=xoF6EUkK31se&amp;document=https%3A%2F%2Fdrive.google.com%2Ffile%2Fd%2F1iiFWsIKd-p4lkvMd7Asq5NFJL-qNZLGi</t>
  </si>
  <si>
    <t>https://api.textmebot.com/send.php?recipient=5493425295451&amp;apikey=xoF6EUkK31se&amp;text=Hola%20Gonzalo!%20%F0%9F%91%8B%20%0ATe%20env%C3%ADo%20la%20factura%20correspondiente%20por%20la%20prestaci%C3%B3n%20de%20servicios%20durante%20el%20per%C3%ADodo%2028%2F09%2F25%20al%2028%2F10%2F25.%20%0A%0A%F0%9F%93%8B%20*Detalles%20de%20la%20factura%3A*%20%0A%E2%80%A2%20N%C3%BAmero%3A%20209%20%0A%E2%80%A2%20Fecha%20de%20Emisi%C3%B3n%3A%2010%2F11%2F25%20%0A%E2%80%A2%20Fecha%20de%20Vencimiento%3A%2019%2F11%2F25%20%0A%E2%80%A2%20Monto%20Total%3A%20%24%20950000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</si>
  <si>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11/13/2025 09:00:20</t>
  </si>
  <si>
    <t>Hola Ignacio! 👋 
 Espero que todo esté yendo bien. Quisiera recordarte que aún no hemos recibido el pago correspondiente a la factura N° 58 emitida el 04/11/25. 
📋 *Detalles de la factura:* 
• Número: 58 
• Vencimiento: 11/11/25 
• Monto total: $1437000.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</si>
  <si>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5493425225459&amp;apikey=xoF6EUkK31se&amp;text=Hola%20Ignacio!%20%F0%9F%91%8B%20%0A%20Espero%20que%20todo%20est%C3%A9%20yendo%20bien.%20Quisiera%20recordarte%20que%20a%C3%BAn%20no%20hemos%20recibido%20el%20pago%20correspondiente%20a%20la%20factura%20N%C2%B0%2058%20emitida%20el%2004%2F11%2F25.%20%0A%0A%F0%9F%93%8B%20*Detalles%20de%20la%20factura%3A*%20%0A%E2%80%A2%20N%C3%BAmero%3A%2058%20%0A%E2%80%A2%20Vencimiento%3A%2011%2F11%2F25%20%0A%E2%80%A2%20Monto%20total%3A%20%241437000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</si>
  <si>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11/13/2025 10:16:57</t>
  </si>
  <si>
    <t>Facturación_Files_/ab361ef0.FACTURA 1.131639.pdf</t>
  </si>
  <si>
    <t>ApsolAPP/Invoice/Refri Integral_228.pdf</t>
  </si>
  <si>
    <t>Hola Martin! 👋 
Te envío la factura correspondiente por la prestación de servicios durante el período 01/10/25 al 13/11/25. 
📋 *Detalles de la factura:* 
• Número: 61 
• Fecha de Emisión: 13/11/25 
• Fecha de Vencimiento: 20/11/25 
• Monto Total: $ 158400.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</si>
  <si>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https://api.textmebot.com/send.php?recipient=5491171282725&amp;apikey=xoF6EUkK31se&amp;document=https%3A%2F%2Fdrive.google.com%2Ffile%2Fd%2F1H12nA_LSJEqtdiTmKLY2J5nJWAqrVGTT</t>
  </si>
  <si>
    <t>https://api.textmebot.com/send.php?recipient=5491171282725&amp;apikey=xoF6EUkK31se&amp;document=https%3A%2F%2Fdrive.google.com%2Ffile%2Fd%2F1XHlUpuSpK9S4YXqFk2pycLRpwD8vMs3v</t>
  </si>
  <si>
    <t>https://api.textmebot.com/send.php?recipient=5491171282725&amp;apikey=xoF6EUkK31se&amp;text=Hola%20Martin!%20%F0%9F%91%8B%20%0ATe%20env%C3%ADo%20la%20factura%20correspondiente%20por%20la%20prestaci%C3%B3n%20de%20servicios%20durante%20el%20per%C3%ADodo%2001%2F10%2F25%20al%2013%2F11%2F25.%20%0A%0A%F0%9F%93%8B%20*Detalles%20de%20la%20factura%3A*%20%0A%E2%80%A2%20N%C3%BAmero%3A%2061%20%0A%E2%80%A2%20Fecha%20de%20Emisi%C3%B3n%3A%2013%2F11%2F25%20%0A%E2%80%A2%20Fecha%20de%20Vencimiento%3A%2020%2F11%2F25%20%0A%E2%80%A2%20Monto%20Total%3A%20%24%20158400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</si>
  <si>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11/13/2025 11:09:37</t>
  </si>
  <si>
    <t>1164305365</t>
  </si>
  <si>
    <t>ApsolAPP/Invoice/Mercería La Paloma_229.pdf</t>
  </si>
  <si>
    <t>Hola Fabrizio! 👋 
Te envío la factura correspondiente por la prestación de servicios durante el período 06/10/25 al 06/11/25. 
📋 *Detalles de la factura:* 
• Número:  
• Fecha de Emisión: 13/11/25 
• Fecha de Vencimiento: 19/11/25 
• Monto Total: $ 653000.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</si>
  <si>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https://api.textmebot.com/send.php?recipient=5491164305365&amp;apikey=xoF6EUkK31se&amp;document=https%3A%2F%2Fdrive.google.com%2Ffile%2Fd%2F1-1m_8ZDrev-A8uKwBWYDm6fsNTvVCBzY</t>
  </si>
  <si>
    <t>https://api.textmebot.com/send.php?recipient=5491164305365&amp;apikey=xoF6EUkK31se&amp;text=Hola%20Fabrizio!%20%F0%9F%91%8B%20%0ATe%20env%C3%ADo%20la%20factura%20correspondiente%20por%20la%20prestaci%C3%B3n%20de%20servicios%20durante%20el%20per%C3%ADodo%2006%2F10%2F25%20al%2006%2F11%2F25.%20%0A%0A%F0%9F%93%8B%20*Detalles%20de%20la%20factura%3A*%20%0A%E2%80%A2%20N%C3%BAmero%3A%20%20%0A%E2%80%A2%20Fecha%20de%20Emisi%C3%B3n%3A%2013%2F11%2F25%20%0A%E2%80%A2%20Fecha%20de%20Vencimiento%3A%2019%2F11%2F25%20%0A%E2%80%A2%20Monto%20Total%3A%20%24%20653000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</si>
  <si>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11/14/2025 09:00:05</t>
  </si>
  <si>
    <t>11/17/2025 09:00:04</t>
  </si>
  <si>
    <t>11/17/2025 11:25:09</t>
  </si>
  <si>
    <t>ApsolAPP/Invoice/Beamar Alimentos_230.pdf</t>
  </si>
  <si>
    <t>Hola Santiago! 👋 
Te envío la factura correspondiente por la prestación de servicios durante el período 15/11/25 al 15/12/25. 
📋 *Detalles de la factura:* 
• Número:  
• Fecha de Emisión: 17/11/25 
• Fecha de Vencimiento: 21/11/25 
• Monto Total: $ 236000.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</si>
  <si>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https://api.textmebot.com/send.php?recipient=5492665036264&amp;apikey=xoF6EUkK31se&amp;document=https%3A%2F%2Fdrive.google.com%2Ffile%2Fd%2F1OqSnIfd5CK768O9jGQ1QGzl7rs4Myolo</t>
  </si>
  <si>
    <t>https://api.textmebot.com/send.php?recipient=5492665036264&amp;apikey=xoF6EUkK31se&amp;text=Hola%20Santiago!%20%F0%9F%91%8B%20%0ATe%20env%C3%ADo%20la%20factura%20correspondiente%20por%20la%20prestaci%C3%B3n%20de%20servicios%20durante%20el%20per%C3%ADodo%2015%2F11%2F25%20al%2015%2F12%2F25.%20%0A%0A%F0%9F%93%8B%20*Detalles%20de%20la%20factura%3A*%20%0A%E2%80%A2%20N%C3%BAmero%3A%20%20%0A%E2%80%A2%20Fecha%20de%20Emisi%C3%B3n%3A%2017%2F11%2F25%20%0A%E2%80%A2%20Fecha%20de%20Vencimiento%3A%2021%2F11%2F25%20%0A%E2%80%A2%20Monto%20Total%3A%20%24%20236000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</si>
  <si>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11/17/2025 11:28:24</t>
  </si>
  <si>
    <t>Hola Santiago! 👋 
Te envío la factura correspondiente por la prestación de servicios durante el período 16/11/25 al 16/12/25. 
📋 *Detalles de la factura:* 
• Número:  
• Fecha de Emisión: 17/11/25 
• Fecha de Vencimiento: 21/11/25 
• Monto Total: $ 228800.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</si>
  <si>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5492665036264&amp;apikey=xoF6EUkK31se&amp;text=Hola%20Santiago!%20%F0%9F%91%8B%20%0ATe%20env%C3%ADo%20la%20factura%20correspondiente%20por%20la%20prestaci%C3%B3n%20de%20servicios%20durante%20el%20per%C3%ADodo%2016%2F11%2F25%20al%2016%2F12%2F25.%20%0A%0A%F0%9F%93%8B%20*Detalles%20de%20la%20factura%3A*%20%0A%E2%80%A2%20N%C3%BAmero%3A%20%20%0A%E2%80%A2%20Fecha%20de%20Emisi%C3%B3n%3A%2017%2F11%2F25%20%0A%E2%80%A2%20Fecha%20de%20Vencimiento%3A%2021%2F11%2F25%20%0A%E2%80%A2%20Monto%20Total%3A%20%24%20228800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</si>
  <si>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11/18/2025 09:00:03</t>
  </si>
  <si>
    <t>Hola Sergio! 👋 
 Espero que todo esté yendo bien. Quisiera recordarte que aún no hemos recibido el pago correspondiente a la factura N° 206 emitida el 04/11/25. 
📋 *Detalles de la factura:* 
• Número: 206 
• Vencimiento: 10/11/25 
• Monto total: $700000.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</si>
  <si>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5491166128341&amp;apikey=xoF6EUkK31se&amp;text=Hola%20Sergio!%20%F0%9F%91%8B%20%0A%20Espero%20que%20todo%20est%C3%A9%20yendo%20bien.%20Quisiera%20recordarte%20que%20a%C3%BAn%20no%20hemos%20recibido%20el%20pago%20correspondiente%20a%20la%20factura%20N%C2%B0%20206%20emitida%20el%2004%2F11%2F25.%20%0A%0A%F0%9F%93%8B%20*Detalles%20de%20la%20factura%3A*%20%0A%E2%80%A2%20N%C3%BAmero%3A%20206%20%0A%E2%80%A2%20Vencimiento%3A%2010%2F11%2F25%20%0A%E2%80%A2%20Monto%20total%3A%20%24700000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</si>
  <si>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11/19/2025 10:40:31</t>
  </si>
  <si>
    <t>Facturación_Files_/5635896a.FACTURA 1.134008.pdf</t>
  </si>
  <si>
    <t>ApsolAPP/Invoice/Natión_231.pdf</t>
  </si>
  <si>
    <t>Hola Marketing! 👋 
Te envío la factura correspondiente por la prestación de servicios durante el período 15/10/25 al 16/11/25. 
📋 *Detalles de la factura:* 
• Número: 210 
• Fecha de Emisión: 19/11/25 
• Fecha de Vencimiento: 01/12/25 
• Monto Total: $ 184000.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</si>
  <si>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https://api.textmebot.com/send.php?recipient=5493425380483&amp;apikey=xoF6EUkK31se&amp;document=https%3A%2F%2Fdrive.google.com%2Ffile%2Fd%2F1zMtsRKrGdjjb0-PjbA1KwIcIgN39SUMA</t>
  </si>
  <si>
    <t>https://api.textmebot.com/send.php?recipient=5493425380483&amp;apikey=xoF6EUkK31se&amp;document=https%3A%2F%2Fdrive.google.com%2Ffile%2Fd%2F1FospdJ3n7P_-Ro1MTf7HAywKKrcroTqH</t>
  </si>
  <si>
    <t>https://api.textmebot.com/send.php?recipient=5493425380483&amp;apikey=xoF6EUkK31se&amp;text=Hola%20Marketing!%20%F0%9F%91%8B%20%0ATe%20env%C3%ADo%20la%20factura%20correspondiente%20por%20la%20prestaci%C3%B3n%20de%20servicios%20durante%20el%20per%C3%ADodo%2015%2F10%2F25%20al%2016%2F11%2F25.%20%0A%0A%F0%9F%93%8B%20*Detalles%20de%20la%20factura%3A*%20%0A%E2%80%A2%20N%C3%BAmero%3A%20210%20%0A%E2%80%A2%20Fecha%20de%20Emisi%C3%B3n%3A%2019%2F11%2F25%20%0A%E2%80%A2%20Fecha%20de%20Vencimiento%3A%2001%2F12%2F25%20%0A%E2%80%A2%20Monto%20Total%3A%20%24%20184000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</si>
  <si>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11/19/2025 10:41:51</t>
  </si>
  <si>
    <t>ApsolAPP/Invoice/Amipack_232.pdf</t>
  </si>
  <si>
    <t>Hola Estefania! 👋 
Te envío la factura correspondiente por la prestación de servicios durante el período 09/10/25 al 10/11/25. 
📋 *Detalles de la factura:* 
• Número:  
• Fecha de Emisión: 19/11/25 
• Fecha de Vencimiento: 01/12/25 
• Monto Total: $ 1127000.
💼 *Cuenta para el depósito:*- CUIT: 2033122879
- Titular: Adrian Patriarca
- Alias: Efectivo
- Banco: Efectivo
Te agradecería si me confirmás la recepción y me avisás una fecha estimada de pago. 😊 
Desde ya, muchas gracias!</t>
  </si>
  <si>
    <t>https://api.textmebot.com/send.php?recipient=5493493661975&amp;apikey=xoF6EUkK31se&amp;document=https%3A%2F%2Fdrive.google.com%2Ffile%2Fd%2F151N-Sd3hqgkudc2EqZLqyfqYJaPi_wDc</t>
  </si>
  <si>
    <t>https://api.textmebot.com/send.php?recipient=5493493661975&amp;apikey=xoF6EUkK31se&amp;text=Hola%20Estefania!%20%F0%9F%91%8B%20%0ATe%20env%C3%ADo%20la%20factura%20correspondiente%20por%20la%20prestaci%C3%B3n%20de%20servicios%20durante%20el%20per%C3%ADodo%2009%2F10%2F25%20al%2010%2F11%2F25.%20%0A%0A%F0%9F%93%8B%20*Detalles%20de%20la%20factura%3A*%20%0A%E2%80%A2%20N%C3%BAmero%3A%20%20%0A%E2%80%A2%20Fecha%20de%20Emisi%C3%B3n%3A%2019%2F11%2F25%20%0A%E2%80%A2%20Fecha%20de%20Vencimiento%3A%2001%2F12%2F25%20%0A%E2%80%A2%20Monto%20Total%3A%20%24%201127000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t>
  </si>
  <si>
    <t>11/19/2025 11:50:48</t>
  </si>
  <si>
    <t>ApsolAPP/Invoice/Apsol_233.pdf</t>
  </si>
  <si>
    <t>Hola Adrian! 👋 
Te envío la factura correspondiente por la prestación de servicios durante el período 03/10/25 al 03/11/25. 
📋 *Detalles de la factura:* 
• Número:  
• Fecha de Emisión: 19/11/25 
• Fecha de Vencimiento: 26/11/25 
• Monto Total: $ 400000.
💼 *Cuenta para el depósito:*Te agradecería si me confirmás la recepción y me avisás una fecha estimada de pago. 😊 
Desde ya, muchas gracias!</t>
  </si>
  <si>
    <t>https://api.textmebot.com/send.php?recipient=5493424476596&amp;apikey=xoF6EUkK31se&amp;document=https%3A%2F%2Fdrive.google.com%2Ffile%2Fd%2F1J0D-wHu1t0HvJWzUbMaWfzjMYBTgbxcu</t>
  </si>
  <si>
    <t>https://api.textmebot.com/send.php?recipient=5493424476596&amp;apikey=xoF6EUkK31se&amp;text=Hola%20Adrian!%20%F0%9F%91%8B%20%0ATe%20env%C3%ADo%20la%20factura%20correspondiente%20por%20la%20prestaci%C3%B3n%20de%20servicios%20durante%20el%20per%C3%ADodo%2003%2F10%2F25%20al%2003%2F11%2F25.%20%0A%0A%F0%9F%93%8B%20*Detalles%20de%20la%20factura%3A*%20%0A%E2%80%A2%20N%C3%BAmero%3A%20%20%0A%E2%80%A2%20Fecha%20de%20Emisi%C3%B3n%3A%2019%2F11%2F25%20%0A%E2%80%A2%20Fecha%20de%20Vencimiento%3A%2026%2F11%2F25%20%0A%E2%80%A2%20Monto%20Total%3A%20%24%20400000.%0A%20%20%0A%0A%F0%9F%92%BC%20*Cuenta%20para%20el%20dep%C3%B3sito%3A*Te%20agradecer%C3%ADa%20si%20me%20confirm%C3%A1s%20la%20recepci%C3%B3n%20y%20me%20avis%C3%A1s%20una%20fecha%20estimada%20de%20pago.%20%F0%9F%98%8A%20%0A%0ADesde%20ya%2C%20muchas%20gracias!</t>
  </si>
  <si>
    <t>11/19/2025 14:41:02</t>
  </si>
  <si>
    <t>ApsolAPP/Invoice/OnTheRoad viajes_234.pdf</t>
  </si>
  <si>
    <t>Hola Andrea! 👋 
Te envío la factura correspondiente por la prestación de servicios durante el período 12/10/25 al 13/11/25. 
📋 *Detalles de la factura:* 
• Número:  
• Fecha de Emisión: 19/11/25 
• Fecha de Vencimiento: 25/11/25 
• Monto Total: $ 423.
💼 *Cuenta para el depósito:*- Titular: Adrian Patriarca
- Banco: Citibank
- Moneda: USD
- Dirección del Banco: 111 Wall Street New York, NY 10043 USA
- Número de enrutamiento de ABA: 031100209
- Código SWIFT: CITIUS33
- Número de cuenta: 70580840001795095
Te agradecería si me confirmás la recepción y me avisás una fecha estimada de pago. 😊 
Desde ya, muchas gracias!</t>
  </si>
  <si>
    <t>https://api.textmebot.com/send.php?recipient=5491164872810&amp;apikey=xoF6EUkK31se&amp;document=https%3A%2F%2Fdrive.google.com%2Ffile%2Fd%2F1duGlqdqr8NLbUFFYmZBYU7YxSYtuX1w5</t>
  </si>
  <si>
    <t>https://api.textmebot.com/send.php?recipient=5491164872810&amp;apikey=xoF6EUkK31se&amp;text=Hola%20Andrea!%20%F0%9F%91%8B%20%0ATe%20env%C3%ADo%20la%20factura%20correspondiente%20por%20la%20prestaci%C3%B3n%20de%20servicios%20durante%20el%20per%C3%ADodo%2012%2F10%2F25%20al%2013%2F11%2F25.%20%0A%0A%F0%9F%93%8B%20*Detalles%20de%20la%20factura%3A*%20%0A%E2%80%A2%20N%C3%BAmero%3A%20%20%0A%E2%80%A2%20Fecha%20de%20Emisi%C3%B3n%3A%2019%2F11%2F25%20%0A%E2%80%A2%20Fecha%20de%20Vencimiento%3A%2025%2F11%2F25%20%0A%E2%80%A2%20Monto%20Total%3A%20%24%20423.%0A%20%20%0A%0A%F0%9F%92%BC%20*Cuenta%20para%20el%20dep%C3%B3sito%3A*-%20Titular%3A%20Adrian%20Patriarca%0A-%20Banco%3A%20Citibank%0A-%20Moneda%3A%20USD%0A-%20Direcci%C3%B3n%20del%20Banco%3A%20111%20Wall%20Street%20New%20York%2C%20NY%2010043%20USA%0A-%20N%C3%BAmero%20de%20enrutamiento%20de%20ABA%3A%20031100209%0A-%20C%C3%B3digo%20SWIFT%3A%20CITIUS33%0A-%20N%C3%BAmero%20de%20cuenta%3A%2070580840001795095%0ATe%20agradecer%C3%ADa%20si%20me%20confirm%C3%A1s%20la%20recepci%C3%B3n%20y%20me%20avis%C3%A1s%20una%20fecha%20estimada%20de%20pago.%20%F0%9F%98%8A%20%0A%0ADesde%20ya%2C%20muchas%20gracias!</t>
  </si>
  <si>
    <t>11/19/2025 16:25:07</t>
  </si>
  <si>
    <t>Facturación_Files_/5afdb11c.FACTURA 1.192449.pdf</t>
  </si>
  <si>
    <t>ApsolAPP/Invoice/Conexion Market_235.pdf</t>
  </si>
  <si>
    <t>Hola Noelia! 👋 
Te envío la factura correspondiente por la prestación de servicios durante el período 16/10/25 al 17/11/25. 
📋 *Detalles de la factura:* 
• Número: 211 
• Fecha de Emisión: 19/11/25 
• Fecha de Vencimiento: 25/11/25 
• Monto Total: $ 1050000.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</si>
  <si>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https://api.textmebot.com/send.php?recipient=5493413077374&amp;apikey=xoF6EUkK31se&amp;document=https%3A%2F%2Fdrive.google.com%2Ffile%2Fd%2F1tBEYZErXJZIrfe5IriBX8hnHBHjlky8X</t>
  </si>
  <si>
    <t>https://api.textmebot.com/send.php?recipient=5493413077374&amp;apikey=xoF6EUkK31se&amp;document=https%3A%2F%2Fdrive.google.com%2Ffile%2Fd%2F1QPx8TkU7eakVibMO5SOVwqCgjFFcv001</t>
  </si>
  <si>
    <t>https://api.textmebot.com/send.php?recipient=5493413077374&amp;apikey=xoF6EUkK31se&amp;text=Hola%20Noelia!%20%F0%9F%91%8B%20%0ATe%20env%C3%ADo%20la%20factura%20correspondiente%20por%20la%20prestaci%C3%B3n%20de%20servicios%20durante%20el%20per%C3%ADodo%2016%2F10%2F25%20al%2017%2F11%2F25.%20%0A%0A%F0%9F%93%8B%20*Detalles%20de%20la%20factura%3A*%20%0A%E2%80%A2%20N%C3%BAmero%3A%20211%20%0A%E2%80%A2%20Fecha%20de%20Emisi%C3%B3n%3A%2019%2F11%2F25%20%0A%E2%80%A2%20Fecha%20de%20Vencimiento%3A%2025%2F11%2F25%20%0A%E2%80%A2%20Monto%20Total%3A%20%24%201050000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</si>
  <si>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11/20/2025 09:00:03</t>
  </si>
  <si>
    <t>Hola Pablo! 👋 
 Espero que todo esté yendo bien. Quisiera recordarte que aún no hemos recibido el pago correspondiente a la factura N° 208 emitida el 10/11/25. 
📋 *Detalles de la factura:* 
• Número: 208 
• Vencimiento: 18/11/25 
• Monto total: $1342000.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</si>
  <si>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5493424791582&amp;apikey=xoF6EUkK31se&amp;text=Hola%20Pablo!%20%F0%9F%91%8B%20%0A%20Espero%20que%20todo%20est%C3%A9%20yendo%20bien.%20Quisiera%20recordarte%20que%20a%C3%BAn%20no%20hemos%20recibido%20el%20pago%20correspondiente%20a%20la%20factura%20N%C2%B0%20208%20emitida%20el%2010%2F11%2F25.%20%0A%0A%F0%9F%93%8B%20*Detalles%20de%20la%20factura%3A*%20%0A%E2%80%A2%20N%C3%BAmero%3A%20208%20%0A%E2%80%A2%20Vencimiento%3A%2018%2F11%2F25%20%0A%E2%80%A2%20Monto%20total%3A%20%241342000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</si>
  <si>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11/20/2025 18:44:34</t>
  </si>
  <si>
    <t>Facturación_Files_/0f3e7086.FACTURA 1.214417.pdf</t>
  </si>
  <si>
    <t>ApsolAPP/Invoice/Laboratorío Roca_236.pdf</t>
  </si>
  <si>
    <t>Hola Nelson! 👋 
Te envío la factura correspondiente por la prestación de servicios durante el período 09/10/25 al 10/11/25. 
📋 *Detalles de la factura:* 
• Número: 62 
• Fecha de Emisión: 20/11/25 
• Fecha de Vencimiento: 26/11/25 
• Monto Total: $ 527000.
💼 *Cuenta para el depósito:*- CUIT: 20305727785
- Titular: SEBASTIAN GASTON WOLF
- Cbu: 1430001713033201820014
- Alias: apsol.consultoria
- Banco: BRUBANK
Te agradecería si me confirmás la recepción y me avisás una fecha estimada de pago. 😊 
Desde ya, muchas gracias!</t>
  </si>
  <si>
    <t>https://api.textmebot.com/send.php?recipient=5491141908925&amp;apikey=xoF6EUkK31se&amp;document=https%3A%2F%2Fdrive.google.com%2Ffile%2Fd%2F1BvwNJx1Zqn8gafN7bsBdyzZsvFgmt-Sa</t>
  </si>
  <si>
    <t>https://api.textmebot.com/send.php?recipient=5491141908925&amp;apikey=xoF6EUkK31se&amp;document=https%3A%2F%2Fdrive.google.com%2Ffile%2Fd%2F1sKj6VOfutVfKk-JtR1ZiVm3aGL78sG7k</t>
  </si>
  <si>
    <t>https://api.textmebot.com/send.php?recipient=5491141908925&amp;apikey=xoF6EUkK31se&amp;text=Hola%20Nelson!%20%F0%9F%91%8B%20%0ATe%20env%C3%ADo%20la%20factura%20correspondiente%20por%20la%20prestaci%C3%B3n%20de%20servicios%20durante%20el%20per%C3%ADodo%2009%2F10%2F25%20al%2010%2F11%2F25.%20%0A%0A%F0%9F%93%8B%20*Detalles%20de%20la%20factura%3A*%20%0A%E2%80%A2%20N%C3%BAmero%3A%2062%20%0A%E2%80%A2%20Fecha%20de%20Emisi%C3%B3n%3A%2020%2F11%2F25%20%0A%E2%80%A2%20Fecha%20de%20Vencimiento%3A%2026%2F11%2F25%20%0A%E2%80%A2%20Monto%20Total%3A%20%24%20527000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</si>
  <si>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11/21/2025 09:00:04</t>
  </si>
  <si>
    <t>Hola Gonzalo! 👋 
 Espero que todo esté yendo bien. Quisiera recordarte que aún no hemos recibido el pago correspondiente a la factura N° 209 emitida el 10/11/25. 
📋 *Detalles de la factura:* 
• Número: 209 
• Vencimiento: 19/11/25 
• Monto total: $950000.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</si>
  <si>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5493425295451&amp;apikey=xoF6EUkK31se&amp;text=Hola%20Gonzalo!%20%F0%9F%91%8B%20%0A%20Espero%20que%20todo%20est%C3%A9%20yendo%20bien.%20Quisiera%20recordarte%20que%20a%C3%BAn%20no%20hemos%20recibido%20el%20pago%20correspondiente%20a%20la%20factura%20N%C2%B0%20209%20emitida%20el%2010%2F11%2F25.%20%0A%0A%F0%9F%93%8B%20*Detalles%20de%20la%20factura%3A*%20%0A%E2%80%A2%20N%C3%BAmero%3A%20209%20%0A%E2%80%A2%20Vencimiento%3A%2019%2F11%2F25%20%0A%E2%80%A2%20Monto%20total%3A%20%24950000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</si>
  <si>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11/24/2025 09:00:03</t>
  </si>
  <si>
    <t>Hola Martin! 👋 
 Espero que todo esté yendo bien. Quisiera recordarte que aún no hemos recibido el pago correspondiente a la factura N° 61 emitida el 13/11/25. 
📋 *Detalles de la factura:* 
• Número: 61 
• Vencimiento: 20/11/25 
• Monto total: $158400.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</si>
  <si>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https://api.textmebot.com/send.php?recipient=5491171282725&amp;apikey=xoF6EUkK31se&amp;text=Hola%20Martin!%20%F0%9F%91%8B%20%0A%20Espero%20que%20todo%20est%C3%A9%20yendo%20bien.%20Quisiera%20recordarte%20que%20a%C3%BAn%20no%20hemos%20recibido%20el%20pago%20correspondiente%20a%20la%20factura%20N%C2%B0%2061%20emitida%20el%2013%2F11%2F25.%20%0A%0A%F0%9F%93%8B%20*Detalles%20de%20la%20factura%3A*%20%0A%E2%80%A2%20N%C3%BAmero%3A%2061%20%0A%E2%80%A2%20Vencimiento%3A%2020%2F11%2F25%20%0A%E2%80%A2%20Monto%20total%3A%20%24158400.%20%0A%0A%F0%9F%92%BC%20*Cuenta%20a%20depositar%3A*-%20CUIT%3A%2020305727785%0A-%20Titular%3A%20SEBASTIAN%20GASTON%20WOLF%0A-%20Cbu%3A%201430001713033201820014%0A-%20Alias%3A%20apsol.consultoria%0A-%20Banco%3A%20BRUBANK%0AAdjunto%20encontrar%C3%A1s%20la%20factura%20para%20tu%20referencia.%20%0A%0ASi%20ya%20has%20realizado%20el%20pago%2C%20por%20favor%2C%20ignora%20este%20mensaje.%20%0A%0AGracias%20por%20tu%20pronta%20atenci%C3%B3n%20a%20este%20asunto.%20%0A%0AAPSOL%20-%20Consultor%C3%ADa%20Empresarial</t>
  </si>
  <si>
    <t>11/25/2025 14:57:30</t>
  </si>
  <si>
    <t>Facturación_Files_/23bde8eb.FACTURA 1.175712.pdf</t>
  </si>
  <si>
    <t>ApsolAPP/Invoice/Natión_237.pdf</t>
  </si>
  <si>
    <t>Hola Juan! 👋 
Te envío la factura correspondiente por la prestación de servicios durante el período 21/10/25 al 22/11/25. 
📋 *Detalles de la factura:* 
• Número: 212 
• Fecha de Emisión: 25/11/25 
• Fecha de Vencimiento: 05/12/25 
• Monto Total: $ 315000.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</si>
  <si>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https://api.textmebot.com/send.php?recipient=5493424770891&amp;apikey=xoF6EUkK31se&amp;document=https%3A%2F%2Fdrive.google.com%2Ffile%2Fd%2F1Pl_NGoDPPRrCrngL0GVp-Z2TqfvnqX3i</t>
  </si>
  <si>
    <t>https://api.textmebot.com/send.php?recipient=5493424770891&amp;apikey=xoF6EUkK31se&amp;document=https%3A%2F%2Fdrive.google.com%2Ffile%2Fd%2F168RY4h8nTUZ2obgBM1pP9FXQupenkwZ9</t>
  </si>
  <si>
    <t>https://api.textmebot.com/send.php?recipient=5493424770891&amp;apikey=xoF6EUkK31se&amp;text=Hola%20Juan!%20%F0%9F%91%8B%20%0ATe%20env%C3%ADo%20la%20factura%20correspondiente%20por%20la%20prestaci%C3%B3n%20de%20servicios%20durante%20el%20per%C3%ADodo%2021%2F10%2F25%20al%2022%2F11%2F25.%20%0A%0A%F0%9F%93%8B%20*Detalles%20de%20la%20factura%3A*%20%0A%E2%80%A2%20N%C3%BAmero%3A%20212%20%0A%E2%80%A2%20Fecha%20de%20Emisi%C3%B3n%3A%2025%2F11%2F25%20%0A%E2%80%A2%20Fecha%20de%20Vencimiento%3A%2005%2F12%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</si>
  <si>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11/26/2025 09:00:05</t>
  </si>
  <si>
    <t>Hola Sergio! 👋 
 Espero que todo esté yendo bien. Quisiera recordarte que aún no hemos recibido el pago correspondiente a la factura N° 206 emitida el 20/11/25. 
📋 *Detalles de la factura:* 
• Número: 206 
• Vencimiento: 26/11/25 
• Monto total: $700000.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</si>
  <si>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5491166128341&amp;apikey=xoF6EUkK31se&amp;text=Hola%20Sergio!%20%F0%9F%91%8B%20%0A%20Espero%20que%20todo%20est%C3%A9%20yendo%20bien.%20Quisiera%20recordarte%20que%20a%C3%BAn%20no%20hemos%20recibido%20el%20pago%20correspondiente%20a%20la%20factura%20N%C2%B0%20206%20emitida%20el%2020%2F11%2F25.%20%0A%0A%F0%9F%93%8B%20*Detalles%20de%20la%20factura%3A*%20%0A%E2%80%A2%20N%C3%BAmero%3A%20206%20%0A%E2%80%A2%20Vencimiento%3A%2026%2F11%2F25%20%0A%E2%80%A2%20Monto%20total%3A%20%24700000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</si>
  <si>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11/27/2025 09:00:05</t>
  </si>
  <si>
    <t>Hola Andrea! 👋 
 Espero que todo esté yendo bien. Quisiera recordarte que aún no hemos recibido el pago correspondiente a la factura N°  emitida el 19/11/25. 
📋 *Detalles de la factura:* 
• Número:  
• Vencimiento: 25/11/25 
• Monto total: $423. 
💼 *Cuenta a depositar:*- Titular: Adrian Patriarca
- Banco: Citibank
- Moneda: USD
- Dirección del Banco: 111 Wall Street New York, NY 10043 USA
- Número de enrutamiento de ABA: 031100209
- Código SWIFT: CITIUS33
- Número de cuenta: 70580840001795095
Adjunto encontrarás la factura para tu referencia. 
Si ya has realizado el pago, por favor, ignora este mensaje. 
Gracias por tu pronta atención a este asunto. 
APSOL - Consultoría Empresarial</t>
  </si>
  <si>
    <t>https://api.textmebot.com/send.php?recipient=5491164872810&amp;apikey=xoF6EUkK31se&amp;text=Hola%20Andrea!%20%F0%9F%91%8B%20%0A%20Espero%20que%20todo%20est%C3%A9%20yendo%20bien.%20Quisiera%20recordarte%20que%20a%C3%BAn%20no%20hemos%20recibido%20el%20pago%20correspondiente%20a%20la%20factura%20N%C2%B0%20%20emitida%20el%2019%2F11%2F25.%20%0A%0A%F0%9F%93%8B%20*Detalles%20de%20la%20factura%3A*%20%0A%E2%80%A2%20N%C3%BAmero%3A%20%20%0A%E2%80%A2%20Vencimiento%3A%2025%2F11%2F25%20%0A%E2%80%A2%20Monto%20total%3A%20%24423.%20%0A%0A%F0%9F%92%BC%20*Cuenta%20a%20depositar%3A*-%20Titular%3A%20Adrian%20Patriarca%0A-%20Banco%3A%20Citibank%0A-%20Moneda%3A%20USD%0A-%20Direcci%C3%B3n%20del%20Banco%3A%20111%20Wall%20Street%20New%20York%2C%20NY%2010043%20USA%0A-%20N%C3%BAmero%20de%20enrutamiento%20de%20ABA%3A%20031100209%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</si>
  <si>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12/03/2025 09:00:03</t>
  </si>
  <si>
    <t>Hola Marketing! 👋 
 Espero que todo esté yendo bien. Quisiera recordarte que aún no hemos recibido el pago correspondiente a la factura N° 210 emitida el 19/11/25. 
📋 *Detalles de la factura:* 
• Número: 210 
• Vencimiento: 01/12/25 
• Monto total: $184000.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</si>
  <si>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ttps://api.textmebot.com/send.php?recipient=5493425380483&amp;apikey=xoF6EUkK31se&amp;text=Hola%20Marketing!%20%F0%9F%91%8B%20%0A%20Espero%20que%20todo%20est%C3%A9%20yendo%20bien.%20Quisiera%20recordarte%20que%20a%C3%BAn%20no%20hemos%20recibido%20el%20pago%20correspondiente%20a%20la%20factura%20N%C2%B0%20210%20emitida%20el%2019%2F11%2F25.%20%0A%0A%F0%9F%93%8B%20*Detalles%20de%20la%20factura%3A*%20%0A%E2%80%A2%20N%C3%BAmero%3A%20210%20%0A%E2%80%A2%20Vencimiento%3A%2001%2F12%2F25%20%0A%E2%80%A2%20Monto%20total%3A%20%24184000.%20%0A%0A%F0%9F%92%BC%20*Cuenta%20a%20depositar%3A*-%20CUIT%3A%2020331228797%0A-%20Titular%3A%20PATRIARCA%20ADRIAN%20CARLOS%0A-%20Cbu%3A%20110491630049195615179%0A-%20Alias%3A%20apsol.consultora%0A-%20Banco%3A%20Banco%20Naci%C3%B3n%0AAdjunto%20encontrar%C3%A1s%20la%20factura%20para%20tu%20referencia.%20%0A%0ASi%20ya%20has%20realizado%20el%20pago%2C%20por%20favor%2C%20ignora%20este%20mensaje.%20%0A%0AGracias%20por%20tu%20pronta%20atenci%C3%B3n%20a%20este%20asunto.%20%0A%0AAPSOL%20-%20Consultor%C3%ADa%20Empresarial</t>
  </si>
  <si>
    <t>12/03/2025 17:09:06</t>
  </si>
  <si>
    <t>Facturación_Files_/79f0f3f4.FACTURA 1.200847.pdf</t>
  </si>
  <si>
    <t>ApsolAPP/Invoice/A todo Color_238.pdf</t>
  </si>
  <si>
    <t>Hola Marcelo! 👋 
Te envío la factura correspondiente por la prestación de servicios durante el período 01/11/25 al 01/12/25. 
📋 *Detalles de la factura:* 
• Número: 213 
• Fecha de Emisión: 03/12/25 
• Fecha de Vencimiento: 10/12/25 
• Monto Total: $ 970000.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</si>
  <si>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https://api.textmebot.com/send.php?recipient=5493498478357&amp;apikey=xoF6EUkK31se&amp;document=https%3A%2F%2Fdrive.google.com%2Ffile%2Fd%2F1sEIUUXsrcRcgJH4mwXqVIPgFcy31Ff9x</t>
  </si>
  <si>
    <t>https://api.textmebot.com/send.php?recipient=5493498478357&amp;apikey=xoF6EUkK31se&amp;document=https%3A%2F%2Fdrive.google.com%2Ffile%2Fd%2F1fBKr57659G5AfsFep2_zzyTQ6J2HQl5B</t>
  </si>
  <si>
    <t>https://api.textmebot.com/send.php?recipient=5493498478357&amp;apikey=xoF6EUkK31se&amp;text=Hola%20Marcelo!%20%F0%9F%91%8B%20%0ATe%20env%C3%ADo%20la%20factura%20correspondiente%20por%20la%20prestaci%C3%B3n%20de%20servicios%20durante%20el%20per%C3%ADodo%2001%2F11%2F25%20al%2001%2F12%2F25.%20%0A%0A%F0%9F%93%8B%20*Detalles%20de%20la%20factura%3A*%20%0A%E2%80%A2%20N%C3%BAmero%3A%20213%20%0A%E2%80%A2%20Fecha%20de%20Emisi%C3%B3n%3A%2003%2F12%2F25%20%0A%E2%80%A2%20Fecha%20de%20Vencimiento%3A%2010%2F12%2F25%20%0A%E2%80%A2%20Monto%20Total%3A%20%24%20970000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</si>
  <si>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12/05/2025 09:00:05</t>
  </si>
  <si>
    <t>12/12/2025 10:20:31</t>
  </si>
  <si>
    <t>Facturación_Files_/056642c0.FACTURA 1.132006.pdf</t>
  </si>
  <si>
    <t>ApsolAPP/Invoice/Apsol_240.pdf</t>
  </si>
  <si>
    <t>Hola Adrian! 👋 
Te envío la factura correspondiente por la prestación de servicios durante el período 03/11/25 al 03/12/25. 
📋 *Detalles de la factura:* 
• Número: 12 
• Fecha de Emisión: 12/12/25 
• Fecha de Vencimiento: 19/12/25 
• Monto Total: $ 400000.
💼 *Cuenta para el depósito:*- CUIT: 20331228797
- Titular: PATRIARCA ADRIAN CARLOS
- Cbu: 110491630049195615179
- Alias: apsol.consultora
- Banco: Banco Nación
Te agradecería si me confirmás la recepción y me avisás una fecha estimada de pago. 😊 
Desde ya, muchas gracias!</t>
  </si>
  <si>
    <t>https://api.textmebot.com/send.php?recipient=5493424476596&amp;apikey=xoF6EUkK31se&amp;document=https%3A%2F%2Fdrive.google.com%2Ffile%2Fd%2F15orl0jURJOHSdrarWZh50B1YLAaKX9z_</t>
  </si>
  <si>
    <t>https://api.textmebot.com/send.php?recipient=5493424476596&amp;apikey=xoF6EUkK31se&amp;document=https%3A%2F%2Fdrive.google.com%2Ffile%2Fd%2F1_WCqci7h9ZqIMVngYMkUGYugKUFqWs5y</t>
  </si>
  <si>
    <t>https://api.textmebot.com/send.php?recipient=5493424476596&amp;apikey=xoF6EUkK31se&amp;text=Hola%20Adrian!%20%F0%9F%91%8B%20%0ATe%20env%C3%ADo%20la%20factura%20correspondiente%20por%20la%20prestaci%C3%B3n%20de%20servicios%20durante%20el%20per%C3%ADodo%2003%2F11%2F25%20al%2003%2F12%2F25.%20%0A%0A%F0%9F%93%8B%20*Detalles%20de%20la%20factura%3A*%20%0A%E2%80%A2%20N%C3%BAmero%3A%2012%20%0A%E2%80%A2%20Fecha%20de%20Emisi%C3%B3n%3A%2012%2F12%2F25%20%0A%E2%80%A2%20Fecha%20de%20Vencimiento%3A%2019%2F12%2F25%20%0A%E2%80%A2%20Monto%20Total%3A%20%24%20400000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</si>
  <si>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12/12/2025 10:23:07</t>
  </si>
  <si>
    <t>ApsolAPP/Invoice/Apsol_241.pdf</t>
  </si>
  <si>
    <t>Hola Adrian! 👋 
Te envío la factura correspondiente por la prestación de servicios durante el período 03/11/25 al 03/12/25. 
📋 *Detalles de la factura:* 
• Número:  
• Fecha de Emisión: 12/12/25 
• Fecha de Vencimiento: 19/12/25 
• Monto Total: $ 400000.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</si>
  <si>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https://drive.google.com/uc?export=download&amp;id=1eN51s2jvxvVMpujpQzRAmaIvdlwUlNHb</t>
  </si>
  <si>
    <t>https://api.textmebot.com/send.php?recipient=5493424476596&amp;apikey=xoF6EUkK31se&amp;text=Hola%20Adrian!%20%F0%9F%91%8B%20%0ATe%20env%C3%ADo%20la%20factura%20correspondiente%20por%20la%20prestaci%C3%B3n%20de%20servicios%20durante%20el%20per%C3%ADodo%2003%2F11%2F25%20al%2003%2F12%2F25.%20%0A%0A%F0%9F%93%8B%20*Detalles%20de%20la%20factura%3A*%20%0A%E2%80%A2%20N%C3%BAmero%3A%20%20%0A%E2%80%A2%20Fecha%20de%20Emisi%C3%B3n%3A%2012%2F12%2F25%20%0A%E2%80%A2%20Fecha%20de%20Vencimiento%3A%2019%2F12%2F25%20%0A%E2%80%A2%20Monto%20Total%3A%20%24%20400000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t>
  </si>
  <si>
    <t>Facturación_Files_/c4cfbb4e.FACTURA 1.224409.pdf</t>
  </si>
  <si>
    <t>https://drive.google.com/uc?export=download&amp;id=15orl0jURJOHSdrarWZh50B1YLAaKX9z_</t>
  </si>
  <si>
    <t>https://drive.google.com/uc?export=download&amp;id=1_WCqci7h9ZqIMVngYMkUGYugKUFqWs5y</t>
  </si>
  <si>
    <t>https://drive.google.com/uc?export=download&amp;id=1go07VIG8-MXbf-VbYDv6g2iJVukz8ux1</t>
  </si>
  <si>
    <t>12/12/2025 11:28:20</t>
  </si>
  <si>
    <t>Facturación_Files_/b2968c51.FACTURA 1.142758.pdf</t>
  </si>
  <si>
    <t>Facturación_Files_/b2968c51.FACTURA 2.142758.pdf</t>
  </si>
  <si>
    <t>Facturación_Files_/b2968c51.FACTURA 3.142758.pdf</t>
  </si>
  <si>
    <t>ApsolAPP/Invoice/Apsol_242.pdf</t>
  </si>
  <si>
    <t>https://drive.google.com/uc?export=download&amp;id=1beSjxHgeRt7btvQUtmuqgkNmbXAN591g</t>
  </si>
  <si>
    <t>https://drive.google.com/uc?export=download&amp;id=1JGjPlUrXLmACOt8dXR3SnYHdh2H6dKTB</t>
  </si>
  <si>
    <t>https://drive.google.com/uc?export=download&amp;id=1r7zrPWE1Tq-c8N2MKutnJrNZbZmDWcc6</t>
  </si>
  <si>
    <t>https://drive.google.com/uc?export=download&amp;id=11yH93sjsvefda26N-78NOxwYcJYWbBr8</t>
  </si>
  <si>
    <t>12/12/2025 11:42:50</t>
  </si>
  <si>
    <t>https://drive.google.com/uc?export=download&amp;id=1Nyxqp9yLNMintYAMoRjP7swR6RgBniRJ</t>
  </si>
  <si>
    <t>12/12/2025 14:43:09</t>
  </si>
  <si>
    <t>12/12/2025 12:28:58</t>
  </si>
  <si>
    <t>Facturación_Files_/f97e0fbb.FACTURA 1.152841.pdf</t>
  </si>
  <si>
    <t>ApsolAPP/Invoice/Metalurgica HQ_241.pdf</t>
  </si>
  <si>
    <t>Hola Alan! 👋 
Te envío la factura correspondiente por la prestación de servicios durante el período 07/11/25 al 07/12/25. 
📋 *Detalles de la factura:* 
• Número: 64 
• Fecha de Emisión: 12/12/25 
• Fecha de Vencimiento: 19/12/25 
• Monto Total: $ 459000.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</si>
  <si>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https://drive.google.com/uc?export=download&amp;id=15L6YQ8Cex6H4tMYHkNXL8lqwjW8ih1OE</t>
  </si>
  <si>
    <t>https://drive.google.com/uc?export=download&amp;id=1Cew50zbj-tbCovFkWvgg02hwfGJxFP-0</t>
  </si>
  <si>
    <t>12/12/2025 14:45:16</t>
  </si>
  <si>
    <t>Hola Adrian! 👋 
 Espero que todo esté yendo bien. Quisiera recordarte que aún no hemos recibido el pago correspondiente a la factura N° 12 emitida el 12/12/25. 
📋 *Detalles de la factura:* 
• Número: 12 
• Vencimiento: 19/12/25 
• Monto total: $400000.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</si>
  <si>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12/09/2025 19:44:25</t>
  </si>
  <si>
    <t>ApsolAPP/Invoice/Dg Distribuciones_239.pdf</t>
  </si>
  <si>
    <t>Hola Ignacio! 👋 
Te envío la factura correspondiente por la prestación de servicios durante el período 04/11/25 al 04/12/25. 
📋 *Detalles de la factura:* 
• Número: 63 
• Fecha de Emisión: 09/12/25 
• Fecha de Vencimiento: 16/12/25 
• Monto Total: $ 1437000.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</si>
  <si>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https://drive.google.com/uc?export=download&amp;id=1Cy4Xz5ET6sPyipiDLNMjjaS8ZqwM3dAm</t>
  </si>
  <si>
    <t>https://api.textmebot.com/send.php?recipient=5493425225459&amp;apikey=xoF6EUkK31se&amp;text=Hola%20Ignacio!%20%F0%9F%91%8B%20%0ATe%20env%C3%ADo%20la%20factura%20correspondiente%20por%20la%20prestaci%C3%B3n%20de%20servicios%20durante%20el%20per%C3%ADodo%2004%2F11%2F25%20al%2004%2F12%2F25.%20%0A%0A%F0%9F%93%8B%20*Detalles%20de%20la%20factura%3A*%20%0A%E2%80%A2%20N%C3%BAmero%3A%2063%20%0A%E2%80%A2%20Fecha%20de%20Emisi%C3%B3n%3A%2009%2F12%2F25%20%0A%E2%80%A2%20Fecha%20de%20Vencimiento%3A%2016%2F12%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t>
  </si>
  <si>
    <t>12/12/2025 13:01:42</t>
  </si>
  <si>
    <t>Facturación_Files_/2b644e7b.FACTURA 1.160124.pdf</t>
  </si>
  <si>
    <t>ApsolAPP/Invoice/Insuga_242.pdf</t>
  </si>
  <si>
    <t>Hola Gonzalo! 👋 
Te envío la factura correspondiente por la prestación de servicios durante el período 28/10/25 al 28/11/25. 
📋 *Detalles de la factura:* 
• Número: 214 
• Fecha de Emisión: 12/12/25 
• Fecha de Vencimiento: 23/12/25 
• Monto Total: $ 950000.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</si>
  <si>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https://drive.google.com/uc?export=download&amp;id=16mL0VauyhWfGXODz-WpCDSbQzAZRBXqV</t>
  </si>
  <si>
    <t>https://drive.google.com/uc?export=download&amp;id=1eqSqSHQ9NWfTBJx4D7u6GvlE9VTRaPXU</t>
  </si>
  <si>
    <t>12/12/2025 13:43:43</t>
  </si>
  <si>
    <t>Facturación_Files_/66b366ac.FACTURA 1.164326.pdf</t>
  </si>
  <si>
    <t>ApsolAPP/Invoice/Escobar_243.pdf</t>
  </si>
  <si>
    <t>Hola Pablo! 👋 
Te envío la factura correspondiente por la prestación de servicios durante el período 08/11/25 al 08/12/25. 
📋 *Detalles de la factura:* 
• Número: 215 
• Fecha de Emisión: 12/12/25 
• Fecha de Vencimiento: 22/12/25 
• Monto Total: $ 1342000.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</si>
  <si>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https://drive.google.com/uc?export=download&amp;id=10LvyziZ2rgSN3DcwDLaYyg1N7kq9l4Jm</t>
  </si>
  <si>
    <t>https://drive.google.com/uc?export=download&amp;id=134mkZkWQucd3U4l3_uGcsajgqUEGghoh</t>
  </si>
  <si>
    <t>12/12/2025 13:50:47</t>
  </si>
  <si>
    <t>ApsolAPP/Invoice/Mercería La Paloma_244.pdf</t>
  </si>
  <si>
    <t>Hola Fabrizio! 👋 
Te envío la factura correspondiente por la prestación de servicios durante el período 06/11/25 al 06/12/25. 
📋 *Detalles de la factura:* 
• Número:  
• Fecha de Emisión: 12/12/25 
• Fecha de Vencimiento: 18/12/25 
• Monto Total: $ 653000.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</si>
  <si>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https://drive.google.com/uc?export=download&amp;id=1Kbb7I8rNHvvSeURprJkK-MtQugEUrgfA</t>
  </si>
  <si>
    <t>12/12/2025 14:17:55</t>
  </si>
  <si>
    <t>ApsolAPP/Invoice/Amipack_245.pdf</t>
  </si>
  <si>
    <t>Hola Estefania! 👋 
Te envío la factura correspondiente por la prestación de servicios durante el período 09/11/25 al 10/12/25. 
📋 *Detalles de la factura:* 
• Número:  
• Fecha de Emisión: 12/12/25 
• Fecha de Vencimiento: 24/12/25 
• Monto Total: $ 1127000.
💼 *Cuenta para el depósito:*- CUIT: 2033122879
- Titular: Adrian Patriarca
- Alias: Efectivo
- Banco: Efectivo
Te agradecería si me confirmás la recepción y me avisás una fecha estimada de pago. 😊 
Desde ya, muchas gracias!</t>
  </si>
  <si>
    <t>https://drive.google.com/uc?export=download&amp;id=19KQw1r5JdlhJgqZ61Sc89-cJVtxJ_Cfx</t>
  </si>
  <si>
    <t>12/15/2025 10:15:00</t>
  </si>
  <si>
    <t>Facturación_Files_/3fc979d0.FACTURA 1.131442.pdf</t>
  </si>
  <si>
    <t>ApsolAPP/Invoice/El Norte_246.pdf</t>
  </si>
  <si>
    <t>Hola Martin! 👋 
Te envío la factura correspondiente por la prestación de servicios durante el período 06/11/25 al 06/12/25. 
📋 *Detalles de la factura:* 
• Número: 65 
• Fecha de Emisión: 15/12/25 
• Fecha de Vencimiento: 24/12/25 
• Monto Total: $ 683000.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</si>
  <si>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https://drive.google.com/uc?export=download&amp;id=1AM41YUNj1V2zKrV04mDNE_HoBFP_jGX8</t>
  </si>
  <si>
    <t>https://drive.google.com/uc?export=download&amp;id=1tEoaMp9HNoujcQjtMsxiMCe69DH9K4Vg</t>
  </si>
  <si>
    <t>12/15/2025 10:55:31</t>
  </si>
  <si>
    <t>Facturación_Files_/3b040fc4.FACTURA 1.135516.pdf</t>
  </si>
  <si>
    <t>ApsolAPP/Invoice/Refri Integral_247.pdf</t>
  </si>
  <si>
    <t>Hola Martin! 👋 
Te envío la factura correspondiente por la prestación de servicios durante el período 14/11/25 al 14/12/25. 
📋 *Detalles de la factura:* 
• Número: 66 
• Fecha de Emisión: 15/12/25 
• Fecha de Vencimiento: 22/12/25 
• Monto Total: $ 476800.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</si>
  <si>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https://drive.google.com/uc?export=download&amp;id=1X9NE8N6NLvbGW5dz6YS4GcEbR5KdLo-A</t>
  </si>
  <si>
    <t>https://drive.google.com/uc?export=download&amp;id=1E_7sh86YvoCBH7sIKPCHPiDm84vTZigY</t>
  </si>
  <si>
    <t>12/18/2025 13:01:18</t>
  </si>
  <si>
    <t>ApsolAPP/Invoice/Beamar Alimentos_248.pdf</t>
  </si>
  <si>
    <t>Hola Santiago! 👋 
Te envío la factura correspondiente por la prestación de servicios durante el período 16/12/25 al 16/01/26. 
📋 *Detalles de la factura:* 
• Número:  
• Fecha de Emisión: 18/12/25 
• Fecha de Vencimiento: 24/12/25 
• Monto Total: $ 236000.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</si>
  <si>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https://drive.google.com/uc?export=download&amp;id=1zThyIPtrTY5hrZgxiAIGcW3LUkPmh7Ur</t>
  </si>
  <si>
    <t>12/18/2025 13:05:04</t>
  </si>
  <si>
    <t>Facturación_Files_/f501fedc.FACTURA 1.160448.pdf</t>
  </si>
  <si>
    <t>ApsolAPP/Invoice/Conexion Market_249.pdf</t>
  </si>
  <si>
    <t>Hola Noelia! 👋 
Te envío la factura correspondiente por la prestación de servicios durante el período 16/11/25 al 17/12/25. 
📋 *Detalles de la factura:* 
• Número: 216 
• Fecha de Emisión: 18/12/25 
• Fecha de Vencimiento: 24/12/25 
• Monto Total: $ 1050000.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</si>
  <si>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https://drive.google.com/uc?export=download&amp;id=10l2504_nnITMKZTSMoA-UTjfMDJEmSRR</t>
  </si>
  <si>
    <t>https://drive.google.com/uc?export=download&amp;id=1HvpMK6Ae8ERpaasWENDKvJDyGLSw2i8x</t>
  </si>
  <si>
    <t>12/18/2025 13:09:23</t>
  </si>
  <si>
    <t>Facturación_Files_/796bf9c5.FACTURA 1.160905.pdf</t>
  </si>
  <si>
    <t>ApsolAPP/Invoice/Laboratorío Roca_250.pdf</t>
  </si>
  <si>
    <t>Hola Nelson! 👋 
Te envío la factura correspondiente por la prestación de servicios durante el período 09/11/25 al 10/12/25. 
📋 *Detalles de la factura:* 
• Número: 67 
• Fecha de Emisión: 18/12/25 
• Fecha de Vencimiento: 24/12/25 
• Monto Total: $ 527000.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</si>
  <si>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https://drive.google.com/uc?export=download&amp;id=1OAEx5DiHjP6DdAK6_VZazEqfM6SOkpzm</t>
  </si>
  <si>
    <t>https://drive.google.com/uc?export=download&amp;id=1XDrUwGklJOd3gXjc4w0HwfZRBoIlq5-2</t>
  </si>
  <si>
    <t>12/18/2025 13:18:32</t>
  </si>
  <si>
    <t>ApsolAPP/Invoice/OnTheRoad viajes_251.pdf</t>
  </si>
  <si>
    <t>Hola Andrea! 👋 
Te envío la factura correspondiente por la prestación de servicios durante el período 12/11/25 al 13/12/25. 
📋 *Detalles de la factura:* 
• Número:  
• Fecha de Emisión: 18/12/25 
• Fecha de Vencimiento: 24/12/25 
• Monto Total: $ 423.
💼 *Cuenta para el depósito:*- Titular: Adrian Carlos Patriarca
- Banco: Lead Bank
- Moneda: USD
- Dirección del Banco: 1801 Main St, Kansas City, MO, 64108
- Número de enrutamiento de ABA: 101019644
- Código SWIFT: -
- Número de cuenta: 212606055954
Te agradecería si me confirmás la recepción y me avisás una fecha estimada de pago. 😊 
Desde ya, muchas gracias!</t>
  </si>
  <si>
    <t>https://drive.google.com/uc?export=download&amp;id=1C-8r3rcYuk99dF6d6Pqz3zwvNcUqKn8Y</t>
  </si>
  <si>
    <t>12/18/2025 13:54:20</t>
  </si>
  <si>
    <t>Facturación_Files_/e0f04f9f.FACTURA 1.165403.pdf</t>
  </si>
  <si>
    <t>ApsolAPP/Invoice/Natión_252.pdf</t>
  </si>
  <si>
    <t>Hola Marketing! 👋 
Te envío la factura correspondiente por la prestación de servicios durante el período 15/11/25 al 16/12/25. 
📋 *Detalles de la factura:* 
• Número: 217 
• Fecha de Emisión: 18/12/25 
• Fecha de Vencimiento: 30/12/25 
• Monto Total: $ 158000.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</si>
  <si>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https://drive.google.com/uc?export=download&amp;id=1jIAQSBYbiFN078ix0ebGJSF9zHJXYS1e</t>
  </si>
  <si>
    <t>https://drive.google.com/uc?export=download&amp;id=1WSp3QPEIWkC8lc8a8EN6spGQtz1V4jjL</t>
  </si>
  <si>
    <t>12/22/2025 12:10:46</t>
  </si>
  <si>
    <t>Facturación_Files_/29502cd2.FACTURA 1.151025.pdf</t>
  </si>
  <si>
    <t>ApsolAPP/Invoice/ISAA_253.pdf</t>
  </si>
  <si>
    <t>Hola Sergio! 👋 
Te envío la factura correspondiente por la prestación de servicios durante el período 18/11/25 al 19/12/25. 
📋 *Detalles de la factura:* 
• Número: 218 
• Fecha de Emisión: 22/12/25 
• Fecha de Vencimiento: 26/12/25 
• Monto Total: $ 700000.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</si>
  <si>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https://drive.google.com/uc?export=download&amp;id=1fN6QDCsSaBvqPqTGdhwjXDewkbB-SxKH</t>
  </si>
  <si>
    <t>https://drive.google.com/uc?export=download&amp;id=1ypcxNebEUFoqDiC8NJKcP7GKh22po0GA</t>
  </si>
  <si>
    <t>12/23/2025 15:50:07</t>
  </si>
  <si>
    <t>Facturación_Files_/3561f9e1.FACTURA 1.184951.pdf</t>
  </si>
  <si>
    <t>ApsolAPP/Invoice/Natión_254.pdf</t>
  </si>
  <si>
    <t>Hola Juan! 👋 
Te envío la factura correspondiente por la prestación de servicios durante el período 21/11/25 al 22/12/25. 
📋 *Detalles de la factura:* 
• Número: 219 
• Fecha de Emisión: 23/12/25 
• Fecha de Vencimiento: 02/01/26 
• Monto Total: $ 355000.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</si>
  <si>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https://drive.google.com/uc?export=download&amp;id=1e5ePtKS59O_b7NKApAZqlikjvuKdF7xy</t>
  </si>
  <si>
    <t>https://drive.google.com/uc?export=download&amp;id=1UMQxg71EfHyakQy6nIp7oCVjvoa_GcB2</t>
  </si>
  <si>
    <t>12/24/2025 09:00:03</t>
  </si>
  <si>
    <t>Hola Pablo! 👋 
 Espero que todo esté yendo bien. Quisiera recordarte que aún no hemos recibido el pago correspondiente a la factura N° 215 emitida el 12/12/25. 
📋 *Detalles de la factura:* 
• Número: 215 
• Vencimiento: 22/12/25 
• Monto total: $1342000.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</si>
  <si>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Hola Martin! 👋 
 Espero que todo esté yendo bien. Quisiera recordarte que aún no hemos recibido el pago correspondiente a la factura N° 66 emitida el 15/12/25. 
📋 *Detalles de la factura:* 
• Número: 66 
• Vencimiento: 22/12/25 
• Monto total: $476800.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</si>
  <si>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12/25/2025 09:00:03</t>
  </si>
  <si>
    <t>Hola Gonzalo! 👋 
 Espero que todo esté yendo bien. Quisiera recordarte que aún no hemos recibido el pago correspondiente a la factura N° 214 emitida el 12/12/25. 
📋 *Detalles de la factura:* 
• Número: 214 
• Vencimiento: 23/12/25 
• Monto total: $950000.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</si>
  <si>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12/26/2025 09:00:04</t>
  </si>
  <si>
    <t>Hola Estefania! 👋 
 Espero que todo esté yendo bien. Quisiera recordarte que aún no hemos recibido el pago correspondiente a la factura N°  emitida el 12/12/25. 
📋 *Detalles de la factura:* 
• Número:  
• Vencimiento: 24/12/25 
• Monto total: $1127000. 
💼 *Cuenta a depositar:*- CUIT: 2033122879
- Titular: Adrian Patriarca
- Alias: Efectivo
- Banco: Efectivo
Adjunto encontrarás la factura para tu referencia. 
Si ya has realizado el pago, por favor, ignora este mensaje. 
Gracias por tu pronta atención a este asunto. 
APSOL - Consultoría Empresarial</t>
  </si>
  <si>
    <t>Hola Andrea! 👋 
 Espero que todo esté yendo bien. Quisiera recordarte que aún no hemos recibido el pago correspondiente a la factura N°  emitida el 18/12/25. 
📋 *Detalles de la factura:* 
• Número:  
• Vencimiento: 24/12/25 
• Monto total: $423. 
💼 *Cuenta a depositar:*- Titular: Adrian Carlos Patriarca
- Banco: Lead Bank
- Moneda: USD
- Dirección del Banco: 1801 Main St, Kansas City, MO, 64108
- Número de enrutamiento de ABA: 101019644
- Código SWIFT: -
- Número de cuenta: 212606055954
Adjunto encontrarás la factura para tu referencia. 
Si ya has realizado el pago, por favor, ignora este mensaje. 
Gracias por tu pronta atención a este asunto. 
APSOL - Consultoría Empresarial</t>
  </si>
  <si>
    <t>12/30/2025 17:47:41</t>
  </si>
  <si>
    <t>ApsolAPP/Invoice/Apsol_255.pdf</t>
  </si>
  <si>
    <t>Hola Adrian! 👋 
Te envío la factura correspondiente por la prestación de servicios durante el período 03/11/25 al 03/12/25. 
📋 *Detalles de la factura:* 
• Número:  
• Fecha de Emisión: 30/12/25 
• Fecha de Vencimiento: 06/01/26 
• Monto Total: $ 400000.
💼 *Cuenta para el depósito:*Te agradecería si me confirmás la recepción y me avisás una fecha estimada de pago. 😊 
Desde ya, muchas gracias!</t>
  </si>
  <si>
    <t>https://drive.google.com/uc?export=download&amp;id=1f8pfP7y75_-9swNFPF2WBnuaCTwZbJU5</t>
  </si>
  <si>
    <t>01/01/2026 09:00:03</t>
  </si>
  <si>
    <t>Hola Sergio! 👋 
 Espero que todo esté yendo bien. Quisiera recordarte que aún no hemos recibido el pago correspondiente a la factura N° 218 emitida el 22/12/25. 
📋 *Detalles de la factura:* 
• Número: 218 
• Vencimiento: 26/12/25 
• Monto total: $700000.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</si>
  <si>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01/05/2026 09:00:04</t>
  </si>
  <si>
    <t>01/06/2026 09:00:03</t>
  </si>
  <si>
    <t>Hola Juan! 👋 
 Espero que todo esté yendo bien. Quisiera recordarte que aún no hemos recibido el pago correspondiente a la factura N° 219 emitida el 23/12/25. 
📋 *Detalles de la factura:* 
• Número: 219 
• Vencimiento: 02/01/26 
• Monto total: $355000.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</si>
  <si>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01/06/2026 13:55:24</t>
  </si>
  <si>
    <t>Facturación_Files_/708aadc5.FACTURA 1.165506.pdf</t>
  </si>
  <si>
    <t>ApsolAPP/Invoice/A todo Color_255.pdf</t>
  </si>
  <si>
    <t>Hola Marcelo! 👋 
Te envío la factura correspondiente por la prestación de servicios durante el período 01/12/25 al 01/01/26. 
📋 *Detalles de la factura:* 
• Número: 220 
• Fecha de Emisión: 06/01/26 
• Fecha de Vencimiento: 13/01/26 
• Monto Total: $ 970000.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</si>
  <si>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https://drive.google.com/uc?export=download&amp;id=1OyW25IucWRV279rVeK9m9UcYonRfnUIm</t>
  </si>
  <si>
    <t>https://drive.google.com/uc?export=download&amp;id=1zEBqotkLaY0T5PZrNMMEd3lsbtPIupiK</t>
  </si>
  <si>
    <t>01/06/2026 15:21:45</t>
  </si>
  <si>
    <t>Facturación_Files_/b63f5d74.FACTURA 1.182130.pdf</t>
  </si>
  <si>
    <t>ApsolAPP/Invoice/El Norte_256.pdf</t>
  </si>
  <si>
    <t>Hola Martin! 👋 
Te envío la factura correspondiente por la prestación de servicios durante el período 06/12/25 al 06/01/26. 
📋 *Detalles de la factura:* 
• Número: 68 
• Fecha de Emisión: 06/01/26 
• Fecha de Vencimiento: 15/01/26 
• Monto Total: $ 700000.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</si>
  <si>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https://drive.google.com/uc?export=download&amp;id=1IuEmf7ZCM7yDEazEOoa7ODh1vDcLaXQ4</t>
  </si>
  <si>
    <t>https://drive.google.com/uc?export=download&amp;id=1oK--69BKzFQJi97wpcvudg_ajvNQQ1F6</t>
  </si>
  <si>
    <t>01/06/2026 16:49:48</t>
  </si>
  <si>
    <t>Facturación_Files_/d14a4a25.FACTURA 1.194931.pdf</t>
  </si>
  <si>
    <t>Facturación_Files_/d14a4a25.DOCUMENTO.194931.pdf</t>
  </si>
  <si>
    <t>Hola Ignacio! 👋 
Te envío la factura correspondiente por la prestación de servicios durante el período 04/12/25 al 04/01/26. 
📋 *Detalles de la factura:* 
• Número: 69 
• Fecha de Emisión: 06/01/26 
• Fecha de Vencimiento: 13/01/26 
• Monto Total: $ 1450000.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</si>
  <si>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https://drive.google.com/uc?export=download&amp;id=1Lhqvo88-zyt4KXDvThJtcW-Qcq0bWs47</t>
  </si>
  <si>
    <t>https://drive.google.com/uc?export=download&amp;id=1wJXaAWfJjztFZh5dWVF1vj9NfnGRW1ud</t>
  </si>
  <si>
    <t>01/06/2026 17:01:20</t>
  </si>
  <si>
    <t>Facturación_Files_/7cff4a29.FACTURA 1.200106.pdf</t>
  </si>
  <si>
    <t>ApsolAPP/Invoice/Insuga_258.pdf</t>
  </si>
  <si>
    <t>Hola Gonzalo! 👋 
Te envío la factura correspondiente por la prestación de servicios durante el período 27/11/25 al 28/12/25. 
📋 *Detalles de la factura:* 
• Número: 221 
• Fecha de Emisión: 06/01/26 
• Fecha de Vencimiento: 15/01/26 
• Monto Total: $ 1010000.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</si>
  <si>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https://drive.google.com/uc?export=download&amp;id=17y67dvosQsQ59UCve8JLGdaTTaBjyJuA</t>
  </si>
  <si>
    <t>https://drive.google.com/uc?export=download&amp;id=1x8Q01DX8gJgEMH50P46bTS4JUoPr7hb4</t>
  </si>
  <si>
    <t>01/09/2026 08:36:52</t>
  </si>
  <si>
    <t>ApsolAPP/Invoice/Amipack_259.pdf</t>
  </si>
  <si>
    <t>Hola Estefania! 👋 
Te envío la factura correspondiente por la prestación de servicios durante el período 10/12/25 al 11/01/26. 
📋 *Detalles de la factura:* 
• Número:  
• Fecha de Emisión: 09/01/26 
• Fecha de Vencimiento: 21/01/26 
• Monto Total: $ 1127000.
💼 *Cuenta para el depósito:*- CUIT: 2033122879
- Titular: Adrian Patriarca
- Alias: Efectivo
- Banco: Efectivo
Te agradecería si me confirmás la recepción y me avisás una fecha estimada de pago. 😊 
Desde ya, muchas gracias!</t>
  </si>
  <si>
    <t>https://drive.google.com/uc?export=download&amp;id=1frOK6BIgTQl5yZL3QMABs7iDH-E30xnY</t>
  </si>
  <si>
    <t>01/09/2026 09:00:05</t>
  </si>
  <si>
    <t>01/12/2026 15:39:57</t>
  </si>
  <si>
    <t>Facturación_Files_/e54b54ff.FACTURA 1.183937.pdf</t>
  </si>
  <si>
    <t>ApsolAPP/Invoice/Escobar_260.pdf</t>
  </si>
  <si>
    <t>Hola Pablo! 👋 
Te envío la factura correspondiente por la prestación de servicios durante el período 08/12/25 al 08/01/26. 
📋 *Detalles de la factura:* 
• Número: 222 
• Fecha de Emisión: 12/01/26 
• Fecha de Vencimiento: 20/01/26 
• Monto Total: $ 1342000.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</si>
  <si>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https://drive.google.com/uc?export=download&amp;id=1ewVBTPjnfJnf0v6v0xVd7qBemHl1mNQl</t>
  </si>
  <si>
    <t>https://drive.google.com/uc?export=download&amp;id=1jFZ1c9hlFzpqPEte-XOMoxYAOwt0xDqp</t>
  </si>
  <si>
    <t>01/13/2026 09:00:02</t>
  </si>
  <si>
    <t>01/14/2026 11:37:40</t>
  </si>
  <si>
    <t>Facturación_Files_/8861af69.FACTURA 1.143720.pdf</t>
  </si>
  <si>
    <t>ApsolAPP/Invoice/Refri Integral_261.pdf</t>
  </si>
  <si>
    <t>Hola Martin! 👋 
Te envío la factura correspondiente por la prestación de servicios durante el período 12/12/25 al 13/01/26. 
📋 *Detalles de la factura:* 
• Número: 70 
• Fecha de Emisión: 14/01/26 
• Fecha de Vencimiento: 21/01/26 
• Monto Total: $ 610000.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</si>
  <si>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https://drive.google.com/uc?export=download&amp;id=1OHUCRSIDNUl8zW3wVbkgoAW8yWVywykH</t>
  </si>
  <si>
    <t>https://drive.google.com/uc?export=download&amp;id=1u_eDJ78IwGUCiOUlRMbfdybgkWCIwRsC</t>
  </si>
  <si>
    <t>01/14/2026 12:21:28</t>
  </si>
  <si>
    <t>Facturación_Files_/d1a56928.FACTURA 1.152109.pdf</t>
  </si>
  <si>
    <t>ApsolAPP/Invoice/Metalurgica HQ_262.pdf</t>
  </si>
  <si>
    <t>Hola Alan! 👋 
Te envío la factura correspondiente por la prestación de servicios durante el período 07/12/25 al 07/01/26. 
📋 *Detalles de la factura:* 
• Número: 71 
• Fecha de Emisión: 14/01/26 
• Fecha de Vencimiento: 21/01/26 
• Monto Total: $ 90000.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</si>
  <si>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https://drive.google.com/uc?export=download&amp;id=1i-5orBUFd_pzVnfQCiWo87Ru5z72L6Fo</t>
  </si>
  <si>
    <t>https://drive.google.com/uc?export=download&amp;id=1JESY1Voe_ldJfnmoyq2OlUQyvDTNWU5x</t>
  </si>
  <si>
    <t>01/15/2026 09:00:04</t>
  </si>
  <si>
    <t>Hola Marcelo! 👋 
 Espero que todo esté yendo bien. Quisiera recordarte que aún no hemos recibido el pago correspondiente a la factura N° 220 emitida el 06/01/26. 
📋 *Detalles de la factura:* 
• Número: 220 
• Vencimiento: 13/01/26 
• Monto total: $970000.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</si>
  <si>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01/19/2026 09:00:05</t>
  </si>
  <si>
    <t>Hola Gonzalo! 👋 
 Espero que todo esté yendo bien. Quisiera recordarte que aún no hemos recibido el pago correspondiente a la factura N° 221 emitida el 06/01/26. 
📋 *Detalles de la factura:* 
• Número: 221 
• Vencimiento: 15/01/26 
• Monto total: $1010000.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</si>
  <si>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01/19/2026 12:51:22</t>
  </si>
  <si>
    <t>Facturación_Files_/22797f78.FACTURA 1.155103.pdf</t>
  </si>
  <si>
    <t>ApsolAPP/Invoice/Conexion Market_263.pdf</t>
  </si>
  <si>
    <t>Hola Noelia! 👋 
Te envío la factura correspondiente por la prestación de servicios durante el período 17/12/25 al 18/01/26. 
📋 *Detalles de la factura:* 
• Número: 223 
• Fecha de Emisión: 19/01/26 
• Fecha de Vencimiento: 23/01/26 
• Monto Total: $ 1115000.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</si>
  <si>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https://drive.google.com/uc?export=download&amp;id=16JgROTDvaIpmcS2OtwxZolq42T6yAR6g</t>
  </si>
  <si>
    <t>https://drive.google.com/uc?export=download&amp;id=1bKr8WmcOE4BJyS5ZIJY0rthb4ThI9qZC</t>
  </si>
  <si>
    <t>01/19/2026 16:34:10</t>
  </si>
  <si>
    <t>Facturación_Files_/0713f767.FACTURA 1.193316.pdf</t>
  </si>
  <si>
    <t>ApsolAPP/Invoice/Natión_264.pdf</t>
  </si>
  <si>
    <t>Hola Marketing! 👋 
Te envío la factura correspondiente por la prestación de servicios durante el período 16/12/25 al 17/01/26. 
📋 *Detalles de la factura:* 
• Número: 224 
• Fecha de Emisión: 19/01/26 
• Fecha de Vencimiento: 29/01/26 
• Monto Total: $ 194000.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</si>
  <si>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https://drive.google.com/uc?export=download&amp;id=1T0tlaz2fwPNh_vGyLjKdNhpp-jf061Hi</t>
  </si>
  <si>
    <t>https://drive.google.com/uc?export=download&amp;id=1RfRX-HxJk2DTSVZnXPy2TeWP-iOH1kxf</t>
  </si>
  <si>
    <t>01/19/2026 16:35:48</t>
  </si>
  <si>
    <t>ApsolAPP/Invoice/OnTheRoad viajes_265.pdf</t>
  </si>
  <si>
    <t>Hola Andrea! 👋 
Te envío la factura correspondiente por la prestación de servicios durante el período 13/12/25 al 14/01/26. 
📋 *Detalles de la factura:* 
• Número:  
• Fecha de Emisión: 19/01/26 
• Fecha de Vencimiento: 23/01/26 
• Monto Total: $ 423.
💼 *Cuenta para el depósito:*- Titular: Adrian Carlos Patriarca
- Banco: Lead Bank
- Moneda: USD
- Dirección del Banco: 1801 Main St, Kansas City, MO, 64108
- Número de enrutamiento de ABA: 101019644
- Código SWIFT: -
- Número de cuenta: 212606055954
Te agradecería si me confirmás la recepción y me avisás una fecha estimada de pago. 😊 
Desde ya, muchas gracias!</t>
  </si>
  <si>
    <t>https://drive.google.com/uc?export=download&amp;id=1_RsBJNu-kAlURtJxfOnWJfGwn8Qnz6B9</t>
  </si>
  <si>
    <t>01/19/2026 16:46:36</t>
  </si>
  <si>
    <t>ApsolAPP/Invoice/Apsol_266.pdf</t>
  </si>
  <si>
    <t>Hola Adrian! 👋 
Te envío la factura correspondiente por la prestación de servicios durante el período 18/12/25 al 19/01/26. 
📋 *Detalles de la factura:* 
• Número:  
• Fecha de Emisión: 19/01/26 
• Fecha de Vencimiento: 26/01/26 
• Monto Total: $ 400000.
💼 *Cuenta para el depósito:*Te agradecería si me confirmás la recepción y me avisás una fecha estimada de pago. 😊 
Desde ya, muchas gracias!</t>
  </si>
  <si>
    <t>https://drive.google.com/uc?export=download&amp;id=1psWilx3WzJkhARWLUmJdXGRAfRrEbpyb</t>
  </si>
  <si>
    <t>01/19/2026 16:58:57</t>
  </si>
  <si>
    <t>Facturación_Files_/488ffc04.FACTURA 1.195840.pdf</t>
  </si>
  <si>
    <t>ApsolAPP/Invoice/Laboratorío Roca_267.pdf</t>
  </si>
  <si>
    <t>Hola Nelson! 👋 
Te envío la factura correspondiente por la prestación de servicios durante el período 10/12/25 al 19/01/26. 
📋 *Detalles de la factura:* 
• Número: 72 
• Fecha de Emisión: 19/01/26 
• Fecha de Vencimiento: 23/01/26 
• Monto Total: $ 527000.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</si>
  <si>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https://drive.google.com/uc?export=download&amp;id=1905NmNVTNtcWKjd_Bd769fkSCThv1XYG</t>
  </si>
  <si>
    <t>https://drive.google.com/uc?export=download&amp;id=1O6mp9CwIJ_KoSIQvckeE3BSfgkGhboDW</t>
  </si>
  <si>
    <t>01/20/2026 13:19:14</t>
  </si>
  <si>
    <t>Facturación_Files_/3e5ea068.FACTURA 1.161852.pdf</t>
  </si>
  <si>
    <t>Facturación_Files_/3e5ea068.FACTURA 2.161852.pdf</t>
  </si>
  <si>
    <t>ApsolAPP/Invoice/Natión_268.pdf</t>
  </si>
  <si>
    <t>Hola Marketing! 👋 
Te envío la factura correspondiente por la prestación de servicios durante el período 16/12/25 al 17/01/26. 
📋 *Detalles de la factura:* 
• Número: 225 
• Fecha de Emisión: 20/01/26 
• Fecha de Vencimiento: 30/01/26 
• Monto Total: $ 259000.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</si>
  <si>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https://drive.google.com/uc?export=download&amp;id=1CcMZXaecRvyknUd0LJmMXwfNDa27f0WF</t>
  </si>
  <si>
    <t>https://drive.google.com/uc?export=download&amp;id=1Ci3YN7oj9SYytYTixfKfQaF-K96hOqC7</t>
  </si>
  <si>
    <t>https://drive.google.com/uc?export=download&amp;id=1rXanWz5SQ7-kpnTLaI8_q_enbINXBDEc</t>
  </si>
  <si>
    <t>01/22/2026 09:00:05</t>
  </si>
  <si>
    <t>Hola Pablo! 👋 
 Espero que todo esté yendo bien. Quisiera recordarte que aún no hemos recibido el pago correspondiente a la factura N° 222 emitida el 12/01/26. 
📋 *Detalles de la factura:* 
• Número: 222 
• Vencimiento: 20/01/26 
• Monto total: $1342000.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</si>
  <si>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01/23/2026 09:00:02</t>
  </si>
  <si>
    <t>Hola Ignacio! 👋 
 Espero que todo esté yendo bien. Quisiera recordarte que aún no hemos recibido el pago correspondiente a la factura N° 69 emitida el 06/01/26. 
📋 *Detalles de la factura:* 
• Número: 69 
• Vencimiento: 13/01/26 
• Monto total: $1450000.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</si>
  <si>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01/27/2026 09:00:03</t>
  </si>
  <si>
    <t>Hola Andrea! 👋 
 Espero que todo esté yendo bien. Quisiera recordarte que aún no hemos recibido el pago correspondiente a la factura N°  emitida el 19/01/26. 
📋 *Detalles de la factura:* 
• Número:  
• Vencimiento: 23/01/26 
• Monto total: $423. 
💼 *Cuenta a depositar:*- Titular: Adrian Carlos Patriarca
- Banco: Lead Bank
- Moneda: USD
- Dirección del Banco: 1801 Main St, Kansas City, MO, 64108
- Número de enrutamiento de ABA: 101019644
- Código SWIFT: -
- Número de cuenta: 212606055954
Adjunto encontrarás la factura para tu referencia. 
Si ya has realizado el pago, por favor, ignora este mensaje. 
Gracias por tu pronta atención a este asunto. 
APSOL - Consultoría Empresarial</t>
  </si>
  <si>
    <t>01/28/2026 12:24:48</t>
  </si>
  <si>
    <t>Facturación_Files_/5eaa2708.FACTURA 1.152432.pdf</t>
  </si>
  <si>
    <t>ApsolAPP/Invoice/Natión_269.pdf</t>
  </si>
  <si>
    <t>Hola Juan! 👋 
Te envío la factura correspondiente por la prestación de servicios durante el período 22/12/25 al 23/01/26. 
📋 *Detalles de la factura:* 
• Número: 226 
• Fecha de Emisión: 28/01/26 
• Fecha de Vencimiento: 09/02/26 
• Monto Total: $ 355000.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</si>
  <si>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https://drive.google.com/uc?export=download&amp;id=1B81wv-cSViBTbCfWJcCBdm3pNzsHAD_i</t>
  </si>
  <si>
    <t>https://drive.google.com/uc?export=download&amp;id=1umkeT3oNcr-97WrFLalg6LNx-sbbdwhT</t>
  </si>
  <si>
    <t>01/29/2026 09:00:06</t>
  </si>
  <si>
    <t>Hola Martin! 👋 
 Espero que todo esté yendo bien. Quisiera recordarte que aún no hemos recibido el pago correspondiente a la factura N° 70 emitida el 14/01/26. 
📋 *Detalles de la factura:* 
• Número: 70 
• Vencimiento: 21/01/26 
• Monto total: $610000.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</si>
  <si>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02/03/2026 09:00:04</t>
  </si>
  <si>
    <t>Hola Marketing! 👋 
 Espero que todo esté yendo bien. Quisiera recordarte que aún no hemos recibido el pago correspondiente a la factura N° 225 emitida el 20/01/26. 
📋 *Detalles de la factura:* 
• Número: 225 
• Vencimiento: 30/01/26 
• Monto total: $259000.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</si>
  <si>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02/03/2026 16:01:29</t>
  </si>
  <si>
    <t>Facturación_Files_/c4aa236d.FACTURA 1.190111.pdf</t>
  </si>
  <si>
    <t>ApsolAPP/Invoice/Insuga_270.pdf</t>
  </si>
  <si>
    <t>Hola Gonzalo! 👋 
Te envío la factura correspondiente por la prestación de servicios durante el período 28/12/25 al 28/01/26. 
📋 *Detalles de la factura:* 
• Número: 227 
• Fecha de Emisión: 03/02/26 
• Fecha de Vencimiento: 12/02/26 
• Monto Total: $ 1010000.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</si>
  <si>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https://drive.google.com/uc?export=download&amp;id=1w2uq5IFKTVxRNTmkpN4O8_ZsrflLw_TW</t>
  </si>
  <si>
    <t>https://drive.google.com/uc?export=download&amp;id=1M1CBbJoRJXBLfLwt-q7PBJlUw3IcnfA9</t>
  </si>
  <si>
    <t>02/03/2026 16:10:29</t>
  </si>
  <si>
    <t>Facturación_Files_/942f61e2.FACTURA 1.191011.pdf</t>
  </si>
  <si>
    <t>ApsolAPP/Invoice/A todo Color_271.pdf</t>
  </si>
  <si>
    <t>Hola Marcelo! 👋 
Te envío la factura correspondiente por la prestación de servicios durante el período 01/01/26 al 01/02/26. 
📋 *Detalles de la factura:* 
• Número: 228 
• Fecha de Emisión: 03/02/26 
• Fecha de Vencimiento: 10/02/26 
• Monto Total: $ 1065000.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</si>
  <si>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https://drive.google.com/uc?export=download&amp;id=1biL3SoTA7_iB88dU0_v8C3IfKSP_lBNB</t>
  </si>
  <si>
    <t>https://drive.google.com/uc?export=download&amp;id=1wDnUvDD8Uu9UDjQCZni5mzWJf5-f-XAE</t>
  </si>
  <si>
    <t>02/04/2026 09:00:03</t>
  </si>
  <si>
    <t>02/12/2026 08:19:58</t>
  </si>
  <si>
    <t>Facturación_Files_/780f9a63.FACTURA 1.111938.pdf</t>
  </si>
  <si>
    <t>ApsolAPP/Invoice/Dg Distribuciones_272.pdf</t>
  </si>
  <si>
    <t>Hola Ignacio! 👋 
Te envío la factura correspondiente por la prestación de servicios durante el período 04/01/26 al 04/02/26. 
📋 *Detalles de la factura:* 
• Número: 73 
• Fecha de Emisión: 12/02/26 
• Fecha de Vencimiento: 19/02/26 
• Monto Total: $ 1450000.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</si>
  <si>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https://drive.google.com/uc?export=download&amp;id=1MEzknNcJfm6grkJu1DFo37xifOuX0Ksi</t>
  </si>
  <si>
    <t>https://drive.google.com/uc?export=download&amp;id=1X1oH8B12j64XRxsiPvkaqwHwfNr-m63z</t>
  </si>
  <si>
    <t>02/12/2026 08:25:47</t>
  </si>
  <si>
    <t>Facturación_Files_/3a321377.FACTURA 1.112500.pdf</t>
  </si>
  <si>
    <t>ApsolAPP/Invoice/Escobar_273.pdf</t>
  </si>
  <si>
    <t>Hola Pablo! 👋 
Te envío la factura correspondiente por la prestación de servicios durante el período 08/01/26 al 08/02/26. 
📋 *Detalles de la factura:* 
• Número: 229 
• Fecha de Emisión: 12/02/26 
• Fecha de Vencimiento: 20/02/26 
• Monto Total: $ 1342000.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</si>
  <si>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https://drive.google.com/uc?export=download&amp;id=1G8lw2XwBvayWuYVYTZiTBkTDdUr-70bU</t>
  </si>
  <si>
    <t>https://drive.google.com/uc?export=download&amp;id=1qy4ObhU7_w_Zq4duuHsJYFeWkwaHOFHE</t>
  </si>
  <si>
    <t>02/12/2026 09:00:03</t>
  </si>
  <si>
    <t>02/13/2026 14:17:11</t>
  </si>
  <si>
    <t>Facturación_Files_/587c9c9f.FACTURA 1.171654.pdf</t>
  </si>
  <si>
    <t>ApsolAPP/Invoice/El Norte_274.pdf</t>
  </si>
  <si>
    <t>Hola Martin! 👋 
Te envío la factura correspondiente por la prestación de servicios durante el período 06/01/26 al 06/02/26. 
📋 *Detalles de la factura:* 
• Número: 74 
• Fecha de Emisión: 13/02/26 
• Fecha de Vencimiento: 24/02/26 
• Monto Total: $ 719000.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</si>
  <si>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https://drive.google.com/uc?export=download&amp;id=1PrVHI7t6nbR5axvuA5wYMaBms9zT4CKX</t>
  </si>
  <si>
    <t>https://drive.google.com/uc?export=download&amp;id=1y_8LDiHQBptIgjOtZvwUbMxeOh40gFHY</t>
  </si>
  <si>
    <t>02/16/2026 09:00:04</t>
  </si>
  <si>
    <t>Hola Gonzalo! 👋 
 Espero que todo esté yendo bien. Quisiera recordarte que aún no hemos recibido el pago correspondiente a la factura N° 227 emitida el 03/02/26. 
📋 *Detalles de la factura:* 
• Número: 227 
• Vencimiento: 12/02/26 
• Monto total: $1010000.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</si>
  <si>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02/19/2026 09:04:12</t>
  </si>
  <si>
    <t>Facturación_Files_/394dc966.FACTURA 1.120356.pdf</t>
  </si>
  <si>
    <t>ApsolAPP/Invoice/Natión_275.pdf</t>
  </si>
  <si>
    <t>Hola Marketing! 👋 
Te envío la factura correspondiente por la prestación de servicios durante el período 17/01/26 al 17/02/26. 
📋 *Detalles de la factura:* 
• Número: 230 
• Fecha de Emisión: 19/02/26 
• Fecha de Vencimiento: 03/03/26 
• Monto Total: $ 166000.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</si>
  <si>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https://drive.google.com/uc?export=download&amp;id=1d0TCIR5uFjA2wdR0-QM56ZUGt5aaNWMf</t>
  </si>
  <si>
    <t>https://drive.google.com/uc?export=download&amp;id=1DAbOHBNYxCYCB6VxahKFSDnghPELX8qd</t>
  </si>
  <si>
    <t>02/19/2026 09:04:51</t>
  </si>
  <si>
    <t>ApsolAPP/Invoice/OnTheRoad viajes_276.pdf</t>
  </si>
  <si>
    <t>Hola Andrea! 👋 
Te envío la factura correspondiente por la prestación de servicios durante el período 14/01/26 al 14/02/26. 
📋 *Detalles de la factura:* 
• Número:  
• Fecha de Emisión: 19/02/26 
• Fecha de Vencimiento: 25/02/26 
• Monto Total: $ 423.
💼 *Cuenta para el depósito:*- Titular: Adrian Carlos Patriarca
- Banco: Lead Bank
- Moneda: USD
- Dirección del Banco: 1801 Main St, Kansas City, MO, 64108
- Número de enrutamiento de ABA: 101019644
- Código SWIFT: -
- Número de cuenta: 212606055954
Te agradecería si me confirmás la recepción y me avisás una fecha estimada de pago. 😊 
Desde ya, muchas gracias!</t>
  </si>
  <si>
    <t>https://drive.google.com/uc?export=download&amp;id=1aCEmwer-QgUynQRJQugUhDikAlezNtBy</t>
  </si>
  <si>
    <t>02/19/2026 09:13:14</t>
  </si>
  <si>
    <t>Facturación_Files_/d80d6e49.FACTURA 1.121258.pdf</t>
  </si>
  <si>
    <t>ApsolAPP/Invoice/Conexion Market_277.pdf</t>
  </si>
  <si>
    <t>Hola Noelia! 👋 
Te envío la factura correspondiente por la prestación de servicios durante el período 18/01/26 al 18/02/26. 
📋 *Detalles de la factura:* 
• Número: 231 
• Fecha de Emisión: 19/02/26 
• Fecha de Vencimiento: 25/02/26 
• Monto Total: $ 1115000.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</si>
  <si>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https://drive.google.com/uc?export=download&amp;id=1KgO06lAWXkGjIO_Y_wNbkHcVSSNcR-g2</t>
  </si>
  <si>
    <t>https://drive.google.com/uc?export=download&amp;id=1H8GYgURPYZ8WqCFWXhDLPaDaUuxR69bm</t>
  </si>
  <si>
    <t>02/19/2026 19:29:31</t>
  </si>
  <si>
    <t>Facturación_Files_/191120f3.FACTURA 1.222915.pdf</t>
  </si>
  <si>
    <t>Facturación_Images/191120f3.FACTURA 2.222915.png</t>
  </si>
  <si>
    <t>ApsolAPP/Invoice/Refri Integral_278.pdf</t>
  </si>
  <si>
    <t>Hola Martin! 👋 
Te envío la factura correspondiente por la prestación de servicios durante el período 13/01/26 al 13/02/26. 
📋 *Detalles de la factura:* 
• Número: 75 
• Fecha de Emisión: 19/02/26 
• Fecha de Vencimiento: 26/02/26 
• Monto Total: $ 610000.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</si>
  <si>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https://drive.google.com/uc?export=download&amp;id=1QmL2y8gMaY__9apmvyPPqZPHm-JLXgse</t>
  </si>
  <si>
    <t>https://drive.google.com/uc?export=download&amp;id=13kdsNRwMLmnxVm2RLRBhjEo8Eex4pcK2</t>
  </si>
  <si>
    <t>https://drive.google.com/uc?export=download&amp;id=1E3s-Dhg81mlZerSNKifBx26jT_j2NTSJ</t>
  </si>
  <si>
    <t>02/19/2026 19:43:19</t>
  </si>
  <si>
    <t>ApsolAPP/Invoice/Amipack_279.pdf</t>
  </si>
  <si>
    <t>Hola Estefania! 👋 
Te envío la factura correspondiente por la prestación de servicios durante el período 11/01/26 al 11/02/26. 
📋 *Detalles de la factura:* 
• Número:  
• Fecha de Emisión: 19/02/26 
• Fecha de Vencimiento: 03/03/26 
• Monto Total: $ 1198000.
💼 *Cuenta para el depósito:*- CUIT: 2033122879
- Titular: Adrian Patriarca
- Alias: Efectivo
- Banco: Efectivo
Te agradecería si me confirmás la recepción y me avisás una fecha estimada de pago. 😊 
Desde ya, muchas gracias!</t>
  </si>
  <si>
    <t>https://drive.google.com/uc?export=download&amp;id=1Y0ye0pBUxZpmDsUHOwAHPZKqB9G1JnYQ</t>
  </si>
  <si>
    <t>02/24/2026 09:00:02</t>
  </si>
  <si>
    <t>Hola Pablo! 👋 
 Espero que todo esté yendo bien. Quisiera recordarte que aún no hemos recibido el pago correspondiente a la factura N° 229 emitida el 12/02/26. 
📋 *Detalles de la factura:* 
• Número: 229 
• Vencimiento: 20/02/26 
• Monto total: $1342000.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</si>
  <si>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02/24/2026 16:55:04</t>
  </si>
  <si>
    <t>Facturación_Files_/36e1661a.FACTURA 1.195441.pdf</t>
  </si>
  <si>
    <t>Facturación_Files_/36e1661a.FACTURA 2.195441.pdf</t>
  </si>
  <si>
    <t>Facturación_Files_/36e1661a.DOCUMENTO.195441.pdf</t>
  </si>
  <si>
    <t>Hola Nelson! 👋 
Te envío la factura correspondiente por la prestación de servicios durante el período 20/01/26 al 24/02/26. 
📋 *Detalles de la factura:* 
• Número: 76 
• Fecha de Emisión: 24/02/26 
• Fecha de Vencimiento: 02/03/26 
• Monto Total: $ 579000.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</si>
  <si>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https://drive.google.com/uc?export=download&amp;id=1KQ8cXPmyEIyitK9z1idG6BSBu_UVRaND</t>
  </si>
  <si>
    <t>https://drive.google.com/uc?export=download&amp;id=1uAXgcvbC2pJB6Shmlm9LuMyBQjUGI42_</t>
  </si>
  <si>
    <t>https://drive.google.com/uc?export=download&amp;id=14W_5Yk7fnI5peN9tCNWH6FrXaApLNkIG</t>
  </si>
  <si>
    <t>02/24/2026 17:44:51</t>
  </si>
  <si>
    <t>Facturación_Files_/9a317db6.FACTURA 1.204427.pdf</t>
  </si>
  <si>
    <t>Facturación_Files_/9a317db6.DOCUMENTO.204427.pdf</t>
  </si>
  <si>
    <t>Hola Sergio! 👋 
Te envío la factura correspondiente por la prestación de servicios durante el período 23/01/26 al 23/02/26. 
📋 *Detalles de la factura:* 
• Número:  
• Fecha de Emisión: 24/02/26 
• Fecha de Vencimiento: 02/03/26 
• Monto Total: $ 750000.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</si>
  <si>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https://drive.google.com/uc?export=download&amp;id=104Va2inmgD_SrdL6W6CY3zCqGjlmhxWn</t>
  </si>
  <si>
    <t>https://drive.google.com/uc?export=download&amp;id=1vPJkUNSKlQIzOktfU2ZbWOXepiGflkTD</t>
  </si>
  <si>
    <t>02/25/2026 12:04:06</t>
  </si>
  <si>
    <t>Facturación_Files_/081b201c.FACTURA 1.150343.pdf</t>
  </si>
  <si>
    <t>ApsolAPP/Invoice/Natión_282.pdf</t>
  </si>
  <si>
    <t>Hola Juan! 👋 
Te envío la factura correspondiente por la prestación de servicios durante el período 23/01/26 al 23/02/26. 
📋 *Detalles de la factura:* 
• Número: 233 
• Fecha de Emisión: 25/02/26 
• Fecha de Vencimiento: 09/03/26 
• Monto Total: $ 355000.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</si>
  <si>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https://drive.google.com/uc?export=download&amp;id=18cBboU2Ngdzbr8TcQEaAZbVS1JTGJVhF</t>
  </si>
  <si>
    <t>https://drive.google.com/uc?export=download&amp;id=1ixWtIaE687F4RFNHheh_K_aPYc0lvffr</t>
  </si>
  <si>
    <t>02/27/2026 09:00:04</t>
  </si>
  <si>
    <t>Hola Andrea! 👋 
 Espero que todo esté yendo bien. Quisiera recordarte que aún no hemos recibido el pago correspondiente a la factura N°  emitida el 19/02/26. 
📋 *Detalles de la factura:* 
• Número:  
• Vencimiento: 25/02/26 
• Monto total: $423. 
💼 *Cuenta a depositar:*- Titular: Adrian Carlos Patriarca
- Banco: Lead Bank
- Moneda: USD
- Dirección del Banco: 1801 Main St, Kansas City, MO, 64108
- Número de enrutamiento de ABA: 101019644
- Código SWIFT: -
- Número de cuenta: 212606055954
Adjunto encontrarás la factura para tu referencia. 
Si ya has realizado el pago, por favor, ignora este mensaje. 
Gracias por tu pronta atención a este asunto. 
APSOL - Consultoría Empresarial</t>
  </si>
  <si>
    <t>02/27/2026 16:00:02</t>
  </si>
  <si>
    <t>1131961212</t>
  </si>
  <si>
    <t>Facturación_Files_/64ab38ca.FACTURA 1.185946.pdf</t>
  </si>
  <si>
    <t>ApsolAPP/Invoice/Open Pack_283.pdf</t>
  </si>
  <si>
    <t>Hola Gustavo! 👋 
Te envío la factura correspondiente por la prestación de servicios durante el período 20/01/26 al 20/02/26. 
📋 *Detalles de la factura:* 
• Número: 234 
• Fecha de Emisión: 27/02/26 
• Fecha de Vencimiento: 05/03/26 
• Monto Total: $ 780000.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</si>
  <si>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https://drive.google.com/uc?export=download&amp;id=1FeHmROGTHDGdpMXPgOln0xiinKY6GsWm</t>
  </si>
  <si>
    <t>https://drive.google.com/uc?export=download&amp;id=1Zm9V3JnVA8TM08iiHzTauXxw5OlkbzH5</t>
  </si>
  <si>
    <t>03/02/2026 09:00:02</t>
  </si>
  <si>
    <t>Hola Martin! 👋 
 Espero que todo esté yendo bien. Quisiera recordarte que aún no hemos recibido el pago correspondiente a la factura N° 75 emitida el 19/02/26. 
📋 *Detalles de la factura:* 
• Número: 75 
• Vencimiento: 26/02/26 
• Monto total: $610000.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</si>
  <si>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03/02/2026 10:22:21</t>
  </si>
  <si>
    <t>Facturación_Files_/91e6da1b.DOCUMENTO.132140.pdf</t>
  </si>
  <si>
    <t>Hola Fabrizio! 👋 
Te envío la factura correspondiente por la prestación de servicios durante el período 08/12/25 al 06/03/26. 
📋 *Detalles de la factura:* 
• Número:  
• Fecha de Emisión: 02/03/26 
• Fecha de Vencimiento: 06/03/26 
• Monto Total: $ 653000.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</si>
  <si>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https://drive.google.com/uc?export=download&amp;id=13IQcnN5srCNlrpE1SWtM_KE2hnEVgKQX</t>
  </si>
  <si>
    <t>03/04/2026 09:00:04</t>
  </si>
  <si>
    <t>Hola Sergio! 👋 
 Espero que todo esté yendo bien. Quisiera recordarte que aún no hemos recibido el pago correspondiente a la factura N°  emitida el 24/02/26. 
📋 *Detalles de la factura:* 
• Número:  
• Vencimiento: 02/03/26 
• Monto total: $750000.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</si>
  <si>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03/05/2026 09:00:06</t>
  </si>
  <si>
    <t>Hola Marketing! 👋 
 Espero que todo esté yendo bien. Quisiera recordarte que aún no hemos recibido el pago correspondiente a la factura N° 230 emitida el 19/02/26. 
📋 *Detalles de la factura:* 
• Número: 230 
• Vencimiento: 03/03/26 
• Monto total: $166000.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</si>
  <si>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Hola Estefania! 👋 
 Espero que todo esté yendo bien. Quisiera recordarte que aún no hemos recibido el pago correspondiente a la factura N°  emitida el 19/02/26. 
📋 *Detalles de la factura:* 
• Número:  
• Vencimiento: 03/03/26 
• Monto total: $1198000. 
💼 *Cuenta a depositar:*- CUIT: 2033122879
- Titular: Adrian Patriarca
- Alias: Efectivo
- Banco: Efectivo
Adjunto encontrarás la factura para tu referencia. 
Si ya has realizado el pago, por favor, ignora este mensaje. 
Gracias por tu pronta atención a este asunto. 
APSOL - Consultoría Empresarial</t>
  </si>
  <si>
    <t>03/09/2026 09:00:04</t>
  </si>
  <si>
    <t>Hola Gustavo! 👋 
 Espero que todo esté yendo bien. Quisiera recordarte que aún no hemos recibido el pago correspondiente a la factura N° 234 emitida el 27/02/26. 
📋 *Detalles de la factura:* 
• Número: 234 
• Vencimiento: 05/03/26 
• Monto total: $780000.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</si>
  <si>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03/09/2026 17:53:23</t>
  </si>
  <si>
    <t>Facturación_Files_/31e38aa5.FACTURA 1.205307.pdf</t>
  </si>
  <si>
    <t>ApsolAPP/Invoice/A todo Color_285.pdf</t>
  </si>
  <si>
    <t>Hola Marcelo! 👋 
Te envío la factura correspondiente por la prestación de servicios durante el período 01/02/26 al 01/03/26. 
📋 *Detalles de la factura:* 
• Número: 235 
• Fecha de Emisión: 09/03/26 
• Fecha de Vencimiento: 16/03/26 
• Monto Total: $ 1065000.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</si>
  <si>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https://drive.google.com/uc?export=download&amp;id=1PnptARwD8gxV28vUk_t9SdDbbi87z3he</t>
  </si>
  <si>
    <t>https://drive.google.com/uc?export=download&amp;id=1rXj2rknUbhlQEcxw3lCYB6hjEL8UV77r</t>
  </si>
  <si>
    <t>03/09/2026 17:56:38</t>
  </si>
  <si>
    <t>Facturación_Files_/0f079ed4.FACTURA 1.205622.pdf</t>
  </si>
  <si>
    <t>ApsolAPP/Invoice/Insuga_286.pdf</t>
  </si>
  <si>
    <t>Hola Gonzalo! 👋 
Te envío la factura correspondiente por la prestación de servicios durante el período 28/01/26 al 28/02/26. 
📋 *Detalles de la factura:* 
• Número: 236 
• Fecha de Emisión: 09/03/26 
• Fecha de Vencimiento: 18/03/26 
• Monto Total: $ 1010000.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</si>
  <si>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https://drive.google.com/uc?export=download&amp;id=1DLXOy9mOoApoRmX2zyzYEMsaE4WRgWUi</t>
  </si>
  <si>
    <t>https://drive.google.com/uc?export=download&amp;id=1vrGDP0iwohjd7WyPsm5C_2aB2ExC3J3z</t>
  </si>
  <si>
    <t>03/10/2026 09:39:44</t>
  </si>
  <si>
    <t>Facturación_Files_/9ab65bac.FACTURA 1.123921.pdf</t>
  </si>
  <si>
    <t>Facturación_Files_/9ab65bac.DOCUMENTO.123921.pdf</t>
  </si>
  <si>
    <t>Hola Pablo! 👋 
Te envío la factura correspondiente por la prestación de servicios durante el período 08/02/26 al 08/03/26. 
📋 *Detalles de la factura:* 
• Número: 237 
• Fecha de Emisión: 10/03/26 
• Fecha de Vencimiento: 18/03/26 
• Monto Total: $ 1470000.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</si>
  <si>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https://drive.google.com/uc?export=download&amp;id=1mBthfhK4E16DUvwzt8XcX0QnXGGa0VUW</t>
  </si>
  <si>
    <t>https://drive.google.com/uc?export=download&amp;id=13QO_ge2RXIxn5POFLbBnu0WJrMprmvMl</t>
  </si>
  <si>
    <t>03/10/2026 14:27:32</t>
  </si>
  <si>
    <t>Facturación_Files_/dc0a7722.FACTURA 1.172712.pdf</t>
  </si>
  <si>
    <t>ApsolAPP/Invoice/El Norte_288.pdf</t>
  </si>
  <si>
    <t>Hola Martin! 👋 
Te envío la factura correspondiente por la prestación de servicios durante el período 06/02/26 al 06/03/26. 
📋 *Detalles de la factura:* 
• Número: 77 
• Fecha de Emisión: 10/03/26 
• Fecha de Vencimiento: 19/03/26 
• Monto Total: $ 739000.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</si>
  <si>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https://drive.google.com/uc?export=download&amp;id=1eHAzy8gGr56FO6naS9oN0HY5I_v8cfbV</t>
  </si>
  <si>
    <t>https://drive.google.com/uc?export=download&amp;id=1i4fRbpM1zYH65wU-ROHEzH6p6KtO5iK-</t>
  </si>
  <si>
    <t>03/10/2026 14:44:43</t>
  </si>
  <si>
    <t>3482532610</t>
  </si>
  <si>
    <t>Facturación_Files_/2306f10b.FACTURA 1.174423.pdf</t>
  </si>
  <si>
    <t>ApsolAPP/Invoice/Marcelo Duran_289.pdf</t>
  </si>
  <si>
    <t>Hola Marcelo! 👋 
Te envío la factura correspondiente por la prestación de servicios durante el período 04/02/26 al 04/03/26. 
📋 *Detalles de la factura:* 
• Número: 78 
• Fecha de Emisión: 10/03/26 
• Fecha de Vencimiento: 16/03/26 
• Monto Total: $ 780000.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</si>
  <si>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https://drive.google.com/uc?export=download&amp;id=1IYQKYDXEgyjv7aK1LNCS5AWjN1oD7oze</t>
  </si>
  <si>
    <t>https://drive.google.com/uc?export=download&amp;id=1r7UTceuxnd0RuQra9Fm6B6jZlMzOJ4ds</t>
  </si>
  <si>
    <t>03/10/2026 15:24:53</t>
  </si>
  <si>
    <t>Facturación_Files_/3cef18b7.FACTURA 1.182435.pdf</t>
  </si>
  <si>
    <t>ApsolAPP/Invoice/Dg Distribuciones_290.pdf</t>
  </si>
  <si>
    <t>Hola Ignacio! 👋 
Te envío la factura correspondiente por la prestación de servicios durante el período 04/02/26 al 04/03/26. 
📋 *Detalles de la factura:* 
• Número: 79 
• Fecha de Emisión: 10/03/26 
• Fecha de Vencimiento: 17/03/26 
• Monto Total: $ 0.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</si>
  <si>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https://drive.google.com/uc?export=download&amp;id=16IY8Vy7YvhfvDW8dmFzz0cPImXF7WBvV</t>
  </si>
  <si>
    <t>https://drive.google.com/uc?export=download&amp;id=10vZt7Gq-ks4wtC6_dHvEMFTxBUud6GNz</t>
  </si>
  <si>
    <t>03/11/2026 09:00:15</t>
  </si>
  <si>
    <t>Hola Juan! 👋 
 Espero que todo esté yendo bien. Quisiera recordarte que aún no hemos recibido el pago correspondiente a la factura N° 233 emitida el 25/02/26. 
📋 *Detalles de la factura:* 
• Número: 233 
• Vencimiento: 09/03/26 
• Monto total: $355000.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</si>
  <si>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03/17/2026 09:00:04</t>
  </si>
  <si>
    <t>03/18/2026 09:00:19</t>
  </si>
  <si>
    <t>Hola Marcelo! 👋 
 Espero que todo esté yendo bien. Quisiera recordarte que aún no hemos recibido el pago correspondiente a la factura N° 235 emitida el 09/03/26. 
📋 *Detalles de la factura:* 
• Número: 235 
• Vencimiento: 16/03/26 
• Monto total: $1065000.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</si>
  <si>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Hola Marcelo! 👋 
 Espero que todo esté yendo bien. Quisiera recordarte que aún no hemos recibido el pago correspondiente a la factura N° 78 emitida el 10/03/26. 
📋 *Detalles de la factura:* 
• Número: 78 
• Vencimiento: 16/03/26 
• Monto total: $780000.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</si>
  <si>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03/18/2026 15:45:11</t>
  </si>
  <si>
    <t>3493449796</t>
  </si>
  <si>
    <t>ApsolAPP/Invoice/Amipack_291.pdf</t>
  </si>
  <si>
    <t>Hola Ariana! 👋 
Te envío la factura correspondiente por la prestación de servicios durante el período 11/02/26 al 11/03/26. 
📋 *Detalles de la factura:* 
• Número:  
• Fecha de Emisión: 18/03/26 
• Fecha de Vencimiento: 30/03/26 
• Monto Total: $ 1198000.
💼 *Cuenta para el depósito:*- CUIT: 2033122879
- Titular: Adrian Patriarca
- Alias: Efectivo
- Banco: Efectivo
Te agradecería si me confirmás la recepción y me avisás una fecha estimada de pago. 😊 
Desde ya, muchas gracias!</t>
  </si>
  <si>
    <t>https://drive.google.com/uc?export=download&amp;id=1zlrZUoO-FYxZ5wFQbwy8PNOEOTIOuVcx</t>
  </si>
  <si>
    <t>03/18/2026 17:06:58</t>
  </si>
  <si>
    <t>ApsolAPP/Invoice/OnTheRoad viajes_292.pdf</t>
  </si>
  <si>
    <t>Hola Andrea! 👋 
Te envío la factura correspondiente por la prestación de servicios durante el período 14/02/26 al 06/03/26. 
📋 *Detalles de la factura:* 
• Número:  
• Fecha de Emisión: 18/03/26 
• Fecha de Vencimiento: 24/03/26 
• Monto Total: $ 282.
💼 *Cuenta para el depósito:*- Titular: Adrian Carlos Patriarca
- Banco: Lead Bank
- Moneda: USD
- Dirección del Banco: 1801 Main St, Kansas City, MO, 64108
- Número de enrutamiento de ABA: 101019644
- Código SWIFT: -
- Número de cuenta: 212606055954
Te agradecería si me confirmás la recepción y me avisás una fecha estimada de pago. 😊 
Desde ya, muchas gracias!</t>
  </si>
  <si>
    <t>https://drive.google.com/uc?export=download&amp;id=1ovbCUwp8KP5EAducqNyrT0Dt2PtWznYi</t>
  </si>
  <si>
    <t>03/19/2026 09:00:21</t>
  </si>
  <si>
    <t>Hola Gonzalo! 👋 
 Espero que todo esté yendo bien. Quisiera recordarte que aún no hemos recibido el pago correspondiente a la factura N° 236 emitida el 09/03/26. 
📋 *Detalles de la factura:* 
• Número: 236 
• Vencimiento: 18/03/26 
• Monto total: $1010000. 
💼 *Cuenta a depositar:*- CUIT: 20331228797
- Titular: PATRIARCA ADRIAN CARLOS
- Cbu: 110491630049195615179
- Alias: apsol.consultora
- Banco: Banco Nación
Adjunto encontrarás la factura para tu referencia. 
Si ya has realizado el pago, por favor, ignora este mensaje. 
Gracias por tu pronta atención a este asunto. 
APSOL - Consultoría Empresarial</t>
  </si>
  <si>
    <t>Hola Martin! 👋 
 Espero que todo esté yendo bien. Quisiera recordarte que aún no hemos recibido el pago correspondiente a la factura N° 77 emitida el 10/03/26. 
📋 *Detalles de la factura:* 
• Número: 77 
• Vencimiento: 19/03/26 
• Monto total: $739000. 
💼 *Cuenta a depositar:*- CUIT: 20305727785
- Titular: SEBASTIAN GASTON WOLF
- Cbu: 1430001713033201820014
- Alias: apsol.consultoria
- Banco: BRUBANK
Adjunto encontrarás la factura para tu referencia. 
Si ya has realizado el pago, por favor, ignora este mensaje. 
Gracias por tu pronta atención a este asunto. 
APSOL - Consultoría Empresarial</t>
  </si>
  <si>
    <t>03/19/2026 09:04:00</t>
  </si>
  <si>
    <t>Facturación_Files_/fee914b0.FACTURA 1.120343.pdf</t>
  </si>
  <si>
    <t>ApsolAPP/Invoice/Marcelo Duran_293.pdf</t>
  </si>
  <si>
    <t>Hola Marcelo! 👋 
Te envío la factura correspondiente por la prestación de servicios durante el período 04/02/26 al 04/03/26. 
📋 *Detalles de la factura:* 
• Número: 80 
• Fecha de Emisión: 19/03/26 
• Fecha de Vencimiento: 25/03/26 
• Monto Total: $ 780000.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</si>
  <si>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https://drive.google.com/uc?export=download&amp;id=1xq7MeQDQTUyeitWRHAexEpVtsjcIbmak</t>
  </si>
  <si>
    <t>https://drive.google.com/uc?export=download&amp;id=1mnWx_I48-t4cocJZxE_DwwsLN_4Tyhyd</t>
  </si>
  <si>
    <t>03/19/2026 11:42:01</t>
  </si>
  <si>
    <t>Facturación_Files_/99257974.FACTURA 1.144144.pdf</t>
  </si>
  <si>
    <t>ApsolAPP/Invoice/Natión_294.pdf</t>
  </si>
  <si>
    <t>Hola Marketing! 👋 
Te envío la factura correspondiente por la prestación de servicios durante el período 17/02/26 al 17/03/26. 
📋 *Detalles de la factura:* 
• Número: 239 
• Fecha de Emisión: 19/03/26 
• Fecha de Vencimiento: 31/03/26 
• Monto Total: $ 172000.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</si>
  <si>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https://drive.google.com/uc?export=download&amp;id=1HEU-QAhWmZTKNhxLugTeQXve0f44IlmB</t>
  </si>
  <si>
    <t>https://drive.google.com/uc?export=download&amp;id=171q6YfKRcj4ht1cdIDQlVU87O1P9ssXn</t>
  </si>
  <si>
    <t>03/20/2026 13:32:59</t>
  </si>
  <si>
    <t>Facturación_Files_/c4c5e524.FACTURA 1.163243.pdf</t>
  </si>
  <si>
    <t>ApsolAPP/Invoice/Insuga_295.pdf</t>
  </si>
  <si>
    <t>Hola Gonzalo! 👋 
Te envío la factura correspondiente por la prestación de servicios durante el período 11/02/26 al 11/03/26. 
📋 *Detalles de la factura:* 
• Número: 240 
• Fecha de Emisión: 20/03/26 
• Fecha de Vencimiento: 31/03/26 
• Monto Total: $ 780000.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</si>
  <si>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https://drive.google.com/uc?export=download&amp;id=1YrfV_2OsW4HK2S5lJG9ahRpbdlAJVnnw</t>
  </si>
  <si>
    <t>03/20/2026 19:06:24</t>
  </si>
  <si>
    <t>Facturación_Files_/f6c24470.FACTURA 1.220608.pdf</t>
  </si>
  <si>
    <t>ApsolAPP/Invoice/Refri Integral_296.pdf</t>
  </si>
  <si>
    <t>Hola Martin! 👋 
Te envío la factura correspondiente por la prestación de servicios durante el período 13/02/26 al 13/03/26. 
📋 *Detalles de la factura:* 
• Número: 81 
• Fecha de Emisión: 20/03/26 
• Fecha de Vencimiento: 27/03/26 
• Monto Total: $ 431000.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</si>
  <si>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https://drive.google.com/uc?export=download&amp;id=1sonc4uk7ov6UhcqUQzp0xMT7ymwPvsWT</t>
  </si>
  <si>
    <t>https://drive.google.com/uc?export=download&amp;id=1cwyk8E17vKQx9a39I4QgyWiz0r3cUTvL</t>
  </si>
  <si>
    <t>03/20/2026 19:12:27</t>
  </si>
  <si>
    <t>Facturación_Files_/a020b832.FACTURA 1.221211.pdf</t>
  </si>
  <si>
    <t>ApsolAPP/Invoice/Conexion Market_297.pdf</t>
  </si>
  <si>
    <t>Hola Noelia! 👋 
Te envío la factura correspondiente por la prestación de servicios durante el período 18/02/26 al 18/03/26. 
📋 *Detalles de la factura:* 
• Número: 241 
• Fecha de Emisión: 20/03/26 
• Fecha de Vencimiento: 26/03/26 
• Monto Total: $ 1115000.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</si>
  <si>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https://drive.google.com/uc?export=download&amp;id=1l4x3AOz2W8BV7Vlo4xapohGXKSRlTCwR</t>
  </si>
  <si>
    <t>https://drive.google.com/uc?export=download&amp;id=1DWnTW-9CD1kU1ojCSwRB98f9zpiWz9Gs</t>
  </si>
  <si>
    <t>03/25/2026 10:20:39</t>
  </si>
  <si>
    <t>Facturación_Files_/dda7e051.FACTURA 1.132022.pdf</t>
  </si>
  <si>
    <t>ApsolAPP/Invoice/ISAA_298.pdf</t>
  </si>
  <si>
    <t>Hola Sergio! 👋 
Te envío la factura correspondiente por la prestación de servicios durante el período 23/02/26 al 23/03/26. 
📋 *Detalles de la factura:* 
• Número: 242 
• Fecha de Emisión: 25/03/26 
• Fecha de Vencimiento: 31/03/26 
• Monto Total: $ 750000.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</si>
  <si>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https://drive.google.com/uc?export=download&amp;id=1vlxHsJgo42RnFLCV2ebzWeIuHY2nfF9o</t>
  </si>
  <si>
    <t>https://drive.google.com/uc?export=download&amp;id=13d07qPRuQTFMDqIZHXJNS_JCSLaypTAC</t>
  </si>
  <si>
    <t>03/25/2026 10:53:37</t>
  </si>
  <si>
    <t>Facturación_Files_/49cbe95d.FACTURA 1.135319.pdf</t>
  </si>
  <si>
    <t>Facturación_Images/49cbe95d.DOCUMENTO.135319.png</t>
  </si>
  <si>
    <t>Hola Nelson! 👋 
Te envío la factura correspondiente por la prestación de servicios durante el período 24/02/26 al 24/03/26. 
📋 *Detalles de la factura:* 
• Número: 82 
• Fecha de Emisión: 25/03/26 
• Fecha de Vencimiento: 31/03/26 
• Monto Total: $ 128000.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</si>
  <si>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https://drive.google.com/uc?export=download&amp;id=1xS_J9G6tw2wEobqx9LqQKZrYpUPELc5b</t>
  </si>
  <si>
    <t>https://drive.google.com/uc?export=download&amp;id=1J2dSaZagtFafQcMTqq2BA0vPCVvcFSQm</t>
  </si>
  <si>
    <t>03/30/2026 15:46:22</t>
  </si>
  <si>
    <t>Facturación_Files_/4309f129.FACTURA 1.184605.pdf</t>
  </si>
  <si>
    <t>ApsolAPP/Invoice/Open Pack_300.pdf</t>
  </si>
  <si>
    <t>Hola Gustavo! 👋 
Te envío la factura correspondiente por la prestación de servicios durante el período 20/02/26 al 20/03/26. 
📋 *Detalles de la factura:* 
• Número: 243 
• Fecha de Emisión: 30/03/26 
• Fecha de Vencimiento: 03/04/26 
• Monto Total: $ 780000.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</si>
  <si>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https://drive.google.com/uc?export=download&amp;id=1HaS5ZSlIWYTy2R_n-U_vNJVzLV73qUGB</t>
  </si>
  <si>
    <t>https://drive.google.com/uc?export=download&amp;id=1kuC5Eij3dHJcgo1W_jZZo2tT4CWpiE-K</t>
  </si>
  <si>
    <t>04/03/2026 12:33:38</t>
  </si>
  <si>
    <t>ApsolAPP/Invoice/Apsol_301.pdf</t>
  </si>
  <si>
    <t>Hola Adrian! 👋 
Te envío la factura correspondiente por la prestación de servicios durante el período 03/03/26 al 03/04/26. 
📋 *Detalles de la factura:* 
• Número: 132 
• Fecha de Emisión: 03/04/26 
• Fecha de Vencimiento: 10/04/26 
• Monto Total: $ 400000.
💼 *Cuenta para el depósito:*- Titular: Adrian Carlos Patriarca
- Cbu: 3840200500000014889338
- Alias: HABRE.JAGUAR.ENTERES
- Banco: Wilobank S.A.U (Ualá)
Te agradecería si me confirmás la recepción y me avisás una fecha estimada de pago. 😊 
Desde ya, muchas gracias!</t>
  </si>
  <si>
    <t>https://drive.google.com/uc?export=download&amp;id=1tOvNpSQS-1bM0WosWAmSaZqJ98Jy_MC_</t>
  </si>
  <si>
    <t>04/06/2026 15:05:45</t>
  </si>
  <si>
    <t>Facturación_Files_/137890a0.FACTURA 1.180531.pdf</t>
  </si>
  <si>
    <t>ApsolAPP/Invoice/A todo Color_301.pdf</t>
  </si>
  <si>
    <t>Hola Marcelo! 👋 
Te envío la factura correspondiente por la prestación de servicios durante el período 01/03/26 al 01/04/26. 
📋 *Detalles de la factura:* 
• Número: 244 
• Fecha de Emisión: 06/04/26 
• Fecha de Vencimiento: 13/04/26 
• Monto Total: $ 1065000.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</si>
  <si>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https://drive.google.com/uc?export=download&amp;id=1kJckj3P9MqQ4qE-Frymc45CnfWqHWihM</t>
  </si>
  <si>
    <t>https://drive.google.com/uc?export=download&amp;id=1Stxq7bZTF3wWW456QcotiSpEaqKuAs5n</t>
  </si>
  <si>
    <t>04/06/2026 16:13:16</t>
  </si>
  <si>
    <t>Facturación_Files_/2971c631.FACTURA 1.191253.pdf</t>
  </si>
  <si>
    <t>ApsolAPP/Invoice/Marcelo Duran_302.pdf</t>
  </si>
  <si>
    <t>Hola Marcelo! 👋 
Te envío la factura correspondiente por la prestación de servicios durante el período 04/03/26 al 04/04/26. 
📋 *Detalles de la factura:* 
• Número: 245 
• Fecha de Emisión: 06/04/26 
• Fecha de Vencimiento: 10/04/26 
• Monto Total: $ 780000.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</si>
  <si>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https://drive.google.com/uc?export=download&amp;id=1Uf1WQN5mJvgjR4AMYwd4r-AG7nxPSrnt</t>
  </si>
  <si>
    <t>https://drive.google.com/uc?export=download&amp;id=18ra7DN8SUB0VXjaXHmpLHbmWQpeSCIUG</t>
  </si>
  <si>
    <t>04/07/2026 17:01:04</t>
  </si>
  <si>
    <t>Facturación_Files_/f7dca4b3.FACTURA 1.200047.pdf</t>
  </si>
  <si>
    <t>ApsolAPP/Invoice/Insuga_303.pdf</t>
  </si>
  <si>
    <t>Hola Gonzalo! 👋 
Te envío la factura correspondiente por la prestación de servicios durante el período 28/03/26 al 28/04/26. 
📋 *Detalles de la factura:* 
• Número: 246 
• Fecha de Emisión: 07/04/26 
• Fecha de Vencimiento: 16/04/26 
• Monto Total: $ 1120000.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</si>
  <si>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https://drive.google.com/uc?export=download&amp;id=1gncm251TtlfGwZGIf3s6e0V1rbeE0L5v</t>
  </si>
  <si>
    <t>https://drive.google.com/uc?export=download&amp;id=1EsKBaGnekCBAUBoZKuNK975JluL5X_kT</t>
  </si>
  <si>
    <t>04/10/2026 15:30:00</t>
  </si>
  <si>
    <t>Facturación_Files_/1573eade.FACTURA 1.182943.pdf</t>
  </si>
  <si>
    <t>ApsolAPP/Invoice/El Norte_304.pdf</t>
  </si>
  <si>
    <t>Hola Martin! 👋 
Te envío la factura correspondiente por la prestación de servicios durante el período 06/03/26 al 06/04/26. 
📋 *Detalles de la factura:* 
• Número: 247 
• Fecha de Emisión: 10/04/26 
• Fecha de Vencimiento: 21/04/26 
• Monto Total: $ 761000.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</si>
  <si>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https://drive.google.com/uc?export=download&amp;id=1IBiU5FXnFl6rUrT-2diqs-bh2mTqfiuS</t>
  </si>
  <si>
    <t>https://drive.google.com/uc?export=download&amp;id=1wKgdupXcnQ_QycboL6_1_e_7f6iSkp_U</t>
  </si>
  <si>
    <t>04/10/2026 18:58:19</t>
  </si>
  <si>
    <t>Facturación_Files_/3c7ef1d6.DOCUMENTO.215757.pdf</t>
  </si>
  <si>
    <t>Hola Ignacio! 👋 
Te envío la factura correspondiente por la prestación de servicios durante el período 04/03/26 al 04/04/26. 
📋 *Detalles de la factura:* 
• Número:  
• Fecha de Emisión: 10/04/26 
• Fecha de Vencimiento: 17/04/26 
• Monto Total: $ 1520000.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</si>
  <si>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https://drive.google.com/uc?export=download&amp;id=1497o7fEWtJRlJbF_aATZxpVUHsyb01Wy</t>
  </si>
  <si>
    <t>04/10/2026 19:18:02</t>
  </si>
  <si>
    <t>Facturación_Files_/cd745226.FACTURA 1.221746.pdf</t>
  </si>
  <si>
    <t>Facturación_Files_/cd745226.DOCUMENTO.221746.pdf</t>
  </si>
  <si>
    <t>Hola Juan! 👋 
Te envío la factura correspondiente por la prestación de servicios durante el período 23/02/26 al 23/03/26. 
📋 *Detalles de la factura:* 
• Número: 248 
• Fecha de Emisión: 10/04/26 
• Fecha de Vencimiento: 22/04/26 
• Monto Total: $ 676000.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</si>
  <si>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https://drive.google.com/uc?export=download&amp;id=1Mh0yRG80Y4sFBoAuSgfvLUFvEfSa9Aqh</t>
  </si>
  <si>
    <t>https://drive.google.com/uc?export=download&amp;id=1XEq16UFfLA6SZJSdw1fABbOdqamPdBnE</t>
  </si>
  <si>
    <t>04/15/2026 18:09:02</t>
  </si>
  <si>
    <t>Facturación_Files_/0ee074c0.FACTURA 1.210847.pdf</t>
  </si>
  <si>
    <t>ApsolAPP/Invoice/Metalurgica HQ_307.pdf</t>
  </si>
  <si>
    <t>Hola Alan! 👋 
Te envío la factura correspondiente por la prestación de servicios durante el período 07/03/26 al 07/04/26. 
📋 *Detalles de la factura:* 
• Número: 249 
• Fecha de Emisión: 15/04/26 
• Fecha de Vencimiento: 22/04/26 
• Monto Total: $ 150000.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</si>
  <si>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https://drive.google.com/uc?export=download&amp;id=12Uub5Whfho2eTpIXNoUk9a3kl2wxNsbm</t>
  </si>
  <si>
    <t>https://drive.google.com/uc?export=download&amp;id=1W_bZVBzpYX1TK6p6rfGcV80LxKWkoeH6</t>
  </si>
  <si>
    <t>04/15/2026 18:14:39</t>
  </si>
  <si>
    <t>Facturación_Files_/853810b1.FACTURA 1.211425.pdf</t>
  </si>
  <si>
    <t>ApsolAPP/Invoice/Escobar_308.pdf</t>
  </si>
  <si>
    <t>Hola Pablo! 👋 
Te envío la factura correspondiente por la prestación de servicios durante el período 08/03/26 al 08/04/26. 
📋 *Detalles de la factura:* 
• Número: 250 
• Fecha de Emisión: 15/04/26 
• Fecha de Vencimiento: 23/04/26 
• Monto Total: $ 1470000.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</si>
  <si>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https://drive.google.com/uc?export=download&amp;id=1Oi8qr4P0QeXMP2qY9uIc2Us8IuGJ74CB</t>
  </si>
  <si>
    <t>https://drive.google.com/uc?export=download&amp;id=1-S-52Am1NSN0uot3V2gn1YjoOKm_vB1n</t>
  </si>
  <si>
    <t>04/15/2026 18:18:46</t>
  </si>
  <si>
    <t>Facturación_Files_/1608dbb1.FACTURA 1.211829.pdf</t>
  </si>
  <si>
    <t>ApsolAPP/Invoice/Insuga_309.pdf</t>
  </si>
  <si>
    <t>Hola Gonzalo! 👋 
Te envío la factura correspondiente por la prestación de servicios durante el período 11/03/26 al 11/04/26. 
📋 *Detalles de la factura:* 
• Número: 251 
• Fecha de Emisión: 15/04/26 
• Fecha de Vencimiento: 24/04/26 
• Monto Total: $ 780000.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</si>
  <si>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https://drive.google.com/uc?export=download&amp;id=163udYLoiAKinAt0Kc6y7zZPjVYbsunF0</t>
  </si>
  <si>
    <t>https://drive.google.com/uc?export=download&amp;id=1l1DKNJ4m9TOm_dJMbUEB6LbmId9SeJz_</t>
  </si>
  <si>
    <t>04/15/2026 18:23:31</t>
  </si>
  <si>
    <t>ApsolAPP/Invoice/Amipack_310.pdf</t>
  </si>
  <si>
    <t>Hola Ariana! 👋 
Te envío la factura correspondiente por la prestación de servicios durante el período 11/03/26 al 11/04/26. 
📋 *Detalles de la factura:* 
• Número:  
• Fecha de Emisión: 15/04/26 
• Fecha de Vencimiento: 27/04/26 
• Monto Total: $ 1198000.
💼 *Cuenta para el depósito:*- CUIT: 2033122879
- Titular: Adrian Patriarca
- Alias: Efectivo
- Banco: Efectivo
Te agradecería si me confirmás la recepción y me avisás una fecha estimada de pago. 😊 
Desde ya, muchas gracias!</t>
  </si>
  <si>
    <t>https://drive.google.com/uc?export=download&amp;id=1D5LJpX9ZlA4n7u6egm7ov8PgGz8qQp9R</t>
  </si>
  <si>
    <t>04/25/2026 11:08:34</t>
  </si>
  <si>
    <t>Facturación_Files_/c76f44aa.FACTURA 1.140816.pdf</t>
  </si>
  <si>
    <t>Facturación_Files_/c76f44aa.DOCUMENTO.140816.pdf</t>
  </si>
  <si>
    <t>Hola Noelia! 👋 
Te envío la factura correspondiente por la prestación de servicios durante el período 18/03/26 al 18/04/26. 
📋 *Detalles de la factura:* 
• Número: 252 
• Fecha de Emisión: 25/04/26 
• Fecha de Vencimiento: 04/05/26 
• Monto Total: $ 1210000.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</si>
  <si>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https://drive.google.com/uc?export=download&amp;id=1tvulJclX5iQ3NqP7eu24_-KXILh8GNvs</t>
  </si>
  <si>
    <t>https://drive.google.com/uc?export=download&amp;id=1If5u7h7lg94U98ny3n6BG5pkCIu-f-3U</t>
  </si>
  <si>
    <t>04/25/2026 11:12:22</t>
  </si>
  <si>
    <t>Facturación_Files_/b8ddc363.FACTURA 1.141209.pdf</t>
  </si>
  <si>
    <t>ApsolAPP/Invoice/Natión_312.pdf</t>
  </si>
  <si>
    <t>Hola Marketing! 👋 
Te envío la factura correspondiente por la prestación de servicios durante el período 17/03/26 al 17/04/26. 
📋 *Detalles de la factura:* 
• Número: 253 
• Fecha de Emisión: 25/04/26 
• Fecha de Vencimiento: 06/05/26 
• Monto Total: $ 177000.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</si>
  <si>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https://drive.google.com/uc?export=download&amp;id=1aDHu5XK5RNzxbj0hjV1TxJhtRAa7CQpg</t>
  </si>
  <si>
    <t>https://drive.google.com/uc?export=download&amp;id=1Qf0B3mvpTN6qbhBaa0wQzkbI-SIOfe1U</t>
  </si>
  <si>
    <t>04/25/2026 11:27:07</t>
  </si>
  <si>
    <t>Facturación_Files_/940f29af.FACTURA 1.142648.pdf</t>
  </si>
  <si>
    <t>ApsolAPP/Invoice/Laboratorío Roca_313.pdf</t>
  </si>
  <si>
    <t>Hola Nelson! 👋 
Te envío la factura correspondiente por la prestación de servicios durante el período 24/03/26 al 24/04/26. 
📋 *Detalles de la factura:* 
• Número: 254 
• Fecha de Emisión: 25/04/26 
• Fecha de Vencimiento: 30/04/26 
• Monto Total: $ 134000.
💼 *Cuenta para el depósito:*- CUIT: 20305727785
- Titular: SEBASTIAN GASTON WOLF
- Cbu: 1430001713033201820014
- Alias: apsol.consultoria
- Banco: BRUBANK
Te agradecería si me confirmás la recepción y me avisás una fecha estimada de pago. 😊 
Desde ya, muchas gracias!</t>
  </si>
  <si>
    <t>https://drive.google.com/uc?export=download&amp;id=13xUdK0XQf1BItmn0N9cLXqyN11Rcx-pQ</t>
  </si>
  <si>
    <t>https://drive.google.com/uc?export=download&amp;id=1M1iZNDu_8OsH2k81I1ysH854Io0jgpOb</t>
  </si>
  <si>
    <t>04/25/2026 12:15:53</t>
  </si>
  <si>
    <t>Facturación_Files_/50f3eb3b.FACTURA 1.151536.pdf</t>
  </si>
  <si>
    <t>Facturación_Files_/50f3eb3b.DOCUMENTO.151536.pdf</t>
  </si>
  <si>
    <t>Hola Martin! 👋 
Te envío la factura correspondiente por la prestación de servicios durante el período 13/03/26 al 13/04/26. 
📋 *Detalles de la factura:* 
• Número: 255 
• Fecha de Emisión: 25/04/26 
• Fecha de Vencimiento: 01/05/26 
• Monto Total: $ 370000.
💼 *Cuenta para el depósito:*- CUIT: 20331228797
- Titular: PATRIARCA ADRIAN CARLOS
- Cbu: 110491630049195615179
- Alias: apsol.consultora
- Banco: Banco Nación
Te agradecería si me confirmás la recepción y me avisás una fecha estimada de pago. 😊 
Desde ya, muchas gracias!</t>
  </si>
  <si>
    <t>https://drive.google.com/uc?export=download&amp;id=1T4jtdw5nj-mWsuX_rxfR653wSPwwKyA1</t>
  </si>
  <si>
    <t>https://drive.google.com/uc?export=download&amp;id=1r850AHzul9uwy91LBATzE827jXzOzPHu</t>
  </si>
  <si>
    <t>ID_cliente</t>
  </si>
  <si>
    <t>Empresa</t>
  </si>
  <si>
    <t xml:space="preserve">Provincia </t>
  </si>
  <si>
    <t>Pais</t>
  </si>
  <si>
    <t>Industria/sector</t>
  </si>
  <si>
    <t>Tamaño de la empresa</t>
  </si>
  <si>
    <t>Días de espera facturación</t>
  </si>
  <si>
    <t>Razon Social 1</t>
  </si>
  <si>
    <t>Cuit 1</t>
  </si>
  <si>
    <t>Razon Social 2</t>
  </si>
  <si>
    <t>Cuit 2</t>
  </si>
  <si>
    <t>Razon Social 3</t>
  </si>
  <si>
    <t>Cuit 3</t>
  </si>
  <si>
    <t>4af047dd</t>
  </si>
  <si>
    <t>Amipack</t>
  </si>
  <si>
    <t>Santa fe</t>
  </si>
  <si>
    <t>Argentina</t>
  </si>
  <si>
    <t>Papelera</t>
  </si>
  <si>
    <t>AMIPACK ENVASES S. A.</t>
  </si>
  <si>
    <t>30674273300</t>
  </si>
  <si>
    <t>ac9586f8</t>
  </si>
  <si>
    <t>El Norte</t>
  </si>
  <si>
    <t>Santa Fe</t>
  </si>
  <si>
    <t>Transporte de pasajeros</t>
  </si>
  <si>
    <t>EMPRESA DE TRANSPORTES EL NORTE SA</t>
  </si>
  <si>
    <t>EMPRESA EL NORTE BIS SRL</t>
  </si>
  <si>
    <t>EMPRESA SAN CRISTOBAL S R L</t>
  </si>
  <si>
    <t>ae28a0cd</t>
  </si>
  <si>
    <t>Dg Distribuciones</t>
  </si>
  <si>
    <t>Distribuidora</t>
  </si>
  <si>
    <t>GIAGNONI DARIO GERARDO</t>
  </si>
  <si>
    <t>81e2411b</t>
  </si>
  <si>
    <t>Natión</t>
  </si>
  <si>
    <t>consecionario</t>
  </si>
  <si>
    <t>NATION SA</t>
  </si>
  <si>
    <t>NATION LITORAL S.A.</t>
  </si>
  <si>
    <t>NATION MOTORS  S. A.</t>
  </si>
  <si>
    <t>17558433</t>
  </si>
  <si>
    <t>Zinma</t>
  </si>
  <si>
    <t>Buenos Aires</t>
  </si>
  <si>
    <t>Agricultura</t>
  </si>
  <si>
    <t>744519ee</t>
  </si>
  <si>
    <t>Almacén de Idiomas</t>
  </si>
  <si>
    <t>Educación</t>
  </si>
  <si>
    <t>930da870</t>
  </si>
  <si>
    <t>RR escapes</t>
  </si>
  <si>
    <t>Producción de Repuestos</t>
  </si>
  <si>
    <t>3375ff5f</t>
  </si>
  <si>
    <t>Transporte Chileno</t>
  </si>
  <si>
    <t>Chile</t>
  </si>
  <si>
    <t>Transporte de carga</t>
  </si>
  <si>
    <t>d71499b6</t>
  </si>
  <si>
    <t>Zurschmitten</t>
  </si>
  <si>
    <t>Muebles</t>
  </si>
  <si>
    <t>5b3f3faa</t>
  </si>
  <si>
    <t>Nea Color</t>
  </si>
  <si>
    <t>Corrientes</t>
  </si>
  <si>
    <t>Comercio</t>
  </si>
  <si>
    <t>985848f8</t>
  </si>
  <si>
    <t>Juan Jose Puppo</t>
  </si>
  <si>
    <t>Uruguay</t>
  </si>
  <si>
    <t>Arquitectura</t>
  </si>
  <si>
    <t>8bc78391</t>
  </si>
  <si>
    <t>Teixido Repuestos</t>
  </si>
  <si>
    <t>Venta de Repuestos</t>
  </si>
  <si>
    <t>3d02fb5a</t>
  </si>
  <si>
    <t>Hiper Limpieza</t>
  </si>
  <si>
    <t>FIGUEROA ELIZABETH CARLA</t>
  </si>
  <si>
    <t>de99039a</t>
  </si>
  <si>
    <t>Tata Rapido</t>
  </si>
  <si>
    <t>efbc1d02</t>
  </si>
  <si>
    <t>Bracco Lucas Gabriel</t>
  </si>
  <si>
    <t>Cordoba</t>
  </si>
  <si>
    <t>3c9bd67c</t>
  </si>
  <si>
    <t>Nova</t>
  </si>
  <si>
    <t>Consultoría</t>
  </si>
  <si>
    <t>3aab4ba0</t>
  </si>
  <si>
    <t>Blanco Textil</t>
  </si>
  <si>
    <t>53d4a35e</t>
  </si>
  <si>
    <t>Carolina Faveiro</t>
  </si>
  <si>
    <t>cf6c2ff4</t>
  </si>
  <si>
    <t>Apsol</t>
  </si>
  <si>
    <t>consultora</t>
  </si>
  <si>
    <t>414a22fc</t>
  </si>
  <si>
    <t>Neumen</t>
  </si>
  <si>
    <t>6ecab644</t>
  </si>
  <si>
    <t>Refri Integral</t>
  </si>
  <si>
    <t>Servicios</t>
  </si>
  <si>
    <t>BIELEWICH MARTIN PABLO</t>
  </si>
  <si>
    <t>5dc46219</t>
  </si>
  <si>
    <t>Couce</t>
  </si>
  <si>
    <t>Calzado</t>
  </si>
  <si>
    <t>99227907</t>
  </si>
  <si>
    <t>La Espiga</t>
  </si>
  <si>
    <t>Entre Ríos</t>
  </si>
  <si>
    <t>e5db3503</t>
  </si>
  <si>
    <t>Maricré</t>
  </si>
  <si>
    <t>Bs As</t>
  </si>
  <si>
    <t>6cdbb434</t>
  </si>
  <si>
    <t>Rojas Gluten Free</t>
  </si>
  <si>
    <t>Supermercados</t>
  </si>
  <si>
    <t>f51458c2</t>
  </si>
  <si>
    <t>Colegio LIncoln</t>
  </si>
  <si>
    <t>c2d2610d</t>
  </si>
  <si>
    <t>Viajeros en Rio</t>
  </si>
  <si>
    <t>Turismo</t>
  </si>
  <si>
    <t>f1a85ff9</t>
  </si>
  <si>
    <t>Delico</t>
  </si>
  <si>
    <t>Industria Alimenticia</t>
  </si>
  <si>
    <t>fbb073ad</t>
  </si>
  <si>
    <t>Mercería La Paloma</t>
  </si>
  <si>
    <t>30ab20cd</t>
  </si>
  <si>
    <t>Precixo</t>
  </si>
  <si>
    <t>Informatica</t>
  </si>
  <si>
    <t>4b278dbc</t>
  </si>
  <si>
    <t>Ultracongelados canalsenses</t>
  </si>
  <si>
    <t>69fe2461</t>
  </si>
  <si>
    <t>COTAR</t>
  </si>
  <si>
    <t>38fbf5b1</t>
  </si>
  <si>
    <t>Verisue</t>
  </si>
  <si>
    <t>37654b55</t>
  </si>
  <si>
    <t>Xchange Bridge</t>
  </si>
  <si>
    <t>785a53df</t>
  </si>
  <si>
    <t>Bolciti SRL</t>
  </si>
  <si>
    <t>fefd5d26</t>
  </si>
  <si>
    <t>Bassegraf</t>
  </si>
  <si>
    <t>c177625d</t>
  </si>
  <si>
    <t>Eliho Textil</t>
  </si>
  <si>
    <t>textil</t>
  </si>
  <si>
    <t>118b4ee2</t>
  </si>
  <si>
    <t>Insuga</t>
  </si>
  <si>
    <t>INSUGA SA</t>
  </si>
  <si>
    <t>INSUGA CHACO S.A.</t>
  </si>
  <si>
    <t>e1a52e95</t>
  </si>
  <si>
    <t>Metalurgica HQ</t>
  </si>
  <si>
    <t>Metalurgica</t>
  </si>
  <si>
    <t>METALURGICA HUGO QUERO S.R.L</t>
  </si>
  <si>
    <t>7e461d1d</t>
  </si>
  <si>
    <t>IO Distribuidora</t>
  </si>
  <si>
    <t>0567a635</t>
  </si>
  <si>
    <t>Fiore</t>
  </si>
  <si>
    <t>e6ad2804</t>
  </si>
  <si>
    <t>GrupoAISA Mecanizados</t>
  </si>
  <si>
    <t>84a5d941</t>
  </si>
  <si>
    <t>P.C.G Distribuidora</t>
  </si>
  <si>
    <t>126ab385</t>
  </si>
  <si>
    <t>Ruedas R.A.R</t>
  </si>
  <si>
    <t>78f24129</t>
  </si>
  <si>
    <t>Drumond Pet Shop</t>
  </si>
  <si>
    <t>LA MASTRA NICOLAS BERNARDINO</t>
  </si>
  <si>
    <t>5d03ca1f</t>
  </si>
  <si>
    <t>Idearte Mayorista</t>
  </si>
  <si>
    <t>CHADE ROBERTO MARIO - Monotributo</t>
  </si>
  <si>
    <t>75b92a7d</t>
  </si>
  <si>
    <t>A todo Color</t>
  </si>
  <si>
    <t>Pinturería</t>
  </si>
  <si>
    <t>A TODO COLOR SRL</t>
  </si>
  <si>
    <t>8701553e</t>
  </si>
  <si>
    <t>La Francia Panificación SRL</t>
  </si>
  <si>
    <t>Panificación</t>
  </si>
  <si>
    <t>73527a48</t>
  </si>
  <si>
    <t>Cordilleranos srl</t>
  </si>
  <si>
    <t>Neuquen</t>
  </si>
  <si>
    <t>41b2192f</t>
  </si>
  <si>
    <t>Hector Cañadas</t>
  </si>
  <si>
    <t>a3e3e86c</t>
  </si>
  <si>
    <t>VASQUEZ SRL</t>
  </si>
  <si>
    <t>Rio Negro</t>
  </si>
  <si>
    <t>Madera</t>
  </si>
  <si>
    <t>a9fc634b</t>
  </si>
  <si>
    <t>REMAX</t>
  </si>
  <si>
    <t>Inmobiliaria</t>
  </si>
  <si>
    <t>4c543d69</t>
  </si>
  <si>
    <t>PURATOS</t>
  </si>
  <si>
    <t>af6136d5</t>
  </si>
  <si>
    <t>Municipalidad de Rawson</t>
  </si>
  <si>
    <t>Chubut</t>
  </si>
  <si>
    <t>Sector Publico</t>
  </si>
  <si>
    <t>093697de</t>
  </si>
  <si>
    <t>Bernardis</t>
  </si>
  <si>
    <t>Marmolería</t>
  </si>
  <si>
    <t>d193b499</t>
  </si>
  <si>
    <t>OnTheRoad viajes</t>
  </si>
  <si>
    <t>Agencia de Viajes</t>
  </si>
  <si>
    <t>97b9fe3e</t>
  </si>
  <si>
    <t>Nossar</t>
  </si>
  <si>
    <t>-</t>
  </si>
  <si>
    <t>932e6eec</t>
  </si>
  <si>
    <t>Riosma</t>
  </si>
  <si>
    <t>Frigorifico</t>
  </si>
  <si>
    <t>e9e0a3a9</t>
  </si>
  <si>
    <t>Vertiente del Sur</t>
  </si>
  <si>
    <t>Agua Mineral</t>
  </si>
  <si>
    <t>d1681a26</t>
  </si>
  <si>
    <t>Del llano</t>
  </si>
  <si>
    <t>Colombia</t>
  </si>
  <si>
    <t>34a2cd17</t>
  </si>
  <si>
    <t>Autopartes Sol</t>
  </si>
  <si>
    <t>Misiones</t>
  </si>
  <si>
    <t>Autopartes sol SRL</t>
  </si>
  <si>
    <t>1c0d5c64</t>
  </si>
  <si>
    <t>Laboratorío Roca</t>
  </si>
  <si>
    <t>Laboratorio</t>
  </si>
  <si>
    <t>Laboratorio Roca SRL</t>
  </si>
  <si>
    <t>b178e6b9</t>
  </si>
  <si>
    <t>Conexion Market</t>
  </si>
  <si>
    <t>Logistica</t>
  </si>
  <si>
    <t>CONEXION MARKET SAS</t>
  </si>
  <si>
    <t>c461f15b</t>
  </si>
  <si>
    <t>Terra Logistica</t>
  </si>
  <si>
    <t>b04dfd0e</t>
  </si>
  <si>
    <t>Escobar</t>
  </si>
  <si>
    <t>Escobar Automotores S.A.</t>
  </si>
  <si>
    <t>Escobar Santa Fe</t>
  </si>
  <si>
    <t>da75f410</t>
  </si>
  <si>
    <t>Novis</t>
  </si>
  <si>
    <t>49bfe5a7</t>
  </si>
  <si>
    <t>HOM Seguros</t>
  </si>
  <si>
    <t>Buenos aires</t>
  </si>
  <si>
    <t>Seguros</t>
  </si>
  <si>
    <t>431a396d</t>
  </si>
  <si>
    <t>La Motofeca</t>
  </si>
  <si>
    <t>b057cd12</t>
  </si>
  <si>
    <t>Distribuidora mayorista Saphirus</t>
  </si>
  <si>
    <t>d0f1acb0</t>
  </si>
  <si>
    <t>Fulanos</t>
  </si>
  <si>
    <t>Minimercado</t>
  </si>
  <si>
    <t>8e3b2b80</t>
  </si>
  <si>
    <t>Red el Colo</t>
  </si>
  <si>
    <t>fc235004</t>
  </si>
  <si>
    <t>Beamar Alimentos</t>
  </si>
  <si>
    <t>San Luis</t>
  </si>
  <si>
    <t>4728be84</t>
  </si>
  <si>
    <t>Gama italy</t>
  </si>
  <si>
    <t>BS AS</t>
  </si>
  <si>
    <t>4b4ab8fb</t>
  </si>
  <si>
    <t>Nicola Chapa y Pintura</t>
  </si>
  <si>
    <t>Automotor</t>
  </si>
  <si>
    <t>5b5b773e</t>
  </si>
  <si>
    <t>Bavosi</t>
  </si>
  <si>
    <t>82c28880</t>
  </si>
  <si>
    <t>Nutriar</t>
  </si>
  <si>
    <t>013ad8e0</t>
  </si>
  <si>
    <t>ISAA</t>
  </si>
  <si>
    <t>ASTRO ISAA</t>
  </si>
  <si>
    <t>21f58208</t>
  </si>
  <si>
    <t>Ingredients Solutions</t>
  </si>
  <si>
    <t>005870f1</t>
  </si>
  <si>
    <t>Hotel Faraon</t>
  </si>
  <si>
    <t>Hotelería</t>
  </si>
  <si>
    <t>c4516150</t>
  </si>
  <si>
    <t>Open Pack</t>
  </si>
  <si>
    <t>LABEL GROUP S.R.L.</t>
  </si>
  <si>
    <t>c4e7e704</t>
  </si>
  <si>
    <t>Grupo BMH</t>
  </si>
  <si>
    <t>1ffa5823</t>
  </si>
  <si>
    <t>Vigorita Maderas</t>
  </si>
  <si>
    <t>13fe9826</t>
  </si>
  <si>
    <t>COOQUITRANS</t>
  </si>
  <si>
    <t>a2285b22</t>
  </si>
  <si>
    <t>Entrenuts</t>
  </si>
  <si>
    <t>c79b70f0</t>
  </si>
  <si>
    <t>La Golonisería</t>
  </si>
  <si>
    <t>db7864da</t>
  </si>
  <si>
    <t>f76405df</t>
  </si>
  <si>
    <t>Otamendi y Cía</t>
  </si>
  <si>
    <t>Santa Cruz</t>
  </si>
  <si>
    <t>a940644b</t>
  </si>
  <si>
    <t>Tenis club argentino</t>
  </si>
  <si>
    <t>Club</t>
  </si>
  <si>
    <t>ef2d9055</t>
  </si>
  <si>
    <t>Marcelo Duran</t>
  </si>
  <si>
    <t>NUTRYNOR S.A</t>
  </si>
  <si>
    <t>7987a65f</t>
  </si>
  <si>
    <t>CIATI</t>
  </si>
  <si>
    <t>58fb63c6</t>
  </si>
  <si>
    <t>Estudio Gustavo Echarte</t>
  </si>
  <si>
    <t>Legal</t>
  </si>
  <si>
    <t>type</t>
  </si>
  <si>
    <t>from</t>
  </si>
  <si>
    <t>from_name</t>
  </si>
  <si>
    <t>to</t>
  </si>
  <si>
    <t>file</t>
  </si>
  <si>
    <t>message</t>
  </si>
  <si>
    <t>ID_Capacitación</t>
  </si>
  <si>
    <t>Titulo tema</t>
  </si>
  <si>
    <t>Fecha creación</t>
  </si>
  <si>
    <t>Descripción</t>
  </si>
  <si>
    <t>Clasificación</t>
  </si>
  <si>
    <t>Destinatarios</t>
  </si>
  <si>
    <t>Visto por</t>
  </si>
  <si>
    <t>Creado</t>
  </si>
  <si>
    <t>a17a2f2a</t>
  </si>
  <si>
    <t>Puntuación de Apps y Tableros</t>
  </si>
  <si>
    <t>Video para puntuar apps y Tableros</t>
  </si>
  <si>
    <t>Gestión Interna</t>
  </si>
  <si>
    <t>Felipe Duarte , Renata Morano , Adrian Patriarca , Santiago Toscano</t>
  </si>
  <si>
    <t>Rocio Franco , Felipe Duarte , Adrian Patriarca, Renata Morano</t>
  </si>
  <si>
    <t>147ee41c</t>
  </si>
  <si>
    <t>Breve capacitación Rocio</t>
  </si>
  <si>
    <t>En este video lo que hago es explicarle de manera "Salpicada" a Rocio algunos criterios que tenemos en APSOL</t>
  </si>
  <si>
    <t>AppSheet</t>
  </si>
  <si>
    <t>Rocio Franco</t>
  </si>
  <si>
    <t>Rocio Franco, Adrian Patriarca</t>
  </si>
  <si>
    <t>fc3a73ca</t>
  </si>
  <si>
    <t>Evolucion API enviar mensajes desde Appscript</t>
  </si>
  <si>
    <t>La idea de este video es hacer una breve introducción de lo que es Evolucion API,  Explicación teorica de que es lo que verdaderamente hace por detras, demostrar que se puede enviar mensajes a cualquier celular nos tenga o nos tenga agregados. tenga o no tenga una conversación iniciada con nosotros. Como generar una instancia, etc.</t>
  </si>
  <si>
    <t>Otras Herramientas</t>
  </si>
  <si>
    <t>Adrian Patriarca , Felipe Duarte , Renata Morano</t>
  </si>
  <si>
    <t>Adrian Patriarca , Renata Morano , Felipe Duarte, Rocio Franco</t>
  </si>
  <si>
    <t>9c43b6d7</t>
  </si>
  <si>
    <t>Enviar mensajes Appsheet-EvoluciónAPI</t>
  </si>
  <si>
    <t>En este video describo como enviar mensajes desde appsheet a evolución API</t>
  </si>
  <si>
    <t>Adrian Patriarca , Renata Morano , Rocio Franco, Felipe Duarte</t>
  </si>
  <si>
    <t>d711d1d6</t>
  </si>
  <si>
    <t>Cómo organizar flujos en N8N de forma clara y eficiente</t>
  </si>
  <si>
    <t>En este primer video comparto las bases para organizar de forma efectiva los flujos de trabajo en N8N, tomando como ejemplo el proyecto de Vertientes del Sur. Explico que, en lugar de crear múltiples flujos sueltos —lo que genera desorden— conviene trabajar con una carpeta por cliente y un solo lienzo donde se agrupen todos los flujos, diferenciados con colores y notas explicativas. Además, insisto en documentar cada nodo para que cualquier persona pueda entender rápidamente su propósito y funcionamiento. También recomiendo realizar pruebas en un flujo separado de WhatsApp, para validar la lógica sin afectar la comunicación real, y luego trasladar los cambios al flujo productivo. Por último, destaco la importancia de usar una calculadora dentro de los flujos cuando sea necesario realizar cálculos, ya que omitirla puede provocar errores. Este enfoque asegura un trabajo más claro, mantenible y colaborativo.</t>
  </si>
  <si>
    <t>N8N</t>
  </si>
  <si>
    <t>Adrian Patriarca , Renata Morano , Santiago Toscano , Mateo Courault</t>
  </si>
  <si>
    <t>Rocio Franco , Adrian Patriarca, Renata Morano</t>
  </si>
  <si>
    <t>Adrian Patriarca - 07/11/2025 09:25:33</t>
  </si>
  <si>
    <t>22e5cde1</t>
  </si>
  <si>
    <t>Cómo resetear memorias y disparar flujos de embedding en N8N</t>
  </si>
  <si>
    <t>En este video explico cómo gestionar la memoria conversacional y vectorial en N8N usando PostgreSQL como base de datos. La idea es no crear una base separada por cliente, sino mantener una única base de datos y filtrar los registros según corresponda, lo que facilita la gestión y escalabilidad. Muestro cómo resetear la memoria conversacional de un cliente específico sin afectar a otros, ejecutando un flujo que limpia sus datos. Además, detallo cómo configurar un flujo para alimentar la base vectorial mediante un archivo .doc almacenado en Google Drive, disparando la ejecución a través de un webhook de tipo GET. Este mecanismo permite lanzar el flujo de embedding desde el exterior usando un enlace, automatizando la carga de datos y asegurando que el asistente tenga información actualizada y limpia. Con este enfoque, se mantiene el orden y se optimizan las pruebas y actualizaciones del sistema de memoria en N8N.</t>
  </si>
  <si>
    <t>Renata Morano , Rocio Franco</t>
  </si>
  <si>
    <t>Adrian Patriarca - 07/12/2025 12:41:31</t>
  </si>
  <si>
    <t>76ae38e9</t>
  </si>
  <si>
    <t>Buenas prácticas para procesos de embedding en N8N</t>
  </si>
  <si>
    <t>En este video explico cómo encarar correctamente el proceso de embedding en N8N para mantener una base de conocimiento clara y precisa. Primero, recomiendo partir siempre de flujos ya probados para evitar errores y ahorrar tiempo. Detallo el procedimiento: se eliminan los registros existentes de la base vectorial, se descarga el documento actualizado y se realiza el nuevo embedding. Además, aclaro la configuración de los “chunks” (fragmentos de texto) y su solapamiento (overlap), sugiriendo trabajar con fragmentos pequeños y pocos resultados (por ejemplo, 2) para lograr mayor precisión en las respuestas y evitar confusiones del modelo. También destaco la importancia de limitar la cantidad de tokens para optimizar recursos y mantener respuestas claras. Este enfoque prioriza la economía de tokens, la calidad de las respuestas y la facilidad de mantenimiento, logrando bases de datos vectoriales organizadas, eficientes y más efectivas a la hora de alimentar un asistente conversacional.</t>
  </si>
  <si>
    <t>Adrian Patriarca - 07/11/2025 09:25:47</t>
  </si>
  <si>
    <t>f891df63</t>
  </si>
  <si>
    <t>Comparativa de modelos de lenguaje para asistentes en N8N</t>
  </si>
  <si>
    <t>En este video comparto pruebas y conclusiones sobre distintos modelos de lenguaje aplicados a N8N. Probé Gemini 2.0 Flash, que destaca por su velocidad y coherencia, pero falla en precisión y uso de herramientas, generando errores y posibles alucinaciones cuando necesita consultar fuentes externas. Luego evalué GPT-4.1 Mini, con buen manejo de herramientas y coherencia aceptable, pero con respuestas poco cálidas y algo planas. Finalmente, Anthropic Haiku 3.5 fue el que más me convenció: combina un uso eficiente de herramientas, coherencia sólida, amabilidad en las respuestas y ausencia de alucinaciones. Aunque es más lento, esto no representa un problema real, ya que en flujos complejos los tiempos de respuesta siguen siendo razonables comparados con la interacción humana. Esta comparativa busca orientar la elección del mejor modelo según las necesidades y el contexto de uso en asistentes conversacionales.</t>
  </si>
  <si>
    <t>Renata Morano , Adrian Patriarca , Santiago Toscano , Mateo Courault</t>
  </si>
  <si>
    <t>Adrian Patriarca , Renata Morano, Rocio Franco, Rocio Franco</t>
  </si>
  <si>
    <t>Adrian Patriarca - 07/11/2025 09:25:52</t>
  </si>
  <si>
    <t>b00a1b2c</t>
  </si>
  <si>
    <t>Costos y optimización económica en proyectos con IA</t>
  </si>
  <si>
    <t>En este video analizo los costos asociados al uso de modelos de lenguaje en asistentes conversacionales, destacando su impacto en la viabilidad del servicio para los clientes. Explico que modelos como Claude 3.5 ofrecen un equilibrio óptimo entre calidad, velocidad y precio, mientras que otros, como Opus 4, son mucho más caros y solo deberían usarse en decisiones críticas dentro de un flujo. También planteo la posibilidad de combinar modelos para optimizar costos según la tarea. Para dimensionar, muestro un cálculo estimado: con 250 conversaciones diarias de cuatro interacciones y un consumo de 1000 tokens por interacción, el costo rondaría los 105 dólares mensuales, aunque con ajustes se puede reducir significativamente. Finalmente aclaro que una interacción se define como el envío de un mensaje por parte del cliente y la respuesta del bot, y remarco la importancia de controlar la cantidad de tokens para mantener el servicio accesible y rentable</t>
  </si>
  <si>
    <t>Rocio Franco , Renata Morano</t>
  </si>
  <si>
    <t>Adrian Patriarca , Renata Morano, Rocio Franco</t>
  </si>
  <si>
    <t>Adrian Patriarca - 07/12/2025 12:39:41</t>
  </si>
  <si>
    <t>f8ff581d</t>
  </si>
  <si>
    <t>Cómo crear y configurar un túnel de Cloudflare en Windows Server paso a paso</t>
  </si>
  <si>
    <t>En este video se explica cómo configurar un túnel de Cloudflare en un servidor Windows. Primero se crea la carpeta C:\cloudflared y se descargan dos archivos: el ejecutable cloudflared.exe y un archivo de configuración config.yml. En este archivo se define el nombre del túnel creado en Cloudflare Zero Trust, la ruta al archivo de credenciales (generado por Cloudflare al crear el túnel), el dominio público que va a redirigir el tráfico y la dirección local (localhost) a donde se enviarán las peticiones.
Luego se muestra cómo crear el túnel desde la consola de Cloudflare, obteniendo un token que se usa para instalar el servicio de Windows con cloudflared.exe service install. Después se arranca el servicio con Start-Service Cloudflared y se configura un registro CNAME en Cloudflare DNS para que apunte al túnel, permitiendo el acceso externo.
Finalmente, se recuerda que cada vez que se reinicia el servidor hay que levantar primero los servicios requeridos (por ejemplo Docker, N8N) y luego iniciar el túnel para que funcione correctamente. También se explica la relación entre el ID del túnel y el registro DNS.</t>
  </si>
  <si>
    <t>e1bec10d</t>
  </si>
  <si>
    <t>Problemas de red con Hyper-V en Windows Server: causas, diagnóstico y solución definitiva</t>
  </si>
  <si>
    <t>Tenía un servidor Windows Server conectado por Wi-Fi, funcionando perfecto con usuarios como Renata, Felipe y Rocío accediendo vía RDP sin cortes. Al habilitar Hyper-V para gestionar máquinas virtuales y crear un conmutador virtual externo sobre la placa Wi-Fi, la red empezó a fallar gravemente: cortes, audio entrecortado, video congelado y sesiones inestables. Esto sucedió porque Hyper-V interceptó la placa física Wi-Fi, forzando todo el tráfico del servidor físico a pasar por una capa virtual, añadiendo latencia, microcortes y rutas complejas. Al eliminar el conmutador, la conexión tampoco volvió igual porque Hyper-V modificó configuraciones de red profundas. Tras múltiples intentos (desinstalar el adaptador, reinstalar drivers), mejoró pero no recuperó la fluidez original.
Solución recomendada: separar redes. Conectar el servidor físico vía cable (Realtek 2.5 GbE) para tráfico estable de RDP, y destinar la placa Wi-Fi solo para Hyper-V, creando un conmutador virtual exclusivo sobre Wi-Fi. Así se garantiza que el servidor físico mantenga conexión estable por cable, y las máquinas virtuales usen Wi-Fi sin interferir. Checklist: cablear el servidor, fijar su IP, dejar la Wi-Fi habilitada solo para Hyper-V, crear el conmutador en Wi-Fi, y verificar acceso RDP por la red cableada para máxima estabilidad.</t>
  </si>
  <si>
    <t>28d0f171</t>
  </si>
  <si>
    <t>Cómo exponer Evolution API y Easypanel desde un servidor físico con Cloudflare Tunnel</t>
  </si>
  <si>
    <t>En este video explico cómo exponer Evolution API y Easypanel desde un servidor físico confiable y económico, para reemplazar proveedores como Contabo que me fallaron varias veces. Primero creo máquinas virtuales en Hyper-V, usando imágenes de Ubuntu previamente preparadas, una virgen y otra con Easypanel preinstalado. Así puedo restaurar rápidamente entornos de trabajo o hacer backups.
Dentro de Easypanel, despliego Evolution API y configuro sus puertos. Luego, en Cloudflare Zero Trust creo un túnel, copio el token y registro el servicio con cloudflared para que el acceso externo sea seguro. También explico cómo configurar el archivo config.yml y el CNAME en Cloudflare DNS para redirigir el tráfico al túnel.
Aclaro la importancia de mapear correctamente los puertos externos e internos en Hyper-V y de tener funcionando los servicios locales antes de exponerlos. Finalmente, reviso cómo verificar la conectividad a través de dominios públicos y configuro la redirección de puertos en Easypanel para garantizar el acceso desde cualquier lugar.
Este procedimiento permite tener Evolution API y Easypanel accesibles en internet de forma estable y segura, usando recursos propios y sin depender de VPS inestables.</t>
  </si>
  <si>
    <t>bf5aea70</t>
  </si>
  <si>
    <t>Desglose del Flujo Principal del Asistente VECTOR (Vertientes del Sur)- HUMANO</t>
  </si>
  <si>
    <t>En este video se explica paso a paso el funcionamiento del flujo principal del asistente virtual VECTOR, diseñado para la empresa Vertientes del Sur. El flujo comienza con la recepción de un mensaje desde Evolution API mediante Webhook. Luego se valida si el dato recibido es efectivamente un mensaje (para filtrar eventos como "typing").
Una vez validado, se extraen variables clave como ID de chat, número, fecha, API Key e instancia. Esta información se guarda como historial en AppSheet. Luego, el flujo consulta el estado de la conversación (bot o humano) desde una tabla. Si es humano, se detiene la automatización, graba el estado y actualiza la última fecha de contacto.
Si es bot, continúa el procesamiento normal. Todo se valida en tiempo real con tests y revisiones paso a paso. Este flujo actúa como modelo base para automatizar la atención al cliente por WhatsApp en VDS, integrando N8N, Evolution API y AppSheet.</t>
  </si>
  <si>
    <t>288b9563</t>
  </si>
  <si>
    <t>12132</t>
  </si>
  <si>
    <t>Hola</t>
  </si>
  <si>
    <t>Gestión de Clientes</t>
  </si>
  <si>
    <t>Adrian Patriarca - 07/09/2025 22:57:21</t>
  </si>
  <si>
    <t>4fb1630e</t>
  </si>
  <si>
    <t>Configuración dinámica de mensajes con Evolution API en N8N</t>
  </si>
  <si>
    <t>En este video, Adrián le explica a Rocío cómo configurar un nodo HTTP en N8N para enviar mensajes usando Evolution API. En lugar de un nodo específico de Evolution, utiliza un nodo HTTP con variables dinámicas para que funcione con cualquier número, instancia y URL sin tener que modificarlo al cambiar de proyecto. Extrae la URL desde un nodo previo llamado "Server Evolution", que prepara los datos del mensaje entrante. También configura la instancia, la API key y el número destinatario como variables para mantener flexibilidad. El número se puede obtener del mensaje entrante o de una base de datos, agregando “@s.whatsapp.net” al final para cumplir con el formato que requiere Evolution API. Finalmente, se especifica el texto del mensaje en el cuerpo del request, asegurando que sea dinámico. Todo el flujo está diseñado para ser reutilizable y adaptable a múltiples clientes o configuraciones.</t>
  </si>
  <si>
    <t>Adrian Patriarca - 07/10/2025 10:26:35</t>
  </si>
  <si>
    <t>4953499f</t>
  </si>
  <si>
    <t>Explicación Flujo "VERTIENTES DEL SUR": carga de datos, uso de memoria y estrategia de embeddings</t>
  </si>
  <si>
    <t>En este video, Adrián repasa y analiza en detalle el flujo de atención automatizada para Vertientes del Sur. Explica cómo se recibe el mensaje desde Evolution API, se filtran los eventos no útiles (como escritura), se limpia el contenido y se verifica si la conversación es con un humano o con el bot. Si es con el bot, se recuperan los datos del cliente filtrando por número desde una base (como si fuera una hoja de cálculo). Adrián advierte sobre el error de enviar demasiados datos innecesarios al modelo de lenguaje, lo que incrementa el uso de tokens y complica las respuestas. Propone como solución separar la lógica de recuperación de datos en un sub-workflow, y solo ejecutarla cuando sea necesario. Además, reflexiona sobre el uso ineficiente del prompt system y los embeddings: muchos datos útiles, como horarios de atención o mensajes de ausencia, fueron puestos en el embedding en lugar del prompt, provocando que el asistente no responda correctamente en contextos fuera de horario. Concluye que es crucial decidir qué información va en el prompt y cuál en el embedding, priorizando lo que el modelo debe tener siempre presente.</t>
  </si>
  <si>
    <t>Rocio Franco, Renata Morano</t>
  </si>
  <si>
    <t>Adrian Patriarca - 07/10/2025 12:03:21</t>
  </si>
  <si>
    <t>a7e93929</t>
  </si>
  <si>
    <t>Explicación Flujo "VERTIENTES DEL SUR 2"</t>
  </si>
  <si>
    <t>En esta segunda parte del flujo de Vertientes del Sur, Adrián profundiza en la lógica detrás de tres herramientas clave: calculadora, pedidos y consulta de precios. Explica que el modelo de lenguaje no puede realizar cálculos por sí solo, por lo que es fundamental incluir una herramienta de calculadora dentro del sistema. En cuanto a los pedidos, aclara que la descripción clara de cada herramienta es esencial para que el asistente sepa cómo usarlas. También recomienda mencionar explícitamente todas las herramientas disponibles en el prompt system.
Para los precios, analiza dos enfoques: si hay pocos productos, puede enviarse toda la lista directamente al modelo. Pero si hay muchos (como 1000), eso es ineficiente, ya que se consumirían muchos tokens innecesarios. En ese caso, propone dos alternativas: o bien exigir un código de producto exacto al usuario (evitando errores por diferencias mínimas), o utilizar una base de datos vectorial (RAG) que permita buscar por características más generales (ej. “batería para Ford Fiesta”). Destaca que usar la descripción es más propenso a errores y que, cuando se usa RAG, es importante no ser demasiado impreciso ni mandar consultas ambiguas para evitar respuestas vacías y uso excesivo de tokens.</t>
  </si>
  <si>
    <t>Adrian Patriarca - 07/10/2025 12:45:23</t>
  </si>
  <si>
    <t>9a08b439</t>
  </si>
  <si>
    <t>Explicación Flujo "VERTIENTES DEL SUR 3"</t>
  </si>
  <si>
    <t>En este video, Adrián analiza a fondo errores y mejoras aplicadas al flujo del asistente virtual de Vertientes del Sur. Detecta un fallo en la respuesta de dirección del asistente, causado por una mala consulta en la base de datos (embedding insuficiente o contexto mal definido), y explica cómo depurar el error copiando la ejecución al editor de N8N. Luego, repasa cómo registrar y modificar pedidos correctamente: establece un identificador único combinando número de teléfono y fecha, para facilitar búsquedas precisas. También comenta la importancia de normalizar los nombres y estructurar los datos del pedido de forma coherente (formato, estado, dirección, etc.).
Además, analiza cuándo usar bases vectoriales para consultas de precios, especialmente si se manejan cientos de productos. Advierte que enviar todos los precios al modelo es ineficiente y genera desperdicio de tokens. Por último, describe el proceso de derivación a humano: si el modelo responde con una palabra clave como "humano", N8N dispara una acción en AppSheet para marcar la conversación como derivada y actualizar la vista del usuario. Concluye que, aunque el flujo no es perfecto, sirve como base sólida para seguir optimizando interacción, performance y claridad de respuestas.
¿Querés que combine este resumen con los anteriores en un solo PDF?</t>
  </si>
  <si>
    <t>88230ac6</t>
  </si>
  <si>
    <t>Mensaje Inicial (Contando filas de conversaciones del día) Modo Dificil hay otro metodo mas sensillo</t>
  </si>
  <si>
    <t>En este video se explica cómo configurar un mensaje inicial inteligente que se active solo cuando un cliente escribe por primera vez en el día. La estrategia busca evitar respuestas innecesarias de la IA como un simple “hola” y, en su lugar, ofrecer un mensaje completo con presentación, instrucciones y opciones (pedidos, precios, entregas). Para ello, se verifica si hay mensajes previos del cliente en la base de datos Supabase para ese día. Si no hay registros, se dispara el mensaje inicial, que también se guarda tanto en la memoria conversacional como en el historial. Se detallan los pasos para estructurar el JSON esperado, establecer variables, insertar datos en memoria y mantener el flujo modular. La lógica permite guiar mejor al cliente y optimizar la interacción reduciendo el ida y vuelta innecesario. Es una solución pensada para escalar asistentes sin perder control.</t>
  </si>
  <si>
    <t>Renata Morano , Adrian Patriarca, Rocio Franco</t>
  </si>
  <si>
    <t>541ab033</t>
  </si>
  <si>
    <t>Grabación de videos para clientes</t>
  </si>
  <si>
    <t>En este video comparto algunos tips que me sirven a la hora de grabar videos para clientes.
La idea es que salgan más claros, organizados y fáciles de entender, sin necesidad de repetir grabaciones.</t>
  </si>
  <si>
    <t>Felipe Duarte , Rocio Franco , Renata Morano</t>
  </si>
  <si>
    <t>Renata Morano , Felipe Duarte, Rocio Franco</t>
  </si>
  <si>
    <t>fe3d3253</t>
  </si>
  <si>
    <t>Normalización de info nodo Evolution API - (SET)</t>
  </si>
  <si>
    <t>El video explica cómo normalizar los mensajes entrantes desde Evolution API, ya que WebHook trae mucha información innecesaria. Se propone agrupar y estructurar los datos útiles (como serverURL, instanceName, apiKey, messageID, chatID, contentType, text, timestamp, y username) en un formato más manejable. Se destaca cómo diferenciar objetos (instance.) de texto plano y cómo manejar distintos tipos de contenido (texto, imagen, audio) mediante una lógica condicional. El objetivo es estandarizar los datos para facilitar su uso en automatizaciones.</t>
  </si>
  <si>
    <t>Adrian Patriarca , Rocio Franco, Renata Morano, Renata Morano</t>
  </si>
  <si>
    <t>8cb1a834</t>
  </si>
  <si>
    <t>Recibir y procesar Imagenes y Audio en N8N</t>
  </si>
  <si>
    <t>Este video lo que muestra es una forma bastante sensilla de recibir y procesar audio e imagenes. A su vez cabe destacar que en la carpeta plantillas está este flujo armado.</t>
  </si>
  <si>
    <t>Adrian Patriarca , Rocio Franco, Renata Morano</t>
  </si>
  <si>
    <t>97fe9a38</t>
  </si>
  <si>
    <t>Ejecutar una acción de Appsheet desde N8N</t>
  </si>
  <si>
    <t>En este video explico la importancia de ejecutar una acción en AppSheet desde N8N, cuándo conviene hacerlo y cómo implementarlo correctamente. Lo fundamental es que, al disparar la acción desde N8N, AppSheet se actualiza automáticamente sin necesidad de presionar "sincronizar". Además, muestro paso a paso cómo configurarlo y se puede ver claramente cómo funciona, lo cual es muy útil.</t>
  </si>
  <si>
    <t>add99461</t>
  </si>
  <si>
    <t>Breve introducción a Supabase</t>
  </si>
  <si>
    <t>En este video explico aspectos muy basicos de supabase.</t>
  </si>
  <si>
    <t>Supabase</t>
  </si>
  <si>
    <t>Felipe Duarte , Renata Morano , Adrian Patriarca , Santiago Toscano , Mateo Courault</t>
  </si>
  <si>
    <t>Felipe Duarte , Rocio Franco , Adrian Patriarca, Renata Morano</t>
  </si>
  <si>
    <t>f1fee328</t>
  </si>
  <si>
    <t>Copiar APP APSOL sin romper Rutas</t>
  </si>
  <si>
    <t>En este video explico como hacer una copia de la app sin romper rutas y que luego despues no me funcionen cosas.</t>
  </si>
  <si>
    <t>APSOL - Adrian</t>
  </si>
  <si>
    <t>40976218</t>
  </si>
  <si>
    <t>Modulo de Conexion a Evolution API desde APpsheet</t>
  </si>
  <si>
    <t>En este modulo se explica como se debe hacer para generar un modulo que conecte whatsapp con evolution API desde appsheet. Para ello se siguen los siguientes pasos:
1.	Agregar la instancia a Supabase
2.	Agregar la tabla “Settings_EvolutionAPI” a Appsheet
3.	Crear la tabla llamada API GETs
4.	Crear BOT en API GETs
5.	Crear un slice para que la empresa que se logee solo pueda ver su instancia
6.	Copiar exactamente como está el modulo “Instancias Cliente” de la app llamada “Vertientes del sur”
a.	Asegurarse de copiar exactamente las acciones
b.	Copiar exactamente el diseño</t>
  </si>
  <si>
    <t>Renata Morano , Rocio Franco , Adrian Patriarca, Felipe Duarte</t>
  </si>
  <si>
    <t>cdab3a65</t>
  </si>
  <si>
    <t>Como evitar que Evolution API mande multiples Eventos a N8N y como hacer para que el Asistente no Autoresponda a uno mismo</t>
  </si>
  <si>
    <t>En este video lo que vemos es:
- Como evitar que evolution API envie muchos eventos juntos: Como lo venia haciendo estaba enviando 3 eventos esto es por que estabamos configurando mal en Webhook para que esto no suceda lo que hay que hacer es setearlo solo con "MESSAGES_UPSERT"
- Como evitar que el asistente responda mensajes enviados desde el celular que supuestamente tiene es decir se Autoresponda a si mismo: Nosotros no lo solemos probar pero si yo envio un mensaje desde el celular al que esta conectado el bot el evolution api manda el evento y puede que se autoresponda el asistente.</t>
  </si>
  <si>
    <t>Renata Morano , Rocio Franco, Adrian Patriarca</t>
  </si>
  <si>
    <t>9781cb4e</t>
  </si>
  <si>
    <t>Como hacer para procesar Imagenes con Información</t>
  </si>
  <si>
    <t>En este video explico como hacer para procesar Imagenes con información como por ejemplo Transferencias y que ese procesamiento me devuelva los datos de las transferencias y no solo descripción de lo que se vé.</t>
  </si>
  <si>
    <t>16fe0c4f</t>
  </si>
  <si>
    <t>Breve Introducción Big Query</t>
  </si>
  <si>
    <t>En este video hago una presentación de porque elegí Big Query, breve presentación de las funcionalidades que usamos, como crear una tabla que originalmente provenga de google sheet pero que se copie en big query de manera periodica automaticamente y que la sincronización de Power Bi no tenga Fallos. Tambien comento un problema que tuve un par de veces y que aun no se como solucionarlo.</t>
  </si>
  <si>
    <t>Big Query</t>
  </si>
  <si>
    <t>Felipe Duarte , Adrian Patriarca , Renata Morano , Santiago Toscano</t>
  </si>
  <si>
    <t>Adrian Patriarca , Felipe Duarte, Renata Morano, Renata Morano</t>
  </si>
  <si>
    <t>941bd61b</t>
  </si>
  <si>
    <t>Breve Introducción de Appscript</t>
  </si>
  <si>
    <t>Breve Introducción de como usar Appscript: - Como Acceder, Cuando lo usamos, Como lo usamos, Secciones, ID archivo y Carpeta</t>
  </si>
  <si>
    <t>Appscript</t>
  </si>
  <si>
    <t>Renata Morano , Rocio Franco , Adrian Patriarca</t>
  </si>
  <si>
    <t>699bcd59</t>
  </si>
  <si>
    <t>Buffer de mensajes en N8N</t>
  </si>
  <si>
    <t>En este video explico como integrar todo lo que es el Buffer de mensajes en N8N. A su vez dejo en las plantillas el flujo</t>
  </si>
  <si>
    <t>6c89f747</t>
  </si>
  <si>
    <t>Ejemplo de como usar AppScript</t>
  </si>
  <si>
    <t>En este ejemplo utilizo varias funciones de Appscript, muestro el proceso iterativo con la IA e implemento una función de appscript que copia los datos de un archivo excel, a una hoja de sheet y luego vacia la carpeta.</t>
  </si>
  <si>
    <t>Renata Morano , Adrian Patriarca , Rocio Franco</t>
  </si>
  <si>
    <t>dffda325</t>
  </si>
  <si>
    <t>Como actualizar n8n</t>
  </si>
  <si>
    <t>En este video explico como tengo que hacer para actualizar n8n en el servidor que está en Docker. Las variables a utilizar en la parte de configuración de la imagen son:
Container name → n8n
Ports → 5678
Volumes → 
Host path: /var/lib/docker/volumes/n8n_data/_data
Container path: /home/node/.n8n
Environment variables:
WEBHOOK_URL = https://bots.apsol-consultora.com.ar/
NODE_ENV = production
N8N_RELEASE_TYPE = stable</t>
  </si>
  <si>
    <t>c632cc7d</t>
  </si>
  <si>
    <t>Actualizar Tablero - Credenciales</t>
  </si>
  <si>
    <t>El video trata sobre cómo programar actualizaciones de un tablero en Power BI, incluyendo la configuración de credenciales de los orígenes de datos, evitar errores por conexiones frecuentes, y cómo publicar y mantener actualizado el tablero.</t>
  </si>
  <si>
    <t>Power Bi</t>
  </si>
  <si>
    <t>Renata Morano , Felipe Duarte, Adrian Patriarca</t>
  </si>
  <si>
    <t>af42ddf7</t>
  </si>
  <si>
    <t>Conceptos Basicos de APIs y como consumirlas en N8N</t>
  </si>
  <si>
    <t>En este video explico conceptos basicos de APIs y como consumirlas en N8N</t>
  </si>
  <si>
    <t>Renata Morano, Felipe Duarte</t>
  </si>
  <si>
    <t>7ed1a9e1</t>
  </si>
  <si>
    <t>Como vincular un numero de Whatsapp con el CRM chatwoot de manera Oficial</t>
  </si>
  <si>
    <t>En este video lo que vamos a ver es como vincular un numero de WhatsApp con el CRM Chatwoot a travez de la API Oficial. Para ello vamos a usar la pagina de whatsapp bussines y Meta developers</t>
  </si>
  <si>
    <t>WhatsAPP API</t>
  </si>
  <si>
    <t>38b31748</t>
  </si>
  <si>
    <t>Agregar comentarios en vista inline</t>
  </si>
  <si>
    <t>En este video se explica brevemente cómo agregar comentarios en una tabla relacionada con la tabla principal en la cual estamos trabajando, ambas relacionadas mediante Ref con la columna Id correspondiente.</t>
  </si>
  <si>
    <t>cfdb62ec</t>
  </si>
  <si>
    <t>Como enviar notificaciones a un celular o a una compu con NTFY</t>
  </si>
  <si>
    <t>En este video lo que vemos es una aproximación de como funciona NTFY y un caso de uso en donde se integra a APPSHEET. Esta funcionalidad basicamente sirve para enviar notificaciones a un celular cuando ocurre un evento, el cual se puede dar dentro de appsheet, en una maquina, o en cualquier otro lado.</t>
  </si>
  <si>
    <t>NTFY (Notificaciones)</t>
  </si>
  <si>
    <t>f2f42b13</t>
  </si>
  <si>
    <t>Desarrollo de una Solución. Introducción conceptual</t>
  </si>
  <si>
    <t>HAY UN VIDEO Y UN POTCAST SUBIDO AL RESPECTO. Es Importante ver ambos. Ambos explican como se aborda el desarrollo de una solución.
El proceso de desarrollo de APSOL comienza con una reunión inicial para entender la necesidad real del cliente y alinear expectativas. Luego, se realiza la conceptualización y diseño visual mediante pantallas y flujogramas que definen el alcance del Producto Mínimo Viable (MVP).
Tras validar la propuesta con el cliente, se inician sprints de desarrollo iterativo. Cada etapa incluye un testeo interno riguroso y un registro visual del progreso para asegurar la calidad. El objetivo final es construir soluciones alineadas al negocio, minimizando errores y evitando funcionalidades innecesarias mediante la validación constante.</t>
  </si>
  <si>
    <t>Renata Morano , Santiago Toscano , Adrian Patriarca , Mateo Courault</t>
  </si>
  <si>
    <t>af8e3a84</t>
  </si>
  <si>
    <t>Como conectarse a Ycloud</t>
  </si>
  <si>
    <t>En este video explico como hay que conectarse a traves de Ycloud y meta coexistencia</t>
  </si>
  <si>
    <t>Santiago Toscano , Adrian Patriarca</t>
  </si>
  <si>
    <t>4537e6a2</t>
  </si>
  <si>
    <t>Conceptos Teoricos de como funciona Ycloud + Plantillas</t>
  </si>
  <si>
    <t>En este video explico como funciona Ycloud y que rol juega como intermediario a su vez tambien se explica que diferentes plantillas hay</t>
  </si>
  <si>
    <t>54b22dc9</t>
  </si>
  <si>
    <t>Como crear plantillas en Meta mediante Ycloud</t>
  </si>
  <si>
    <t>En este video explico como crear plantillas de meta mediante Ycloud</t>
  </si>
  <si>
    <t>Adrian Patriarca , Santiago Toscano</t>
  </si>
  <si>
    <t>9a74c4a7</t>
  </si>
  <si>
    <t>Logica de Funcionamiento + Como completar la base de datos de la app</t>
  </si>
  <si>
    <t>Logica de funcionamiento enviardor de mensajes de COnexion Market y como completar los parametros para que n8n pueda funcionar</t>
  </si>
  <si>
    <t>377dd252</t>
  </si>
  <si>
    <t>Como agendar una reunión con un cliente en la App de gestión</t>
  </si>
  <si>
    <t>Santiago Toscano , Adrian Patriarca , Mateo Courault</t>
  </si>
  <si>
    <t>fd2c8da4</t>
  </si>
  <si>
    <t>Como replicar cambios en otra app similar, sin tener que copiar y agregar usuarios nuevamente</t>
  </si>
  <si>
    <t>En este video lo que explico es como replicar cambios de una app a otra. Esto me va a servir cuando tengo una app subdivida en dos o bien para cuando hago una copia para hacer pruebas y luego quiero pasar los cambios a la app de producción.</t>
  </si>
  <si>
    <t>Renata Morano , Adrian Patriarca</t>
  </si>
  <si>
    <t>cd3c1810</t>
  </si>
  <si>
    <t>Como registrar el trabajo que hicimos durante el día - Funcionamiento del cronograma</t>
  </si>
  <si>
    <t>En este video analizamos la importancia de registrar el trabajo diario y el paso a paso para hacerlo correctamente. Además, detallamos cómo documentar reuniones con clientes y otros puntos clave para optimizar la gestión operativa.</t>
  </si>
  <si>
    <t>Mateo Courault , Santiago Toscano , Renata Morano , Adrian Patriarca</t>
  </si>
  <si>
    <t>fa689b87</t>
  </si>
  <si>
    <t>Video 1 - Antigravity. Arquitectura que usamos en APSOL</t>
  </si>
  <si>
    <t>Descripción del Video:
En este primer módulo de nuestra serie de estándares de desarrollo, establecemos las bases tecnológicas y metodológicas que regirán todos nuestros proyectos. Este video es de visualización obligatoria para todo el equipo, ya que los conceptos aquí expuestos se darán por integrados para futuras etapas del flujo de trabajo.
Temas tratados en este video:
El Estándar 95/5: Definición de nuestra arquitectura principal frente a casos excepcionales.
Arquitectura Principal (95% de los casos):
Frontend: React con Tailwind CSS (el estándar de "HTML potenciado").
Backend as a Service: Implementación de Supabase para maximizar la velocidad de entrega, gestión de backups, CRON jobs e integraciones.
Arquitectura para Proyectos Heredados (5% de los casos):
Uso de Google Sheets como base de datos en entornos vinculados a AppSheet.
Implementación de Node.js como middleware para gestionar la lógica y conexión vía API de Google.
Integración y Seguridad:
Configuración de credenciales en Google Cloud.
Uso de archivos JSON de service accounts en Anti-Gravity.
Ecosistema de Automatización: Cuándo y por qué integrar n8n para lógica compleja y agentes de IA.
Objetivo de la serie:
Crear un lenguaje común en el equipo, optimizar los tiempos de desarrollo y documentar estos procesos para su consulta permanente a través de nuestro agente de IA interno.</t>
  </si>
  <si>
    <t>Antigravity</t>
  </si>
  <si>
    <t>7311caa4</t>
  </si>
  <si>
    <t>Video 2 - Antigravity. Seguridad en el desarrollo.mp4</t>
  </si>
  <si>
    <t>🛡️ Resumen: Seguridad en el Desarrollo y Manejo de Variables
El núcleo de este video es la no exposición de información sensible en el cliente (navegador). El concepto principal es que cualquier dato que "desnude" la aplicación o la base de datos es una vulnerabilidad potencial que debe ser protegida.
🔑 Puntos Clave
Uso Obligatorio de Archivos .env:
Toda información crítica (claves de API, URLs sensibles, puertos, credenciales) debe gestionarse mediante variables de entorno.
Estas variables residen en el servidor y no son accesibles desde el inspector del navegador, evitando que terceros puedan ver cómo se conecta la app a otros servicios.
Riesgos de la Exposición de Datos:
URLs de n8n: Si un webhook es público, un atacante podría realizar miles de peticiones falsas, saturando el servidor (Ataque DoS), causando caídas del sistema o problemas de facturación.
APIs y Llaves: Exponerlas permite que terceros usen nuestros recursos o accedan a datos privados.
Seguridad en Supabase (RLS):
Aunque la URL y la anon key de Supabase son públicas por diseño, la seguridad real se implementa mediante RLS (Row Level Security).
RLS garantiza que un usuario solo pueda ver las filas de la tabla a las que tiene permiso explícito, fundamental para el manejo de roles.
Rol de Anti-Gravity:
La herramienta genera automáticamente el archivo .env y lo aloja en el servidor.
La aplicación consulta estas credenciales internamente sin exponerlas al frontend, creando una capa de aislamiento entre el navegador y los datos sensibles.
Regla de oro del equipo: Si es una clave, una URL de webhook o una credencial, va al .env. No se hardcodea nada sensible en el código visible.</t>
  </si>
  <si>
    <t>bc696ffb</t>
  </si>
  <si>
    <t>Video 3 - Antigravity. Uso y Gestión de Tokens</t>
  </si>
  <si>
    <t>1. Desarrollo Agéntico
El desarrollo no es 100% autónomo; el programador actúa como coordinador y guía. Es esencial tener conocimientos técnicos para supervisar y validar el código generado.
2. Multitarea con Agentes
Eficiencia: Se recomienda usar 2 o 3 agentes en paralelo. Mientras uno desarrolla, tú testeas o preparas el siguiente prompt para otro.
Evitar solapamientos: Debes asignar tareas distintas a cada agente para que no sobrescriban el trabajo del compañero.
Optimización: Trabajar con varios agentes elimina los "tiempos muertos" de espera durante la generación de código.
3. Selección Inteligente de Modelos
El autor sugiere elegir el modelo según la complejidad y el costo (los modelos premium son hasta un 67% más caros):
Claude Opus 4.6: Reservado para el planning inicial, creación de flujogramas y diagnóstico de errores críticos.
Claude Sonnet 4.6: El estándar para el desarrollo principal.
Gemini 3.1 Pro: Ideal para diseño y lógica compleja.
Flash: Para detalles y ajustes menores; es muy eficiente si se sabe guiar bien.
4. Gestión de Recursos
Es vital monitorear el consumo de tokens y los límites de las barras de uso, que suelen refrescarse cada 4 horas. El objetivo es ahorrar los modelos más potentes para los momentos de mayor dificultad técnica.</t>
  </si>
  <si>
    <t>Id Video</t>
  </si>
  <si>
    <t>Link Externo</t>
  </si>
  <si>
    <t>Link</t>
  </si>
  <si>
    <t>Video</t>
  </si>
  <si>
    <t>Reproductor</t>
  </si>
  <si>
    <t>Autor</t>
  </si>
  <si>
    <t>Revisión</t>
  </si>
  <si>
    <t>Resumen y notas</t>
  </si>
  <si>
    <t>Fecha Subida</t>
  </si>
  <si>
    <t>Creado por</t>
  </si>
  <si>
    <t>5a897dec</t>
  </si>
  <si>
    <t>Videos_Files_/5a897dec.Video.185156.mp4</t>
  </si>
  <si>
    <t>Video Explicativo para puntuar apps y tableros</t>
  </si>
  <si>
    <t>Adrian Patriarca - 06/03/2025 15:51:29</t>
  </si>
  <si>
    <t>9edac169</t>
  </si>
  <si>
    <t>Videos_Files_/9edac169.Video.145106.mp4</t>
  </si>
  <si>
    <t>En este video lo que hago es explicarle de manera salpicada algunos criterios a Rocio</t>
  </si>
  <si>
    <t>Adrian Patriarca - 06/05/2025 11:48:35</t>
  </si>
  <si>
    <t>2d43ea24</t>
  </si>
  <si>
    <t>Videos_Files_/2d43ea24.Video.154828.mp4</t>
  </si>
  <si>
    <t>Adrian Patriarca - 06/05/2025 12:46:26</t>
  </si>
  <si>
    <t>891848b7</t>
  </si>
  <si>
    <t>Videos_Files_/891848b7.Video.181012.mp4</t>
  </si>
  <si>
    <t>En este video se describe como enviar videos desde appsheet a evolución API utilizando un bot y un llamado a WebHook</t>
  </si>
  <si>
    <t>Adrian Patriarca - 06/13/2025 15:08:45</t>
  </si>
  <si>
    <t>50848b1a</t>
  </si>
  <si>
    <t>Videos_Files_/50848b1a.Video.204346.mp4</t>
  </si>
  <si>
    <t>Adrian Patriarca - 07/04/2025 17:42:40</t>
  </si>
  <si>
    <t>f001605e</t>
  </si>
  <si>
    <t>Videos_Files_/f001605e.Video.205319.mp4</t>
  </si>
  <si>
    <t>Adrian Patriarca - 07/04/2025 17:52:12</t>
  </si>
  <si>
    <t>71d51ab0</t>
  </si>
  <si>
    <t>Videos_Files_/71d51ab0.Video.210614.mp4</t>
  </si>
  <si>
    <t>Adrian Patriarca - 07/04/2025 18:05:07</t>
  </si>
  <si>
    <t>678af0dd</t>
  </si>
  <si>
    <t>Videos_Files_/678af0dd.Video.220940.mp4</t>
  </si>
  <si>
    <t>Adrian Patriarca - 07/04/2025 19:08:36</t>
  </si>
  <si>
    <t>9556c8e5</t>
  </si>
  <si>
    <t>Videos_Files_/9556c8e5.Video.221620.mp4</t>
  </si>
  <si>
    <t>Adrian Patriarca - 07/04/2025 19:15:44</t>
  </si>
  <si>
    <t>fae1721e</t>
  </si>
  <si>
    <t>Videos_Files_/fae1721e.Video.143705.mp4</t>
  </si>
  <si>
    <t>En este video se explica cómo configurar un túnel de Cloudflare en un servidor Windows. Primero se crea la carpeta C:\cloudflared y se descargan dos archivos: el ejecutable cloudflared.exe y un archivo de configuración config.yml. En este archivo se define el nombre del túnel creado en Cloudflare Zero Trust, la ruta al archivo de credenciales (generado por Cloudflare al crear el túnel), el dominio público que va a redirigir el tráfico y la dirección local (localhost) a donde se enviarán las peticiones.  Luego se muestra cómo crear el túnel desde la consola de Cloudflare, obteniendo un token que se usa para instalar el servicio de Windows con cloudflared.exe service install. Después se arranca el servicio con Start-Service Cloudflared y se configura un registro CNAME en Cloudflare DNS para que apunte al túnel, permitiendo el acceso externo.  Finalmente, se recuerda que cada vez que se reinicia el servidor hay que levantar primero los servicios requeridos (por ejemplo Docker, N8N) y luego iniciar el túnel para que funcione correctamente. También se explica la relación entre el ID del túnel y el registro DNS.</t>
  </si>
  <si>
    <t>Adrian Patriarca - 07/07/2025 11:34:47</t>
  </si>
  <si>
    <t>9ddfc3ef</t>
  </si>
  <si>
    <t>Videos_Files_/9ddfc3ef.Video.160633.mp4</t>
  </si>
  <si>
    <t>Tenía un servidor Windows Server conectado por Wi-Fi, funcionando perfecto con usuarios como Renata, Felipe y Rocío accediendo vía RDP sin cortes. Al habilitar Hyper-V para gestionar máquinas virtuales y crear un conmutador virtual externo sobre la placa Wi-Fi, la red empezó a fallar gravemente: cortes, audio entrecortado, video congelado y sesiones inestables. Esto sucedió porque Hyper-V interceptó la placa física Wi-Fi, forzando todo el tráfico del servidor físico a pasar por una capa virtual, añadiendo latencia, microcortes y rutas complejas. Al eliminar el conmutador, la conexión tampoco volvió igual porque Hyper-V modificó configuraciones de red profundas. Tras múltiples intentos (desinstalar el adaptador, reinstalar drivers), mejoró pero no recuperó la fluidez original.  Solución recomendada: separar redes. Conectar el servidor físico vía cable (Realtek 2.5 GbE) para tráfico estable de RDP, y destinar la placa Wi-Fi solo para Hyper-V, creando un conmutador virtual exclusivo sobre Wi-Fi. Así se garantiza que el servidor físico mantenga conexión estable por cable, y las máquinas virtuales usen Wi-Fi sin interferir. Checklist: cablear el servidor, fijar su IP, dejar la Wi-Fi habilitada solo para Hyper-V, crear el conmutador en Wi-Fi, y verificar acceso RDP por la red cableada para máxima estabilidad.</t>
  </si>
  <si>
    <t>Adrian Patriarca - 07/07/2025 13:05:49</t>
  </si>
  <si>
    <t>bf803c70</t>
  </si>
  <si>
    <t>Videos_Files_/bf803c70.Video.164920.mp4</t>
  </si>
  <si>
    <t>En este video explico cómo exponer Evolution API y Easypanel desde un servidor físico confiable y económico, para reemplazar proveedores como Contabo que me fallaron varias veces. Primero creo máquinas virtuales en Hyper-V, usando imágenes de Ubuntu previamente preparadas, una virgen y otra con Easypanel preinstalado. Así puedo restaurar rápidamente entornos de trabajo o hacer backups.  Dentro de Easypanel, despliego Evolution API y configuro sus puertos. Luego, en Cloudflare Zero Trust creo un túnel, copio el token y registro el servicio con cloudflared para que el acceso externo sea seguro. También explico cómo configurar el archivo config.yml y el CNAME en Cloudflare DNS para redirigir el tráfico al túnel.  Aclaro la importancia de mapear correctamente los puertos externos e internos en Hyper-V y de tener funcionando los servicios locales antes de exponerlos. Finalmente, reviso cómo verificar la conectividad a través de dominios públicos y configuro la redirección de puertos en Easypanel para garantizar el acceso desde cualquier lugar.  Este procedimiento permite tener Evolution API y Easypanel accesibles en internet de forma estable y segura, usando recursos propios y sin depender de VPS inestables.</t>
  </si>
  <si>
    <t>Adrian Patriarca - 07/07/2025 13:44:28</t>
  </si>
  <si>
    <t>069eb77a</t>
  </si>
  <si>
    <t>Videos_Files_/069eb77a.Video.124054.mp4</t>
  </si>
  <si>
    <t>En este video se explica paso a paso el funcionamiento del flujo principal del asistente virtual VECTOR, diseñado para la empresa Vertientes del Sur. El flujo comienza con la recepción de un mensaje desde Evolution API mediante Webhook. Luego se valida si el dato recibido es efectivamente un mensaje (para filtrar eventos como "typing").  Una vez validado, se extraen variables clave como ID de chat, número, fecha, API Key e instancia. Esta información se guarda como historial en AppSheet. Luego, el flujo consulta el estado de la conversación (bot o humano) desde una tabla. Si es humano, se detiene la automatización, graba el estado y actualiza la última fecha de contacto.  Si es bot, continúa el procesamiento normal. Todo se valida en tiempo real con tests y revisiones paso a paso. Este flujo actúa como modelo base para automatizar la atención al cliente por WhatsApp en VDS, integrando N8N, Evolution API y AppSheet.</t>
  </si>
  <si>
    <t>Adrian Patriarca - 07/08/2025 09:38:52</t>
  </si>
  <si>
    <t>5f33ea1c</t>
  </si>
  <si>
    <t>Videos_Images/5f33ea1c.Video.162854.jpg</t>
  </si>
  <si>
    <t>Prueba</t>
  </si>
  <si>
    <t>Adrian Patriarca - 07/09/2025 13:28:42</t>
  </si>
  <si>
    <t>46683cd7</t>
  </si>
  <si>
    <t>Videos_Images/46683cd7.Video.015722.jpg</t>
  </si>
  <si>
    <t>Adrian Patriarca - 07/09/2025 22:57:10</t>
  </si>
  <si>
    <t>1c27982c</t>
  </si>
  <si>
    <t>Videos_Files_/1c27982c.Video.132737.mp4</t>
  </si>
  <si>
    <t>Adrian Patriarca - 07/10/2025 10:26:16</t>
  </si>
  <si>
    <t>725ca92c</t>
  </si>
  <si>
    <t>Videos_Files_/725ca92c.Video.150811.mp4</t>
  </si>
  <si>
    <t>Adrian Patriarca - 07/10/2025 12:01:53</t>
  </si>
  <si>
    <t>5492ab32</t>
  </si>
  <si>
    <t>Videos_Files_/5492ab32.Video.154952.mp4</t>
  </si>
  <si>
    <t>En esta segunda parte del flujo de Vertientes del Sur, Adrián profundiza en la lógica detrás de tres herramientas clave: calculadora, pedidos y consulta de precios. Explica que el modelo de lenguaje no puede realizar cálculos por sí solo, por lo que es fundamental incluir una herramienta de calculadora dentro del sistema. En cuanto a los pedidos, aclara que la descripción clara de cada herramienta es esencial para que el asistente sepa cómo usarlas. También recomienda mencionar explícitamente todas las herramientas disponibles en el prompt system.  Para los precios, analiza dos enfoques: si hay pocos productos, puede enviarse toda la lista directamente al modelo. Pero si hay muchos (como 1000), eso es ineficiente, ya que se consumirían muchos tokens innecesarios. En ese caso, propone dos alternativas: o bien exigir un código de producto exacto al usuario (evitando errores por diferencias mínimas), o utilizar una base de datos vectorial (RAG) que permita buscar por características más generales (ej. “batería para Ford Fiesta”). Destaca que usar la descripción es más propenso a errores y que, cuando se usa RAG, es importante no ser demasiado impreciso ni mandar consultas ambiguas para evitar respuestas vacías y uso excesivo de tokens.</t>
  </si>
  <si>
    <t>Adrian Patriarca - 07/10/2025 12:44:45</t>
  </si>
  <si>
    <t>1bc87149</t>
  </si>
  <si>
    <t>Videos_Files_/1bc87149.Video.212442.mp4</t>
  </si>
  <si>
    <t>En este video, Adrián analiza a fondo errores y mejoras aplicadas al flujo del asistente virtual de Vertientes del Sur. Detecta un fallo en la respuesta de dirección del asistente, causado por una mala consulta en la base de datos (embedding insuficiente o contexto mal definido), y explica cómo depurar el error copiando la ejecución al editor de N8N. Luego, repasa cómo registrar y modificar pedidos correctamente: establece un identificador único combinando número de teléfono y fecha, para facilitar búsquedas precisas. También comenta la importancia de normalizar los nombres y estructurar los datos del pedido de forma coherente (formato, estado, dirección, etc.).  Además, analiza cuándo usar bases vectoriales para consultas de precios, especialmente si se manejan cientos de productos. Advierte que enviar todos los precios al modelo es ineficiente y genera desperdicio de tokens. Por último, describe el proceso de derivación a humano: si el modelo responde con una palabra clave como "humano", N8N dispara una acción en AppSheet para marcar la conversación como derivada y actualizar la vista del usuario. Concluye que, aunque el flujo no es perfecto, sirve como base sólida para seguir optimizando interacción, performance y claridad de respuestas</t>
  </si>
  <si>
    <t>Adrian Patriarca - 07/10/2025 18:22:34</t>
  </si>
  <si>
    <t>1e55c419</t>
  </si>
  <si>
    <t>Videos_Files_/1e55c419.Video.170809.mp4</t>
  </si>
  <si>
    <t>Adrian Patriarca - 07/15/2025 14:04:52</t>
  </si>
  <si>
    <t>7aa53573</t>
  </si>
  <si>
    <t>Videos_Files_/7aa53573.Video.163825.mp4</t>
  </si>
  <si>
    <t>En este video comparto algunos tips que me sirven a la hora de grabar videos para clientes. La idea es que salgan más claros, organizados y fáciles de entender, sin necesidad de repetir grabaciones.  Incluye:  Qué tener en cuenta antes de grabar (objetivo, público, guión base).  Cómo hablar de forma cercana y concreta.  Qué hacer si te equivocás durante la grabación.  Recomendaciones de edición rápida (ej: recortar, silenciar, reordenar).  Tips técnicos. La idea es facilitar el proceso y asegurar que los videos explicativos que mandamos sean más efectivos y profesionales.</t>
  </si>
  <si>
    <t>Renata Morano - 07/16/2025 13:29:46</t>
  </si>
  <si>
    <t>81ac9029</t>
  </si>
  <si>
    <t>No</t>
  </si>
  <si>
    <t>Videos_Files_/81ac9029.Video.162716.mp4</t>
  </si>
  <si>
    <t>Adrian Patriarca - 07/17/2025 13:25:56</t>
  </si>
  <si>
    <t>579e3cff</t>
  </si>
  <si>
    <t>Si</t>
  </si>
  <si>
    <t>https://www.youtube.com/watch?v=-T5i6wDOM2E&amp;t=941s</t>
  </si>
  <si>
    <t>You Tube</t>
  </si>
  <si>
    <t>Adrian Patriarca - 07/17/2025 13:28:22</t>
  </si>
  <si>
    <t>12697daa</t>
  </si>
  <si>
    <t>Videos_Files_/12697daa.Video.171106.mp4</t>
  </si>
  <si>
    <t>Adrian Patriarca - 07/17/2025 14:09:04</t>
  </si>
  <si>
    <t>a4f31d3e</t>
  </si>
  <si>
    <t>Videos_Files_/a4f31d3e.Video.212800.mp4</t>
  </si>
  <si>
    <t>En este video explico aspectos muy basicos de Supabase</t>
  </si>
  <si>
    <t>Adrian Patriarca - 07/17/2025 18:25:35</t>
  </si>
  <si>
    <t>b240b47c</t>
  </si>
  <si>
    <t>Videos_Files_/b240b47c.Video.130605.mp4</t>
  </si>
  <si>
    <t>Adrian Patriarca - 07/21/2025 10:05:44</t>
  </si>
  <si>
    <t>f11a7f1e</t>
  </si>
  <si>
    <t>Videos_Files_/f11a7f1e.Video.220600.mp4</t>
  </si>
  <si>
    <t>En este modulo se explica como se debe hacer para generar un modulo que conecte whatsapp con evolution API desde appsheet. Para ello se siguen los siguientes pasos: 1. Agregar la instancia a Supabase 2. Agregar la tabla “Settings_EvolutionAPI” a Appsheet 3. Crear la tabla llamada API GETs 4. Crear BOT en API GETs 5. Crear un slice para que la empresa que se logee solo pueda ver su instancia 6. Copiar exactamente como está el modulo “Instancias Cliente” de la app llamada “Vertientes del sur” a. Asegurarse de copiar exactamente las acciones b. Copiar exactamente el diseño</t>
  </si>
  <si>
    <t>Adrian Patriarca - 07/29/2025 19:04:13</t>
  </si>
  <si>
    <t>ece16c6b</t>
  </si>
  <si>
    <t>Videos_Files_/ece16c6b.Video.121103.mp4</t>
  </si>
  <si>
    <t>En este video lo que vemos es: - Como evitar que evolution API envie muchos eventos juntos: Como lo venia haciendo estaba enviando 3 eventos esto es por que estabamos configurando mal en Webhook para que esto no suceda lo que hay que hacer es setearlo solo con "MESSAGES_UPSERT" - Como evitar que el asistente responda mensajes enviados desde el celular que supuestamente tiene es decir se Autoresponda a si mismo: Nosotros no lo solemos probar pero si yo envio un mensaje desde el celular al que esta conectado el bot el evolution api manda el evento y puede que se autoresponda el asistente.</t>
  </si>
  <si>
    <t>Adrian Patriarca - 07/30/2025 09:10:03</t>
  </si>
  <si>
    <t>e8f0861c</t>
  </si>
  <si>
    <t>Videos_Files_/e8f0861c.Video.124440.mp4</t>
  </si>
  <si>
    <t>Adrian Patriarca - 07/30/2025 09:44:01</t>
  </si>
  <si>
    <t>f33daed7</t>
  </si>
  <si>
    <t>Videos_Files_/f33daed7.Video.195140.mp4</t>
  </si>
  <si>
    <t>Adrian Patriarca - 08/01/2025 16:48:43</t>
  </si>
  <si>
    <t>d2ee9617</t>
  </si>
  <si>
    <t>Videos_Files_/d2ee9617.Video.131731.mp4</t>
  </si>
  <si>
    <t>Adrian Patriarca - 08/05/2025 10:14:33</t>
  </si>
  <si>
    <t>0fc2b79b</t>
  </si>
  <si>
    <t>Videos_Files_/0fc2b79b.Video.192206.mp4</t>
  </si>
  <si>
    <t>En este video explico como integrar todo lo que es el Buffer de mensajes en N8N</t>
  </si>
  <si>
    <t>Adrian Patriarca - 08/05/2025 16:17:22</t>
  </si>
  <si>
    <t>515e432e</t>
  </si>
  <si>
    <t>Videos_Files_/515e432e.Video.123209.mp4</t>
  </si>
  <si>
    <t>Adrian Patriarca - 08/06/2025 09:28:24</t>
  </si>
  <si>
    <t>56515ecc</t>
  </si>
  <si>
    <t>Videos_Files_/56515ecc.Video.145902.mp4</t>
  </si>
  <si>
    <t>En este video explico como tengo que hacer para actualizar n8n en el servidor que está en Docker. Las variables a utilizar en la parte de configuración de la imagen son:  Container name → n8n  Ports → 5678  Volumes →  Host path: /var/lib/docker/volumes/n8n_data/_data  Container path: /home/node/.n8n  Environment variables:  WEBHOOK_URL = https://bots.apsol-consultora.com.ar/  NODE_ENV = production  N8N_RELEASE_TYPE = stable</t>
  </si>
  <si>
    <t>Adrian Patriarca - 08/09/2025 11:58:31</t>
  </si>
  <si>
    <t>edde6681</t>
  </si>
  <si>
    <t>Videos_Files_/edde6681.Video.162754.mp4</t>
  </si>
  <si>
    <t>Renata Morano - 10/15/2025 13:25:47</t>
  </si>
  <si>
    <t>f3a68326</t>
  </si>
  <si>
    <t>Videos_Files_/f3a68326.Video.125205.mp4</t>
  </si>
  <si>
    <t>En este video Explico conceptos basicos de APIS y como consumirlas en n8n</t>
  </si>
  <si>
    <t>Adrian Patriarca - 11/27/2025 09:49:46</t>
  </si>
  <si>
    <t>987f31f4</t>
  </si>
  <si>
    <t>https://1drv.ms/v/c/4694ca2a0fbcc614/IQBZODF_Vz7nQbLPcQZgCVUeARz3Z6O6FlXh_-cPQkoPqW4?e=9vGmdO</t>
  </si>
  <si>
    <t>Adrian Patriarca - 12/23/2025 16:35:57</t>
  </si>
  <si>
    <t>b514234f</t>
  </si>
  <si>
    <t>Videos_Files_/b514234f.Video.213920.mp4</t>
  </si>
  <si>
    <t>Cómo usar la fórmula linktoform para abrir un formulario que hace referencia a la tabla actual.</t>
  </si>
  <si>
    <t>Felipe Duarte - 12/26/2025 18:36:06</t>
  </si>
  <si>
    <t>f403f07e</t>
  </si>
  <si>
    <t>https://1drv.ms/v/c/4694ca2a0fbcc614/IQDEJIvhFaO-R5LH6O9nBsQqAfUxLM5w0yv6G1V1ITMOKMo?e=L30SqB</t>
  </si>
  <si>
    <t>Adrian Patriarca - 01/03/2026 11:08:57</t>
  </si>
  <si>
    <t>aaa9361d</t>
  </si>
  <si>
    <t>Videos_Files_/aaa9361d.Video.215825.m4a</t>
  </si>
  <si>
    <t>Potcast</t>
  </si>
  <si>
    <t>Adrian Patriarca - 02/08/2026 18:54:15</t>
  </si>
  <si>
    <t>b89c5f8f</t>
  </si>
  <si>
    <t>https://1drv.ms/v/c/4694ca2a0fbcc614/IQAdiDBP4xOzS7b5pHAeHhssAeRAgFgQ0zxhLFysiktmCZs?e=oU4gyz</t>
  </si>
  <si>
    <t>Video explicativo (improvisado)</t>
  </si>
  <si>
    <t>Adrian Patriarca - 02/08/2026 18:56:08</t>
  </si>
  <si>
    <t>3da6cf1b</t>
  </si>
  <si>
    <t>https://onedrive.live.com/?sw=bypass&amp;bypassReason=abandoned&amp;qt=allmyphotos&amp;photosData=%2Fshare%2F4694CA2A0FBCC614%21s699305fbb675416cb09134851f08d2bc%3Fithint%3Dvideo%26e%3DLJYHfd%26migratedtospo%3Dtrue&amp;cid=4694CA2A0FBCC614&amp;id=4694CA2A0FBCC614%21s699305fbb675416cb09134851f08d2bc&amp;redeem=aHR0cHM6Ly8xZHJ2Lm1zL3YvYy80Njk0Y2EyYTBmYmNjNjE0L0lRRDdCWk5wZGJac1FiQ1JOSVVmQ05LOEFYWkZHQkRzMzY5cmJodzZMbEdpTy1JP2U9TEpZSGZk&amp;startedResponseCatch=true&amp;v=photos</t>
  </si>
  <si>
    <t>Como conectar Waba a travez de meta Coexistencia</t>
  </si>
  <si>
    <t>Adrian Patriarca - 02/23/2026 19:23:21</t>
  </si>
  <si>
    <t>18434cd8</t>
  </si>
  <si>
    <t>https://onedrive.live.com/?qt=allmyphotos&amp;photosData=%2Fshare%2F4694CA2A0FBCC614%21sc03644c99fa44b0a876fde800bcf990b%3Fithint%3Dvideo%26e%3DmfFbhI%26migratedtospo%3Dtrue&amp;cid=4694CA2A0FBCC614&amp;id=4694CA2A0FBCC614%21sc03644c99fa44b0a876fde800bcf990b&amp;redeem=aHR0cHM6Ly8xZHJ2Lm1zL3YvYy80Njk0Y2EyYTBmYmNjNjE0L0lRREpSRGJBcEo4S1M0ZHYzb0FMejVrTEFlMENVZTI3T0FzdEo5MWk5T2JGZjBRP2U9bWZGYmhJ&amp;v=photos</t>
  </si>
  <si>
    <t>Adrian Patriarca - 02/23/2026 19:25:31</t>
  </si>
  <si>
    <t>d11e857f</t>
  </si>
  <si>
    <t>https://1drv.ms/v/c/4694ca2a0fbcc614/IQDuBlRqlZ34TLkFHx-6U8IpAazmQ7NvfxdhI946WPg2pt8?e=evmAKP</t>
  </si>
  <si>
    <t>Adrian Patriarca - 02/23/2026 19:26:51</t>
  </si>
  <si>
    <t>93b231c4</t>
  </si>
  <si>
    <t>https://1drv.ms/v/c/4694ca2a0fbcc614/IQD0_iI4jo9wTb28KiI1Kv6RAeB4Ssz9m1Dso2Lr2JYwXMM?e=mxDKvp</t>
  </si>
  <si>
    <t>Adrian Patriarca - 02/23/2026 19:28:50</t>
  </si>
  <si>
    <t>6a502d6b</t>
  </si>
  <si>
    <t>https://1drv.ms/v/c/4694ca2a0fbcc614/IQAaZ2hRaKz0S7TxmGi0M8QqAeZCv284AtyevFwiyIuy1eo?e=pFmiVh</t>
  </si>
  <si>
    <t>Adrian Patriarca - 03/12/2026 15:22:14</t>
  </si>
  <si>
    <t>6b00832b</t>
  </si>
  <si>
    <t>https://1drv.ms/v/c/4694ca2a0fbcc614/IQBXkDEwf7PzRJcayhsWuxGTAZ4FM1AUhsWZr3O2E8ODyzM?e=XX9DlA</t>
  </si>
  <si>
    <t>Adrian Patriarca - 03/23/2026 10:27:30</t>
  </si>
  <si>
    <t>f79f824e</t>
  </si>
  <si>
    <t>https://1drv.ms/v/c/4694ca2a0fbcc614/IQCvPYAO5I9-Tb6wj9GQWj4HAQt8uRMhcLRsdvhZlquAUUA?e=u55Nx0</t>
  </si>
  <si>
    <t>Adrian Patriarca - 04/10/2026 16:58:19</t>
  </si>
  <si>
    <t>03892ae6</t>
  </si>
  <si>
    <t xml:space="preserve"> https://1drv.ms/v/c/4694ca2a0fbcc614/IQB3UHcQhVi0R5fs1sTUq0YrAdo1HNqtp_36BiwN60opGMs?e=Chzycw</t>
  </si>
  <si>
    <t>Descripción del Video:  En este primer módulo de nuestra serie de estándares de desarrollo, establecemos las bases tecnológicas y metodológicas que regirán todos nuestros proyectos. Este video es de visualización obligatoria para todo el equipo, ya que los conceptos aquí expuestos se darán por integrados para futuras etapas del flujo de trabajo.  Temas tratados en este video:  El Estándar 95/5: Definición de nuestra arquitectura principal frente a casos excepcionales.  Arquitectura Principal (95% de los casos):  Frontend: React con Tailwind CSS (el estándar de "HTML potenciado").  Backend as a Service: Implementación de Supabase para maximizar la velocidad de entrega, gestión de backups, CRON jobs e integraciones.  Arquitectura para Proyectos Heredados (5% de los casos):  Uso de Google Sheets como base de datos en entornos vinculados a AppSheet.  Implementación de Node.js como middleware para gestionar la lógica y conexión vía API de Google.  Integración y Seguridad:  Configuración de credenciales en Google Cloud.  Uso de archivos JSON de service accounts en Anti-Gravity.  Ecosistema de Automatización: Cuándo y por qué integrar n8n para lógica compleja y agentes de IA.  Objetivo de la serie: Crear un lenguaje común en el equipo, optimizar los tiempos de desarrollo y documentar estos procesos para su consulta permanente a través de nuestro agente de IA interno.</t>
  </si>
  <si>
    <t>Adrian Patriarca - 04/18/2026 20:01:06</t>
  </si>
  <si>
    <t>048362f5</t>
  </si>
  <si>
    <t>https://1drv.ms/v/c/4694ca2a0fbcc614/IQByHiXey2WCQo6W1XNIuHU1AT7az0PSwSptS7LmnBZNTgs?e=1InFbg</t>
  </si>
  <si>
    <t>🛡️ Resumen: Seguridad en el Desarrollo y Manejo de Variables El núcleo de este video es la no exposición de información sensible en el cliente (navegador). El concepto principal es que cualquier dato que "desnude" la aplicación o la base de datos es una vulnerabilidad potencial que debe ser protegida.  🔑 Puntos Clave Uso Obligatorio de Archivos .env:  Toda información crítica (claves de API, URLs sensibles, puertos, credenciales) debe gestionarse mediante variables de entorno.  Estas variables residen en el servidor y no son accesibles desde el inspector del navegador, evitando que terceros puedan ver cómo se conecta la app a otros servicios.  Riesgos de la Exposición de Datos:  URLs de n8n: Si un webhook es público, un atacante podría realizar miles de peticiones falsas, saturando el servidor (Ataque DoS), causando caídas del sistema o problemas de facturación.  APIs y Llaves: Exponerlas permite que terceros usen nuestros recursos o accedan a datos privados.  Seguridad en Supabase (RLS):  Aunque la URL y la anon key de Supabase son públicas por diseño, la seguridad real se implementa mediante RLS (Row Level Security).  RLS garantiza que un usuario solo pueda ver las filas de la tabla a las que tiene permiso explícito, fundamental para el manejo de roles.  Rol de Anti-Gravity:  La herramienta genera automáticamente el archivo .env y lo aloja en el servidor.  La aplicación consulta estas credenciales internamente sin exponerlas al frontend, creando una capa de aislamiento entre el navegador y los datos sensibles.  Regla de oro del equipo: Si es una clave, una URL de webhook o una credencial, va al .env. No se hardcodea nada sensible en el código visible.</t>
  </si>
  <si>
    <t>Adrian Patriarca - 04/18/2026 20:27:38</t>
  </si>
  <si>
    <t>c19e6062</t>
  </si>
  <si>
    <t>https://1drv.ms/v/c/4694ca2a0fbcc614/IQB_svsQwhs3SoZ_-uOpex76AUn4HB5x91OkUJ-YiNJM4IM?e=6STRTL</t>
  </si>
  <si>
    <t>1. Desarrollo Agéntico El desarrollo no es 100% autónomo; el programador actúa como coordinador y guía. Es esencial tener conocimientos técnicos para supervisar y validar el código generado.  2. Multitarea con Agentes Eficiencia: Se recomienda usar 2 o 3 agentes en paralelo. Mientras uno desarrolla, tú testeas o preparas el siguiente prompt para otro.  Evitar solapamientos: Debes asignar tareas distintas a cada agente para que no sobrescriban el trabajo del compañero.  Optimización: Trabajar con varios agentes elimina los "tiempos muertos" de espera durante la generación de código.  3. Selección Inteligente de Modelos El autor sugiere elegir el modelo según la complejidad y el costo (los modelos premium son hasta un 67% más caros):  Claude Opus 4.6: Reservado para el planning inicial, creación de flujogramas y diagnóstico de errores críticos.  Claude Sonnet 4.6: El estándar para el desarrollo principal.  Gemini 3.1 Pro: Ideal para diseño y lógica compleja.  Flash: Para detalles y ajustes menores; es muy eficiente si se sabe guiar bien.  4. Gestión de Recursos Es vital monitorear el consumo de tokens y los límites de las barras de uso, que suelen refrescarse cada 4 horas. El objetivo es ahorrar los modelos más potentes para los momentos de mayor dificultad técnica.</t>
  </si>
  <si>
    <t>Adrian Patriarca - 04/20/2026 18:01:56</t>
  </si>
  <si>
    <t>Id Colaborador</t>
  </si>
  <si>
    <t>Id Usuario</t>
  </si>
  <si>
    <t>Apellido</t>
  </si>
  <si>
    <t>Fecha Inicio</t>
  </si>
  <si>
    <t>Puesto</t>
  </si>
  <si>
    <t>Frecuencia de pago</t>
  </si>
  <si>
    <t>Proxima Fecha de pago</t>
  </si>
  <si>
    <t>Renovación de contrato</t>
  </si>
  <si>
    <t>Factura Adjunta</t>
  </si>
  <si>
    <t>Prospectos para trabajar</t>
  </si>
  <si>
    <t>WhatsApp</t>
  </si>
  <si>
    <t>Felipe</t>
  </si>
  <si>
    <t>Duarte</t>
  </si>
  <si>
    <t>Colaborador</t>
  </si>
  <si>
    <t>30</t>
  </si>
  <si>
    <t>10/07/2024</t>
  </si>
  <si>
    <t>No Activo</t>
  </si>
  <si>
    <t>Mantenimiento Activos Nation Marketing , Norte 2025 , Escobar , Refri 2025 , Mantenimiento Nation PostVenta , Amipack 2025 , DG 2026</t>
  </si>
  <si>
    <t>Renata</t>
  </si>
  <si>
    <t>Morano</t>
  </si>
  <si>
    <t>APSOL - Proyectos Internos , Norte 2025 , ATC 2025 , Escobar , Insuga 2025 , ISAA 2026 , Mantenimiento , Mantenimiento Nation PostVenta</t>
  </si>
  <si>
    <t>Adrian</t>
  </si>
  <si>
    <t>Patriarca</t>
  </si>
  <si>
    <t>Project Manager</t>
  </si>
  <si>
    <t>APSOL - Proyectos Internos , Norte 2025 , Conexion Market , ATC 2025 , Escobar , Refri 2025 , Amipack 2025 , Insuga 2025 , DG 2026 , Mantenimiento , Open Pack , ISAA 2026 , MD (Futbol y Agencia) , Insuga Chaco , Mantenimiento Nation PostVenta , Estudio Gustavo Echarte</t>
  </si>
  <si>
    <t>405b60ad</t>
  </si>
  <si>
    <t>Santiago</t>
  </si>
  <si>
    <t>Toscano</t>
  </si>
  <si>
    <t>Open Pack , MD (Futbol y Agencia) , APSOL - Proyectos Internos , Conexion Market , Norte 2025 , Insuga Chaco , Amipack 2025 , Insuga 2025</t>
  </si>
  <si>
    <t>db304dbc</t>
  </si>
  <si>
    <t>Mateo</t>
  </si>
  <si>
    <t>Courault</t>
  </si>
  <si>
    <t>APSOL - Proyectos Internos , Conexion Market , ATC 2025 , DG 2026 , Estudio Gustavo Echarte</t>
  </si>
  <si>
    <t>Id comentario</t>
  </si>
  <si>
    <t>Comentario</t>
  </si>
  <si>
    <t>53894013</t>
  </si>
  <si>
    <t>function enviarWhatsappDesdeHoja() {   const hoja = SpreadsheetApp.getActiveSpreadsheet().getSheetByName("Hoja 4");   const datos = hoja.getDataRange().getValues();    for (let i = 1; i &lt; datos.length; i++) {     const numero = datos[i][0];     const mensaje = datos[i][1];     const instancia = datos[i][2];     const server = datos[i][3];     const apiKey = datos[i][4];      if (!numero || !mensaje || !instancia || !server || !apiKey) continue;      const numeroFormateado = numero + "@s.whatsapp.net";     const url = `${server}/message/sendText/${instancia}`;      const payload = {       number: numeroFormateado,       text: mensaje     };      const options = {       method: "post",       contentType: "application/json",       headers: {         Apikey: apiKey       },       payload: JSON.stringify(payload),       muteHttpExceptions: true     };      try {       const response = UrlFetchApp.fetch(url, options);       const respuestaTexto = response.getContentText();       hoja.getRange(i + 1, 6).setValue(respuestaTexto); // Columna F     } catch (error) {       hoja.getRange(i + 1, 6).setValue("ERROR: " + error.message);     }   } }</t>
  </si>
  <si>
    <t>Adrian Patriarca - 06/05/2025 12:46:50</t>
  </si>
  <si>
    <t>9caa5119</t>
  </si>
  <si>
    <t>Adrian Patriarca - 06/05/2025 12:47:21</t>
  </si>
  <si>
    <t>48642d7b</t>
  </si>
  <si>
    <t>En las plantillas de N8N está el nodo escrito</t>
  </si>
  <si>
    <t>Adrian Patriarca - 07/17/2025 13:25:20</t>
  </si>
  <si>
    <t>52d64f98</t>
  </si>
  <si>
    <t>Deje un nodo de ejemplo en Plantillas</t>
  </si>
  <si>
    <t>Adrian Patriarca - 07/17/2025 14:09:24</t>
  </si>
  <si>
    <t>35533b0f</t>
  </si>
  <si>
    <t>No olvidarse de agregar el Host de la URL</t>
  </si>
  <si>
    <t>Renata Morano - 07/31/2025 12:55:57</t>
  </si>
  <si>
    <t>id proyecto</t>
  </si>
  <si>
    <t>id prospecto</t>
  </si>
  <si>
    <t>Nombre Proyecto / Activo</t>
  </si>
  <si>
    <t>Responsable</t>
  </si>
  <si>
    <t>3813ab11</t>
  </si>
  <si>
    <t>App DG</t>
  </si>
  <si>
    <t>1</t>
  </si>
  <si>
    <t>4</t>
  </si>
  <si>
    <t>4 Finalizado</t>
  </si>
  <si>
    <t>2a3c0d8a</t>
  </si>
  <si>
    <t>App Nation</t>
  </si>
  <si>
    <t>7bb1ba36</t>
  </si>
  <si>
    <t>App HQ</t>
  </si>
  <si>
    <t>2</t>
  </si>
  <si>
    <t>Tablero de control HQ</t>
  </si>
  <si>
    <t>bfb97300</t>
  </si>
  <si>
    <t>App Natión Marketing</t>
  </si>
  <si>
    <t>Tablero de indicadores Gonzalo</t>
  </si>
  <si>
    <t>Tablero Nation MKT</t>
  </si>
  <si>
    <t>Gestión de Stock - Insumos</t>
  </si>
  <si>
    <t>159ca0e7</t>
  </si>
  <si>
    <t>App el Norte</t>
  </si>
  <si>
    <t>El Norte - Tablero "Seguridad Vial"</t>
  </si>
  <si>
    <t>El Norte -  Comparador de servicios</t>
  </si>
  <si>
    <t>El Norte -  Control de combustible</t>
  </si>
  <si>
    <t>El Norte -  Nuevo Tablero de Mantenimiento</t>
  </si>
  <si>
    <t>El Norte -  Tablero Estadistica</t>
  </si>
  <si>
    <t>El Norte -  Analisis de Recorridos</t>
  </si>
  <si>
    <t>DG - Tablero de Control General Santa fe</t>
  </si>
  <si>
    <t>DG -  Tablero de Control General Chaco</t>
  </si>
  <si>
    <t>DG - Tablero Gestión de Stock Santa fe</t>
  </si>
  <si>
    <t>DG -  Tablero Gestión de Stock Chaco</t>
  </si>
  <si>
    <t>DG -  Tablero Garantias</t>
  </si>
  <si>
    <t>aee8ae21</t>
  </si>
  <si>
    <t>App Amipack</t>
  </si>
  <si>
    <t>Amipack - Tablero Producción</t>
  </si>
  <si>
    <t>Amipack -Tablero RQI</t>
  </si>
  <si>
    <t>Amipack -Tablero Abastecimiento</t>
  </si>
  <si>
    <t>Nation - tablero de indicadores "Orion"</t>
  </si>
  <si>
    <t>Nation - Tablero MercadoLibre</t>
  </si>
  <si>
    <t>Nation - Tablero Abastecimiento</t>
  </si>
  <si>
    <t>Nation - Tablero abastecimiento Gral</t>
  </si>
  <si>
    <t>26a88f6a</t>
  </si>
  <si>
    <t xml:space="preserve">App Drumond
</t>
  </si>
  <si>
    <t>47bbf687</t>
  </si>
  <si>
    <t>342ec7a8</t>
  </si>
  <si>
    <t>App Insuga</t>
  </si>
  <si>
    <t>Proyecto</t>
  </si>
  <si>
    <t>5. Finalizado</t>
  </si>
  <si>
    <t>e44e7e62</t>
  </si>
  <si>
    <t>1e17ed13</t>
  </si>
  <si>
    <t>App ATC</t>
  </si>
  <si>
    <t>3. Producción</t>
  </si>
  <si>
    <t>1ffea61d</t>
  </si>
  <si>
    <t>6ed244a8</t>
  </si>
  <si>
    <t>App Refri</t>
  </si>
  <si>
    <t>b460cea9</t>
  </si>
  <si>
    <t>a6ee0d69</t>
  </si>
  <si>
    <t>Nueva Sucursal</t>
  </si>
  <si>
    <t>3</t>
  </si>
  <si>
    <t>1a2554e4</t>
  </si>
  <si>
    <t>Cotizador Amipack</t>
  </si>
  <si>
    <t>de84fcb0</t>
  </si>
  <si>
    <t>API WhatsApp Refri</t>
  </si>
  <si>
    <t>af7992ba</t>
  </si>
  <si>
    <t>API WhatsApp DG 1</t>
  </si>
  <si>
    <t>b984c812</t>
  </si>
  <si>
    <t>API APSOL (la usamos nosotros)</t>
  </si>
  <si>
    <t>f93585b3</t>
  </si>
  <si>
    <t>Tablero Seguridad Laboral</t>
  </si>
  <si>
    <t>2672d173</t>
  </si>
  <si>
    <t>Api WhatsApp HQ</t>
  </si>
  <si>
    <t>47fa7cf3</t>
  </si>
  <si>
    <t>API A todo Color</t>
  </si>
  <si>
    <t>80b96a8d</t>
  </si>
  <si>
    <t>555aec7d</t>
  </si>
  <si>
    <t>Software de Producción</t>
  </si>
  <si>
    <t>48078619</t>
  </si>
  <si>
    <t>Pantalla Turnos</t>
  </si>
  <si>
    <t>686b277e</t>
  </si>
  <si>
    <t>Tableros de control General</t>
  </si>
  <si>
    <t>9fc24dae</t>
  </si>
  <si>
    <t>Pagina Web</t>
  </si>
  <si>
    <t>95931058</t>
  </si>
  <si>
    <t>6d1d33cf</t>
  </si>
  <si>
    <t>Flujos N8N</t>
  </si>
  <si>
    <t>7c622f5e</t>
  </si>
  <si>
    <t>Backup Todas las Apps</t>
  </si>
  <si>
    <t>Id Tickets</t>
  </si>
  <si>
    <t>Id proyecto</t>
  </si>
  <si>
    <t>Tipo Ticket</t>
  </si>
  <si>
    <t>Recordatorio?</t>
  </si>
  <si>
    <t>Fecha Recordatorio</t>
  </si>
  <si>
    <t>id preventivo</t>
  </si>
  <si>
    <t>Nombre preventivo</t>
  </si>
  <si>
    <t>Fecha de creación</t>
  </si>
  <si>
    <t>Responsable del proyecto</t>
  </si>
  <si>
    <t>Tipo de problema</t>
  </si>
  <si>
    <t>Prioridad</t>
  </si>
  <si>
    <t>Descripción del problema</t>
  </si>
  <si>
    <t>Fecha de resolución</t>
  </si>
  <si>
    <t>Notas y comentarios</t>
  </si>
  <si>
    <t>Adjuntos</t>
  </si>
  <si>
    <t>SLA</t>
  </si>
  <si>
    <t>Resuelto por</t>
  </si>
  <si>
    <t>Informar cliente?</t>
  </si>
  <si>
    <t>Contacto al que se le informa</t>
  </si>
  <si>
    <t>R0054</t>
  </si>
  <si>
    <t>Recordatorio</t>
  </si>
  <si>
    <t>Comunicación con Clientes</t>
  </si>
  <si>
    <t>Normal</t>
  </si>
  <si>
    <t>Ninguna</t>
  </si>
  <si>
    <t>Ninguno</t>
  </si>
  <si>
    <t>Adrian Patriarca - 26/12/24 - 19:12 hs</t>
  </si>
  <si>
    <t>Adrian Patriarca - 26/12/24 - 19:38 hs</t>
  </si>
  <si>
    <t>C0040</t>
  </si>
  <si>
    <t>10</t>
  </si>
  <si>
    <t>Correctivo</t>
  </si>
  <si>
    <t>Solicitud de Mejora</t>
  </si>
  <si>
    <t>Poder sacar fotos en el formulario "FORM 05 B - "Control de Ingreso/Egreso de..."</t>
  </si>
  <si>
    <t>Ya se puede adjuntar fotos de los remitos tanto que ingresan como los que egresan</t>
  </si>
  <si>
    <t>Tickets_Images/C0040.Adjuntos.194536.jpg</t>
  </si>
  <si>
    <t>Adrian Patriarca - 13/12/24 - 16:45 hs</t>
  </si>
  <si>
    <t>Adrian Patriarca - 13/12/24 - 17:23 hs</t>
  </si>
  <si>
    <t>0780526d</t>
  </si>
  <si>
    <t>C0002</t>
  </si>
  <si>
    <t>11</t>
  </si>
  <si>
    <t>Tablero no se Actualiza</t>
  </si>
  <si>
    <t>Urgente</t>
  </si>
  <si>
    <t>No se actualiza</t>
  </si>
  <si>
    <t>Listo</t>
  </si>
  <si>
    <t>Adrian Patriarca - 02/12/24 - 19:10 hs</t>
  </si>
  <si>
    <t>Adrian Patriarca - 10/12/24 - 17:19 hs</t>
  </si>
  <si>
    <t>eace50e9</t>
  </si>
  <si>
    <t>C0003</t>
  </si>
  <si>
    <t>25</t>
  </si>
  <si>
    <t>El tablero no se sincroniza</t>
  </si>
  <si>
    <t>El error que se reportaba era que no estaban definidos los niveles de seguridad. Bajé el tablero, definí los niveles de seguridada y listo.</t>
  </si>
  <si>
    <t>Adrian Patriarca - 03/12/24 - 09:20 hs</t>
  </si>
  <si>
    <t>Adrian Patriarca - 03/12/24 - 09:38 hs</t>
  </si>
  <si>
    <t>C0004</t>
  </si>
  <si>
    <t>Error en Aplicación</t>
  </si>
  <si>
    <t>Se adjunta video -  Basicamente no se puede acceder a los repuestos del TAC</t>
  </si>
  <si>
    <t>Problema con el buscador, se resuelve borrando el dato de la barra de búsqueda.</t>
  </si>
  <si>
    <t>Tickets_Files_/C0004.Adjuntos.123710.mp4</t>
  </si>
  <si>
    <t>Adrian Patriarca - 03/12/24 - 09:34 hs</t>
  </si>
  <si>
    <t>Felipe Duarte - 04/12/24 - 14:16 hs</t>
  </si>
  <si>
    <t>C0005</t>
  </si>
  <si>
    <t>Que deposito pueda ver todos los pedidos, y que el viajante tambien pueda ver los pedidos finalizados</t>
  </si>
  <si>
    <t>Deposito puede ver los pedidos desde que esta programada la entrega (estado: 2. Pedido programado), el viajante puede ver todos los pedidos en la parte de Pedidos historicos</t>
  </si>
  <si>
    <t>Renata Morano - 03/12/24 - 10:23 hs</t>
  </si>
  <si>
    <t>Renata Morano - 06/12/24 - 13:06 hs</t>
  </si>
  <si>
    <t>C0006</t>
  </si>
  <si>
    <t>No se pueden modificar facturas ya cargadas</t>
  </si>
  <si>
    <t>Listo, puse esta formula: COUNT(   SELECT(Servicios[Proveedor_Factura],      AND(       [Proveedor_Factura] = [_THISROW].[Proveedor_Factura],        [ID] &lt;&gt; [_THISROW].[ID]     )   ) ) = 0</t>
  </si>
  <si>
    <t>Adrian Patriarca - 03/12/24 - 10:51 hs</t>
  </si>
  <si>
    <t>Adrian Patriarca - 03/12/24 - 11:07 hs</t>
  </si>
  <si>
    <t>C0007</t>
  </si>
  <si>
    <t>Tema con las fechas y valorización de adhesivos</t>
  </si>
  <si>
    <t>Finalizado 09/12 - Sprint varios</t>
  </si>
  <si>
    <t>Tickets_Files_/C0007.Adjuntos.181015.mp4</t>
  </si>
  <si>
    <t>Adrian Patriarca - 04/12/24 - 15:04 hs</t>
  </si>
  <si>
    <t>Felipe Duarte - 09/12/24 - 18:34 hs</t>
  </si>
  <si>
    <t>C0008</t>
  </si>
  <si>
    <t>No aparece el Estado Turnado en la app. Revisar</t>
  </si>
  <si>
    <t>Ahora aparece el TAC turnado, teniendo en cuenta el id del cliente o el "Nombre" según si el cliente está o no en la BD.</t>
  </si>
  <si>
    <t>Adrian Patriarca - 04/12/24 - 15:07 hs</t>
  </si>
  <si>
    <t>Felipe Duarte - 05/12/24 - 14:30 hs</t>
  </si>
  <si>
    <t>C0009</t>
  </si>
  <si>
    <t>12</t>
  </si>
  <si>
    <t>El tablero no se actualiza hace varios días</t>
  </si>
  <si>
    <t>Hecho</t>
  </si>
  <si>
    <t>Adrian Patriarca - 05/12/24 - 09:26 hs</t>
  </si>
  <si>
    <t>Adrian Patriarca - 09/12/24 - 18:23 hs</t>
  </si>
  <si>
    <t>C0010</t>
  </si>
  <si>
    <t>18</t>
  </si>
  <si>
    <t>Última actualización errónea: 5/12/2024, 2:32:30 p.m. No hay puerta de enlace disponible.Mostrar detalles</t>
  </si>
  <si>
    <t>Fue por un error en la conexión al servidor tiene ":" en la conexión en vez de la ","</t>
  </si>
  <si>
    <t>Felipe Duarte - 05/12/24 - 15:06 hs</t>
  </si>
  <si>
    <t>Felipe Duarte - 05/12/24 - 15:07 hs</t>
  </si>
  <si>
    <t>C0011</t>
  </si>
  <si>
    <t>17</t>
  </si>
  <si>
    <t>C0012</t>
  </si>
  <si>
    <t>Desde TAC turnados no se puede dar el preparado. Se adjunta video</t>
  </si>
  <si>
    <t>Se habilitó la edición de la columna "Preparado" cuando el estado del TAC es 5.5 TAC turnado</t>
  </si>
  <si>
    <t>Tickets_Files_/C0012.Adjuntos.151524.mp4</t>
  </si>
  <si>
    <t>Adrian Patriarca - 06/12/24 - 12:13 hs</t>
  </si>
  <si>
    <t>Felipe Duarte - 06/12/24 - 14:01 hs</t>
  </si>
  <si>
    <t>C0013</t>
  </si>
  <si>
    <t>El orden de la fecha esta errónea, ordena en base al primer número e ignora los meses</t>
  </si>
  <si>
    <t>Cambie la columna y en vez de visualizar la "fecha pedido con formato", puse la fecha con hora y minutos</t>
  </si>
  <si>
    <t>Renata Morano - 09/12/24 - 12:42 hs</t>
  </si>
  <si>
    <t>Renata Morano - 11/12/24 - 13:03 hs</t>
  </si>
  <si>
    <t>PI0002</t>
  </si>
  <si>
    <t>7</t>
  </si>
  <si>
    <t>Preventivo</t>
  </si>
  <si>
    <t xml:space="preserve">Revisión de funcionamiento - </t>
  </si>
  <si>
    <t>Última actualización correcta: 26/12/2025, 3:06:29 p.m.</t>
  </si>
  <si>
    <t>Jesica Wolf - 26/12/25 - 08:00 hs</t>
  </si>
  <si>
    <t>Felipe Duarte - 26/12/25 - 16:03 hs</t>
  </si>
  <si>
    <t>PI0003</t>
  </si>
  <si>
    <t>8</t>
  </si>
  <si>
    <t xml:space="preserve">  - 12/04/26 - 08:00 hs</t>
  </si>
  <si>
    <t>PI0004</t>
  </si>
  <si>
    <t>9</t>
  </si>
  <si>
    <t xml:space="preserve">  - 11/04/26 - 08:00 hs</t>
  </si>
  <si>
    <t>PI0005</t>
  </si>
  <si>
    <t>Revisión de funcionamiento - Revisar el funcionamiento - Principalmente sincronización</t>
  </si>
  <si>
    <t>Jesica Wolf - 22/02/26 - 08:00 hs</t>
  </si>
  <si>
    <t>PI0006</t>
  </si>
  <si>
    <t xml:space="preserve">  - 04/03/26 - 08:00 hs</t>
  </si>
  <si>
    <t>C0019</t>
  </si>
  <si>
    <t>Otros</t>
  </si>
  <si>
    <t>Hacer videos explicativos de la app de refri. Pruebas de usuario. Para mandar al grupo. Ya que esta semana van a empezar a usar la app. Tanto de todo el proceso de coordinación como de la liquidación. Tambien poner en cero la base de datos</t>
  </si>
  <si>
    <t>Se realizaron dos videos con ejemplos y se puso en cero la base de datos.</t>
  </si>
  <si>
    <t>Adrian Patriarca - 10/12/24 - 09:46 hs</t>
  </si>
  <si>
    <t>Felipe Duarte - 10/12/24 - 16:57 hs</t>
  </si>
  <si>
    <t>PI0007</t>
  </si>
  <si>
    <t>13</t>
  </si>
  <si>
    <t>Jesica Wolf - 12/01/26 - 08:00 hs</t>
  </si>
  <si>
    <t>Adrian Patriarca - 07/02/26 - 01:40 hs</t>
  </si>
  <si>
    <t>PI0008</t>
  </si>
  <si>
    <t>14</t>
  </si>
  <si>
    <t>Jesica Wolf - 09/02/26 - 08:00 hs</t>
  </si>
  <si>
    <t>PI0009</t>
  </si>
  <si>
    <t>15</t>
  </si>
  <si>
    <t>No actualiza pero se retirara del preventivo</t>
  </si>
  <si>
    <t>Renata Morano - 14/01/26 - 14:30 hs</t>
  </si>
  <si>
    <t>PI0010</t>
  </si>
  <si>
    <t>16</t>
  </si>
  <si>
    <t>PI0011</t>
  </si>
  <si>
    <t>Mateo Courault - 23/03/26 - 08:00 hs</t>
  </si>
  <si>
    <t>PI0012</t>
  </si>
  <si>
    <t>PI0013</t>
  </si>
  <si>
    <t>19</t>
  </si>
  <si>
    <t>PI0014</t>
  </si>
  <si>
    <t>20</t>
  </si>
  <si>
    <t>PI0015</t>
  </si>
  <si>
    <t>21</t>
  </si>
  <si>
    <t>Actualiza correctamente</t>
  </si>
  <si>
    <t>Mateo Courault - 21/03/26 - 08:00 hs</t>
  </si>
  <si>
    <t>Renata Morano - 25/03/26 - 10:07 hs</t>
  </si>
  <si>
    <t>PI0016</t>
  </si>
  <si>
    <t>23</t>
  </si>
  <si>
    <t>Mateo Courault - 06/04/26 - 08:00 hs</t>
  </si>
  <si>
    <t>C0030</t>
  </si>
  <si>
    <t>22</t>
  </si>
  <si>
    <t>No actualiza</t>
  </si>
  <si>
    <t>Sin comentarios</t>
  </si>
  <si>
    <t>Sofia Leiva - 11/12/24 - 18:27 hs</t>
  </si>
  <si>
    <t>Sofia Leiva - 11/12/24 - 20:06 hs</t>
  </si>
  <si>
    <t>PI0017</t>
  </si>
  <si>
    <t>24</t>
  </si>
  <si>
    <t>PI0018</t>
  </si>
  <si>
    <t>PI0019</t>
  </si>
  <si>
    <t>26</t>
  </si>
  <si>
    <t xml:space="preserve">  - 24/04/26 - 08:00 hs</t>
  </si>
  <si>
    <t>PI0020</t>
  </si>
  <si>
    <t>27</t>
  </si>
  <si>
    <t>PI0021</t>
  </si>
  <si>
    <t>28</t>
  </si>
  <si>
    <t>ok</t>
  </si>
  <si>
    <t>Jesica Wolf - 21/06/25 - 08:00 hs</t>
  </si>
  <si>
    <t>Adrian Patriarca - 24/06/25 - 12:54 hs</t>
  </si>
  <si>
    <t>C0037</t>
  </si>
  <si>
    <t>Revisar "Campañas de difusión".</t>
  </si>
  <si>
    <t>Se actualizó el scritp de envío de campañas, siguiendo la misma lógica que el de envío de mensajes recordatorios.</t>
  </si>
  <si>
    <t>Felipe Duarte - 12/12/24 - 16:34 hs</t>
  </si>
  <si>
    <t>Felipe Duarte - 16/12/24 - 15:30 hs</t>
  </si>
  <si>
    <t>de448f5b</t>
  </si>
  <si>
    <t>PI0022</t>
  </si>
  <si>
    <t>29</t>
  </si>
  <si>
    <t>Listo, se habia desconectado hace como un mes porque no andaba el gateway</t>
  </si>
  <si>
    <t>Adrian Patriarca - 24/06/25 - 13:06 hs</t>
  </si>
  <si>
    <t>PI0023</t>
  </si>
  <si>
    <t>HL - Estadisticas de Venta</t>
  </si>
  <si>
    <t>No va mas</t>
  </si>
  <si>
    <t>Jesica Wolf - 15/08/25 - 08:00 hs</t>
  </si>
  <si>
    <t>Adrian Patriarca - 18/08/25 - 23:20 hs</t>
  </si>
  <si>
    <t>C0041</t>
  </si>
  <si>
    <t>Cuando Martin presiona la acción "Solicitud Ok" no le aparece el desplegable para completar. Tanto en la PC como en el celular. Le pasa solamente con esa Acción. Por otro lado, cuando emulo el usuario de martin en mi PC si me aparece normalmente. Probar con un usuario que sea tecnico, no emulando sino iniciando sesión efectivamente.</t>
  </si>
  <si>
    <t>Se envió un video al grupo de WhatsApp con la resolución del problema.</t>
  </si>
  <si>
    <t>Adrian Patriarca - 16/12/24 - 14:04 hs</t>
  </si>
  <si>
    <t>Felipe Duarte - 17/12/24 - 13:33 hs</t>
  </si>
  <si>
    <t>50718090</t>
  </si>
  <si>
    <t>C0042</t>
  </si>
  <si>
    <t>Unificar las dos hojas de calculo en una mediante ImportRange</t>
  </si>
  <si>
    <t>Se quitó el "edit" del link de la hoja de cálculo y se volvió a activar la actualización automática.</t>
  </si>
  <si>
    <t>Adrian Patriarca - 16/12/24 - 22:40 hs</t>
  </si>
  <si>
    <t>Felipe Duarte - 17/12/24 - 13:46 hs</t>
  </si>
  <si>
    <t>C0047</t>
  </si>
  <si>
    <t>Ariel pidio que las herramientas puedan buscarse mediante la descripción, no van a usar el código. También que el personal tenga adelante del nombre su legajo, para poder buscar mediante el número.</t>
  </si>
  <si>
    <t>Le agregamos el legajo al nombre, así que ya puede buscar mediante eso. A su vez las herramientas se buscan mediante descripción</t>
  </si>
  <si>
    <t>Renata Morano - 18/12/24 - 10:39 hs</t>
  </si>
  <si>
    <t>Renata Morano - 23/12/24 - 08:34 hs</t>
  </si>
  <si>
    <t>C0044</t>
  </si>
  <si>
    <t>Agregar la opcion de eliminar los pedidos una vez que fueron enviados (porq el cliente no los quiere). Y pasarle a Alan la base de datos de los productos para que cambie los precios y volver a cargarla</t>
  </si>
  <si>
    <t>Le pase a Alan la base de los productos para que complete las listas de precio. También agregue la opcion de eliminar pedidos (solo para Administración y Secretaria)</t>
  </si>
  <si>
    <t>Renata Morano - 18/12/24 - 11:32 hs</t>
  </si>
  <si>
    <t>Renata Morano - 23/12/24 - 10:48 hs</t>
  </si>
  <si>
    <t>C0045</t>
  </si>
  <si>
    <t>Revisar clasificación de Garantias</t>
  </si>
  <si>
    <t>Reunión con Pedro. Conclusión: dejar los estados como están, teniendo en cuenta el último comentario.</t>
  </si>
  <si>
    <t>Felipe Duarte - 19/12/24 - 17:30 hs</t>
  </si>
  <si>
    <t>Felipe Duarte - 27/12/24 - 17:52 hs</t>
  </si>
  <si>
    <t>C0048</t>
  </si>
  <si>
    <t>Lanzar la primer campaña de whatsapp - tener en cuenta que los mensajes se pueden mandar maximo hasta las 20 hs. por lo cual si se supera esa hora se debe continuar el otro día a partir de las 9 hs eso siempre asi.</t>
  </si>
  <si>
    <t>La campaña comenzó a enviarse.</t>
  </si>
  <si>
    <t>Adrian Patriarca - 23/12/24 - 13:41 hs</t>
  </si>
  <si>
    <t>Felipe Duarte - 23/12/24 - 14:19 hs</t>
  </si>
  <si>
    <t>C0049</t>
  </si>
  <si>
    <t>Exportar archivo y unificar formatos de números</t>
  </si>
  <si>
    <t>Se resolvió el problema de formato de los datos (entero, decimal, moneda) al descargar el informe.</t>
  </si>
  <si>
    <t>Felipe Duarte - 26/12/24 - 15:27 hs</t>
  </si>
  <si>
    <t>Felipe Duarte - 26/12/24 - 16:31 hs</t>
  </si>
  <si>
    <t>R0052</t>
  </si>
  <si>
    <t>Seguimiento de Proyectos o Tareas Pendientes</t>
  </si>
  <si>
    <t>Adrian Patriarca - 26/12/24 - 18:56 hs</t>
  </si>
  <si>
    <t>Adrian Patriarca - 28/12/24 - 14:57 hs</t>
  </si>
  <si>
    <t>C0055</t>
  </si>
  <si>
    <t>El usuario de Delfina no puede autorizar sus propios RQI - Area calidad</t>
  </si>
  <si>
    <t>Se detectó un problema con el "Estado" del RQI, inicialmente debe ser "0. Emitido" pero figuraba como "7. Aprobado" al emitirse, se solucionó este error. Ahora la acción "AUTORIZAR" debe aparecer cuando el estado del RQI es "0. Emitido".</t>
  </si>
  <si>
    <t>Tickets_Images/C0055.Adjuntos.125254.jpg</t>
  </si>
  <si>
    <t>Adrian Patriarca - 27/12/24 - 09:52 hs</t>
  </si>
  <si>
    <t>Felipe Duarte - 02/01/25 - 13:48 hs</t>
  </si>
  <si>
    <t>27401111</t>
  </si>
  <si>
    <t>C0058</t>
  </si>
  <si>
    <t>Ver si al usuario de Martin (mantenimiento) puede modificar la fecha y hora del RQI agendado.</t>
  </si>
  <si>
    <t>En ambos perfiles de mantenimiento pueden editar la fecha y hora en la que el RQI fue agendado. Video enviado a Emmanuel.</t>
  </si>
  <si>
    <t>Felipe Duarte - 02/01/25 - 13:34 hs</t>
  </si>
  <si>
    <t>Felipe Duarte - 02/01/25 - 14:25 hs</t>
  </si>
  <si>
    <t>C0059</t>
  </si>
  <si>
    <t>Tablero arroja datos erróneos</t>
  </si>
  <si>
    <t>El tablero está arrojando Datos erroneos con respecto a la planilla de control.  Ver mensajes de WhatsApp.</t>
  </si>
  <si>
    <t>El cálculo de ingresos propiamente dicho solamente tiene que tener en cuenta el ORIGEN "Proveedor". Nos vamos a juntar los días miércoles con Gustavo para darle seguimiento al tablero y dejarlo ok.</t>
  </si>
  <si>
    <t>Adrian Patriarca - 03/01/25 - 09:36 hs</t>
  </si>
  <si>
    <t>Felipe Duarte - 15/01/25 - 14:32 hs</t>
  </si>
  <si>
    <t>8299046d</t>
  </si>
  <si>
    <t>C0060</t>
  </si>
  <si>
    <t>Felipe, en la planilla https://docs.google.com/spreadsheets/d/1vyDe1lPJfa1DB0tcvmXZ50isnfnSnW09gESKymGSXkM/edit?gid=0#gid=0 incorporé un "Limpiador de numeros de telefono" para que saque todo lo que es parentesis, guiones y espacio. Esto no estaba incorporado por lo tanto asumo que muchos de los intentos de envio de whatsapp eran fallidos o vien la columna "Enviar mensaje" los rechazaba. Quiero que justamente revises esta columna, por dos motivos. 1 no todos los numeros validos van a tener 10 caracteres pueden tener mas o menos dependiendo de la caracteristicas (fijate que rango es aceptable). 2. a esta formula hacela mediante un script porque si hay mas filas la formula no se estira sola hacia abajo y quedan muchos posibles mensajes sin enviar. En si veo que está bastante desprolijo todo esto. Dale una vuelta de rosca para que quede mas prolijo</t>
  </si>
  <si>
    <t>Se reemplazó la fórmula con un array para evaluar la columna "TELE" que contiene el número del cliente. Esta fórmula fue hecha para obtener el listado de cliente a los cuáles enviar mensajes, porque muchos clientes minoritas, tienen teléfonos inválidos. Según la página https://www.argentina.gob.ar/pais/codigo-telefonia#:~:text=En%20la%20Argentina%2C%20los%20n%C3%BAmeros,considerar%20el%20prefijo%20telef%C3%B3nico%20internacional. "En la Argentina, los números de teléfono tienen un total de diez dígitos, compuesto por el código de área (indicador interurbano) y el número de abonado, sin considerar el prefijo telefónico internacional." La "limpieza" del número se realiza directamente en el script de envío de mensajes en las siguientes líneas del código:         var telefonoCliente = datosClientes[j][9].toString().replace(/\D/g, '');         if (telefonoCliente.length === 10) {           telefonoCliente = '549' + telefonoCliente;         } donde se quintan los signos y se agrega el código del país.</t>
  </si>
  <si>
    <t>Adrian Patriarca - 03/01/25 - 13:00 hs</t>
  </si>
  <si>
    <t>Felipe Duarte - 03/01/25 - 14:51 hs</t>
  </si>
  <si>
    <t>C0061</t>
  </si>
  <si>
    <t>Está arrojando errores la Tabla mensajes en la app de DG fijarse!!</t>
  </si>
  <si>
    <t>Error en la función de registrar mensaje de Ordenes de Despacho, solucionado.</t>
  </si>
  <si>
    <t>Adrian Patriarca - 03/01/25 - 13:13 hs</t>
  </si>
  <si>
    <t>Felipe Duarte - 03/01/25 - 13:33 hs</t>
  </si>
  <si>
    <t>C0062</t>
  </si>
  <si>
    <t>"el tablero de produccion no esta tomando los datos de 2025"</t>
  </si>
  <si>
    <t>Problema Relacionado a las consultas en BigQuery. Solucionado</t>
  </si>
  <si>
    <t>Tickets_Images/C0062.Adjuntos.125823.jpg</t>
  </si>
  <si>
    <t>Adrian Patriarca - 06/01/25 - 09:58 hs</t>
  </si>
  <si>
    <t>Adrian Patriarca - 07/01/25 - 10:35 hs</t>
  </si>
  <si>
    <t>a6300ee7</t>
  </si>
  <si>
    <t>C0063</t>
  </si>
  <si>
    <t>Ajustes en el tablero con los nuevos indicadores de "disponibilidad"</t>
  </si>
  <si>
    <t>Se realizaron las modificaciones solicitadas por Cristian.</t>
  </si>
  <si>
    <t>Felipe Duarte - 08/01/25 - 15:22 hs</t>
  </si>
  <si>
    <t>Felipe Duarte - 08/01/25 - 15:23 hs</t>
  </si>
  <si>
    <t>C0064</t>
  </si>
  <si>
    <t>La app está mandando mal los mensajes de "Baterias que salieron sin Orden de despacho. Está informando baterias que supuestamente salieron sin orden de despacho pero en realidad si las tenian. Ver con pedro.</t>
  </si>
  <si>
    <t>Problema de actualización de las òrdenes de despacho (no estaba tomando las últimas del mes de enero).</t>
  </si>
  <si>
    <t>Adrian Patriarca - 08/01/25 - 18:24 hs</t>
  </si>
  <si>
    <t>Felipe Duarte - 09/01/25 - 15:17 hs</t>
  </si>
  <si>
    <t>C0065</t>
  </si>
  <si>
    <t>Problema en la actualización automática del tablero.</t>
  </si>
  <si>
    <t>Última actualización correcta: 9/1/2025, 4:21:30 p.m.</t>
  </si>
  <si>
    <t>Felipe Duarte - 09/01/25 - 16:02 hs</t>
  </si>
  <si>
    <t>Felipe Duarte - 09/01/25 - 16:22 hs</t>
  </si>
  <si>
    <t>C0066</t>
  </si>
  <si>
    <t>Problemas con tablero de "Inversión publicitaria segun lo descripto en adjunto" Hablar con Gonzalo</t>
  </si>
  <si>
    <t>Se resolvió el problema. El tablero no mostraba las inversiones que fueron cargadas durante el año 2025 pero que correspondían a diciembre 2024 por una inconsistencia en la fecha de realización de ese gasto. Fue solucionado colocando el año correcto en la base de datos y se agregó en la aplicación, una validación para indicar a qué año corresponde el gasto, si el periodo al que imputa el gasto no es el en curso.</t>
  </si>
  <si>
    <t>Tickets_Images/C0066.Adjuntos.115755.jpg</t>
  </si>
  <si>
    <t>Adrian Patriarca - 10/01/25 - 08:57 hs</t>
  </si>
  <si>
    <t>Felipe Duarte - 10/01/25 - 14:54 hs</t>
  </si>
  <si>
    <t>970a4f37</t>
  </si>
  <si>
    <t>C0067</t>
  </si>
  <si>
    <t>Los pedidos se registran con un numero extraño (no con el nombre del cliente)</t>
  </si>
  <si>
    <t>No habian sincronizado la aplicación antes de realizar la carga entonces en nombre cliente había quedado una fecha (pero con el formato como texto)</t>
  </si>
  <si>
    <t>Renata Morano - 13/01/25 - 14:07 hs</t>
  </si>
  <si>
    <t>Renata Morano - 13/01/25 - 14:08 hs</t>
  </si>
  <si>
    <t>C0068</t>
  </si>
  <si>
    <t>Giuliano no puede ver la acción de entregar pedido ni de ingresar pagos. Cuando entrega un pedido con faltantes ocurre lo mismo.</t>
  </si>
  <si>
    <t>Solucionado el problema con las acciones de entregar pedido e ingresar pagos. El problema estaba en la restricción de perfiles de las acciones y el usuario de Giuliano, al tener habilitados tres perfiles, no podía acceder a algunas acciones.</t>
  </si>
  <si>
    <t>Felipe Duarte - 14/01/25 - 13:48 hs</t>
  </si>
  <si>
    <t>Felipe Duarte - 14/01/25 - 16:02 hs</t>
  </si>
  <si>
    <t>5ebd78ec</t>
  </si>
  <si>
    <t>C0069</t>
  </si>
  <si>
    <t>Poder agregar nuevas localidades.</t>
  </si>
  <si>
    <t>Se agregó la posiblidad de agregar nuevas localidades que no están en el listado para que aparezcan al cargar un nuevo trabajo y al crear un nuevo cliente.</t>
  </si>
  <si>
    <t>Felipe Duarte - 14/01/25 - 17:39 hs</t>
  </si>
  <si>
    <t>Felipe Duarte - 16/01/25 - 14:01 hs</t>
  </si>
  <si>
    <t>1aa3c012</t>
  </si>
  <si>
    <t>C0070</t>
  </si>
  <si>
    <t>Ver de reparar el tablero está afectado por los cambiós que realicé en la tabla de MP</t>
  </si>
  <si>
    <t>Se resolvió el problema con la actualización del tablero, modificación en el Query.</t>
  </si>
  <si>
    <t>Adrian Patriarca - 14/01/25 - 19:51 hs</t>
  </si>
  <si>
    <t>Felipe Duarte - 15/01/25 - 14:02 hs</t>
  </si>
  <si>
    <t>C0071</t>
  </si>
  <si>
    <t>Renata hay un tablero subido en power bi que se llama "Comparador de servicios" este tablero no está andando xq cambiaron unas tablas de Google sheet más precisamente unas tablas que tienen más de 50 mil filas. ( Te vas a dar cuenta). Arregla directamente la lectura de esas tablas. Fíjate en los orígenes de datos que se va a repetir más de una vez. Después hay otras tablas que no vas a poder actualizar porque están a nivel de servidor local. Pero si subis el tablero se van a actualizar. fíjate si podés arreglar este problema sino no te hagas drama que no te lleve mucho tiempo</t>
  </si>
  <si>
    <t>Finalizado</t>
  </si>
  <si>
    <t>Adrian Patriarca - 15/01/25 - 07:29 hs</t>
  </si>
  <si>
    <t>Adrian Patriarca - 28/01/25 - 10:48 hs</t>
  </si>
  <si>
    <t>R0072</t>
  </si>
  <si>
    <t>Comunicarse con Nacho. Quiere hacer unos tableros de control para los vendedores. Ver foto adjunta</t>
  </si>
  <si>
    <t>Nacho se comunicó y realizó el pedido.</t>
  </si>
  <si>
    <t>Tickets_Images/R0072.Adjuntos.161834.jpg</t>
  </si>
  <si>
    <t>Adrian Patriarca - 16/01/25 - 13:18 hs</t>
  </si>
  <si>
    <t>Felipe Duarte - 20/01/25 - 14:06 hs</t>
  </si>
  <si>
    <t>C0073</t>
  </si>
  <si>
    <t>Comunicarse con Mario de la empresa puntoSIM para ver qué datos necesitan que les pasemos y porque medio. Yo le propuse una base de datos en MySQL. solamente tendrías que relevar los datos que necesitan. La semana que viene se los proporciono</t>
  </si>
  <si>
    <t>Se comunicó Mario y me comentó cómo tienen pensado hacer las etiquetas. En el sprint está la explicación.</t>
  </si>
  <si>
    <t>Tickets_Images/C0073.Adjuntos.160814.jpg</t>
  </si>
  <si>
    <t>Adrian Patriarca - 20/01/25 - 13:08 hs</t>
  </si>
  <si>
    <t>Felipe Duarte - 22/01/25 - 14:01 hs</t>
  </si>
  <si>
    <t>C0074</t>
  </si>
  <si>
    <t>Los perfiles del sector "ABASTECIMIENTO" no pueden autorizar sus RQI,</t>
  </si>
  <si>
    <t>Se cambió el perfil de "Operario" a "Supervisor" de Gustavo Seguro (COMPRAS) y Leonardo Cipolatti (COMERCIAL)</t>
  </si>
  <si>
    <t>Felipe Duarte - 21/01/25 - 13:33 hs</t>
  </si>
  <si>
    <t>Felipe Duarte - 21/01/25 - 13:52 hs</t>
  </si>
  <si>
    <t>13206c0f</t>
  </si>
  <si>
    <t>C0075</t>
  </si>
  <si>
    <t>Que los productos digan "Activos / Inactivos" para poder quitar unos que no van a trabajar por el momento</t>
  </si>
  <si>
    <t>Los productos se clasifican en activos e inactivos y solo se pueden agregar en los pedidos los productos activos. Los inactivos aparecen en la lista pero al seleccionarlos aparece un error (y no aparecen los datos del producto)</t>
  </si>
  <si>
    <t>Renata Morano - 24/01/25 - 09:46 hs</t>
  </si>
  <si>
    <t>Renata Morano - 28/01/25 - 11:37 hs</t>
  </si>
  <si>
    <t>C0076</t>
  </si>
  <si>
    <t>Que a deposito no le desaparezcan los pedidos cuando la fecha de entrega es posterior a hoy (si es que no los prepararon). Posible solución: agregar un estado que sea "Para preparar con retraso" o algo así</t>
  </si>
  <si>
    <t>Genere un nuevo estado 3.1 Pedido a preparar retrasado</t>
  </si>
  <si>
    <t>Renata Morano - 24/01/25 - 13:14 hs</t>
  </si>
  <si>
    <t>PI0028</t>
  </si>
  <si>
    <t>b2efcda7</t>
  </si>
  <si>
    <t>Revisión Actualización Tablero</t>
  </si>
  <si>
    <t>Revisión de funcionamiento - Revisar si las actualizaciones se estan dando correctamente</t>
  </si>
  <si>
    <t>Jesica Wolf - 28/02/26 - 08:00 hs</t>
  </si>
  <si>
    <t>Renata Morano - 20/03/26 - 11:13 hs</t>
  </si>
  <si>
    <t>C0078</t>
  </si>
  <si>
    <t>Agregar las zonas en el tablero de Chaco</t>
  </si>
  <si>
    <t>Se agregaron las Zonas Comerciales a los clientes de Chaco y se actualizó el tablero con estos cambios.</t>
  </si>
  <si>
    <t>Felipe Duarte - 28/01/25 - 13:34 hs</t>
  </si>
  <si>
    <t>Felipe Duarte - 28/01/25 - 15:21 hs</t>
  </si>
  <si>
    <t>129bcb6b</t>
  </si>
  <si>
    <t>C0079</t>
  </si>
  <si>
    <t>Agregar compañía aseguradora en el detalle de los pedidos de abastecimiento.</t>
  </si>
  <si>
    <t>Se agregaron los campos: "Compañia aseguradora", "Perito" y "Nº de siniesto" al detalle del Pedido de abastecimiento cuando el cliente interno en "Seguros".</t>
  </si>
  <si>
    <t>Felipe Duarte - 28/01/25 - 13:36 hs</t>
  </si>
  <si>
    <t>Felipe Duarte - 28/01/25 - 15:22 hs</t>
  </si>
  <si>
    <t>3801b3dc</t>
  </si>
  <si>
    <t>C0080</t>
  </si>
  <si>
    <t>Problemas con la lectura del codigo de barra. Ver mensaje de pedro</t>
  </si>
  <si>
    <t>Hubo un error en la carga de las baterías, en vez de leer el código de barras, leyó un código QR propio de la batería.</t>
  </si>
  <si>
    <t>Adrian Patriarca - 29/01/25 - 19:21 hs</t>
  </si>
  <si>
    <t>Felipe Duarte - 30/01/25 - 15:56 hs</t>
  </si>
  <si>
    <t>C0081</t>
  </si>
  <si>
    <t>No se muestra el detalle del TAC cuando se ingresa desde la vista de remitos.</t>
  </si>
  <si>
    <t>Se agregó el N de Remito al detalle de repuestos, para que el filtro de búsqueda funcione.</t>
  </si>
  <si>
    <t>Felipe Duarte - 30/01/25 - 13:30 hs</t>
  </si>
  <si>
    <t>Felipe Duarte - 31/01/25 - 13:21 hs</t>
  </si>
  <si>
    <t>C0082</t>
  </si>
  <si>
    <t>Numeración de los TACs, cuando se generan en simultáneo, se genera el mismo número de TAC.</t>
  </si>
  <si>
    <t>Para evitar el valor duplicado tanto en TACs como en PEDIDOS, se agregaron los tres primero caracteres del usuario que crea el registro.</t>
  </si>
  <si>
    <t>Felipe Duarte - 30/01/25 - 13:31 hs</t>
  </si>
  <si>
    <t>Felipe Duarte - 31/01/25 - 16:40 hs</t>
  </si>
  <si>
    <t>C0083</t>
  </si>
  <si>
    <t>El tablero no está arrojando información completa</t>
  </si>
  <si>
    <t>Se verificó el tablero y muestra correctamente los datos de todas las categorías de vehículos.</t>
  </si>
  <si>
    <t>Adrian Patriarca - 30/01/25 - 16:46 hs</t>
  </si>
  <si>
    <t>Felipe Duarte - 31/01/25 - 13:22 hs</t>
  </si>
  <si>
    <t>C0084</t>
  </si>
  <si>
    <t>Agregar la marca  PIONEIRO a los filtros del tablero.</t>
  </si>
  <si>
    <t>Se agregó la marca PIONEIRO a la tabla "Históricos cantidades vendidas" (hoja 4).</t>
  </si>
  <si>
    <t>Felipe Duarte - 31/01/25 - 13:23 hs</t>
  </si>
  <si>
    <t>Felipe Duarte - 31/01/25 - 13:51 hs</t>
  </si>
  <si>
    <t>C0085</t>
  </si>
  <si>
    <t>Hacer los tablero de cada vendedor.</t>
  </si>
  <si>
    <t>Se adaptó el tablero para los vendedores donde cada uno podrá iniciar sesión con usuario y contraseña para ver los indicadores filtrados según dicho vendedor.</t>
  </si>
  <si>
    <t>Felipe Duarte - 31/01/25 - 13:25 hs</t>
  </si>
  <si>
    <t>Felipe Duarte - 05/02/25 - 16:24 hs</t>
  </si>
  <si>
    <t>R0086</t>
  </si>
  <si>
    <t>Comunicarme con Mario de RFID</t>
  </si>
  <si>
    <t>Se enviaron las credenciales y los datos a Mario de RFID referido a las etiquetas.</t>
  </si>
  <si>
    <t>Felipe Duarte - 31/01/25 - 17:19 hs</t>
  </si>
  <si>
    <t>Felipe Duarte - 07/02/25 - 17:44 hs</t>
  </si>
  <si>
    <t>C0087</t>
  </si>
  <si>
    <t>Que aparezca el recibido en el detalle de los TACs que están asociados a un remito.</t>
  </si>
  <si>
    <t>Se agregó el campo faltante (Recibido) con la opción QuickEdit.</t>
  </si>
  <si>
    <t>Felipe Duarte - 03/02/25 - 14:42 hs</t>
  </si>
  <si>
    <t>Felipe Duarte - 03/02/25 - 16:15 hs</t>
  </si>
  <si>
    <t>C0088</t>
  </si>
  <si>
    <t>Pedido de Gonzalo.</t>
  </si>
  <si>
    <t>Finalizado, se respetaron las observaciones enviadas por Gonzalo y se agregó una línea que representa el precio de Nation para que sea más sencilla la comparación.</t>
  </si>
  <si>
    <t>Felipe Duarte - 03/02/25 - 16:02 hs</t>
  </si>
  <si>
    <t>Felipe Duarte - 06/02/25 - 15:15 hs</t>
  </si>
  <si>
    <t>C0089</t>
  </si>
  <si>
    <t>Revisar "Estado" de Pedidos abastecimiento, hay un error que no permite dar recibido a las piezas.</t>
  </si>
  <si>
    <t>Se revisó el estado, hay una demora en la sincronización hasta que el pedido cambia efectivamente de estado y por ese motivo pude restringirse la edición del campo "Recibido" ya que el pedido debe estar en el estado "Solicitado a Stellantis" para que se pueda editar ese campo.</t>
  </si>
  <si>
    <t>Felipe Duarte - 03/02/25 - 17:34 hs</t>
  </si>
  <si>
    <t>Felipe Duarte - 07/02/25 - 17:04 hs</t>
  </si>
  <si>
    <t>C0090</t>
  </si>
  <si>
    <t>Agregar validación en el VIN de 17 dígitos al cargar un TAC o Pedido de abastecimiento</t>
  </si>
  <si>
    <t>Se agregó la validación para que el VIN, si no está en la base de datos, tenga más de 17 dígitos.</t>
  </si>
  <si>
    <t>Felipe Duarte - 05/02/25 - 16:28 hs</t>
  </si>
  <si>
    <t>Felipe Duarte - 05/02/25 - 17:55 hs</t>
  </si>
  <si>
    <t>C0091</t>
  </si>
  <si>
    <t>Que el campo "Última modificación" pueda reflejar los últimos cambios producidos en el listado de repuestos.</t>
  </si>
  <si>
    <t>Se modificó el campo "Última modificación" para que refleje el último cambio producido en los repuestos asociados al TAC o al Pedido.</t>
  </si>
  <si>
    <t>Felipe Duarte - 06/02/25 - 13:34 hs</t>
  </si>
  <si>
    <t>Felipe Duarte - 07/02/25 - 17:03 hs</t>
  </si>
  <si>
    <t>C0092</t>
  </si>
  <si>
    <t>Eliminar todos los TACs de las marcas Peugeot y Citroën del 17/01 (inclusive) para atrás</t>
  </si>
  <si>
    <t>Se eliminaron los TACs indicados.</t>
  </si>
  <si>
    <t>Felipe Duarte - 06/02/25 - 13:36 hs</t>
  </si>
  <si>
    <t>C0093</t>
  </si>
  <si>
    <t>Tablero VENDEDORES: mostrar el saldo negativo de los clientes, poder editar el objetivo del mes cada 50 unidades y modificar la medida del tacómetro para que muestre las ventas del mes en curso (elegido en el filtro de fechas).</t>
  </si>
  <si>
    <t>Se realizaron los cambios en el nuevo Tablero de Vendedores.</t>
  </si>
  <si>
    <t>Felipe Duarte - 06/02/25 - 14:25 hs</t>
  </si>
  <si>
    <t>Felipe Duarte - 10/02/25 - 15:25 hs</t>
  </si>
  <si>
    <t>C0094</t>
  </si>
  <si>
    <t>Realizar el mismo tablero de vendedores, para el vendedor de Chacho (Alberto).</t>
  </si>
  <si>
    <t>Se realizó el tablero de vendedores de Chaco con inicio de sesión (igual que en Santa Fe) para los usuarios Joaquin Escobar y Alberto García.</t>
  </si>
  <si>
    <t>Felipe Duarte - 10/02/25 - 13:42 hs</t>
  </si>
  <si>
    <t>Felipe Duarte - 11/02/25 - 16:37 hs</t>
  </si>
  <si>
    <t>C0095</t>
  </si>
  <si>
    <t>Pasarle video de capacitación a HL. Ver con Pablo cual necesita de los que le enviamos</t>
  </si>
  <si>
    <t>Se envió el video correspondiente a Pablo.</t>
  </si>
  <si>
    <t>Adrian Patriarca - 11/02/25 - 11:36 hs</t>
  </si>
  <si>
    <t>Felipe Duarte - 11/02/25 - 13:48 hs</t>
  </si>
  <si>
    <t>C0096</t>
  </si>
  <si>
    <t>Terminar Sprint de HL mas presisamente: UNIFICAR TABLERO DE VISITAS EN EL DE ESTADÍSITICAS DE VENTAS. Pagina 2/3 poner logo HL. Agregar navegación de páginas. Sacar en blanco. Agregar lupita de búsqueda.</t>
  </si>
  <si>
    <t>Se unificaron los tableros y se realizaron las modificaciones indicadas. El tablero ya fue actualizado en la página de Power BI.</t>
  </si>
  <si>
    <t>Adrian Patriarca - 13/02/25 - 10:03 hs</t>
  </si>
  <si>
    <t>Felipe Duarte - 13/02/25 - 16:35 hs</t>
  </si>
  <si>
    <t>R0097</t>
  </si>
  <si>
    <t>Consultar a Gonzalo sobre el tablero de Neumáticos</t>
  </si>
  <si>
    <t>Se realizaron los cambios solicitados por Gonzalo (usar columna de precio c/iva) y agregar una línea que respresente el precio s/iva (Tablero MAYORISTA).</t>
  </si>
  <si>
    <t>Felipe Duarte - 17/02/25 - 13:39 hs</t>
  </si>
  <si>
    <t>Felipe Duarte - 21/02/25 - 13:50 hs</t>
  </si>
  <si>
    <t>C0098</t>
  </si>
  <si>
    <t>Errores en los datos que arroja el tablero. Ver archivo adjunto</t>
  </si>
  <si>
    <t>Se revisó el tablero y se resolvió el problema generado por las fechas al estar en otro formato (02/01/2025 en vez de 01/02/2025).</t>
  </si>
  <si>
    <t>Tickets_Files_/C0098.Adjuntos.134802.mp4</t>
  </si>
  <si>
    <t>Adrian Patriarca - 18/02/25 - 10:45 hs</t>
  </si>
  <si>
    <t>Felipe Duarte - 18/02/25 - 17:38 hs</t>
  </si>
  <si>
    <t>C0099</t>
  </si>
  <si>
    <t>Agregar la posibilidad de buscar por Nº de Portal PSA dentro de la pestaña de búsqueda</t>
  </si>
  <si>
    <t>Se agregó el campo "Nº Portal PSA" en los filtros de búsqueda tanto de TACs como de Pedidos de abastecimiento.</t>
  </si>
  <si>
    <t>Felipe Duarte - 18/02/25 - 13:32 hs</t>
  </si>
  <si>
    <t>Felipe Duarte - 18/02/25 - 16:05 hs</t>
  </si>
  <si>
    <t>R0100</t>
  </si>
  <si>
    <t>Verificar si los e-mail efectivamente les llegaron a los destinatarios. Preguntar a Jose</t>
  </si>
  <si>
    <t>Juan me solicitió el dominio desde el cual se envían los mails para verificar que no esté  bloqueado en el dominio de Nation (noreply@appsheet.com)</t>
  </si>
  <si>
    <t>Adrian Patriarca - 19/02/25 - 15:42 hs</t>
  </si>
  <si>
    <t>Felipe Duarte - 24/02/25 - 15:21 hs</t>
  </si>
  <si>
    <t>R0101</t>
  </si>
  <si>
    <t>Verificar si está trayendo todos los turnos. Preguntarle a Juan</t>
  </si>
  <si>
    <t>Los turnos se visualizan correctamente</t>
  </si>
  <si>
    <t>Adrian Patriarca - 19/02/25 - 15:43 hs</t>
  </si>
  <si>
    <t>Renata Morano - 27/02/25 - 11:02 hs</t>
  </si>
  <si>
    <t>C0102</t>
  </si>
  <si>
    <t>Ver cuestiones reportadas por Gonzalo Ramirez. Se adjunta información.</t>
  </si>
  <si>
    <t>Se realizaron las modificaciones correspondientes en cuanto a la pestaña MAYORISTA para incluir las columnas indicadas (precio c/iva Nation y competidores).</t>
  </si>
  <si>
    <t>Tickets_Files_/C0102.Adjuntos.134508.mp4</t>
  </si>
  <si>
    <t>Adrian Patriarca - 20/02/25 - 10:44 hs</t>
  </si>
  <si>
    <t>Felipe Duarte - 21/02/25 - 14:03 hs</t>
  </si>
  <si>
    <t>C0103</t>
  </si>
  <si>
    <t>El tablero no aparece en la página</t>
  </si>
  <si>
    <t>Realizado, se volvió a subir</t>
  </si>
  <si>
    <t>Tickets_Images/C0103.Adjuntos.112812.jpg</t>
  </si>
  <si>
    <t>Renata Morano - 21/02/25 - 08:28 hs</t>
  </si>
  <si>
    <t>Adrian Patriarca - 21/02/25 - 10:01 hs</t>
  </si>
  <si>
    <t>C0104</t>
  </si>
  <si>
    <t>Vincular el tablero con appsheet</t>
  </si>
  <si>
    <t>Realizado</t>
  </si>
  <si>
    <t>Renata Morano - 21/02/25 - 09:46 hs</t>
  </si>
  <si>
    <t>Adrian Patriarca - 06/03/25 - 12:13 hs</t>
  </si>
  <si>
    <t>C0105</t>
  </si>
  <si>
    <t>Cambiarle a donde dice "Turnos del día" Que diga "Ingreso" "Egresos"</t>
  </si>
  <si>
    <t>Realice las modificaciones e hice que la transición sea más rápida</t>
  </si>
  <si>
    <t>Renata Morano - 27/02/25 - 12:34 hs</t>
  </si>
  <si>
    <t>Renata Morano - 07/03/25 - 10:36 hs</t>
  </si>
  <si>
    <t>C0106</t>
  </si>
  <si>
    <t>Modificar los desvíos desvío "Prueba de mejora" y "Prueba de insumo" como "Depende de producción" a "No depende de producción".</t>
  </si>
  <si>
    <t>En el día de ayer se realizaron los cambios solicitados y se actualizó el tablero.</t>
  </si>
  <si>
    <t>Felipe Duarte - 27/02/25 - 13:49 hs</t>
  </si>
  <si>
    <t>Felipe Duarte - 28/02/25 - 13:32 hs</t>
  </si>
  <si>
    <t>C0107</t>
  </si>
  <si>
    <t>Agregar usuarios de Chaco en la App: vendedor4.dgdistribuciones@gmail.com y dgbateriasresistencia@gmail.com</t>
  </si>
  <si>
    <t>Se agregaron los usuarios solicitados.</t>
  </si>
  <si>
    <t>Felipe Duarte - 05/03/25 - 13:30 hs</t>
  </si>
  <si>
    <t>Felipe Duarte - 05/03/25 - 17:25 hs</t>
  </si>
  <si>
    <t>f417fec6</t>
  </si>
  <si>
    <t>C0108</t>
  </si>
  <si>
    <t>Pasar todos los cáclulos de desvío del tablero de producción (página 3/8) de minutos a horas.</t>
  </si>
  <si>
    <t>Se realizó la conversión de minutos a horas en la pestaña "Desvíos productivos".</t>
  </si>
  <si>
    <t>Felipe Duarte - 05/03/25 - 13:32 hs</t>
  </si>
  <si>
    <t>Felipe Duarte - 11/03/25 - 15:06 hs</t>
  </si>
  <si>
    <t>C0109</t>
  </si>
  <si>
    <t>Agregar columna de cantidad vendida con la marca GIAGNONI</t>
  </si>
  <si>
    <t>Se agregó la columna solicitada queda pendiente cotejar los datos con Nacho (ya solicitado).</t>
  </si>
  <si>
    <t>Felipe Duarte - 06/03/25 - 14:15 hs</t>
  </si>
  <si>
    <t>Felipe Duarte - 18/03/25 - 15:59 hs</t>
  </si>
  <si>
    <t>C0110</t>
  </si>
  <si>
    <t>Agregar pestaña para análisis por modelo</t>
  </si>
  <si>
    <t>Se agregó un filtro por modelo para hacer el análisis requerido por Nacho.</t>
  </si>
  <si>
    <t>Tickets_Files_/C0110.Adjuntos.182157.xlsx</t>
  </si>
  <si>
    <t>Felipe Duarte - 06/03/25 - 15:21 hs</t>
  </si>
  <si>
    <t>Felipe Duarte - 27/03/25 - 15:54 hs</t>
  </si>
  <si>
    <t>C0111</t>
  </si>
  <si>
    <t>Incorporar Nuevas maquinas a la app. Ver archivo adjunto</t>
  </si>
  <si>
    <t>Finalizado (ver con Cristian). Se agregó la máquina FCUN y se dejó la tabla armada para 4 máquinas nuevas.</t>
  </si>
  <si>
    <t>Tickets_Files_/C0111.Adjuntos.194228.mp4</t>
  </si>
  <si>
    <t>Adrian Patriarca - 06/03/25 - 16:42 hs</t>
  </si>
  <si>
    <t>Felipe Duarte - 17/03/25 - 17:30 hs</t>
  </si>
  <si>
    <t>C0112</t>
  </si>
  <si>
    <t>Resolver falta de actualización del tablero</t>
  </si>
  <si>
    <t>El tablero se conectó nuevamente</t>
  </si>
  <si>
    <t>Adrian Patriarca - 06/03/25 - 16:43 hs</t>
  </si>
  <si>
    <t>Adrian Patriarca - 06/03/25 - 17:50 hs</t>
  </si>
  <si>
    <t>C0113</t>
  </si>
  <si>
    <t>Verificar roles de usuarios en el módulo RQI emisor/autorizante.</t>
  </si>
  <si>
    <t>Se verificaron los roles de usuarios con los email existentes, ver si se puede ampliar la cantidad de usuarios (licencia).</t>
  </si>
  <si>
    <t>Tickets_Files_/C0113.Adjuntos.164204.xlsx</t>
  </si>
  <si>
    <t>Felipe Duarte - 07/03/25 - 13:42 hs</t>
  </si>
  <si>
    <t>Felipe Duarte - 17/03/25 - 17:45 hs</t>
  </si>
  <si>
    <t>C0114</t>
  </si>
  <si>
    <t>Verificar que la columna Precio Nation c iva de referencia esté calculada correctamente (debe ser 100)</t>
  </si>
  <si>
    <t>Se realizaron las verificaciones correspondientes sobre las referencias de los precios de Nation.</t>
  </si>
  <si>
    <t>Felipe Duarte - 07/03/25 - 14:21 hs</t>
  </si>
  <si>
    <t>Felipe Duarte - 07/03/25 - 16:57 hs</t>
  </si>
  <si>
    <t>C0115</t>
  </si>
  <si>
    <t>Ver Notas de Crédito - Pendientes y hechas.</t>
  </si>
  <si>
    <t>Se agregó la clasificación faltante (del mismo modo que las facturas).</t>
  </si>
  <si>
    <t>Felipe Duarte - 11/03/25 - 13:37 hs</t>
  </si>
  <si>
    <t>Felipe Duarte - 11/03/25 - 13:57 hs</t>
  </si>
  <si>
    <t>C0116</t>
  </si>
  <si>
    <t>Generar Video de Como se utiliza la app casi exclusivamente con el teclado. Se adjunta documento. Solicitado mediante la app</t>
  </si>
  <si>
    <t>Genere un video con las mejoras recientes el cual fue enviado por WSP</t>
  </si>
  <si>
    <t>Tickets_Images/C0116.Adjuntos.135843.png</t>
  </si>
  <si>
    <t>Adrian Patriarca - 14/03/25 - 10:58 hs</t>
  </si>
  <si>
    <t>Renata Morano - 28/03/25 - 13:09 hs</t>
  </si>
  <si>
    <t>dd0b1847</t>
  </si>
  <si>
    <t>C0117</t>
  </si>
  <si>
    <t>Ver permisos de edición del campo "Preparado" en los TACs y la acción "Entregado".</t>
  </si>
  <si>
    <t>Se modificaron las condiciones de edición de la columna "Preparado".</t>
  </si>
  <si>
    <t>Felipe Duarte - 17/03/25 - 13:31 hs</t>
  </si>
  <si>
    <t>Felipe Duarte - 18/03/25 - 14:56 hs</t>
  </si>
  <si>
    <t>C0118</t>
  </si>
  <si>
    <t>ART 368 - ver adjunto.</t>
  </si>
  <si>
    <t>Se excluyó el CODART solicitado (sólo estaba en el tablero de Santa Fe, no en el de Chaco).</t>
  </si>
  <si>
    <t>Tickets_Images/C0118.Adjuntos.173322.png</t>
  </si>
  <si>
    <t>Felipe Duarte - 17/03/25 - 14:33 hs</t>
  </si>
  <si>
    <t>Felipe Duarte - 18/03/25 - 16:09 hs</t>
  </si>
  <si>
    <t>C0119</t>
  </si>
  <si>
    <t>Agregar decimales a las horas en los desvíos productivos</t>
  </si>
  <si>
    <t>Se actualizó el tablero con los cambios solicitados.</t>
  </si>
  <si>
    <t>Felipe Duarte - 17/03/25 - 14:39 hs</t>
  </si>
  <si>
    <t>Felipe Duarte - 17/03/25 - 15:41 hs</t>
  </si>
  <si>
    <t>C0120</t>
  </si>
  <si>
    <t>Revisar META - febrero (el tablero muestra 21 M y en debería ser 14.9 M)</t>
  </si>
  <si>
    <t>Hubo un cambio en la carga de una factura que al principio se cargó como en el mes de febrero y luego se cambió al mes de marzo, la fecha de realización siguió siendo febrero y eso generó el error. Ahora al modificar el mes de realización, también se modifica la fecha.</t>
  </si>
  <si>
    <t>Felipe Duarte - 17/03/25 - 16:55 hs</t>
  </si>
  <si>
    <t>C0121</t>
  </si>
  <si>
    <t>6</t>
  </si>
  <si>
    <t>Agregar razón social ROAD X (NATION S.A)</t>
  </si>
  <si>
    <t>Se agregó la razón social solicitada.</t>
  </si>
  <si>
    <t>Felipe Duarte - 18/03/25 - 14:21 hs</t>
  </si>
  <si>
    <t>Felipe Duarte - 18/03/25 - 14:44 hs</t>
  </si>
  <si>
    <t>C0122</t>
  </si>
  <si>
    <t>Agregar marca Quality</t>
  </si>
  <si>
    <t>Se agregó la marca solicitada.</t>
  </si>
  <si>
    <t>Tickets_Images/C0122.Adjuntos.193101.png</t>
  </si>
  <si>
    <t>Felipe Duarte - 18/03/25 - 16:33 hs</t>
  </si>
  <si>
    <t>Felipe Duarte - 18/03/25 - 17:39 hs</t>
  </si>
  <si>
    <t>C0123</t>
  </si>
  <si>
    <t>Agregar el tipo de envío en la tabla de cantidad de viaje por transporte.</t>
  </si>
  <si>
    <t>Se realizaron los cambios solicitados por Pedro.</t>
  </si>
  <si>
    <t>Felipe Duarte - 19/03/25 - 15:18 hs</t>
  </si>
  <si>
    <t>Felipe Duarte - 19/03/25 - 16:05 hs</t>
  </si>
  <si>
    <t>C0124</t>
  </si>
  <si>
    <t>Poder filtrar el ranking de clientes según las baterías despachadas a cada transporte.</t>
  </si>
  <si>
    <t>Se quitó el filtro para que la tabla no solamente muestre el monto vendido sino también lo despachado.</t>
  </si>
  <si>
    <t>Felipe Duarte - 20/03/25 - 13:31 hs</t>
  </si>
  <si>
    <t>Felipe Duarte - 26/03/25 - 16:59 hs</t>
  </si>
  <si>
    <t>C0125</t>
  </si>
  <si>
    <t>Reacomodar indicadores del tablero según el pedido de Cristian (ver gráfico y audio del 20/03).</t>
  </si>
  <si>
    <t>Se agregaron las nuevas tarjetas con el OEE y las disponibilidades.</t>
  </si>
  <si>
    <t>Felipe Duarte - 20/03/25 - 13:34 hs</t>
  </si>
  <si>
    <t>Felipe Duarte - 14/04/25 - 15:38 hs</t>
  </si>
  <si>
    <t>C0126</t>
  </si>
  <si>
    <t>Ver "Saldos" cuando se filtra por vendedor, que no tenga en cuenta los saldos a favor (lo mismo para el tablero de Chacho).</t>
  </si>
  <si>
    <t>Se incluyen todos los saldos para los vendedores.</t>
  </si>
  <si>
    <t>Felipe Duarte - 20/03/25 - 14:24 hs</t>
  </si>
  <si>
    <t>Felipe Duarte - 26/03/25 - 17:25 hs</t>
  </si>
  <si>
    <t>C0127</t>
  </si>
  <si>
    <t>Se agregó una columna en la hoja BD Cod. Amipack. Revisar como está funcionando</t>
  </si>
  <si>
    <t>Ya están usando la app normalmente, queda pendiente ver cuál es la columna nueva a agregar.</t>
  </si>
  <si>
    <t>Adrian Patriarca - 21/03/25 - 09:02 hs</t>
  </si>
  <si>
    <t>Felipe Duarte - 21/03/25 - 13:56 hs</t>
  </si>
  <si>
    <t>C0128</t>
  </si>
  <si>
    <t>Enviar todo el material que tengas disponible de HL a Renata</t>
  </si>
  <si>
    <t>Se envió todo el material de HL.</t>
  </si>
  <si>
    <t>Adrian Patriarca - 21/03/25 - 09:33 hs</t>
  </si>
  <si>
    <t>Felipe Duarte - 21/03/25 - 14:03 hs</t>
  </si>
  <si>
    <t>C0129</t>
  </si>
  <si>
    <t>Agregar filtro de modelo, según los Códigos de Artículos que se incluyen en cada modelo.</t>
  </si>
  <si>
    <t>Se agregó una pestaña con la tabla resumen de cantidades por modelo.</t>
  </si>
  <si>
    <t>Felipe Duarte - 27/03/25 - 16:12 hs</t>
  </si>
  <si>
    <t>Felipe Duarte - 04/06/25 - 13:25 hs</t>
  </si>
  <si>
    <t>C0130</t>
  </si>
  <si>
    <t>Agregar el nuevo correo para la máquina "Fondo Cuadrado Nueva": fcun.amipack@gmail.com</t>
  </si>
  <si>
    <t>Se agregó la máquina solicitada como un nuevo usuario.</t>
  </si>
  <si>
    <t>Felipe Duarte - 28/03/25 - 13:37 hs</t>
  </si>
  <si>
    <t>Felipe Duarte - 01/04/25 - 14:13 hs</t>
  </si>
  <si>
    <t>R0131</t>
  </si>
  <si>
    <t>Felipe, necesito que nos mandes un video de como funciona esto de la lista de precios automatica. Y que lo dejes andando y que nosotros solamente tengamos que actualizar la lista. Pero que los precios se envien ya c/10 días.</t>
  </si>
  <si>
    <t>Se envió el video a Renata.</t>
  </si>
  <si>
    <t>Adrian Patriarca - 31/03/25 - 09:55 hs</t>
  </si>
  <si>
    <t>Felipe Duarte - 03/04/25 - 13:29 hs</t>
  </si>
  <si>
    <t>C0132</t>
  </si>
  <si>
    <t>Diferencia entre lo que muestra la app y el tablero.</t>
  </si>
  <si>
    <t>La app muestra los montos totales por factura, teniendo en cuenta que hay facturas que incluyen más de una categoría, al filtrar por categoría sumar solamente los montos de dicha categoría (ver video enviado por WhatsApp).</t>
  </si>
  <si>
    <t>Tickets_Images/C0132.Adjuntos.163356.jpg</t>
  </si>
  <si>
    <t>Felipe Duarte - 01/04/25 - 13:33 hs</t>
  </si>
  <si>
    <t>Felipe Duarte - 01/04/25 - 16:11 hs</t>
  </si>
  <si>
    <t>C0133</t>
  </si>
  <si>
    <t>Verificar las consignaciones pendientes de los clientes (ver mensaje de Nacho)</t>
  </si>
  <si>
    <t>Se modificó la medida y ahora coincide el dato de las consignaciones y el saldo.</t>
  </si>
  <si>
    <t>Felipe Duarte - 04/04/25 - 13:37 hs</t>
  </si>
  <si>
    <t>Felipe Duarte - 07/04/25 - 15:02 hs</t>
  </si>
  <si>
    <t>C0134</t>
  </si>
  <si>
    <t>- % productividad general con respecto a los niveles individuales de cada maquina (ver pestaña OEE productividad) - Horas de desvios en el mismo periodo no coindiden entre las pestañas (ver desvios productivos vs disponibilidad general) - Realizar comparativa de tiempos de desvios estandar - Comparar productividad objetivo por hora y no por dia</t>
  </si>
  <si>
    <t>Se revisó el cálculo de la productividad y está correcto. Con respecto a los minutos de desvíos, en el gráfico del tiempo estándar "las puntas" indican desvíos con respecto al estándar, la barra gris sola significa que no se superó dicho estándar. Para la comparativa de tiempos estándar se agregó una columna que permitirá hacer la comparación en el tiempo. Ver: productividad por hora.</t>
  </si>
  <si>
    <t>Felipe Duarte - 08/04/25 - 13:41 hs</t>
  </si>
  <si>
    <t>Felipe Duarte - 21/04/25 - 17:28 hs</t>
  </si>
  <si>
    <t>C0135</t>
  </si>
  <si>
    <t>Agregar la columna de cantidad en la tabla de etiquetas.</t>
  </si>
  <si>
    <t>Se agregó la columna "Cant. Recibida" en la tabla de etiquetas.</t>
  </si>
  <si>
    <t>Felipe Duarte - 09/04/25 - 16:42 hs</t>
  </si>
  <si>
    <t>Felipe Duarte - 16/04/25 - 14:07 hs</t>
  </si>
  <si>
    <t>C0136</t>
  </si>
  <si>
    <t>Mariano me aviso que quiere agregar una cotización de un proveedor que no aparece en la app</t>
  </si>
  <si>
    <t>Logramos conectarnos correctamente con el sistema, lo cual corrigio la cantidad de proveedores que aparecen en la aplicación</t>
  </si>
  <si>
    <t>Tickets_Images/C0136.Adjuntos.113317.jpg</t>
  </si>
  <si>
    <t>Renata Morano - 14/04/25 - 08:33 hs</t>
  </si>
  <si>
    <t>Renata Morano - 23/04/25 - 10:01 hs</t>
  </si>
  <si>
    <t>79c40232</t>
  </si>
  <si>
    <t>C0137</t>
  </si>
  <si>
    <t>Script no funciona</t>
  </si>
  <si>
    <t>La base de datos de los productos esta incompleta. Son 3 listas de precios. Solo una esta completa (otra incompleta y otra no aparece ningun producto)</t>
  </si>
  <si>
    <t>En teoria ya está solucionado. Renata mañana verifica</t>
  </si>
  <si>
    <t>Renata Morano - 14/04/25 - 12:15 hs</t>
  </si>
  <si>
    <t>Adrian Patriarca - 15/04/25 - 11:54 hs</t>
  </si>
  <si>
    <t>R0138</t>
  </si>
  <si>
    <t>Verificar si están todos los precios en todas las listas.</t>
  </si>
  <si>
    <t>Revise y se estan cargando todos los precios</t>
  </si>
  <si>
    <t>Renata Morano - 17/04/25 - 08:37 hs</t>
  </si>
  <si>
    <t>C0139</t>
  </si>
  <si>
    <t>Ver pestaña OEE productividad (video adjunto)</t>
  </si>
  <si>
    <t>Pasa a resolverlo a Adrian.</t>
  </si>
  <si>
    <t>Tickets_Files_/C0139.Adjuntos.172145.03 PM.mp4</t>
  </si>
  <si>
    <t>Felipe Duarte - 16/04/25 - 14:21 hs</t>
  </si>
  <si>
    <t>Felipe Duarte - 16/04/25 - 14:37 hs</t>
  </si>
  <si>
    <t>C0140</t>
  </si>
  <si>
    <t>Revisar pestaña OEE productividad (ver video adjunto).</t>
  </si>
  <si>
    <t>Solucionado</t>
  </si>
  <si>
    <t>Tickets_Files_/C0140.Adjuntos.173744.03 PM.mp4</t>
  </si>
  <si>
    <t>Adrian Patriarca - 17/04/25 - 00:23 hs</t>
  </si>
  <si>
    <t>C0141</t>
  </si>
  <si>
    <t>Ver base de datos de clientes de Chaco para los nuevos perfiles de esa sucursal.</t>
  </si>
  <si>
    <t>La base de datos de clientes de Chacho ya estaba cargada, solamente faltaba habilitar los correos de vendedores en la tabla "Vendedores", no solamente en la tabla "Usuarios".</t>
  </si>
  <si>
    <t>Felipe Duarte - 22/04/25 - 14:54 hs</t>
  </si>
  <si>
    <t>Felipe Duarte - 29/04/25 - 13:55 hs</t>
  </si>
  <si>
    <t>C0142</t>
  </si>
  <si>
    <t>El script que manda los emails con las listas de precios, está funcionando bien para enviarlas por emails. Pero debería hacerse el envio por whatsapp</t>
  </si>
  <si>
    <t>Ticket cancelado</t>
  </si>
  <si>
    <t>Adrian Patriarca - 23/04/25 - 09:42 hs</t>
  </si>
  <si>
    <t>Adrian Patriarca - 30/05/25 - 20:19 hs</t>
  </si>
  <si>
    <t>C0143</t>
  </si>
  <si>
    <t>La aplicación envia email de TAC completo a pesar de que no esté completo. Ver adjunto</t>
  </si>
  <si>
    <t>Se agregó una nueva condición para el bot que dispara los correos de TAC completo.</t>
  </si>
  <si>
    <t>Tickets_Images/C0143.Adjuntos.122727.png</t>
  </si>
  <si>
    <t>Adrian Patriarca - 25/04/25 - 09:27 hs</t>
  </si>
  <si>
    <t>Felipe Duarte - 29/04/25 - 16:09 hs</t>
  </si>
  <si>
    <t>C0144</t>
  </si>
  <si>
    <t>El resumen de los TAC está vacio, en cuanto a información. Ver adjunto</t>
  </si>
  <si>
    <t>Se corrigió el error que generaba el envío de los resúmenes sin datos.</t>
  </si>
  <si>
    <t>Tickets_Images/C0144.Adjuntos.132924.png</t>
  </si>
  <si>
    <t>Adrian Patriarca - 25/04/25 - 10:29 hs</t>
  </si>
  <si>
    <t>Felipe Duarte - 29/04/25 - 13:47 hs</t>
  </si>
  <si>
    <t>c01b32e3</t>
  </si>
  <si>
    <t>C0145</t>
  </si>
  <si>
    <t>ATENCIÓN, el hosting cambio de servidor. Esto quiere decir que no se están actualizando las pantallas. Yo traté de hacerlo andar pero no tengo acceso a la hoja. En el script que busca los datos hay que cambiar: "srv847.hstgr.io:3306" por "srv2020.hstgr.io:3306"</t>
  </si>
  <si>
    <t>Cambie el servidor y acomode de que tabla salian los datos</t>
  </si>
  <si>
    <t>Adrian Patriarca - 25/04/25 - 16:30 hs</t>
  </si>
  <si>
    <t>Renata Morano - 02/05/25 - 08:04 hs</t>
  </si>
  <si>
    <t>PI0024</t>
  </si>
  <si>
    <t>8d77abd8</t>
  </si>
  <si>
    <t>Renovación Licencia API</t>
  </si>
  <si>
    <t>Actualización - API 1 =
Licencia por 1 año
Inicio Mayo 2024 - Fina Mayo 2025
Email: apatriarca.apsol@gmail.com / omegasonido@gmail.com
APIKey= YT7CZMgZVjd3
Link: Use this link: https://api.textmebot.com/addphone.php?apikey=YT7CZMgZVjd3
USUARIO ACTUAL: REFRI</t>
  </si>
  <si>
    <t>No se renueva esta API</t>
  </si>
  <si>
    <t>Jesica Wolf - 28/04/25 - 08:00 hs</t>
  </si>
  <si>
    <t>Adrian Patriarca - 29/04/25 - 10:20 hs</t>
  </si>
  <si>
    <t>C0147</t>
  </si>
  <si>
    <t>Ver el tema de la app en chaco. No ven los clientes</t>
  </si>
  <si>
    <t>Se habilitaron los clientes de Chaco en los perfiles de esa sucursal.</t>
  </si>
  <si>
    <t>Adrian Patriarca - 28/04/25 - 17:28 hs</t>
  </si>
  <si>
    <t>Felipe Duarte - 29/04/25 - 13:53 hs</t>
  </si>
  <si>
    <t>C0148</t>
  </si>
  <si>
    <t>No se pueden bajar facturas desde la app</t>
  </si>
  <si>
    <t>Las facturas se pueden descargar correctamente.</t>
  </si>
  <si>
    <t>Adrian Patriarca - 29/04/25 - 10:26 hs</t>
  </si>
  <si>
    <t>Felipe Duarte - 29/04/25 - 16:10 hs</t>
  </si>
  <si>
    <t>C0149</t>
  </si>
  <si>
    <t>Felipe cuando puedas necesito que te comuniques con Delfina para coordinar una reunión (ella es de calidad) te paso el contacto por Whatsapp. Necesita mejorar la parte de RQI</t>
  </si>
  <si>
    <t>Solamente puede por la mañana (trabaja hasta las 12).</t>
  </si>
  <si>
    <t>Adrian Patriarca - 02/05/25 - 09:31 hs</t>
  </si>
  <si>
    <t>Felipe Duarte - 09/05/25 - 13:30 hs</t>
  </si>
  <si>
    <t>C0150</t>
  </si>
  <si>
    <t>Chequear que funcionen todos los turneros correctamente</t>
  </si>
  <si>
    <t>Estuve toda la semana fijándome y devuelve correctamente los turnos</t>
  </si>
  <si>
    <t>Renata Morano - 02/05/25 - 10:05 hs</t>
  </si>
  <si>
    <t>Renata Morano - 09/05/25 - 09:28 hs</t>
  </si>
  <si>
    <t>C0151</t>
  </si>
  <si>
    <t>Agregar "Negocio" ROAD X (Pedido de Romina).</t>
  </si>
  <si>
    <t>Se agregó el "Negocio" solicitado en el detalle de factura para la categoría "Inversión publicitaria".</t>
  </si>
  <si>
    <t>Felipe Duarte - 05/05/25 - 13:35 hs</t>
  </si>
  <si>
    <t>Felipe Duarte - 05/05/25 - 14:30 hs</t>
  </si>
  <si>
    <t>C0152</t>
  </si>
  <si>
    <t>Descargar reportes no funciona.</t>
  </si>
  <si>
    <t>Se resolvió el problema del script utilizado para descargar el reporte.</t>
  </si>
  <si>
    <t>Felipe Duarte - 05/05/25 - 14:29 hs</t>
  </si>
  <si>
    <t>R0153</t>
  </si>
  <si>
    <t>Armar propuesta en canva para presentar a Gonzalo de Nation MKT</t>
  </si>
  <si>
    <t>Se envió la propuesta pasada en limpio por WhatsApp y se agendó una reunión.</t>
  </si>
  <si>
    <t>Felipe Duarte - 05/05/25 - 13:44 hs</t>
  </si>
  <si>
    <t>Felipe Duarte - 07/05/25 - 13:27 hs</t>
  </si>
  <si>
    <t>C0154</t>
  </si>
  <si>
    <t>Agregar al historial, todas las RQI, no solamente las de las máquinas. (Pedido Mantenimiento)</t>
  </si>
  <si>
    <t>Se agregaron todas las RQI al historial, se puede filtrar por sector o máquina.</t>
  </si>
  <si>
    <t>Felipe Duarte - 05/05/25 - 13:45 hs</t>
  </si>
  <si>
    <t>Felipe Duarte - 05/05/25 - 14:50 hs</t>
  </si>
  <si>
    <t>C0155</t>
  </si>
  <si>
    <t>RQI de RRHH que ya no se muestren a MANTENIMIENTO</t>
  </si>
  <si>
    <t>Se modificó el filtro para que mantenimiento solamente vea los RQI que le corresponden.</t>
  </si>
  <si>
    <t>Felipe Duarte - 05/05/25 - 14:06 hs</t>
  </si>
  <si>
    <t>Felipe Duarte - 05/05/25 - 17:25 hs</t>
  </si>
  <si>
    <t>C0156</t>
  </si>
  <si>
    <t>Ver acción de reprogramar, no aparece la opción de agregar comentario.</t>
  </si>
  <si>
    <t>Se habilitó el campo "Comentario de reprogramación" cada vez que se agenda un RQI o se edita la fecha de realización.</t>
  </si>
  <si>
    <t>Felipe Duarte - 06/05/25 - 13:40 hs</t>
  </si>
  <si>
    <t>Felipe Duarte - 06/05/25 - 16:42 hs</t>
  </si>
  <si>
    <t>C0157</t>
  </si>
  <si>
    <t>Ver pestaña de historial de mantenimiento, sacar las RQI que todavía no fueron autorizadas por el sector Destino.</t>
  </si>
  <si>
    <t>Se modificaron los filtros de los RQI pendientes para que no se muestren en esta categoría los RQI que aún no fueron autorizados.</t>
  </si>
  <si>
    <t>Felipe Duarte - 06/05/25 - 13:41 hs</t>
  </si>
  <si>
    <t>Felipe Duarte - 06/05/25 - 14:24 hs</t>
  </si>
  <si>
    <t>C0158</t>
  </si>
  <si>
    <t>Revisar relación entre Remitos y TACs asociados/Pedidos asociados.</t>
  </si>
  <si>
    <t>Se revisó la relación entre los remitos y los TACs/Pedidos.</t>
  </si>
  <si>
    <t>Felipe Duarte - 09/05/25 - 18:59 hs</t>
  </si>
  <si>
    <t>Felipe Duarte - 13/05/25 - 14:04 hs</t>
  </si>
  <si>
    <t>C0159</t>
  </si>
  <si>
    <t>Revisar actualización de tablero.</t>
  </si>
  <si>
    <t>Se resolvió un problema en la base de datos (BigQuery).</t>
  </si>
  <si>
    <t>PI0037</t>
  </si>
  <si>
    <t>fda9ebdf</t>
  </si>
  <si>
    <t>Hacer Backup de todos los tableros de control</t>
  </si>
  <si>
    <t>Revisión General - Hacer Backup de todos los tableros de control</t>
  </si>
  <si>
    <t>Mateo Courault - 08/04/26 - 08:00 hs</t>
  </si>
  <si>
    <t>C0161</t>
  </si>
  <si>
    <t>Generar un perfil nuevo de solo lectura para el e-mail mlaura.dediego@nation.com.ar (Maria Laura)</t>
  </si>
  <si>
    <t>Se agregó el usuario mlaura.dediego@nation.com.ar al la app, puede ver todos los módulos pero no puede realizar ninguna acción.</t>
  </si>
  <si>
    <t>Adrian Patriarca - 21/05/25 - 12:22 hs</t>
  </si>
  <si>
    <t>Felipe Duarte - 23/05/25 - 13:41 hs</t>
  </si>
  <si>
    <t>PI0025</t>
  </si>
  <si>
    <t>22235f20</t>
  </si>
  <si>
    <t>Actualización - API 2 =
Licencia por 1 año
Inicio Junio 2024 - Finaliza Junio 2025
Email: contacto@apsol.com.ar
APIKey=  jgss8qR6toXU
Link: Use this link:  https://api.textmebot.com/addphone.php?apikey=jgss8qR6toXU
USUARIO ACTUAL: DG SANTA FE</t>
  </si>
  <si>
    <t>Pasamos a Evolution API</t>
  </si>
  <si>
    <t>Jesica Wolf - 26/05/25 - 08:00 hs</t>
  </si>
  <si>
    <t>Adrian Patriarca - 28/05/25 - 10:42 hs</t>
  </si>
  <si>
    <t>C0163</t>
  </si>
  <si>
    <t>En la página "Historial Mantenimiento" agregar los RQI no autorizados o cancelados.</t>
  </si>
  <si>
    <t>Se agregaron los estados, "no autorizado" y "cancelado" en el historial de mantenimiento.</t>
  </si>
  <si>
    <t>Felipe Duarte - 26/05/25 - 15:10 hs</t>
  </si>
  <si>
    <t>Felipe Duarte - 02/06/25 - 14:59 hs</t>
  </si>
  <si>
    <t>C0164</t>
  </si>
  <si>
    <t>Felipe, necesitamos cambiar todo lo que es el envio de mensajes de whatsapp pasamos de TextmeBot a Evolution API. Te dejo un video para que mires. No es complicado</t>
  </si>
  <si>
    <t>Vamos con la app nueva</t>
  </si>
  <si>
    <t>Tickets_Files_/C0164.Adjuntos.134235.mp4</t>
  </si>
  <si>
    <t>Adrian Patriarca - 14/08/25 - 15:34 hs</t>
  </si>
  <si>
    <t>C0165</t>
  </si>
  <si>
    <t>Revisar indicadores de calidad según planilla de Cristian. Agregar el nuevo desvío como no productivo.</t>
  </si>
  <si>
    <t>Se realizó el control correspondiente y se detectaron las diferencias entre el tablero y la planilla. Se envió informe por email.</t>
  </si>
  <si>
    <t>Felipe Duarte - 02/06/25 - 13:43 hs</t>
  </si>
  <si>
    <t>Felipe Duarte - 04/06/25 - 13:26 hs</t>
  </si>
  <si>
    <t>C0166</t>
  </si>
  <si>
    <t>Ver índice de rotación + explicación</t>
  </si>
  <si>
    <t>Se realizaron las modificaciones correspondientes y se envió un video explicativo a Gustavo.</t>
  </si>
  <si>
    <t>Felipe Duarte - 02/06/25 - 13:44 hs</t>
  </si>
  <si>
    <t>Felipe Duarte - 03/06/25 - 13:23 hs</t>
  </si>
  <si>
    <t>C0167</t>
  </si>
  <si>
    <t>Realizar ajuste de stock según el último control realizado.</t>
  </si>
  <si>
    <t>Se realizó el ajuste de stock de las bobinas correspondientes comparando con el stock real al 30/05.</t>
  </si>
  <si>
    <t>Tickets_Files_/C0167.Adjuntos.162656.xlsx</t>
  </si>
  <si>
    <t>Felipe Duarte - 09/06/25 - 15:02 hs</t>
  </si>
  <si>
    <t>C0168</t>
  </si>
  <si>
    <t>Agregar los filtros que faltan en el módulo de campañas.</t>
  </si>
  <si>
    <t>Se agregaron los filtros faltantes en el módulo de campañas  (Canal, Medio, Equipo, Modelo, Programa, Clasificación)</t>
  </si>
  <si>
    <t>Felipe Duarte - 04/06/25 - 13:30 hs</t>
  </si>
  <si>
    <t>Felipe Duarte - 04/06/25 - 15:56 hs</t>
  </si>
  <si>
    <t>C0169</t>
  </si>
  <si>
    <t>Revisar carga de archivos.</t>
  </si>
  <si>
    <t>Resuelta la carga de archivos para alimentar el tablero (problema con el formato del Excel).</t>
  </si>
  <si>
    <t>Felipe Duarte - 04/06/25 - 15:31 hs</t>
  </si>
  <si>
    <t>Felipe Duarte - 11/06/25 - 14:49 hs</t>
  </si>
  <si>
    <t>C0170</t>
  </si>
  <si>
    <t>Agregar cantidad vendida Giagnoni en el Tablero de Chaco (igual que el de Santa Fe).</t>
  </si>
  <si>
    <t>Se agregó la nueva columna solicitada</t>
  </si>
  <si>
    <t>Felipe Duarte - 04/06/25 - 18:07 hs</t>
  </si>
  <si>
    <t>Felipe Duarte - 23/06/25 - 15:51 hs</t>
  </si>
  <si>
    <t>C0171</t>
  </si>
  <si>
    <t>Las query no estan arrogando datos</t>
  </si>
  <si>
    <t>El script funciona correctamente. Ver audio enviado a Renata el día 25/06</t>
  </si>
  <si>
    <t>Renata Morano - 06/06/25 - 09:02 hs</t>
  </si>
  <si>
    <t>Adrian Patriarca - 25/06/25 - 13:45 hs</t>
  </si>
  <si>
    <t>C0172</t>
  </si>
  <si>
    <t>Agregar datos de un mes completo</t>
  </si>
  <si>
    <t>Se agregaron los datos del mes de enero de 2025 de los medios digital, radio y TV.</t>
  </si>
  <si>
    <t>Felipe Duarte - 09/06/25 - 14:31 hs</t>
  </si>
  <si>
    <t>Felipe Duarte - 11/06/25 - 14:18 hs</t>
  </si>
  <si>
    <t>C0173</t>
  </si>
  <si>
    <t>Que la valorizacion ($) de la materia prima, tambien este calculado (con el tiempo variable como ahora esta que esta muy bien) en relación a los kg consumidos y de promedio de stock.</t>
  </si>
  <si>
    <t>Se realizó el cambio solicitado.</t>
  </si>
  <si>
    <t>Felipe Duarte - 09/06/25 - 15:01 hs</t>
  </si>
  <si>
    <t>Felipe Duarte - 12/06/25 - 18:50 hs</t>
  </si>
  <si>
    <t>C0174</t>
  </si>
  <si>
    <t>Ver inversión META, en la app están cargadas las facturas y en el tablero no figuran.</t>
  </si>
  <si>
    <t>Se revisó el error de actualización que no mostraba las facturas indicadas (GOOGLE, MAYO), la actualización automática se había desactivado por un valor duplicado en la tabla "Área o sector" donde los datos de la app  se combinan con la antigua planilla de Gestión 2023 MKT, lo que generó el error antes mencionado.</t>
  </si>
  <si>
    <t>Felipe Duarte - 17/06/25 - 13:25 hs</t>
  </si>
  <si>
    <t>Felipe Duarte - 17/06/25 - 14:15 hs</t>
  </si>
  <si>
    <t>C0175</t>
  </si>
  <si>
    <t>No deja editar el recibido en un TAC.</t>
  </si>
  <si>
    <t>Se resolvió el problema editando el TAC.</t>
  </si>
  <si>
    <t>Felipe Duarte - 26/06/25 - 18:02 hs</t>
  </si>
  <si>
    <t>Felipe Duarte - 26/06/25 - 18:23 hs</t>
  </si>
  <si>
    <t>C0176</t>
  </si>
  <si>
    <t>Revisar indicador de productividad, ya que arroja un porcentaje superior al 100% y ninguna de las máquinas supera ese porcentaje individualmente.</t>
  </si>
  <si>
    <t>Se modificó el cálculo de productividad para que solamente considere el cumplimiento de los objetivos de las máquinas que estuvieron activas en el periodo seleccionado.</t>
  </si>
  <si>
    <t>Tickets_Images/C0176.Adjuntos.163601.jpg</t>
  </si>
  <si>
    <t>Felipe Duarte - 07/07/25 - 13:36 hs</t>
  </si>
  <si>
    <t>Felipe Duarte - 10/07/25 - 13:38 hs</t>
  </si>
  <si>
    <t>C0177</t>
  </si>
  <si>
    <t>Ver agrupación por año de las facturas (audio de Gonzalo 18/07)</t>
  </si>
  <si>
    <t>En la app las facturas  ya están agrupadas por año.</t>
  </si>
  <si>
    <t>Felipe Duarte - 18/07/25 - 13:48 hs</t>
  </si>
  <si>
    <t>Felipe Duarte - 13/08/25 - 13:27 hs</t>
  </si>
  <si>
    <t>C0178</t>
  </si>
  <si>
    <t>Historial con Script</t>
  </si>
  <si>
    <t>Nation, resuelto y hablado con Juan.</t>
  </si>
  <si>
    <t>Felipe Duarte - 21/07/25 - 18:20 hs</t>
  </si>
  <si>
    <t>Felipe Duarte - 24/07/25 - 18:36 hs</t>
  </si>
  <si>
    <t>C0179</t>
  </si>
  <si>
    <t>Ver saldo de clientes en el total y por zona.</t>
  </si>
  <si>
    <t>Se realizó una modificación en la fórmula para considerar el saldo por zona.</t>
  </si>
  <si>
    <t>Felipe Duarte - 23/07/25 - 13:37 hs</t>
  </si>
  <si>
    <t>Felipe Duarte - 24/07/25 - 18:35 hs</t>
  </si>
  <si>
    <t>PI0038</t>
  </si>
  <si>
    <t>ee4b33aa</t>
  </si>
  <si>
    <t>Pantalla turnos Natión</t>
  </si>
  <si>
    <t>Revisión de funcionamiento - Revisar el funcionamiento de todas las pantallas de turnos.</t>
  </si>
  <si>
    <t xml:space="preserve">  - 19/04/26 - 08:00 hs</t>
  </si>
  <si>
    <t>C0181</t>
  </si>
  <si>
    <t>Ver calidad de fotos en la app.</t>
  </si>
  <si>
    <t>Se estableció la máxima calidad en las imágenes para que se vean correctamente en la versión de escritorio.</t>
  </si>
  <si>
    <t>Felipe Duarte - 28/07/25 - 13:29 hs</t>
  </si>
  <si>
    <t>Felipe Duarte - 29/07/25 - 13:48 hs</t>
  </si>
  <si>
    <t>C0182</t>
  </si>
  <si>
    <t>Actualización de clientes</t>
  </si>
  <si>
    <t>Se modificó el script para que recorra la base de datos por bloques.</t>
  </si>
  <si>
    <t>Felipe Duarte - 13/08/25 - 15:46 hs</t>
  </si>
  <si>
    <t>C0183</t>
  </si>
  <si>
    <t>Nuevo desvío no productivo</t>
  </si>
  <si>
    <t>Se agregó el desvío como no productivo.</t>
  </si>
  <si>
    <t>Tickets_Images/C0183.Adjuntos.163037.jpg</t>
  </si>
  <si>
    <t>Felipe Duarte - 28/07/25 - 13:30 hs</t>
  </si>
  <si>
    <t>Felipe Duarte - 28/07/25 - 18:46 hs</t>
  </si>
  <si>
    <t>C0184</t>
  </si>
  <si>
    <t>Ver tabla de etiquetas compartida con RFID.</t>
  </si>
  <si>
    <t>Se actualizó el script de generación de la tabla de etiquetas.</t>
  </si>
  <si>
    <t>Felipe Duarte - 30/07/25 - 13:29 hs</t>
  </si>
  <si>
    <t>Felipe Duarte - 31/07/25 - 18:43 hs</t>
  </si>
  <si>
    <t>C0185</t>
  </si>
  <si>
    <t>Agregar clasificación mayorista/minorsita en hoja 4.</t>
  </si>
  <si>
    <t>Se agregó la clasificación en ambos tableros, DG y DG Chaco.</t>
  </si>
  <si>
    <t>Felipe Duarte - 31/07/25 - 18:44 hs</t>
  </si>
  <si>
    <t>Felipe Duarte - 04/08/25 - 14:38 hs</t>
  </si>
  <si>
    <t>C0186</t>
  </si>
  <si>
    <t>Revisar, última actualización 21/07.</t>
  </si>
  <si>
    <t>Se solucionó un problema con la tabla Costos MP que no permitía actualizar el tablero.</t>
  </si>
  <si>
    <t>Felipe Duarte - 01/08/25 - 13:36 hs</t>
  </si>
  <si>
    <t>Felipe Duarte - 05/08/25 - 13:21 hs</t>
  </si>
  <si>
    <t>C0187</t>
  </si>
  <si>
    <t>Desvío no productivo - PRUEBA - NUEVAS MEDIDAS</t>
  </si>
  <si>
    <t>Se actualizó el color del desvío productivo.</t>
  </si>
  <si>
    <t>Felipe Duarte - 01/08/25 - 13:40 hs</t>
  </si>
  <si>
    <t>Felipe Duarte - 01/08/25 - 14:53 hs</t>
  </si>
  <si>
    <t>C0188</t>
  </si>
  <si>
    <t>Última actualización 04/08 16 hs.</t>
  </si>
  <si>
    <t>Se actualizó el tablero.</t>
  </si>
  <si>
    <t>Felipe Duarte - 05/08/25 - 14:35 hs</t>
  </si>
  <si>
    <t>C0189</t>
  </si>
  <si>
    <t>Agregar tres estados a las acciones del plan de acción de una NC, pendiente, en proceso o finalizado.</t>
  </si>
  <si>
    <t>Se agregaron los tres estados solicitados, los mismos se podrán editar mediante el botón "Habilitar edición" del plan de acción.</t>
  </si>
  <si>
    <t>Felipe Duarte - 05/08/25 - 13:22 hs</t>
  </si>
  <si>
    <t>Felipe Duarte - 13/08/25 - 15:45 hs</t>
  </si>
  <si>
    <t>PI0032</t>
  </si>
  <si>
    <t>65f5e48d</t>
  </si>
  <si>
    <t>Renovación licencia Appsheet</t>
  </si>
  <si>
    <t>Actualización - Renovación licencia Appsheet</t>
  </si>
  <si>
    <t>Jesica Wolf - 14/02/26 - 08:00 hs</t>
  </si>
  <si>
    <t>PI0033</t>
  </si>
  <si>
    <t>df8d61a9</t>
  </si>
  <si>
    <t>Jesica Wolf - 10/08/25 - 08:00 hs</t>
  </si>
  <si>
    <t>Adrian Patriarca - 18/08/25 - 23:11 hs</t>
  </si>
  <si>
    <t>PI0034</t>
  </si>
  <si>
    <t>df5c8cef</t>
  </si>
  <si>
    <t>PI0035</t>
  </si>
  <si>
    <t>dc0a0e77</t>
  </si>
  <si>
    <t>PI0036</t>
  </si>
  <si>
    <t>20e560a6</t>
  </si>
  <si>
    <t>C0195</t>
  </si>
  <si>
    <t>Eliminar remitos duplicados</t>
  </si>
  <si>
    <t>Se agregó una función al final para eliminar los duplicados teniendo en cuenta las columnas Cód. Pieza // Factura Int. 2 // Cant. Despachada</t>
  </si>
  <si>
    <t>Felipe Duarte - 12/08/25 - 13:50 hs</t>
  </si>
  <si>
    <t>Felipe Duarte - 19/08/25 - 18:42 hs</t>
  </si>
  <si>
    <t>C0196</t>
  </si>
  <si>
    <t>Solicitud de mejora segun email melisa fecha: 13/08/2025. Lo que está marcado en Rojo</t>
  </si>
  <si>
    <t>Realice las mejoras y le avise a Melissa</t>
  </si>
  <si>
    <t>Adrian Patriarca - 13/08/25 - 12:42 hs</t>
  </si>
  <si>
    <t>Renata Morano - 20/08/25 - 09:14 hs</t>
  </si>
  <si>
    <t>C0197</t>
  </si>
  <si>
    <t>Modificar Productividad en Tarjeta de las pestañas "Disponibilidad general" y "OEE productividad".</t>
  </si>
  <si>
    <t>Se revisaron los datos y se actualizó el tablero. Reunión semana del 18/08 con Cristian.</t>
  </si>
  <si>
    <t>Felipe Duarte - 14/08/25 - 13:31 hs</t>
  </si>
  <si>
    <t>Felipe Duarte - 14/08/25 - 14:35 hs</t>
  </si>
  <si>
    <t>C0198</t>
  </si>
  <si>
    <t>Ajustes stock</t>
  </si>
  <si>
    <t>Realizados los ajustes al 30/09</t>
  </si>
  <si>
    <t>Tickets_Files_/C0198.Adjuntos.163909.xlsx</t>
  </si>
  <si>
    <t>Felipe Duarte - 18/08/25 - 13:39 hs</t>
  </si>
  <si>
    <t>Felipe Duarte - 30/09/25 - 18:37 hs</t>
  </si>
  <si>
    <t>C0199</t>
  </si>
  <si>
    <t>El tablero no se actualiza, detectado por un preventivo</t>
  </si>
  <si>
    <t>Renata Morano - 20/08/25 - 13:26 hs</t>
  </si>
  <si>
    <t>Adrian Patriarca - 14/10/25 - 14:40 hs</t>
  </si>
  <si>
    <t>PI0039</t>
  </si>
  <si>
    <t>00c11471</t>
  </si>
  <si>
    <t>Revisión App Nation Postventa. Revisar Performance.</t>
  </si>
  <si>
    <t>Revisión General - En este servicio de mantenimiento la idea es que revises que tal la performance de la app en la carga como en otras operaciones. y que tal está siendo el uso. Si es necesario consultar si hay algun problema que esten necesitando resolver</t>
  </si>
  <si>
    <t>Mateo Courault - 28/03/26 - 08:00 hs</t>
  </si>
  <si>
    <t>C0201</t>
  </si>
  <si>
    <t>Mail de Melissa</t>
  </si>
  <si>
    <t>Realice completamente todas las mejoras</t>
  </si>
  <si>
    <t>Renata Morano - 27/08/25 - 11:49 hs</t>
  </si>
  <si>
    <t>Renata Morano - 09/09/25 - 09:40 hs</t>
  </si>
  <si>
    <t>C0202</t>
  </si>
  <si>
    <t>Verificar el cálculo de la productividad según</t>
  </si>
  <si>
    <t>Se modificó el cálculo de la productividad en base a las horas operativas (horas en las que efectivamente la máquina estuvo encendida), anteriormente estas horas eran 9 horas por día hábil (jornada laboral).</t>
  </si>
  <si>
    <t>Felipe Duarte - 27/08/25 - 19:02 hs</t>
  </si>
  <si>
    <t>Felipe Duarte - 28/08/25 - 17:16 hs</t>
  </si>
  <si>
    <t>C0203</t>
  </si>
  <si>
    <t>Felipe lo que tenemos que hacer es darle a Juan un carpeta de drive donde colocar los archivos de ML para reemplazar el microsoft sharepoint. para eso una vez colocadas los archivos a drive devería cargarse todo en una hoja de calculo de google y de ahi a bigquery y que se actualicen el tablero con bigquery. COnsultame antes de hacerlo. El objetivo es dejar de usar sharepoint</t>
  </si>
  <si>
    <t>Última actualización correcta: 3/11/2025, 13:06:29</t>
  </si>
  <si>
    <t>Adrian Patriarca - 29/08/25 - 22:35 hs</t>
  </si>
  <si>
    <t>Felipe Duarte - 03/11/25 - 13:38 hs</t>
  </si>
  <si>
    <t>PI0040</t>
  </si>
  <si>
    <t>4ca095da</t>
  </si>
  <si>
    <t>Renovar Nick</t>
  </si>
  <si>
    <t>Actualización - Renovar pagina web</t>
  </si>
  <si>
    <t>Hasta 2026</t>
  </si>
  <si>
    <t>Jesica Wolf - 01/09/25 - 08:00 hs</t>
  </si>
  <si>
    <t>Adrian Patriarca - 21/11/25 - 12:49 hs</t>
  </si>
  <si>
    <t>R0205</t>
  </si>
  <si>
    <t>Organizar reunión</t>
  </si>
  <si>
    <t>Mensaje enviado</t>
  </si>
  <si>
    <t>Felipe Duarte - 12/09/25 - 17:49 hs</t>
  </si>
  <si>
    <t>Felipe Duarte - 15/09/25 - 15:24 hs</t>
  </si>
  <si>
    <t>R0206</t>
  </si>
  <si>
    <t>Seguimiento de nueva función en cotizador</t>
  </si>
  <si>
    <t>Me contacté con Ezequiel y anoté las observaciones en el sprint varios</t>
  </si>
  <si>
    <t>Felipe Duarte - 19/11/25 - 16:30 hs</t>
  </si>
  <si>
    <t>Felipe Duarte - 21/11/25 - 13:29 hs</t>
  </si>
  <si>
    <t>PI0027</t>
  </si>
  <si>
    <t>c9675f2f</t>
  </si>
  <si>
    <t>Actualización - API 4 =
Licencia por 1 año
Inicio 15/12/2024 - Finaliza 15/12/2025
Email:  contacto@apsol.com.ar
APIKey=  xoF6EUkK31se
Link: Use this link:  https://api.textmebot.com/addphone.php?apikey=xoF6EUkK31se
USUARIO ACTUAL: APSOL</t>
  </si>
  <si>
    <t>Estas Apis No se usan mas</t>
  </si>
  <si>
    <t>Jesica Wolf - 01/12/25 - 08:00 hs</t>
  </si>
  <si>
    <t>Adrian Patriarca - 15/01/26 - 14:28 hs</t>
  </si>
  <si>
    <t>C0208</t>
  </si>
  <si>
    <t>Documentar los flujos de N8N tanto en cada nodo como el funcionamiento del flujo en general. Todo dentro del propio flujo</t>
  </si>
  <si>
    <t>Documente tanto OTRV como ATC</t>
  </si>
  <si>
    <t>Adrian Patriarca - 30/12/25 - 16:15 hs</t>
  </si>
  <si>
    <t>Renata Morano - 06/01/26 - 14:38 hs</t>
  </si>
  <si>
    <t>PI0030</t>
  </si>
  <si>
    <t>3df2598c</t>
  </si>
  <si>
    <t>Renovación de licencia API</t>
  </si>
  <si>
    <t>Actualización - Renovación de licencia</t>
  </si>
  <si>
    <t>No se usan mas estas Apis</t>
  </si>
  <si>
    <t>Jesica Wolf - 31/12/25 - 08:00 hs</t>
  </si>
  <si>
    <t>PI0029</t>
  </si>
  <si>
    <t>f081f06f</t>
  </si>
  <si>
    <t>Renovación licencia API</t>
  </si>
  <si>
    <t>Actualización - Renovación licencia</t>
  </si>
  <si>
    <t>No se usan mas estas APIS</t>
  </si>
  <si>
    <t>Jesica Wolf - 01/01/26 - 08:00 hs</t>
  </si>
  <si>
    <t>C0211</t>
  </si>
  <si>
    <t>No se pueden descargar facturas. Modulo facturas no anda. Hice solución provisoria en tus vacaciones. Adjunto video</t>
  </si>
  <si>
    <t>Se solucionó el problema con el link de las facturas.</t>
  </si>
  <si>
    <t>Tickets_Files_/C0211.Adjuntos.160911.mp4</t>
  </si>
  <si>
    <t>Adrian Patriarca - 13/01/26 - 13:08 hs</t>
  </si>
  <si>
    <t>Felipe Duarte - 21/01/26 - 15:58 hs</t>
  </si>
  <si>
    <t>C0212</t>
  </si>
  <si>
    <t>Error en planilla FCU y FAM</t>
  </si>
  <si>
    <t>No era un error de duplicación, las planillas están cargadas así, se repite el sector pero porque hay dos o más tareas</t>
  </si>
  <si>
    <t>Felipe Duarte - 19/01/26 - 13:39 hs</t>
  </si>
  <si>
    <t>Felipe Duarte - 19/01/26 - 16:59 hs</t>
  </si>
  <si>
    <t>C0213</t>
  </si>
  <si>
    <t>Pedido de modificaciones de Delfina Fanetti (Auxiliar de calidad) - Ver en OneNote Pedidos 05/01/2026</t>
  </si>
  <si>
    <t>Se agregaron las notificaciones que pidió Delfina.</t>
  </si>
  <si>
    <t>Felipe Duarte - 19/01/26 - 13:44 hs</t>
  </si>
  <si>
    <t>Felipe Duarte - 30/01/26 - 13:37 hs</t>
  </si>
  <si>
    <t>C0214</t>
  </si>
  <si>
    <t>Cálculo de Productividad de Bolsas de 1º.</t>
  </si>
  <si>
    <t>Se modificó el cálculo con bolsas que solamente cuentan como PF (producto final) es decir las que corresponden a las 4 fonderas.</t>
  </si>
  <si>
    <t>Felipe Duarte - 19/01/26 - 18:20 hs</t>
  </si>
  <si>
    <t>Felipe Duarte - 20/01/26 - 16:32 hs</t>
  </si>
  <si>
    <t>C0215</t>
  </si>
  <si>
    <t>RQI que realizan los supervisores sin maquinista.</t>
  </si>
  <si>
    <t>Se resolvió el ticket habilitando solo el campo maquinista cuando el usuario es una máquina y los supervisores puede hacer un RQI "a nombre de" una máquina, pero el nombre queda como quien lo editó.</t>
  </si>
  <si>
    <t>Felipe Duarte - 19/01/26 - 18:21 hs</t>
  </si>
  <si>
    <t>Felipe Duarte - 20/01/26 - 15:52 hs</t>
  </si>
  <si>
    <t>PI0041</t>
  </si>
  <si>
    <t>acca1092</t>
  </si>
  <si>
    <t>Revisión General - Hacer Backups de todas las Apps</t>
  </si>
  <si>
    <t>Jesica Wolf - 25/01/26 - 20:20 hs</t>
  </si>
  <si>
    <t>C0217</t>
  </si>
  <si>
    <t>Ver indicador de calidad, validar con scarp compartido por Cristian.</t>
  </si>
  <si>
    <t>Luego de la actualización el valor se corrigió</t>
  </si>
  <si>
    <t>Felipe Duarte - 26/01/26 - 13:38 hs</t>
  </si>
  <si>
    <t>Felipe Duarte - 26/01/26 - 18:32 hs</t>
  </si>
  <si>
    <t>C0218</t>
  </si>
  <si>
    <t>Trabajo en estado "4. Finalizado" y "VISITA NO FINALIZADA"</t>
  </si>
  <si>
    <t>Se corrigió el error del estado "VISITA FINALIZADA"</t>
  </si>
  <si>
    <t>Felipe Duarte - 26/01/26 - 13:40 hs</t>
  </si>
  <si>
    <t>Felipe Duarte - 26/01/26 - 15:09 hs</t>
  </si>
  <si>
    <t>C0219</t>
  </si>
  <si>
    <t>Pago no registrado (ver foto Vale 26/01)</t>
  </si>
  <si>
    <t>Solucionado, al igual que los gastos, se puede guardar un pago a un técnico que no necesariamente haya participado de la visita.</t>
  </si>
  <si>
    <t>Felipe Duarte - 27/01/26 - 13:41 hs</t>
  </si>
  <si>
    <t>Felipe Duarte - 28/01/26 - 13:36 hs</t>
  </si>
  <si>
    <t>C0220</t>
  </si>
  <si>
    <t>Tablero de producción muestra únicamente datos de tres máquinas</t>
  </si>
  <si>
    <t>Resuelto viernes 30/01</t>
  </si>
  <si>
    <t>Felipe Duarte - 03/02/26 - 14:11 hs</t>
  </si>
  <si>
    <t>C0221</t>
  </si>
  <si>
    <t>Felipe necesito que te fijes porque el tablero de inversión publicitaria no se actualiza, o mejor dicho se actualiza pero no estan los datos de enero. Entiendo que el tablero se actualiza segun lo que cargan en la App me parece que el problema viene por el lado de bigquery. VER</t>
  </si>
  <si>
    <t>Efectivamente era un problema de Power Query: [Implementation="2.0"]</t>
  </si>
  <si>
    <t>Tickets_Images/C0221.Adjuntos.042545.png</t>
  </si>
  <si>
    <t>Adrian Patriarca - 07/02/26 - 01:25 hs</t>
  </si>
  <si>
    <t>Felipe Duarte - 11/02/26 - 15:17 hs</t>
  </si>
  <si>
    <t>C0222</t>
  </si>
  <si>
    <t>Felipe, hay tableros que ya no se pueden actualizar mas para lo que es natión Marketing porque al irse Gonzalo borro algunas fuentes de datos, Identifiquemos cuales son los Tableros que realmente sirven y se pueden actualizar como asi tambien lo s que hay que borrar. INFORMAME ESTO SIN FALTA ASI ACTUALIZO LA PAGINA. por otro lado, deja andando correctamente los tableros que se pueden actualizar</t>
  </si>
  <si>
    <t>Performance Publicitaria borrar de la página de APSOL, los demás, en funcionamiento</t>
  </si>
  <si>
    <t>Adrian Patriarca - 07/02/26 - 01:29 hs</t>
  </si>
  <si>
    <t>Felipe Duarte - 11/02/26 - 16:23 hs</t>
  </si>
  <si>
    <t>C0223</t>
  </si>
  <si>
    <t>El tablero muestra datos de diciembre 25 y enero 26, ver si está el histórico</t>
  </si>
  <si>
    <t>Se resolvió el problema con la columna "Fecha en camino" distintito formato entre lo histórico (recupeardo de SharePoint) y lo nuevo (cargado en Drive).</t>
  </si>
  <si>
    <t>Tickets_Images/C0223.Adjuntos.171008.jpg</t>
  </si>
  <si>
    <t>Felipe Duarte - 10/02/26 - 14:10 hs</t>
  </si>
  <si>
    <t>Felipe Duarte - 11/02/26 - 16:41 hs</t>
  </si>
  <si>
    <t>C0224</t>
  </si>
  <si>
    <t>Agregar para de planta en febrero 01/02 al 17/02, todas las máquinas excepto trabajos manuales.</t>
  </si>
  <si>
    <t>Resuelto de manera similar a la baja de una máquina por estado INACTIVA.</t>
  </si>
  <si>
    <t>Felipe Duarte - 26/02/26 - 17:08 hs</t>
  </si>
  <si>
    <t>Felipe Duarte - 10/03/26 - 18:01 hs</t>
  </si>
  <si>
    <t>C0225</t>
  </si>
  <si>
    <t>Que la columna estado refleje el estado de la columna virtual (igual que la app de Escobar)</t>
  </si>
  <si>
    <t>Felipe Duarte - 10/03/26 - 15:04 hs</t>
  </si>
  <si>
    <t>C0226</t>
  </si>
  <si>
    <t>Una vez que se genera la NC, el receptor no puede responderla.</t>
  </si>
  <si>
    <t>Se modificaron las acciones respectivas (Procesar deshabilitada y Acciones de contigencia habilitada para pasar la NC al estado 2. En proceso)</t>
  </si>
  <si>
    <t>Felipe Duarte - 11/03/26 - 15:02 hs</t>
  </si>
  <si>
    <t>Felipe Duarte - 17/03/26 - 15:55 hs</t>
  </si>
  <si>
    <t>C0227</t>
  </si>
  <si>
    <t>Mensajes recordatorios no están funcionando. Revisar</t>
  </si>
  <si>
    <t>Felipe Duarte - 17/03/26 - 14:08 hs</t>
  </si>
  <si>
    <t>C0228</t>
  </si>
  <si>
    <t>Tópicos NTFY enviar a Cristian y Adrian</t>
  </si>
  <si>
    <t>Ya resuelto</t>
  </si>
  <si>
    <t>Felipe Duarte - 18/03/26 - 14:03 hs</t>
  </si>
  <si>
    <t>Felipe Duarte - 18/03/26 - 14:44 hs</t>
  </si>
  <si>
    <t>ID Mantenimiento</t>
  </si>
  <si>
    <t>ID proyecto</t>
  </si>
  <si>
    <t>Nombre Preventivo</t>
  </si>
  <si>
    <t>Proxima realización</t>
  </si>
  <si>
    <t>Frecuencia</t>
  </si>
  <si>
    <t>Tipo de mantenimiento</t>
  </si>
  <si>
    <t>Ultima realización</t>
  </si>
  <si>
    <t>Revisión de funcionamiento</t>
  </si>
  <si>
    <t>Revisar el funcionamiento - Principalmente sincronización</t>
  </si>
  <si>
    <t>Revisar si las actualizaciones se estan dando correctamente</t>
  </si>
  <si>
    <t>Actualización</t>
  </si>
  <si>
    <t>Revisión General</t>
  </si>
  <si>
    <t>Revisar el funcionamiento de todas las pantallas de turnos.</t>
  </si>
  <si>
    <t>Revisar el funcionamiento de todas las pantallas. es decir que esté mostrando todos los turnos</t>
  </si>
  <si>
    <t>En este servicio de mantenimiento la idea es que revises que tal la performance de la app en la carga como en otras operaciones. y que tal está siendo el uso. Si es necesario consultar si hay algun problema que esten necesitando resolver</t>
  </si>
  <si>
    <t>Renovar pagina web</t>
  </si>
  <si>
    <t>Hacer Backups de todas las Apps</t>
  </si>
  <si>
    <t>Listado de apps en: https://docs.google.com/spreadsheets/d/1PCl9OqBSxjFVymI5Jv68MQQFdi3m-G0DKNE2QLFgkyE/edit?gid=1620100889#gid=1620100889</t>
  </si>
  <si>
    <t>Id Pago</t>
  </si>
  <si>
    <t>Id facturación</t>
  </si>
  <si>
    <t>Pago</t>
  </si>
  <si>
    <t>Observaciones</t>
  </si>
  <si>
    <t>f044a90c</t>
  </si>
  <si>
    <t>ea6cdbc2</t>
  </si>
  <si>
    <t>Nose bien si es de refri, apareció en la cuenta de BNA. Supongo que si. Confirmar</t>
  </si>
  <si>
    <t>aa9ab558</t>
  </si>
  <si>
    <t>Adaptación</t>
  </si>
  <si>
    <t>9cfacd6f</t>
  </si>
  <si>
    <t>55e7130a</t>
  </si>
  <si>
    <t>344a3739</t>
  </si>
  <si>
    <t>b21ad621</t>
  </si>
  <si>
    <t>dc6fc017</t>
  </si>
  <si>
    <t>c662f70e</t>
  </si>
  <si>
    <t>63a1c5e7</t>
  </si>
  <si>
    <t>06dbff3e</t>
  </si>
  <si>
    <t>8af89fd1</t>
  </si>
  <si>
    <t>246ae70d</t>
  </si>
  <si>
    <t>804b3f3a</t>
  </si>
  <si>
    <t>336141d6</t>
  </si>
  <si>
    <t>8495a758</t>
  </si>
  <si>
    <t>38fe6b78</t>
  </si>
  <si>
    <t>970f7caa</t>
  </si>
  <si>
    <t>44a1c19e</t>
  </si>
  <si>
    <t>89974ef9</t>
  </si>
  <si>
    <t>480ff28f</t>
  </si>
  <si>
    <t>b10a314f</t>
  </si>
  <si>
    <t>576b7347</t>
  </si>
  <si>
    <t>d0b0813f</t>
  </si>
  <si>
    <t>090e2f50</t>
  </si>
  <si>
    <t>c0d663c9</t>
  </si>
  <si>
    <t>0b7d1bdb</t>
  </si>
  <si>
    <t>dd0358eb</t>
  </si>
  <si>
    <t>6b6a3acf</t>
  </si>
  <si>
    <t>7026910a</t>
  </si>
  <si>
    <t>207b0068</t>
  </si>
  <si>
    <t>aa419e00</t>
  </si>
  <si>
    <t>85eb64dd</t>
  </si>
  <si>
    <t>dd92112e</t>
  </si>
  <si>
    <t>9e26affb</t>
  </si>
  <si>
    <t>3b757618</t>
  </si>
  <si>
    <t>ff278175</t>
  </si>
  <si>
    <t>a1e29884</t>
  </si>
  <si>
    <t>5289c7a5</t>
  </si>
  <si>
    <t>f47afc5e</t>
  </si>
  <si>
    <t>f333e963</t>
  </si>
  <si>
    <t>38e522af</t>
  </si>
  <si>
    <t>de9ee6dc</t>
  </si>
  <si>
    <t>cbb64f76</t>
  </si>
  <si>
    <t>b93f06d4</t>
  </si>
  <si>
    <t>572c1cf0</t>
  </si>
  <si>
    <t>0738db9e</t>
  </si>
  <si>
    <t>a545d2ca</t>
  </si>
  <si>
    <t>62074056</t>
  </si>
  <si>
    <t>9e98f27a</t>
  </si>
  <si>
    <t>b3f76095</t>
  </si>
  <si>
    <t>8d6d0925</t>
  </si>
  <si>
    <t>f6f15b6a</t>
  </si>
  <si>
    <t>56148d7f</t>
  </si>
  <si>
    <t>70182604</t>
  </si>
  <si>
    <t>cbdebd4c</t>
  </si>
  <si>
    <t>630ba224</t>
  </si>
  <si>
    <t>e5c03ac7</t>
  </si>
  <si>
    <t>cd5dd804</t>
  </si>
  <si>
    <t>63c7889d</t>
  </si>
  <si>
    <t>321eda94</t>
  </si>
  <si>
    <t>36a93cfc</t>
  </si>
  <si>
    <t>29eba188</t>
  </si>
  <si>
    <t>f411acc5</t>
  </si>
  <si>
    <t>992</t>
  </si>
  <si>
    <t>1b8e71b0</t>
  </si>
  <si>
    <t>Ingresado Automaticamente</t>
  </si>
  <si>
    <t>25674</t>
  </si>
  <si>
    <t>90a59295</t>
  </si>
  <si>
    <t>f7d0b907</t>
  </si>
  <si>
    <t>53734</t>
  </si>
  <si>
    <t>36e29f86</t>
  </si>
  <si>
    <t>10011</t>
  </si>
  <si>
    <t>4d1cbd42</t>
  </si>
  <si>
    <t>40588</t>
  </si>
  <si>
    <t>3778344c</t>
  </si>
  <si>
    <t>11448</t>
  </si>
  <si>
    <t>64dbfbfd</t>
  </si>
  <si>
    <t>73334</t>
  </si>
  <si>
    <t>a3b37b2a</t>
  </si>
  <si>
    <t>45492</t>
  </si>
  <si>
    <t>43432762</t>
  </si>
  <si>
    <t>21660</t>
  </si>
  <si>
    <t>bcecb831</t>
  </si>
  <si>
    <t>52164</t>
  </si>
  <si>
    <t>935eec61</t>
  </si>
  <si>
    <t>840dae87</t>
  </si>
  <si>
    <t>6f20bd1c</t>
  </si>
  <si>
    <t>a578951c</t>
  </si>
  <si>
    <t>54810</t>
  </si>
  <si>
    <t>19200</t>
  </si>
  <si>
    <t>ac7ef3f2</t>
  </si>
  <si>
    <t>73554</t>
  </si>
  <si>
    <t>7e511c00</t>
  </si>
  <si>
    <t>41001</t>
  </si>
  <si>
    <t>035ba46b</t>
  </si>
  <si>
    <t>29029</t>
  </si>
  <si>
    <t>af3d7a90</t>
  </si>
  <si>
    <t>34279</t>
  </si>
  <si>
    <t>f4a52ff7</t>
  </si>
  <si>
    <t>25198</t>
  </si>
  <si>
    <t>88164b21</t>
  </si>
  <si>
    <t>34320</t>
  </si>
  <si>
    <t>a5267b79</t>
  </si>
  <si>
    <t>ae737c44</t>
  </si>
  <si>
    <t>2834822b</t>
  </si>
  <si>
    <t>1er pago</t>
  </si>
  <si>
    <t>13529</t>
  </si>
  <si>
    <t>78388ca3</t>
  </si>
  <si>
    <t>42cac92d</t>
  </si>
  <si>
    <t>2 do pago</t>
  </si>
  <si>
    <t>58716</t>
  </si>
  <si>
    <t>17444</t>
  </si>
  <si>
    <t>f4b5efc0</t>
  </si>
  <si>
    <t>6192</t>
  </si>
  <si>
    <t>fe8e9012</t>
  </si>
  <si>
    <t>83980</t>
  </si>
  <si>
    <t>8e3bf56c</t>
  </si>
  <si>
    <t>36828</t>
  </si>
  <si>
    <t>0ec1e380</t>
  </si>
  <si>
    <t>55742</t>
  </si>
  <si>
    <t>b498209b</t>
  </si>
  <si>
    <t>85468</t>
  </si>
  <si>
    <t>fff2f131</t>
  </si>
  <si>
    <t>83505</t>
  </si>
  <si>
    <t>8790df98</t>
  </si>
  <si>
    <t>83472</t>
  </si>
  <si>
    <t>d02d4019</t>
  </si>
  <si>
    <t>8827</t>
  </si>
  <si>
    <t>58627ef4</t>
  </si>
  <si>
    <t>16758</t>
  </si>
  <si>
    <t>b897182b</t>
  </si>
  <si>
    <t>58176</t>
  </si>
  <si>
    <t>b9ee7f17</t>
  </si>
  <si>
    <t>60104</t>
  </si>
  <si>
    <t>9a0649f0</t>
  </si>
  <si>
    <t>23876</t>
  </si>
  <si>
    <t>8ab4a705</t>
  </si>
  <si>
    <t>83160</t>
  </si>
  <si>
    <t>c23a0fca</t>
  </si>
  <si>
    <t>79588</t>
  </si>
  <si>
    <t>d2c7c719</t>
  </si>
  <si>
    <t>35048</t>
  </si>
  <si>
    <t>81b7989e</t>
  </si>
  <si>
    <t>97900</t>
  </si>
  <si>
    <t>7607ecbe</t>
  </si>
  <si>
    <t>58485</t>
  </si>
  <si>
    <t>00a97498</t>
  </si>
  <si>
    <t>7622</t>
  </si>
  <si>
    <t>00afb144</t>
  </si>
  <si>
    <t>46980</t>
  </si>
  <si>
    <t>4405da1e</t>
  </si>
  <si>
    <t>360</t>
  </si>
  <si>
    <t>df8e170a</t>
  </si>
  <si>
    <t>53083</t>
  </si>
  <si>
    <t>42be4393</t>
  </si>
  <si>
    <t>48618</t>
  </si>
  <si>
    <t>93822fef</t>
  </si>
  <si>
    <t>2300</t>
  </si>
  <si>
    <t>da788e66</t>
  </si>
  <si>
    <t>e73f2f05</t>
  </si>
  <si>
    <t>18fa70b1</t>
  </si>
  <si>
    <t>34dc7364</t>
  </si>
  <si>
    <t>86884</t>
  </si>
  <si>
    <t>151c02c4</t>
  </si>
  <si>
    <t>84209</t>
  </si>
  <si>
    <t>08d5d471</t>
  </si>
  <si>
    <t>71008</t>
  </si>
  <si>
    <t>1c42109e</t>
  </si>
  <si>
    <t>85541</t>
  </si>
  <si>
    <t>b88c49ce</t>
  </si>
  <si>
    <t>18012</t>
  </si>
  <si>
    <t>194dd190</t>
  </si>
  <si>
    <t>31240</t>
  </si>
  <si>
    <t>31707</t>
  </si>
  <si>
    <t>be4344ae</t>
  </si>
  <si>
    <t>3567</t>
  </si>
  <si>
    <t>0b87b959</t>
  </si>
  <si>
    <t>114360</t>
  </si>
  <si>
    <t>cd14f87c</t>
  </si>
  <si>
    <t>63012</t>
  </si>
  <si>
    <t>34398f15</t>
  </si>
  <si>
    <t>54502</t>
  </si>
  <si>
    <t>4cd0be41</t>
  </si>
  <si>
    <t>1860</t>
  </si>
  <si>
    <t>a67fcf5c</t>
  </si>
  <si>
    <t>9e2e3e76</t>
  </si>
  <si>
    <t>a94af567</t>
  </si>
  <si>
    <t>Pago 1</t>
  </si>
  <si>
    <t>ec2860d6</t>
  </si>
  <si>
    <t>37210</t>
  </si>
  <si>
    <t>25f40de1</t>
  </si>
  <si>
    <t>2268</t>
  </si>
  <si>
    <t>49005</t>
  </si>
  <si>
    <t>5ee64cab</t>
  </si>
  <si>
    <t>48500</t>
  </si>
  <si>
    <t>25e282ec</t>
  </si>
  <si>
    <t>44634</t>
  </si>
  <si>
    <t>fa626936</t>
  </si>
  <si>
    <t>23187</t>
  </si>
  <si>
    <t>45975c04</t>
  </si>
  <si>
    <t>31548</t>
  </si>
  <si>
    <t>4e55b9ba</t>
  </si>
  <si>
    <t>88920</t>
  </si>
  <si>
    <t>c7098e40</t>
  </si>
  <si>
    <t>85376</t>
  </si>
  <si>
    <t>4420acf7</t>
  </si>
  <si>
    <t>121285</t>
  </si>
  <si>
    <t>c2a2b45b</t>
  </si>
  <si>
    <t>47614</t>
  </si>
  <si>
    <t>cc2c4816</t>
  </si>
  <si>
    <t>8d7ab8db</t>
  </si>
  <si>
    <t>690e7ed7</t>
  </si>
  <si>
    <t>b20ca70c</t>
  </si>
  <si>
    <t>Me lo pagaron la vez pasada por error</t>
  </si>
  <si>
    <t>7402c3ad</t>
  </si>
  <si>
    <t>137</t>
  </si>
  <si>
    <t>b946d528</t>
  </si>
  <si>
    <t>f0714c81</t>
  </si>
  <si>
    <t>12006</t>
  </si>
  <si>
    <t>d5066746</t>
  </si>
  <si>
    <t>41922</t>
  </si>
  <si>
    <t>b41dfa0d</t>
  </si>
  <si>
    <t>86940</t>
  </si>
  <si>
    <t>ab6f35c1</t>
  </si>
  <si>
    <t>114400</t>
  </si>
  <si>
    <t>7098ee6a</t>
  </si>
  <si>
    <t>13b8d338</t>
  </si>
  <si>
    <t>01e76cba</t>
  </si>
  <si>
    <t>1er pago vía Takenos</t>
  </si>
  <si>
    <t>121720</t>
  </si>
  <si>
    <t>5263d2ec</t>
  </si>
  <si>
    <t>d1dad730</t>
  </si>
  <si>
    <t>e5f8b8fc</t>
  </si>
  <si>
    <t>4a684fda</t>
  </si>
  <si>
    <t>98049</t>
  </si>
  <si>
    <t>090781fe</t>
  </si>
  <si>
    <t>93342</t>
  </si>
  <si>
    <t>395b5734</t>
  </si>
  <si>
    <t>57312</t>
  </si>
  <si>
    <t>80446</t>
  </si>
  <si>
    <t>f90fb623</t>
  </si>
  <si>
    <t>55266</t>
  </si>
  <si>
    <t>eb49e8d8</t>
  </si>
  <si>
    <t>19966</t>
  </si>
  <si>
    <t>4ca61917</t>
  </si>
  <si>
    <t>30600</t>
  </si>
  <si>
    <t>52a6976a</t>
  </si>
  <si>
    <t>49296</t>
  </si>
  <si>
    <t>0fb245d5</t>
  </si>
  <si>
    <t>7d5e6041</t>
  </si>
  <si>
    <t>6026bc56</t>
  </si>
  <si>
    <t>Me hicieron unas retenciones</t>
  </si>
  <si>
    <t>9164</t>
  </si>
  <si>
    <t>134235</t>
  </si>
  <si>
    <t>d868a4bf</t>
  </si>
  <si>
    <t>11109</t>
  </si>
  <si>
    <t>83ca3993</t>
  </si>
  <si>
    <t>103512</t>
  </si>
  <si>
    <t>a054255d</t>
  </si>
  <si>
    <t>88722</t>
  </si>
  <si>
    <t>ad0f677e</t>
  </si>
  <si>
    <t>58692</t>
  </si>
  <si>
    <t>17535</t>
  </si>
  <si>
    <t>cc2d2c08</t>
  </si>
  <si>
    <t>70980</t>
  </si>
  <si>
    <t>e9ce6da3</t>
  </si>
  <si>
    <t>6318</t>
  </si>
  <si>
    <t>459f2814</t>
  </si>
  <si>
    <t>c5900abd</t>
  </si>
  <si>
    <t>18d0015e</t>
  </si>
  <si>
    <t>7b11ac6a</t>
  </si>
  <si>
    <t>e7fc383e</t>
  </si>
  <si>
    <t>71720</t>
  </si>
  <si>
    <t>97120</t>
  </si>
  <si>
    <t>691b6944</t>
  </si>
  <si>
    <t>103284</t>
  </si>
  <si>
    <t>d7e7d1e8</t>
  </si>
  <si>
    <t>65016</t>
  </si>
  <si>
    <t>a62639b3</t>
  </si>
  <si>
    <t>139438</t>
  </si>
  <si>
    <t>070ddc32</t>
  </si>
  <si>
    <t>134958</t>
  </si>
  <si>
    <t>858cdd80</t>
  </si>
  <si>
    <t>151728</t>
  </si>
  <si>
    <t>119eda57</t>
  </si>
  <si>
    <t>132784</t>
  </si>
  <si>
    <t>61458ad6</t>
  </si>
  <si>
    <t>31146</t>
  </si>
  <si>
    <t>21ab9d17</t>
  </si>
  <si>
    <t>10317</t>
  </si>
  <si>
    <t>29b846f2</t>
  </si>
  <si>
    <t>5a2abf88</t>
  </si>
  <si>
    <t>edb1a8ca</t>
  </si>
  <si>
    <t>Nelson Agustin Lescano</t>
  </si>
  <si>
    <t>129198</t>
  </si>
  <si>
    <t>a0f60543</t>
  </si>
  <si>
    <t>8bfbc34d</t>
  </si>
  <si>
    <t>182</t>
  </si>
  <si>
    <t>3bbca941</t>
  </si>
  <si>
    <t>f5c0b80d</t>
  </si>
  <si>
    <t>3bc91e7d</t>
  </si>
  <si>
    <t>146705</t>
  </si>
  <si>
    <t>25a568b5</t>
  </si>
  <si>
    <t>66588</t>
  </si>
  <si>
    <t>bc741214</t>
  </si>
  <si>
    <t>111408</t>
  </si>
  <si>
    <t>0e5a39bd</t>
  </si>
  <si>
    <t>39600</t>
  </si>
  <si>
    <t>067bf4af</t>
  </si>
  <si>
    <t>153510</t>
  </si>
  <si>
    <t>8a60a202</t>
  </si>
  <si>
    <t>17765</t>
  </si>
  <si>
    <t>0279a30f</t>
  </si>
  <si>
    <t>30080</t>
  </si>
  <si>
    <t>355864a7</t>
  </si>
  <si>
    <t>26928</t>
  </si>
  <si>
    <t>b397da97</t>
  </si>
  <si>
    <t>140760</t>
  </si>
  <si>
    <t>cc1e0be3</t>
  </si>
  <si>
    <t>51675</t>
  </si>
  <si>
    <t>88d573da</t>
  </si>
  <si>
    <t>186165</t>
  </si>
  <si>
    <t>7c5cd750</t>
  </si>
  <si>
    <t>2282e2ba</t>
  </si>
  <si>
    <t>e2d435a8</t>
  </si>
  <si>
    <t>b7e588b7</t>
  </si>
  <si>
    <t>92344</t>
  </si>
  <si>
    <t>bfde3a43</t>
  </si>
  <si>
    <t>157681</t>
  </si>
  <si>
    <t>b4a088bc</t>
  </si>
  <si>
    <t>122813</t>
  </si>
  <si>
    <t>03f63b75</t>
  </si>
  <si>
    <t>163400</t>
  </si>
  <si>
    <t>f6589854</t>
  </si>
  <si>
    <t>96768</t>
  </si>
  <si>
    <t>c1a2b322</t>
  </si>
  <si>
    <t>eec714ce</t>
  </si>
  <si>
    <t>c3fde820</t>
  </si>
  <si>
    <t>72828</t>
  </si>
  <si>
    <t>70462df1</t>
  </si>
  <si>
    <t>163795</t>
  </si>
  <si>
    <t>784a57ce</t>
  </si>
  <si>
    <t>122304</t>
  </si>
  <si>
    <t>a3980fa7</t>
  </si>
  <si>
    <t>30502</t>
  </si>
  <si>
    <t>c1a5badb</t>
  </si>
  <si>
    <t>149002</t>
  </si>
  <si>
    <t>9f394b2a</t>
  </si>
  <si>
    <t>149644</t>
  </si>
  <si>
    <t>450f9a48</t>
  </si>
  <si>
    <t>35856</t>
  </si>
  <si>
    <t>562c62f8</t>
  </si>
  <si>
    <t>68310</t>
  </si>
  <si>
    <t>3ee2fc3f</t>
  </si>
  <si>
    <t>11236</t>
  </si>
  <si>
    <t>ae8a879d</t>
  </si>
  <si>
    <t>a6686754</t>
  </si>
  <si>
    <t>7fdc172b</t>
  </si>
  <si>
    <t>167024</t>
  </si>
  <si>
    <t>0def1d1b</t>
  </si>
  <si>
    <t>203514</t>
  </si>
  <si>
    <t>9f906bf3</t>
  </si>
  <si>
    <t>3cb68e94</t>
  </si>
  <si>
    <t>183960</t>
  </si>
  <si>
    <t>7d99e748</t>
  </si>
  <si>
    <t>c36ddd68</t>
  </si>
  <si>
    <t>50b7cfd4</t>
  </si>
  <si>
    <t>64119</t>
  </si>
  <si>
    <t>bb4ac2fe</t>
  </si>
  <si>
    <t>68575</t>
  </si>
  <si>
    <t>3e72df67</t>
  </si>
  <si>
    <t>7da6fcc7</t>
  </si>
  <si>
    <t>68420</t>
  </si>
  <si>
    <t>bc025275</t>
  </si>
  <si>
    <t>175987</t>
  </si>
  <si>
    <t>b74d4549</t>
  </si>
  <si>
    <t>134805</t>
  </si>
  <si>
    <t>2a987957</t>
  </si>
  <si>
    <t>198172</t>
  </si>
  <si>
    <t>8981715c</t>
  </si>
  <si>
    <t>e5a4ca79</t>
  </si>
  <si>
    <t>15387</t>
  </si>
  <si>
    <t>cbb61003</t>
  </si>
  <si>
    <t>2a49d972</t>
  </si>
  <si>
    <t>b05412f5</t>
  </si>
  <si>
    <t>1er pago 350 mil</t>
  </si>
  <si>
    <t>91168</t>
  </si>
  <si>
    <t>84990545</t>
  </si>
  <si>
    <t>72364</t>
  </si>
  <si>
    <t>d9a66297</t>
  </si>
  <si>
    <t>214700</t>
  </si>
  <si>
    <t>2d35e875</t>
  </si>
  <si>
    <t>34719</t>
  </si>
  <si>
    <t>e6237bf7</t>
  </si>
  <si>
    <t>3de6b4a3</t>
  </si>
  <si>
    <t>209530</t>
  </si>
  <si>
    <t>3189f1f1</t>
  </si>
  <si>
    <t>96356</t>
  </si>
  <si>
    <t>4452d98c</t>
  </si>
  <si>
    <t>c3e18331</t>
  </si>
  <si>
    <t>3a40dbcc</t>
  </si>
  <si>
    <t>Pago 2</t>
  </si>
  <si>
    <t>19572</t>
  </si>
  <si>
    <t>161974</t>
  </si>
  <si>
    <t>b689853c</t>
  </si>
  <si>
    <t>192465</t>
  </si>
  <si>
    <t>5afdb11c</t>
  </si>
  <si>
    <t>35568</t>
  </si>
  <si>
    <t>ab361ef0</t>
  </si>
  <si>
    <t>60750</t>
  </si>
  <si>
    <t>13da0b0d</t>
  </si>
  <si>
    <t>179124</t>
  </si>
  <si>
    <t>0f3e7086</t>
  </si>
  <si>
    <t>181373</t>
  </si>
  <si>
    <t>2b844b97</t>
  </si>
  <si>
    <t>145232</t>
  </si>
  <si>
    <t>32ea07f0</t>
  </si>
  <si>
    <t>b086cd7d</t>
  </si>
  <si>
    <t>156849</t>
  </si>
  <si>
    <t>5635896a</t>
  </si>
  <si>
    <t>173484</t>
  </si>
  <si>
    <t>23bde8eb</t>
  </si>
  <si>
    <t>ea7bb0d1</t>
  </si>
  <si>
    <t>c4cfbb4e</t>
  </si>
  <si>
    <t>Le habia quedado a favor del pago anterior (19/11/2025)</t>
  </si>
  <si>
    <t>175c576e</t>
  </si>
  <si>
    <t>f7756dc9</t>
  </si>
  <si>
    <t>51012</t>
  </si>
  <si>
    <t>b810ffbd</t>
  </si>
  <si>
    <t>85680</t>
  </si>
  <si>
    <t>79f0f3f4</t>
  </si>
  <si>
    <t>f244fcb7</t>
  </si>
  <si>
    <t>1a86d8a1</t>
  </si>
  <si>
    <t>74276779</t>
  </si>
  <si>
    <t>62927168</t>
  </si>
  <si>
    <t>dba373fb</t>
  </si>
  <si>
    <t>400c126f</t>
  </si>
  <si>
    <t>Le quedan a favor $112.885</t>
  </si>
  <si>
    <t>193764</t>
  </si>
  <si>
    <t>f97e0fbb</t>
  </si>
  <si>
    <t>203688</t>
  </si>
  <si>
    <t>3fc979d0</t>
  </si>
  <si>
    <t>24888</t>
  </si>
  <si>
    <t>fec3ffa7</t>
  </si>
  <si>
    <t>1494</t>
  </si>
  <si>
    <t>f501fedc</t>
  </si>
  <si>
    <t>85560</t>
  </si>
  <si>
    <t>6712d1a3</t>
  </si>
  <si>
    <t>104250</t>
  </si>
  <si>
    <t>796bf9c5</t>
  </si>
  <si>
    <t>b3a39b48</t>
  </si>
  <si>
    <t>29502cd2</t>
  </si>
  <si>
    <t>116644</t>
  </si>
  <si>
    <t>2b644e7b</t>
  </si>
  <si>
    <t>33264</t>
  </si>
  <si>
    <t>e0f04f9f</t>
  </si>
  <si>
    <t>65949</t>
  </si>
  <si>
    <t>3b040fc4</t>
  </si>
  <si>
    <t>47385</t>
  </si>
  <si>
    <t>66b366ac</t>
  </si>
  <si>
    <t>142100</t>
  </si>
  <si>
    <t>b1c5d73d</t>
  </si>
  <si>
    <t>30044</t>
  </si>
  <si>
    <t>a2f73eb5</t>
  </si>
  <si>
    <t>181760</t>
  </si>
  <si>
    <t>b63f5d74</t>
  </si>
  <si>
    <t>f7472c57</t>
  </si>
  <si>
    <t>d14a4a25</t>
  </si>
  <si>
    <t>65762</t>
  </si>
  <si>
    <t>91dfe050</t>
  </si>
  <si>
    <t>8f694bee</t>
  </si>
  <si>
    <t>7159381b</t>
  </si>
  <si>
    <t>$112.885 es lo que le habia quedado a favor de la ultima vez</t>
  </si>
  <si>
    <t>160528</t>
  </si>
  <si>
    <t>3561f9e1</t>
  </si>
  <si>
    <t>49210</t>
  </si>
  <si>
    <t>2c26de79</t>
  </si>
  <si>
    <t>81744</t>
  </si>
  <si>
    <t>d1a56928</t>
  </si>
  <si>
    <t>44370</t>
  </si>
  <si>
    <t>708aadc5</t>
  </si>
  <si>
    <t>d6ce0295</t>
  </si>
  <si>
    <t>8861af69</t>
  </si>
  <si>
    <t>116935</t>
  </si>
  <si>
    <t>18690</t>
  </si>
  <si>
    <t>488ffc04</t>
  </si>
  <si>
    <t>186467</t>
  </si>
  <si>
    <t>22797f78</t>
  </si>
  <si>
    <t>220074</t>
  </si>
  <si>
    <t>7cff4a29</t>
  </si>
  <si>
    <t>149f7962</t>
  </si>
  <si>
    <t>61640</t>
  </si>
  <si>
    <t>3e5ea068</t>
  </si>
  <si>
    <t>211972</t>
  </si>
  <si>
    <t>5eaa2708</t>
  </si>
  <si>
    <t>188964</t>
  </si>
  <si>
    <t>225940</t>
  </si>
  <si>
    <t>e54b54ff</t>
  </si>
  <si>
    <t>68292</t>
  </si>
  <si>
    <t>942f61e2</t>
  </si>
  <si>
    <t>65ae6098</t>
  </si>
  <si>
    <t>780f9a63</t>
  </si>
  <si>
    <t>194775</t>
  </si>
  <si>
    <t>d8b2b2e6</t>
  </si>
  <si>
    <t>59d02f5b</t>
  </si>
  <si>
    <t>43470</t>
  </si>
  <si>
    <t>c4aa236d</t>
  </si>
  <si>
    <t>690eb81a</t>
  </si>
  <si>
    <t>693e777a</t>
  </si>
  <si>
    <t>Le quedan a su favor $16.000</t>
  </si>
  <si>
    <t>3014</t>
  </si>
  <si>
    <t>587c9c9f</t>
  </si>
  <si>
    <t>43489</t>
  </si>
  <si>
    <t>d80d6e49</t>
  </si>
  <si>
    <t>105378</t>
  </si>
  <si>
    <t>3a321377</t>
  </si>
  <si>
    <t>48720</t>
  </si>
  <si>
    <t>36e1661a</t>
  </si>
  <si>
    <t>8804</t>
  </si>
  <si>
    <t>91e6da1b</t>
  </si>
  <si>
    <t>73392</t>
  </si>
  <si>
    <t>191120f3</t>
  </si>
  <si>
    <t>10450</t>
  </si>
  <si>
    <t>394dc966</t>
  </si>
  <si>
    <t>40176</t>
  </si>
  <si>
    <t>d2e9edfe</t>
  </si>
  <si>
    <t>37935</t>
  </si>
  <si>
    <t>9a317db6</t>
  </si>
  <si>
    <t>aa419394</t>
  </si>
  <si>
    <t>3cef18b7</t>
  </si>
  <si>
    <t>122539</t>
  </si>
  <si>
    <t>64ab38ca</t>
  </si>
  <si>
    <t>244069</t>
  </si>
  <si>
    <t>fee914b0</t>
  </si>
  <si>
    <t>d3423190</t>
  </si>
  <si>
    <t>216858</t>
  </si>
  <si>
    <t>081b201c</t>
  </si>
  <si>
    <t>136515</t>
  </si>
  <si>
    <t>31e38aa5</t>
  </si>
  <si>
    <t>12054</t>
  </si>
  <si>
    <t>9ab65bac</t>
  </si>
  <si>
    <t>113472</t>
  </si>
  <si>
    <t>dc0a7722</t>
  </si>
  <si>
    <t>c7886b11</t>
  </si>
  <si>
    <t>269100</t>
  </si>
  <si>
    <t>49cbe95d</t>
  </si>
  <si>
    <t>41877</t>
  </si>
  <si>
    <t>a020b832</t>
  </si>
  <si>
    <t>157300</t>
  </si>
  <si>
    <t>0f079ed4</t>
  </si>
  <si>
    <t>b4fe900e</t>
  </si>
  <si>
    <t>169740</t>
  </si>
  <si>
    <t>7389cc86</t>
  </si>
  <si>
    <t>c63457fa</t>
  </si>
  <si>
    <t>99960</t>
  </si>
  <si>
    <t>99257974</t>
  </si>
  <si>
    <t>27232</t>
  </si>
  <si>
    <t>f6c24470</t>
  </si>
  <si>
    <t>288672</t>
  </si>
  <si>
    <t>89d4dd29</t>
  </si>
  <si>
    <t>106800</t>
  </si>
  <si>
    <t>4309f129</t>
  </si>
  <si>
    <t>230395</t>
  </si>
  <si>
    <t>c4c5e524</t>
  </si>
  <si>
    <t>41422</t>
  </si>
  <si>
    <t>dda7e051</t>
  </si>
  <si>
    <t>255492</t>
  </si>
  <si>
    <t>2971c631</t>
  </si>
  <si>
    <t>143488</t>
  </si>
  <si>
    <t>1573eade</t>
  </si>
  <si>
    <t>258712</t>
  </si>
  <si>
    <t>de7b069e</t>
  </si>
  <si>
    <t>3931ad01</t>
  </si>
  <si>
    <t>3c7ef1d6</t>
  </si>
  <si>
    <t>1 er pago</t>
  </si>
  <si>
    <t>103696fd</t>
  </si>
  <si>
    <t>25454b6b</t>
  </si>
  <si>
    <t>193675</t>
  </si>
  <si>
    <t>133852</t>
  </si>
  <si>
    <t>0ee074c0</t>
  </si>
  <si>
    <t>235081</t>
  </si>
  <si>
    <t>137890a0</t>
  </si>
  <si>
    <t>143514</t>
  </si>
  <si>
    <t>cd745226</t>
  </si>
  <si>
    <t>Id_facturación</t>
  </si>
  <si>
    <t>Monto</t>
  </si>
  <si>
    <t>Desde</t>
  </si>
  <si>
    <t>Hasta</t>
  </si>
  <si>
    <t>Contacto 1</t>
  </si>
  <si>
    <t>Contacto 2</t>
  </si>
  <si>
    <t>Proxima notificación</t>
  </si>
  <si>
    <t>Ultima notificación</t>
  </si>
  <si>
    <t>Solo Invoice?</t>
  </si>
  <si>
    <t>FACTURA 1</t>
  </si>
  <si>
    <t>N° de factura</t>
  </si>
  <si>
    <t>FACTURA 2</t>
  </si>
  <si>
    <t>FACTURA 3</t>
  </si>
  <si>
    <t>DOCUMENTO</t>
  </si>
  <si>
    <t>Invoice</t>
  </si>
  <si>
    <t>Cuenta a depositar</t>
  </si>
  <si>
    <t>Prospecto</t>
  </si>
  <si>
    <t>hs facturadas</t>
  </si>
  <si>
    <t>Ultima Modificación</t>
  </si>
  <si>
    <t>Leyenda Factura</t>
  </si>
  <si>
    <t>Descuento</t>
  </si>
  <si>
    <t>Leyenda en email?</t>
  </si>
  <si>
    <t>Link Text me bot</t>
  </si>
  <si>
    <t>Mensaje WhatsApp</t>
  </si>
  <si>
    <t>Proxima notificación WhatsApp</t>
  </si>
  <si>
    <t>Reenviar Inicial</t>
  </si>
  <si>
    <t>Reenviar Recordatorio</t>
  </si>
  <si>
    <t>Impago</t>
  </si>
  <si>
    <t>ab665fdf</t>
  </si>
  <si>
    <t>Facturación_Files_/df8e170a.FACTURA 1.173927.pdf</t>
  </si>
  <si>
    <t>157</t>
  </si>
  <si>
    <t>20331228797</t>
  </si>
  <si>
    <t>Mantenimiento de Desarrollos -</t>
  </si>
  <si>
    <t>https://api.textmebot.com/send.php?recipient=+5493493457667&amp;apikey=xoF6EUkK31se&amp;</t>
  </si>
  <si>
    <t>Hola Gustavo! 👋 
Te envío la factura correspondiente por la prestación de servicios durante el período 10/12/24 al 11/01/25. 
📋 *Detalles de la factura:* 
• Número: 157 
• Fecha de Emisión: 13/01/25 
• Fecha de Vencimiento: 27/01/25 
• Monto Total: $ 706000.
💼 *Cuenta para el depósito:* 
• CUIT: 20331228797 
• Titular: PATRIARCA ADRIAN CARLOS 
• CBU: 0110491630049195615179 
• Alias: apsol.consultora 
• Banco: Banco Nación 🏦 
Te agradecería si me confirmás la recepción y me avisás una fecha estimada de pago. 😊 
Desde ya, muchas gracias!</t>
  </si>
  <si>
    <t>4f00635e</t>
  </si>
  <si>
    <t>Facturación_Files_/b897182b.FACTURA 1.120028.pdf</t>
  </si>
  <si>
    <t>151</t>
  </si>
  <si>
    <t>Facturación_Images/1b8e71b0.DOCUMENTO.222721.jpg</t>
  </si>
  <si>
    <t>20-33122879-7</t>
  </si>
  <si>
    <t>Facturación_Files_/1b8e71b0.FACTURA 1.222721.pdf</t>
  </si>
  <si>
    <t>106</t>
  </si>
  <si>
    <t>SE ADJUNTA FACTURA Y CALCULO DE FACTURACIÓN</t>
  </si>
  <si>
    <t>Facturación_Files_/ea6cdbc2.FACTURA 1.185823.pdf</t>
  </si>
  <si>
    <t>114</t>
  </si>
  <si>
    <t>272d1518</t>
  </si>
  <si>
    <t>Facturación_Files_/aa9ab558.FACTURA 1.144519.pdf</t>
  </si>
  <si>
    <t>52</t>
  </si>
  <si>
    <t>Facturación_Files_/aa9ab558.DOCUMENTO.144519.pdf</t>
  </si>
  <si>
    <t>Ademas de la factura se adjunta calculo de monto a facturar según contrato</t>
  </si>
  <si>
    <t>015406ec</t>
  </si>
  <si>
    <t>Facturación_Files_/9cfacd6f.FACTURA 1.171818.pdf</t>
  </si>
  <si>
    <t>53 / 54 / 55</t>
  </si>
  <si>
    <t>Facturación_Files_/9cfacd6f.FACTURA 2.171818.pdf</t>
  </si>
  <si>
    <t>Facturación_Files_/9cfacd6f.FACTURA 3.171818.pdf</t>
  </si>
  <si>
    <t>El Monto Final está dividido en tres facturas.</t>
  </si>
  <si>
    <t>af066eff</t>
  </si>
  <si>
    <t>Facturación_Files_/55e7130a.FACTURA 1.200520.pdf</t>
  </si>
  <si>
    <t>56</t>
  </si>
  <si>
    <t>Facturación_Files_/55e7130a.DOCUMENTO.200520.pdf</t>
  </si>
  <si>
    <t>Se adjunta el calculo de facturación según contrato</t>
  </si>
  <si>
    <t>Facturación_Files_/344a3739.FACTURA 1.130813.pdf</t>
  </si>
  <si>
    <t>57</t>
  </si>
  <si>
    <t>Facturación_Files_/344a3739.DOCUMENTO.130813.pdf</t>
  </si>
  <si>
    <t>Adjunto además CALCULO DE AUMENTO BIMESTRAL según contrato</t>
  </si>
  <si>
    <t>Facturación_Images/b21ad621.FACTURA 1.141646.jpg</t>
  </si>
  <si>
    <t>Facturación_Files_/dc6fc017.FACTURA 1.175518.pdf</t>
  </si>
  <si>
    <t>58</t>
  </si>
  <si>
    <t>Factura a empresa El Norte Bis</t>
  </si>
  <si>
    <t>Facturación_Files_/c662f70e.FACTURA 1.181928.pdf</t>
  </si>
  <si>
    <t>59</t>
  </si>
  <si>
    <t>Facturación_Files_/c662f70e.DOCUMENTO.181928.pdf</t>
  </si>
  <si>
    <t>Adjunto Calculo de Facturación Febrero 2024 - Se aplica 5% de descuento</t>
  </si>
  <si>
    <t>Facturación_Files_/63a1c5e7.FACTURA 1.115823.pdf</t>
  </si>
  <si>
    <t>60 / 61 / 62</t>
  </si>
  <si>
    <t>Facturación_Files_/63a1c5e7.FACTURA 2.115823.pdf</t>
  </si>
  <si>
    <t>Facturación_Files_/63a1c5e7.FACTURA 3.115823.pdf</t>
  </si>
  <si>
    <t>El monto final está dividido en tres facturas</t>
  </si>
  <si>
    <t>Facturación_Files_/06dbff3e.FACTURA 1.192900.pdf</t>
  </si>
  <si>
    <t>63</t>
  </si>
  <si>
    <t>Facturación_Files_/06dbff3e.DOCUMENTO.192900.pdf</t>
  </si>
  <si>
    <t>Se adjunta documento de calculo de facturación segun contrato, y se aplica un descuento del 6%</t>
  </si>
  <si>
    <t>b93d825d</t>
  </si>
  <si>
    <t>Facturación_Files_/8af89fd1.FACTURA 1.141948.pdf</t>
  </si>
  <si>
    <t>64</t>
  </si>
  <si>
    <t>Factura emitida con una semana de retraso</t>
  </si>
  <si>
    <t>Facturación_Images/246ae70d.FACTURA 1.201439.jpg</t>
  </si>
  <si>
    <t>Facturación_Files_/804b3f3a.FACTURA 1.131214.pdf</t>
  </si>
  <si>
    <t>65</t>
  </si>
  <si>
    <t>Facturación_Files_/804b3f3a.DOCUMENTO.131214.pdf</t>
  </si>
  <si>
    <t>Se adjunta calculo de facturación</t>
  </si>
  <si>
    <t>db3dfc3f</t>
  </si>
  <si>
    <t>Facturación_Files_/336141d6.FACTURA 1.200618.pdf</t>
  </si>
  <si>
    <t>Se factura a nombre de mi socio Sebastian Wolf. Depositar en su cuenta</t>
  </si>
  <si>
    <t>20305727785</t>
  </si>
  <si>
    <t>Facturación_Files_/8495a758.FACTURA 1.170456.pdf</t>
  </si>
  <si>
    <t>66 / 67 / 68</t>
  </si>
  <si>
    <t>Facturación_Files_/8495a758.FACTURA 2.170456.pdf</t>
  </si>
  <si>
    <t>Facturación_Files_/8495a758.FACTURA 3.170456.pdf</t>
  </si>
  <si>
    <t>Monto dividido en 3 facturas distintas</t>
  </si>
  <si>
    <t>Facturación_Files_/38fe6b78.FACTURA 1.175842.pdf</t>
  </si>
  <si>
    <t>69</t>
  </si>
  <si>
    <t>Facturación_Files_/38fe6b78.DOCUMENTO.175842.pdf</t>
  </si>
  <si>
    <t>Se adjunta calculo de facturación y se aplica un descuento del 16%</t>
  </si>
  <si>
    <t>Facturación_Files_/970f7caa.FACTURA 1.175858.pdf</t>
  </si>
  <si>
    <t>70</t>
  </si>
  <si>
    <t>Facturación_Files_/970f7caa.DOCUMENTO.175858.pdf</t>
  </si>
  <si>
    <t>Se adjunta calculo de facturación y se aplica DESCUENTO del 11%</t>
  </si>
  <si>
    <t>Facturación_Images/44a1c19e.FACTURA 1.161243.jpg</t>
  </si>
  <si>
    <t>--</t>
  </si>
  <si>
    <t>Facturación_Files_/89974ef9.FACTURA 1.152331.pdf</t>
  </si>
  <si>
    <t>Facturación_Files_/480ff28f.FACTURA 1.122945.pdf</t>
  </si>
  <si>
    <t>PAGO EN EFECTIVO. AGUARDO COMO PROCEDER. GRACIAS!</t>
  </si>
  <si>
    <t>Facturación_Files_/b10a314f.FACTURA 1.132331.pdf</t>
  </si>
  <si>
    <t>71 - 72 - 73</t>
  </si>
  <si>
    <t>Facturación_Files_/b10a314f.FACTURA 2.132331.pdf</t>
  </si>
  <si>
    <t>Facturación_Files_/b10a314f.FACTURA 3.132331.pdf</t>
  </si>
  <si>
    <t>Facturación_Files_/576b7347.FACTURA 1.121243.pdf</t>
  </si>
  <si>
    <t>74</t>
  </si>
  <si>
    <t>Facturación_Files_/576b7347.DOCUMENTO.121243.pdf</t>
  </si>
  <si>
    <t>Se aplica descuento del 18%</t>
  </si>
  <si>
    <t>Facturación_Files_/d0b0813f.FACTURA 1.120742.pdf</t>
  </si>
  <si>
    <t>75</t>
  </si>
  <si>
    <t>Facturación_Files_/090e2f50.FACTURA 1.194800.pdf</t>
  </si>
  <si>
    <t>76</t>
  </si>
  <si>
    <t>12de1ffb</t>
  </si>
  <si>
    <t>Facturación_Images/c0d663c9.FACTURA 1.190134.jpg</t>
  </si>
  <si>
    <t>Facturación_Files_/0b7d1bdb.FACTURA 1.155835.pdf</t>
  </si>
  <si>
    <t>Facturación_Images/dd0358eb.FACTURA 1.195526.jpg</t>
  </si>
  <si>
    <t>Pago en Efectivo</t>
  </si>
  <si>
    <t>Facturación_Files_/6b6a3acf.FACTURA 1.152004.pdf</t>
  </si>
  <si>
    <t>77 / 78 / 79</t>
  </si>
  <si>
    <t>Facturación_Files_/6b6a3acf.FACTURA 2.152004.pdf</t>
  </si>
  <si>
    <t>Facturación_Files_/6b6a3acf.FACTURA 3.152004.pdf</t>
  </si>
  <si>
    <t>Monto dividido en tres facturas</t>
  </si>
  <si>
    <t>Facturación_Files_/7026910a.FACTURA 1.120441.pdf</t>
  </si>
  <si>
    <t>80</t>
  </si>
  <si>
    <t>Facturación_Files_/7026910a.DOCUMENTO.120441.pdf</t>
  </si>
  <si>
    <t>Se aplica 20% de descuento</t>
  </si>
  <si>
    <t>Facturación_Files_/207b0068.FACTURA 1.172147.pdf</t>
  </si>
  <si>
    <t>Cuota 2 = Cuota 1*1.1</t>
  </si>
  <si>
    <t>Facturación_Files_/aa419e00.FACTURA 1.175833.pdf</t>
  </si>
  <si>
    <t>81</t>
  </si>
  <si>
    <t>Facturación_Files_/aa419e00.DOCUMENTO.175833.pdf</t>
  </si>
  <si>
    <t>Juan, adjunto por un lado la factura y por otro lado el calculo de la facturación correspondiente a este mes segun contrato</t>
  </si>
  <si>
    <t>Facturación_Images/85eb64dd.FACTURA 1.130125.jpg</t>
  </si>
  <si>
    <t>Facturación_Files_/dd92112e.FACTURA 1.175258.pdf</t>
  </si>
  <si>
    <t>Facturación_Files_/9e26affb.FACTURA 1.132052.pdf</t>
  </si>
  <si>
    <t>Pago en efectivo</t>
  </si>
  <si>
    <t>Facturación_Files_/3b757618.FACTURA 1.135308.pdf</t>
  </si>
  <si>
    <t>82 / 83 / 84</t>
  </si>
  <si>
    <t>Facturación_Files_/3b757618.FACTURA 2.135308.pdf</t>
  </si>
  <si>
    <t>Facturación_Files_/3b757618.FACTURA 3.135308.pdf</t>
  </si>
  <si>
    <t>Facturación_Files_/3b757618.DOCUMENTO.135310.pdf</t>
  </si>
  <si>
    <t>Facturación_Files_/ff278175.FACTURA 1.141519.pdf</t>
  </si>
  <si>
    <t>Facturación_Files_/ff278175.DOCUMENTO.141519.pdf</t>
  </si>
  <si>
    <t>Facturación_Files_/a1e29884.FACTURA 1.153729.pdf</t>
  </si>
  <si>
    <t>Factura APSOL</t>
  </si>
  <si>
    <t>Facturación_Files_/5289c7a5.FACTURA 1.120733.pdf</t>
  </si>
  <si>
    <t>Facturación_Files_/f47afc5e.FACTURA 1.121522.pdf</t>
  </si>
  <si>
    <t>Proyecto Nueva Sucursal</t>
  </si>
  <si>
    <t>Facturación_Files_/f333e963.FACTURA 1.152033.pdf</t>
  </si>
  <si>
    <t>85</t>
  </si>
  <si>
    <t>Facturación_Images/f333e963.DOCUMENTO.152033.jpg</t>
  </si>
  <si>
    <t>Actualización Bimestral Adjunta</t>
  </si>
  <si>
    <t>Facturación_Files_/38e522af.FACTURA 1.132501.pdf</t>
  </si>
  <si>
    <t>86</t>
  </si>
  <si>
    <t>Facturación_Files_/de9ee6dc.FACTURA 1.120609.pdf</t>
  </si>
  <si>
    <t>87</t>
  </si>
  <si>
    <t>Facturación_Images/de9ee6dc.DOCUMENTO.120609.jpg</t>
  </si>
  <si>
    <t>Se adjunta calculo de monto de facturación segun presupuesto</t>
  </si>
  <si>
    <t>Facturación_Images/cbb64f76.FACTURA 1.135337.jpg</t>
  </si>
  <si>
    <t>Por favor, avisar si requieren factura o no. Gracias</t>
  </si>
  <si>
    <t>Facturación_Files_/b93f06d4.FACTURA 1.210233.pdf</t>
  </si>
  <si>
    <t>88</t>
  </si>
  <si>
    <t>Facturación_Images/b93f06d4.DOCUMENTO.210233.jpg</t>
  </si>
  <si>
    <t>Facturación_Files_/572c1cf0.FACTURA 1.161509.pdf</t>
  </si>
  <si>
    <t>89 / 90 / 91</t>
  </si>
  <si>
    <t>Facturación_Files_/572c1cf0.FACTURA 2.161509.pdf</t>
  </si>
  <si>
    <t>Facturación_Files_/572c1cf0.FACTURA 3.161509.pdf</t>
  </si>
  <si>
    <t>Facturación_Images/572c1cf0.DOCUMENTO.161511.jpg</t>
  </si>
  <si>
    <t>Facturación_Files_/0738db9e.FACTURA 1.203837.pdf</t>
  </si>
  <si>
    <t>92</t>
  </si>
  <si>
    <t>Se aplica descuento del 8%</t>
  </si>
  <si>
    <t>Facturación_Files_/a545d2ca.FACTURA 1.122750.pdf</t>
  </si>
  <si>
    <t>93</t>
  </si>
  <si>
    <t>Facturación_Files_/a545d2ca.DOCUMENTO.122750.pdf</t>
  </si>
  <si>
    <t>Se adjunta calculo de actualización Bimestral segun Contrato</t>
  </si>
  <si>
    <t>Facturación_Files_/62074056.FACTURA 1.185355.pdf</t>
  </si>
  <si>
    <t>94</t>
  </si>
  <si>
    <t>Facturación_Files_/9e98f27a.FACTURA 1.142535.pdf</t>
  </si>
  <si>
    <t>95</t>
  </si>
  <si>
    <t>Facturación_Images/b3f76095.FACTURA 1.214307.jpg</t>
  </si>
  <si>
    <t>Se adjunta calculo de facturación, por favor confirmar si volvemos a los pagos normales o seguimos con pagos en efectivo y s/factura</t>
  </si>
  <si>
    <t>Facturación_Files_/8d6d0925.FACTURA 1.224826.pdf</t>
  </si>
  <si>
    <t>96/97/98</t>
  </si>
  <si>
    <t>Facturación_Files_/8d6d0925.FACTURA 2.224826.pdf</t>
  </si>
  <si>
    <t>Facturación_Files_/8d6d0925.FACTURA 3.224826.pdf</t>
  </si>
  <si>
    <t>Facturación_Images/8d6d0925.DOCUMENTO.224828.jpg</t>
  </si>
  <si>
    <t>Facturación_Files_/f6f15b6a.FACTURA 1.142422.pdf</t>
  </si>
  <si>
    <t>99</t>
  </si>
  <si>
    <t>Facturación_Images/f6f15b6a.DOCUMENTO.142422.jpg</t>
  </si>
  <si>
    <t>Facturación_Files_/56148d7f.FACTURA 1.140046.pdf</t>
  </si>
  <si>
    <t>100</t>
  </si>
  <si>
    <t>Facturación_Images/56148d7f.DOCUMENTO.140046.jpg</t>
  </si>
  <si>
    <t>Facturación_Files_/70182604.FACTURA 1.131021.pdf</t>
  </si>
  <si>
    <t>101</t>
  </si>
  <si>
    <t>Facturación_Files_/cbdebd4c.FACTURA 1.130137.pdf</t>
  </si>
  <si>
    <t>102</t>
  </si>
  <si>
    <t>Facturación_Files_/630ba224.FACTURA 1.015506.pdf</t>
  </si>
  <si>
    <t>103</t>
  </si>
  <si>
    <t>Facturación_Files_/e5c03ac7.FACTURA 1.164054.pdf</t>
  </si>
  <si>
    <t>104</t>
  </si>
  <si>
    <t>Facturación_Images/e5c03ac7.DOCUMENTO.164054.jpg</t>
  </si>
  <si>
    <t>Se Adjunta detalle de actualización</t>
  </si>
  <si>
    <t>Facturación_Files_/cd5dd804.FACTURA 1.222004.pdf</t>
  </si>
  <si>
    <t>105</t>
  </si>
  <si>
    <t>Facturación_Files_/63c7889d.FACTURA 1.223223.pdf</t>
  </si>
  <si>
    <t>107</t>
  </si>
  <si>
    <t>Facturación_Images/63c7889d.DOCUMENTO.223223.jpg</t>
  </si>
  <si>
    <t>Facturación_Files_/321eda94.FACTURA 1.170717.pdf</t>
  </si>
  <si>
    <t>108 / 109 / 110</t>
  </si>
  <si>
    <t>Facturación_Files_/321eda94.FACTURA 2.170717.pdf</t>
  </si>
  <si>
    <t>Facturación_Files_/321eda94.FACTURA 3.170717.pdf</t>
  </si>
  <si>
    <t>Facturación_Images/321eda94.DOCUMENTO.170721.jpg</t>
  </si>
  <si>
    <t>Facturación_Files_/36a93cfc.FACTURA 1.152034.pdf</t>
  </si>
  <si>
    <t>111</t>
  </si>
  <si>
    <t>Facturación_Images/36a93cfc.DOCUMENTO.152034.jpg</t>
  </si>
  <si>
    <t>Se adjunta calculo de ajuste bimestral</t>
  </si>
  <si>
    <t>Facturación_Files_/29eba188.FACTURA 1.160437.pdf</t>
  </si>
  <si>
    <t>112</t>
  </si>
  <si>
    <t>Facturación_Images/29eba188.DOCUMENTO.160437.jpg</t>
  </si>
  <si>
    <t>Se adjunta calculo de facturación segun contrato</t>
  </si>
  <si>
    <t>Facturación_Files_/f411acc5.FACTURA 1.184754.pdf</t>
  </si>
  <si>
    <t>113</t>
  </si>
  <si>
    <t>Facturación_Files_/90a59295.FACTURA 1.202009.pdf</t>
  </si>
  <si>
    <t>115</t>
  </si>
  <si>
    <t>Facturación_Images/90a59295.DOCUMENTO.202009.jpg</t>
  </si>
  <si>
    <t>Se adjunta Calculo de actualización Bimestral</t>
  </si>
  <si>
    <t>Facturación_Files_/36e29f86.FACTURA 1.173542.pdf</t>
  </si>
  <si>
    <t>116</t>
  </si>
  <si>
    <t>Facturación_Images/36e29f86.DOCUMENTO.173542.jpg</t>
  </si>
  <si>
    <t>Facturación_Files_/43432762.FACTURA 1.174733.pdf</t>
  </si>
  <si>
    <t>117</t>
  </si>
  <si>
    <t>Facturación_Images/43432762.DOCUMENTO.174733.jpg</t>
  </si>
  <si>
    <t>Facturación_Files_/935eec61.FACTURA 1.190830.pdf</t>
  </si>
  <si>
    <t>118</t>
  </si>
  <si>
    <t>Facturación_Images/935eec61.DOCUMENTO.190830.jpg</t>
  </si>
  <si>
    <t>Facturación_Files_/6f20bd1c.FACTURA 1.195525.pdf</t>
  </si>
  <si>
    <t>119 / 120 / 121</t>
  </si>
  <si>
    <t>Facturación_Files_/6f20bd1c.FACTURA 2.195525.pdf</t>
  </si>
  <si>
    <t>Facturación_Files_/6f20bd1c.FACTURA 3.195525.pdf</t>
  </si>
  <si>
    <t>Facturación_Images/6f20bd1c.DOCUMENTO.195528.jpg</t>
  </si>
  <si>
    <t>52fd7926</t>
  </si>
  <si>
    <t>6668f67a</t>
  </si>
  <si>
    <t>Facturación_Files_/4d1cbd42.FACTURA 1.143522.pdf</t>
  </si>
  <si>
    <t>122</t>
  </si>
  <si>
    <t>Facturación_Files_/4d1cbd42.FACTURA 2.143522.pdf</t>
  </si>
  <si>
    <t>Facturación_Files_/4d1cbd42.FACTURA 3.143522.pdf</t>
  </si>
  <si>
    <t>Facturación_Images/4d1cbd42.DOCUMENTO.143525.jpg</t>
  </si>
  <si>
    <t>Se adjunta calculo de facturación, constancia de adhesión régimen simplificado y constancia de Monotributo</t>
  </si>
  <si>
    <t>Facturación_Files_/64dbfbfd.FACTURA 1.171830.pdf</t>
  </si>
  <si>
    <t>123</t>
  </si>
  <si>
    <t>bd6c277d</t>
  </si>
  <si>
    <t>Facturación_Files_/3778344c.FACTURA 1.131528.pdf</t>
  </si>
  <si>
    <t>124</t>
  </si>
  <si>
    <t>Facturación_Images/3778344c.DOCUMENTO.131528.jpg</t>
  </si>
  <si>
    <t>08ec2769</t>
  </si>
  <si>
    <t>Facturación_Files_/a3b37b2a.FACTURA 1.132921.pdf</t>
  </si>
  <si>
    <t>125</t>
  </si>
  <si>
    <t>Proyecto Paola</t>
  </si>
  <si>
    <t>Facturación_Files_/ac7ef3f2.FACTURA 1.134336.pdf</t>
  </si>
  <si>
    <t>126</t>
  </si>
  <si>
    <t>Facturación_Files_/bcecb831.FACTURA 1.135351.pdf</t>
  </si>
  <si>
    <t>127</t>
  </si>
  <si>
    <t>Facturación_Files_/af3d7a90.FACTURA 1.190338.pdf</t>
  </si>
  <si>
    <t>128</t>
  </si>
  <si>
    <t>Facturación_Images/af3d7a90.DOCUMENTO.190338.jpg</t>
  </si>
  <si>
    <t>Facturación_Files_/7e511c00.FACTURA 1.193546.pdf</t>
  </si>
  <si>
    <t>129</t>
  </si>
  <si>
    <t>Facturación_Files_/035ba46b.FACTURA 1.194204.pdf</t>
  </si>
  <si>
    <t>130</t>
  </si>
  <si>
    <t>Facturación_Images/035ba46b.DOCUMENTO.194204.jpg</t>
  </si>
  <si>
    <t>Facturación_Files_/a5267b79.FACTURA 1.175026.pdf</t>
  </si>
  <si>
    <t>131</t>
  </si>
  <si>
    <t>Facturación_Files_/78388ca3.FACTURA 1.125510.pdf</t>
  </si>
  <si>
    <t>132</t>
  </si>
  <si>
    <t>Facturación_Images/78388ca3.DOCUMENTO.125510.jpg</t>
  </si>
  <si>
    <t>Leyenda 1</t>
  </si>
  <si>
    <t>Facturación_Files_/2834822b.FACTURA 1.180351.pdf</t>
  </si>
  <si>
    <t>133 / 134 / 135</t>
  </si>
  <si>
    <t>Facturación_Files_/2834822b.FACTURA 2.180351.pdf</t>
  </si>
  <si>
    <t>Facturación_Files_/2834822b.FACTURA 3.180351.pdf</t>
  </si>
  <si>
    <t>Facturación_Files_/2834822b.DOCUMENTO.180356.pdf</t>
  </si>
  <si>
    <t>7 hs de desarrollo correspondiente a Octubre y Mantenimiento activos digitales hasta mayo 2025 - Ver e-mail 11/11/2024</t>
  </si>
  <si>
    <t>Leyenda 2</t>
  </si>
  <si>
    <t>Facturación_Files_/f4a52ff7.FACTURA 1.162610.pdf</t>
  </si>
  <si>
    <t>136</t>
  </si>
  <si>
    <t>Leyenda 3</t>
  </si>
  <si>
    <t>Facturación_Files_/fe8e9012.FACTURA 1.124634.pdf</t>
  </si>
  <si>
    <t>Facturación_Images/fe8e9012.DOCUMENTO.124634.jpg</t>
  </si>
  <si>
    <t>Leyenda 4</t>
  </si>
  <si>
    <t>Facturación_Files_/88164b21.FACTURA 1.154835.pdf</t>
  </si>
  <si>
    <t>139</t>
  </si>
  <si>
    <t>Proyecto Nueva sucursal Paola</t>
  </si>
  <si>
    <t>Leyenda 6</t>
  </si>
  <si>
    <t>Facturación_Files_/f4b5efc0.FACTURA 1.181808.pdf</t>
  </si>
  <si>
    <t>140</t>
  </si>
  <si>
    <t>Facturación_Files_/9a0649f0.FACTURA 1.154351.pdf</t>
  </si>
  <si>
    <t>141</t>
  </si>
  <si>
    <t>App TACs y Pantalla Turnos</t>
  </si>
  <si>
    <t>https://api.textmebot.com/send.php?recipient=+5493424770891&amp;apikey=xoF6EUkK31se&amp;</t>
  </si>
  <si>
    <t>Facturación_Files_/fff2f131.FACTURA 1.170922.pdf</t>
  </si>
  <si>
    <t>142</t>
  </si>
  <si>
    <t>App Gestión de compras</t>
  </si>
  <si>
    <t>Facturación_Files_/0ec1e380.FACTURA 1.194821.pdf</t>
  </si>
  <si>
    <t>143</t>
  </si>
  <si>
    <t>Facturación_Files_/b498209b.FACTURA 1.191423.pdf</t>
  </si>
  <si>
    <t>144</t>
  </si>
  <si>
    <t>App Distribución</t>
  </si>
  <si>
    <t>Facturación_Files_/8e3bf56c.FACTURA 1.191651.pdf</t>
  </si>
  <si>
    <t>145</t>
  </si>
  <si>
    <t>Facturación_Files_/8ab4a705.FACTURA 1.192407.pdf</t>
  </si>
  <si>
    <t>146</t>
  </si>
  <si>
    <t>https://api.textmebot.com/send.php?recipient=+5491171282725&amp;apikey=xoF6EUkK31se&amp;</t>
  </si>
  <si>
    <t>Hola Martin! 👋 
Te envío la factura correspondiente por la prestación de servicios durante el período 26/11/24 al 27/12/24. 
📋 *Detalles de la factura:* 
• Número: 146 
• Fecha de Emisión: 10/12/24 
• Fecha de Vencimiento: 17/12/24 
• Monto Total: $ 367000.
💼 *Cuenta para el depósito:* 
• CUIT: 20-33122879-7 
• Titular: Adrian Carlos Patriarca 
• CBU: 3840200500000014889338 
• Alias: HABRE.JAGUAR.ENTERES 
• Banco: Wilobank S.A.U (Ualá) 🏦 
Te agradecería si me confirmás la recepción y me avisás una fecha estimada de pago. 😊 
Desde ya, muchas gracias!</t>
  </si>
  <si>
    <t>Facturación_Files_/d02d4019.FACTURA 1.130136.pdf</t>
  </si>
  <si>
    <t>147</t>
  </si>
  <si>
    <t>Facturación_Files_/8790df98.FACTURA 1.145222.pdf</t>
  </si>
  <si>
    <t>148</t>
  </si>
  <si>
    <t>Consultoría y proyectos</t>
  </si>
  <si>
    <t>Facturación_Files_/b9ee7f17.FACTURA 1.192727.pdf</t>
  </si>
  <si>
    <t>149</t>
  </si>
  <si>
    <t>Facturación_Files_/58627ef4.FACTURA 1.134622.pdf</t>
  </si>
  <si>
    <t>150</t>
  </si>
  <si>
    <t>Proyecto Nueva sucursal Realizado por Paola</t>
  </si>
  <si>
    <t>Facturación_Files_/7607ecbe.FACTURA 1.153637.pdf</t>
  </si>
  <si>
    <t>152</t>
  </si>
  <si>
    <t>https://api.textmebot.com/send.php?recipient=+5493425389073&amp;apikey=xoF6EUkK31se&amp;</t>
  </si>
  <si>
    <t>Hola Martin! 👋 
Te envío la factura correspondiente por la prestación de servicios durante el período 06/12/24 al 06/01/25. 
📋 *Detalles de la factura:* 
• Número: 152 
• Fecha de Emisión: 06/01/25 
• Fecha de Vencimiento: 15/01/25 
• Monto Total: $ 897000.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</si>
  <si>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Facturación_Files_/d2c7c719.FACTURA 1.140000.pdf</t>
  </si>
  <si>
    <t>153</t>
  </si>
  <si>
    <t>https://api.textmebot.com/send.php?recipient=+5493425225459&amp;apikey=xoF6EUkK31se&amp;</t>
  </si>
  <si>
    <t>Hola Ignacio! 👋 
Te envío la factura correspondiente por la prestación de servicios durante el período 04/12/24 al 04/01/25. 
📋 *Detalles de la factura:* 
• Número: 153 
• Fecha de Emisión: 07/01/25 
• Fecha de Vencimiento: 14/01/25 
• Monto Total: $ 635000.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</si>
  <si>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Facturación_Files_/00afb144.FACTURA 1.140930.pdf</t>
  </si>
  <si>
    <t>154</t>
  </si>
  <si>
    <t>https://api.textmebot.com/send.php?recipient=+5493424062455&amp;apikey=xoF6EUkK31se&amp;</t>
  </si>
  <si>
    <t>Hola Gonzalo! 👋 
Te envío la factura correspondiente por la prestación de servicios durante el período 27/11/24 al 28/12/24. 
📋 *Detalles de la factura:* 
• Número: 154 
• Fecha de Emisión: 07/01/25 
• Fecha de Vencimiento: 13/01/25 
• Monto Total: $ 572000.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</si>
  <si>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Facturación_Files_/81b7989e.FACTURA 1.142524.pdf</t>
  </si>
  <si>
    <t>155</t>
  </si>
  <si>
    <t>https://api.textmebot.com/send.php?recipient=+5493425468752&amp;apikey=xoF6EUkK31se&amp;</t>
  </si>
  <si>
    <t>Hola Luciano! 👋 
Te envío la factura correspondiente por la prestación de servicios durante el período 04/12/24 al 04/01/25. 
📋 *Detalles de la factura:* 
• Número: 155 
• Fecha de Emisión: 07/01/25 
• Fecha de Vencimiento: 14/01/25 
• Monto Total: $ 775000.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</si>
  <si>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Facturación_Files_/00a97498.FACTURA 1.143400.pdf</t>
  </si>
  <si>
    <t>156</t>
  </si>
  <si>
    <t>Hola Juan! 👋 
Te envío la factura correspondiente por la prestación de servicios durante el período 23/11/24 al 23/12/24. 
📋 *Detalles de la factura:* 
• Número: 156 
• Fecha de Emisión: 07/01/25 
• Fecha de Vencimiento: 21/01/25 
• Monto Total: $ 861000.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</si>
  <si>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Facturación_Files_/c23a0fca.FACTURA 1.184312.pdf</t>
  </si>
  <si>
    <t>https://api.textmebot.com/send.php?recipient=+5493521639222&amp;apikey=xoF6EUkK31se&amp;</t>
  </si>
  <si>
    <t>Hola Alan! 👋 
Te envío la factura correspondiente por la prestación de servicios durante el período 07/12/24 al 07/01/25. 
📋 *Detalles de la factura:* 
• Número: 18 
• Fecha de Emisión: 08/01/25 
• Fecha de Vencimiento: 14/01/25 
• Monto Total: $ 561000.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</si>
  <si>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Facturación_Files_/08d5d471.FACTURA 1.124223.pdf</t>
  </si>
  <si>
    <t>Hola Martin! 👋 
Te envío la factura correspondiente por la prestación de servicios durante el período 27/11/24 al 28/12/24. 
📋 *Detalles de la factura:* 
• Número: 19 
• Fecha de Emisión: 14/01/25 
• Fecha de Vencimiento: 21/01/25 
• Monto Total: $ 376000.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</si>
  <si>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Facturación_Files_/4405da1e.FACTURA 1.003155.pdf</t>
  </si>
  <si>
    <t>https://api.textmebot.com/send.php?recipient=+5492267434320&amp;apikey=xoF6EUkK31se&amp;</t>
  </si>
  <si>
    <t>Hola Pablo! 👋 
Te envío la factura correspondiente por la prestación de servicios durante el período 14/12/24 al 15/01/25. 
📋 *Detalles de la factura:* 
• Número: 20 
• Fecha de Emisión: 14/01/25 
• Fecha de Vencimiento: 23/01/25 
• Monto Total: $ 590000.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</si>
  <si>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Facturación_Files_/42be4393.FACTURA 1.130234.pdf</t>
  </si>
  <si>
    <t>Hola Ignacio! 👋 
Te envío la factura correspondiente por la prestación de servicios durante el período 19/12/24 al 20/01/25. 
📋 *Detalles de la factura:* 
• Número: 21 
• Fecha de Emisión: 30/01/25 
• Fecha de Vencimiento: 06/02/25 
• Monto Total: $ 626000.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</si>
  <si>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Facturación_Files_/18fa70b1.FACTURA 1.190829.pdf</t>
  </si>
  <si>
    <t>158 / 159 / 160</t>
  </si>
  <si>
    <t>Facturación_Files_/18fa70b1.FACTURA 2.190829.pdf</t>
  </si>
  <si>
    <t>Facturación_Files_/18fa70b1.FACTURA 3.190829.pdf</t>
  </si>
  <si>
    <t>de964d58</t>
  </si>
  <si>
    <t>Desarrollo y puesta en Linea del tablero de control de Neumaticos solicitado.</t>
  </si>
  <si>
    <t>https://api.textmebot.com/send.php?recipient=+5493424236299&amp;apikey=xoF6EUkK31se&amp;</t>
  </si>
  <si>
    <t>Hola Gonzalo! 👋 
Te envío la factura correspondiente por la prestación de servicios durante el período 14/01/25 al 30/01/25. 
📋 *Detalles de la factura:* 
• Número: 158 / 159 / 160 
• Fecha de Emisión: 30/01/25 
• Fecha de Vencimiento: 13/02/25 
• Monto Total: $ 150000.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</si>
  <si>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Facturación_Files_/93822fef.FACTURA 1.195039.pdf</t>
  </si>
  <si>
    <t>161</t>
  </si>
  <si>
    <t>App TACs,  Pantalla Turnos, Integración con RFD</t>
  </si>
  <si>
    <t>Hola Juan! 👋 
Te envío la factura correspondiente por la prestación de servicios durante el período 22/12/24 al 23/01/25. 
📋 *Detalles de la factura:* 
• Número: 161 
• Fecha de Emisión: 30/01/25 
• Fecha de Vencimiento: 13/02/25 
• Monto Total: $ 861000.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</si>
  <si>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Facturación_Files_/1c42109e.FACTURA 1.121918.pdf</t>
  </si>
  <si>
    <t>Hola Alan! 👋 
Te envío la factura correspondiente por la prestación de servicios durante el período 07/01/25 al 07/02/25. 
📋 *Detalles de la factura:* 
• Número: 22 
• Fecha de Emisión: 07/02/25 
• Fecha de Vencimiento: 13/02/25 
• Monto Total: $ 575000.
💼 *Cuenta para el depósito:* 
• CUIT: 20305727785 
• Titular: SEBASTIAN GASTON WOLF 
• CBU: 1430001713033201820014 
• Alias: apsol.consultoria 
• Banco: BRUBANK 🏦 
Te agradecería si me confirmás la recepción y me avisás una fecha estimada de pago. 😊 
Desde ya, muchas gracias!</t>
  </si>
  <si>
    <t>8633efd8</t>
  </si>
  <si>
    <t>Facturación_Files_/b88c49ce.FACTURA 1.122622.pdf</t>
  </si>
  <si>
    <t>162</t>
  </si>
  <si>
    <t>Hola Gonzalo! 👋 
Te envío la factura correspondiente por la prestación de servicios durante el período 28/12/24 al 28/01/25. 
📋 *Detalles de la factura:* 
• Número: 162 
• Fecha de Emisión: 07/02/25 
• Fecha de Vencimiento: 13/02/25 
• Monto Total: $ 586000.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</si>
  <si>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Facturación_Files_/194dd190.FACTURA 1.123037.pdf</t>
  </si>
  <si>
    <t>163</t>
  </si>
  <si>
    <t>App Distribución y Tableros de control</t>
  </si>
  <si>
    <t>Hola Luciano! 👋 
Te envío la factura correspondiente por la prestación de servicios durante el período 04/01/25 al 04/02/25. 
📋 *Detalles de la factura:* 
• Número: 163 
• Fecha de Emisión: 07/02/25 
• Fecha de Vencimiento: 14/02/25 
• Monto Total: $ 795000.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</si>
  <si>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Facturación_Files_/da788e66.FACTURA 1.124116.pdf</t>
  </si>
  <si>
    <t>Servicio de Transformación digital</t>
  </si>
  <si>
    <t>Hola Ignacio! 👋 
Te envío la factura correspondiente por la prestación de servicios durante el período 04/01/25 al 04/02/25. 
📋 *Detalles de la factura:* 
• Número: 23 
• Fecha de Emisión: 07/02/25 
• Fecha de Vencimiento: 14/02/25 
• Monto Total: $ 635000.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</si>
  <si>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Facturación_Files_/151c02c4.FACTURA 1.122022.pdf</t>
  </si>
  <si>
    <t>Hola Martin! 👋 
Te envío la factura correspondiente por la prestación de servicios durante el período 07/01/25 al 06/02/25. 
📋 *Detalles de la factura:* 
• Número: 24 
• Fecha de Emisión: 11/02/25 
• Fecha de Vencimiento: 20/02/25 
• Monto Total: $ 800000.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</si>
  <si>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Facturación_Images/be4344ae.FACTURA 1.190025.jpg</t>
  </si>
  <si>
    <t>Se envia resumen para pago en efectivo</t>
  </si>
  <si>
    <t>2033122879</t>
  </si>
  <si>
    <t>Mantenimiento de Desarrollos</t>
  </si>
  <si>
    <t>Hola Gustavo! 👋 
Te envío la factura correspondiente por la prestación de servicios durante el período 11/01/25 al 11/02/25. 
📋 *Detalles de la factura:* 
• Número: 1 
• Fecha de Emisión: 11/02/25 
• Fecha de Vencimiento: 25/02/25 
• Monto Total: $ 726000.
💼 *Cuenta para el depósito:* 
• CUIT: 2033122879 
• Titular: Adrian Patriarca 
• CBU: Efectivo 
• Alias: Efectivo 
• Banco: Efectivo 🏦 
Te agradecería si me confirmás la recepción y me avisás una fecha estimada de pago. 😊 
Desde ya, muchas gracias!</t>
  </si>
  <si>
    <t>Facturación_Files_/34398f15.FACTURA 1.121940.pdf</t>
  </si>
  <si>
    <t>Hola Pablo! 👋 
Te envío la factura correspondiente por la prestación de servicios durante el período 15/01/25 al 15/02/25. 
📋 *Detalles de la factura:* 
• Número: 25 
• Fecha de Emisión: 21/02/25 
• Fecha de Vencimiento: 27/02/25 
• Monto Total: $ 606000.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</si>
  <si>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Facturación_Files_/4cd0be41.FACTURA 1.131421.pdf</t>
  </si>
  <si>
    <t>164</t>
  </si>
  <si>
    <t>Hola Juan! 👋 
Te envío la factura correspondiente por la prestación de servicios durante el período 23/01/25 al 23/02/25. 
📋 *Detalles de la factura:* 
• Número: 164 
• Fecha de Emisión: 27/02/25 
• Fecha de Vencimiento: 11/03/25 
• Monto Total: $ 895000.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</si>
  <si>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Facturación_Files_/cd14f87c.FACTURA 1.125120.pdf</t>
  </si>
  <si>
    <t>Hola Alan! 👋 
Te envío la factura correspondiente por la prestación de servicios durante el período 07/02/25 al 07/03/25. 
📋 *Detalles de la factura:* 
• Número: 26 
• Fecha de Emisión: 11/03/25 
• Fecha de Vencimiento: 18/03/25 
• Monto Total: $ 588000.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</si>
  <si>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Facturación_Images/5ee64cab.FACTURA 1.125951.png</t>
  </si>
  <si>
    <t>Sin/Factura pago efectivo</t>
  </si>
  <si>
    <t>Va sin factura. Avisar si se quiere la misma. Gracias</t>
  </si>
  <si>
    <t>Hola Gustavo! 👋 
Te envío la factura correspondiente por la prestación de servicios durante el período 11/02/25 al 11/03/25. 
📋 *Detalles de la factura:* 
• Número: Sin/Factura pago efectivo 
• Fecha de Emisión: 11/03/25 
• Fecha de Vencimiento: 21/03/25 
• Monto Total: $ 741000.
💼 *Cuenta para el depósito:* 
• CUIT: 2033122879 
• Titular: Adrian Patriarca 
• CBU: Efectivo 
• Alias: Efectivo 
• Banco: Efectivo 🏦 
Te agradecería si me confirmás la recepción y me avisás una fecha estimada de pago. 😊 
Desde ya, muchas gracias!</t>
  </si>
  <si>
    <t>Facturación_Files_/25f40de1.FACTURA 1.133340.pdf</t>
  </si>
  <si>
    <t>165</t>
  </si>
  <si>
    <t>Hola Luciano! 👋 
Te envío la factura correspondiente por la prestación de servicios durante el período 04/02/25 al 04/03/25. 
📋 *Detalles de la factura:* 
• Número: 165 
• Fecha de Emisión: 11/03/25 
• Fecha de Vencimiento: 18/03/25 
• Monto Total: $ 811000.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</si>
  <si>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Facturación_Files_/0b87b959.FACTURA 1.140917.pdf</t>
  </si>
  <si>
    <t>4fda9d66</t>
  </si>
  <si>
    <t>Hola Ignacio! 👋 
Te envío la factura correspondiente por la prestación de servicios durante el período 04/02/25 al 04/03/25. 
📋 *Detalles de la factura:* 
• Número: 27 
• Fecha de Emisión: 11/03/25 
• Fecha de Vencimiento: 18/03/25 
• Monto Total: $ 1364000.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</si>
  <si>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Facturación_Files_/a67fcf5c.FACTURA 1.211138.pdf</t>
  </si>
  <si>
    <t>Hola Martin! 👋 
Te envío la factura correspondiente por la prestación de servicios durante el período 06/02/25 al 06/03/25. 
📋 *Detalles de la factura:* 
• Número: 28 
• Fecha de Emisión: 11/03/25 
• Fecha de Vencimiento: 20/03/25 
• Monto Total: $ 960000.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</si>
  <si>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Facturación_Files_/25e282ec.FACTURA 1.184432.pdf</t>
  </si>
  <si>
    <t>166</t>
  </si>
  <si>
    <t>https://api.textmebot.com/send.php?recipient=+5493425295451&amp;apikey=xoF6EUkK31se&amp;</t>
  </si>
  <si>
    <t>Hola Gonzalo! 👋 
Te envío la factura correspondiente por la prestación de servicios durante el período 28/01/25 al 28/02/25. 
📋 *Detalles de la factura:* 
• Número: 166 
• Fecha de Emisión: 13/03/25 
• Fecha de Vencimiento: 24/03/25 
• Monto Total: $ 602000.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</si>
  <si>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Facturación_Files_/a94af567.FACTURA 1.190856.pdf</t>
  </si>
  <si>
    <t>167/168/169</t>
  </si>
  <si>
    <t>Facturación_Files_/a94af567.FACTURA 2.190856.pdf</t>
  </si>
  <si>
    <t>Facturación_Files_/a94af567.FACTURA 3.190856.pdf</t>
  </si>
  <si>
    <t>10 hs. Desarrollo y puesta en Linea del tablero de control de Neumaticos solicitado. Cambios solicitados luego de la finalización del tablero de neumaticos, Posterior adaptación del tablero a una nueva base de datos. Cambios en la app.</t>
  </si>
  <si>
    <t>10 hs- Desarrollo y puesta en Linea del tablero de control de Neumaticos solicitado. Cambios solicitados luego de la finalización del tablero de neumaticos, Posterior adaptación del tablero a una nueva base de datos. Cambios en la app.</t>
  </si>
  <si>
    <t>Hola Gonzalo! 👋 
Te envío la factura correspondiente por la prestación de servicios durante el período 31/01/25 al 06/03/25. 
📋 *Detalles de la factura:* 
• Número: 167/168/169 
• Fecha de Emisión: 13/03/25 
• Fecha de Vencimiento: 25/03/25 
• Monto Total: $ 303160.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</si>
  <si>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Facturación_Files_/c2a2b45b.FACTURA 1.204055.pdf</t>
  </si>
  <si>
    <t>Hola Pablo! 👋 
Te envío la factura correspondiente por la prestación de servicios durante el período 15/02/25 al 15/03/25. 
📋 *Detalles de la factura:* 
• Número: 29 
• Fecha de Emisión: 26/03/25 
• Fecha de Vencimiento: 28/03/25 
• Monto Total: $ 620000.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</si>
  <si>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Facturación_Files_/4420acf7.FACTURA 1.171437.pdf</t>
  </si>
  <si>
    <t>170</t>
  </si>
  <si>
    <t>Hola Juan! 👋 
Te envío la factura correspondiente por la prestación de servicios durante el período 23/02/25 al 23/03/25. 
📋 *Detalles de la factura:* 
• Número: 170 
• Fecha de Emisión: 31/03/25 
• Fecha de Vencimiento: 10/04/25 
• Monto Total: $ 895000.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</si>
  <si>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Facturación_Files_/fa626936.FACTURA 1.130355.pdf</t>
  </si>
  <si>
    <t>Hola Ignacio! 👋 
Te envío la factura correspondiente por la prestación de servicios durante el período 04/03/25 al 04/04/25. 
📋 *Detalles de la factura:* 
• Número: 30 
• Fecha de Emisión: 09/04/25 
• Fecha de Vencimiento: 16/04/25 
• Monto Total: $ 1364000.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</si>
  <si>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Facturación_Files_/c7098e40.FACTURA 1.130850.pdf</t>
  </si>
  <si>
    <t>171</t>
  </si>
  <si>
    <t>Hola Luciano! 👋 
Te envío la factura correspondiente por la prestación de servicios durante el período 04/03/25 al 04/04/25. 
📋 *Detalles de la factura:* 
• Número: 171 
• Fecha de Emisión: 09/04/25 
• Fecha de Vencimiento: 16/04/25 
• Monto Total: $ 833000.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</si>
  <si>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Facturación_Files_/45975c04.FACTURA 1.125519.pdf</t>
  </si>
  <si>
    <t>31</t>
  </si>
  <si>
    <t>Hola Martin! 👋 
Te envío la factura correspondiente por la prestación de servicios durante el período 07/03/25 al 06/04/25. 
📋 *Detalles de la factura:* 
• Número: 31 
• Fecha de Emisión: 11/04/25 
• Fecha de Vencimiento: 22/04/25 
• Monto Total: $ 1174000.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</si>
  <si>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Facturación_Images/4e55b9ba.FACTURA 1.125935.png</t>
  </si>
  <si>
    <t>https://api.textmebot.com/send.php?recipient=+5493493661975&amp;apikey=xoF6EUkK31se&amp;</t>
  </si>
  <si>
    <t>Hola Estefania! 👋 
Te envío la factura correspondiente por la prestación de servicios durante el período 11/03/25 al 11/04/25. 
📋 *Detalles de la factura:* 
• Número: - 
• Fecha de Emisión: 11/04/25 
• Fecha de Vencimiento: 23/04/25 
• Monto Total: $ 759000.
💼 *Cuenta para el depósito:* 
• CUIT: 2033122879 
• Titular: Adrian Patriarca 
• CBU: Efectivo 
• Alias: Efectivo 
• Banco: Efectivo 🏦 
Te agradecería si me confirmás la recepción y me avisás una fecha estimada de pago. 😊 
Desde ya, muchas gracias!</t>
  </si>
  <si>
    <t>Facturación_Files_/cc2c4816.FACTURA 1.162605.pdf</t>
  </si>
  <si>
    <t>172</t>
  </si>
  <si>
    <t>Hola Gonzalo! 👋 
Te envío la factura correspondiente por la prestación de servicios durante el período 28/02/25 al 28/03/25. 
📋 *Detalles de la factura:* 
• Número: 172 
• Fecha de Emisión: 21/04/25 
• Fecha de Vencimiento: 30/04/25 
• Monto Total: $ 615000.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</si>
  <si>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Facturación_Files_/690e7ed7.FACTURA 1.195512.pdf</t>
  </si>
  <si>
    <t>173</t>
  </si>
  <si>
    <t>Facturación_Files_/690e7ed7.FACTURA 2.195512.pdf</t>
  </si>
  <si>
    <t>Facturación_Files_/690e7ed7.FACTURA 3.195512.pdf</t>
  </si>
  <si>
    <t>bb95f4ef</t>
  </si>
  <si>
    <t>https://api.textmebot.com/send.php?recipient=+5493425380483&amp;apikey=xoF6EUkK31se&amp;</t>
  </si>
  <si>
    <t>Hola Marketing! 👋 
Te envío la factura correspondiente por la prestación de servicios durante el período 18/03/25 al 18/04/25. 
📋 *Detalles de la factura:* 
• Número: 173 
• Fecha de Emisión: 21/04/25 
• Fecha de Vencimiento: 01/05/25 
• Monto Total: $ 378000.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</si>
  <si>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Facturación_Files_/5263d2ec.FACTURA 1.145057.pdf</t>
  </si>
  <si>
    <t>176</t>
  </si>
  <si>
    <t>Hola Juan! 👋 
Te envío la factura correspondiente por la prestación de servicios durante el período 23/03/25 al 23/04/25. 
📋 *Detalles de la factura:* 
• Número: 176 
• Fecha de Emisión: 28/04/25 
• Fecha de Vencimiento: 08/05/25 
• Monto Total: $ 939000.
💼 *Cuenta para el depósito:*• CUIT: 20331228797 
• Titular: PATRIARCA ADRIAN CARLOS 
• CBU: 110491630049195615179 
• Alias: apsol.consultora 
• Banco: Banco Nación 🏦
Te agradecería si me confirmás la recepción y me avisás una fecha estimada de pago. 😊 
Desde ya, muchas gracias!</t>
  </si>
  <si>
    <t>Facturación_Files_/b41dfa0d.FACTURA 1.143726.pdf</t>
  </si>
  <si>
    <t>32</t>
  </si>
  <si>
    <t>Hola Ignacio! 👋 
Te envío la factura correspondiente por la prestación de servicios durante el período 04/04/25 al 04/05/25. 
📋 *Detalles de la factura:* 
• Número: 32 
• Fecha de Emisión: 08/05/25 
• Fecha de Vencimiento: 15/05/25 
• Monto Total: $ 1364000.
💼 *Cuenta para el depósito:*• CUIT: 20305727785 
• Titular: SEBASTIAN GASTON WOLF 
• CBU: 1430001713033201820014 
• Alias: apsol.consultoria 
• Banco: BRUBANK 🏦
Te agradecería si me confirmás la recepción y me avisás una fecha estimada de pago. 😊 
Desde ya, muchas gracias!</t>
  </si>
  <si>
    <t>Facturación_Files_/b946d528.FACTURA 1.152124.pdf</t>
  </si>
  <si>
    <t>177</t>
  </si>
  <si>
    <t>Hola Luciano! 👋 
Te envío la factura correspondiente por la prestación de servicios durante el período 04/04/25 al 04/05/25. 
📋 *Detalles de la factura:* 
• Número: 177 
• Fecha de Emisión: 08/05/25 
• Fecha de Vencimiento: 15/05/25 
• Monto Total: $ 856000.
💼 *Cuenta para el depósito:* 
• CUIT: 20331228797 
• Titular: PATRIARCA ADRIAN CARLOS 
• CBU: 0110491630049195615179 
• Alias: apsol.consultora 
• Banco: Banco Nación 🏦 
Te agradecería si me confirmás la recepción y me avisás una fecha estimada de pago. 😊 
Desde ya, muchas gracias!</t>
  </si>
  <si>
    <t>Facturación_Files_/d5066746.FACTURA 1.164804.pdf</t>
  </si>
  <si>
    <t>33</t>
  </si>
  <si>
    <t>Hola Alan! 👋 
Te envío la factura correspondiente por la prestación de servicios durante el período 07/04/25 al 07/05/25. 
📋 *Detalles de la factura:* 
• Número: 33 
• Fecha de Emisión: 08/05/25 
• Fecha de Vencimiento: 15/05/25 
• Monto Total: $ 602000.
💼 *Cuenta para el depósito:* 
• CUIT: 20305727785 
• Titular: SEBASTIAN GASTON WOLF 
• CBU: 1430001713033201820014 
• Alias: apsol.consultoria 
• Banco: BRUBANK 🏦 
Te agradecería si me confirmás la recepción y me avisás una fecha estimada de pago. 😊 
Desde ya, muchas gracias!</t>
  </si>
  <si>
    <t>Facturación_Images/ab6f35c1.FACTURA 1.200352.png</t>
  </si>
  <si>
    <t>Pago Efectivo</t>
  </si>
  <si>
    <t>Hola Estefania! 👋 
Te envío la factura correspondiente por la prestación de servicios durante el período 11/04/25 al 11/05/25. 
📋 *Detalles de la factura:* 
• Número: Pago Efectivo 
• Fecha de Emisión: 12/05/25 
• Fecha de Vencimiento: 22/05/25 
• Monto Total: $ 784000.
💼 *Cuenta para el depósito:*Te agradecería si me confirmás la recepción y me avisás una fecha estimada de pago. 😊 
Desde ya, muchas gracias!</t>
  </si>
  <si>
    <t>Facturación_Files_/395b5734.FACTURA 1.202000.pdf</t>
  </si>
  <si>
    <t>178</t>
  </si>
  <si>
    <t>App Gestión de compras, Desarrollo de tableros de control de costos</t>
  </si>
  <si>
    <t>Hola Gonzalo! 👋 
Te envío la factura correspondiente por la prestación de servicios durante el período 28/03/25 al 28/04/25. 
📋 *Detalles de la factura:* 
• Número: 178 
• Fecha de Emisión: 12/05/25 
• Fecha de Vencimiento: 21/05/25 
• Monto Total: $ 631000.
💼 *Cuenta para el depósito:*• CUIT: 20331228797 
• Titular: PATRIARCA ADRIAN CARLOS 
• CBU: 110491630049195620000 
• Alias: apsol.consultora 
• Banco: Banco Nación 🏦
Te agradecería si me confirmás la recepción y me avisás una fecha estimada de pago. 😊 
Desde ya, muchas gracias!</t>
  </si>
  <si>
    <t>fdf5bc2b</t>
  </si>
  <si>
    <t>Pago USDT 10% de descuento</t>
  </si>
  <si>
    <t>d72a37d1</t>
  </si>
  <si>
    <t>https://api.textmebot.com/send.php?recipient=+5491164872810&amp;apikey=xoF6EUkK31se&amp;</t>
  </si>
  <si>
    <t>Hola Andrea! 👋 
Te envío la factura correspondiente por la prestación de servicios durante el período 14/04/25 al 14/05/25. 
📋 *Detalles de la factura:* 
• Número: - 
• Fecha de Emisión: 15/05/25 
• Fecha de Vencimiento: 21/05/25 
• Monto Total: $ 423.
💼 *Cuenta para el depósito:*- Moneda: USDT
- Wallet address: TC5fTBZgcAKAFvKUwB1JSfsKWjktkNA4Sj
- Red: Tron - TRX - TRC20
Te agradecería si me confirmás la recepción y me avisás una fecha estimada de pago. 😊 
Desde ya, muchas gracias!</t>
  </si>
  <si>
    <t>Facturación_Files_/7098ee6a.FACTURA 1.141712.pdf</t>
  </si>
  <si>
    <t>34</t>
  </si>
  <si>
    <t>Hola Martin! 👋 
Te envío la factura correspondiente por la prestación de servicios durante el período 07/04/25 al 06/05/25. 
📋 *Detalles de la factura:* 
• Número: 34 
• Fecha de Emisión: 19/05/25 
• Fecha de Vencimiento: 28/05/25 
• Monto Total: $ 1014000.
💼 *Cuenta para el depósito:*• CUIT: 20305727785 
• Titular: SEBASTIAN GASTON WOLF 
• CBU: 1430001713033201820014 
• Alias: apsol.consultoria 
• Banco: BRUBANK 🏦
Te agradecería si me confirmás la recepción y me avisás una fecha estimada de pago. 😊 
Desde ya, muchas gracias!</t>
  </si>
  <si>
    <t>Facturación_Files_/e5f8b8fc.FACTURA 1.144317.pdf</t>
  </si>
  <si>
    <t>179 / 180 / 181</t>
  </si>
  <si>
    <t>Facturación_Files_/e5f8b8fc.FACTURA 2.144317.pdf</t>
  </si>
  <si>
    <t>Facturación_Files_/e5f8b8fc.FACTURA 3.144317.pdf</t>
  </si>
  <si>
    <t>Hola Marketing! 👋 
Te envío la factura correspondiente por la prestación de servicios durante el período 18/04/25 al 18/05/25. 
📋 *Detalles de la factura:* 
• Número: 179 / 180 / 181 
• Fecha de Emisión: 19/05/25 
• Fecha de Vencimiento: 29/05/25 
• Monto Total: $ 378000.
💼 *Cuenta para el depósito:*• CUIT: 20331228797 
• Titular: PATRIARCA ADRIAN CARLOS 
• CBU: 110491630049195615179 
• Alias: apsol.consultora 
• Banco: Banco Nación 🏦
Te agradecería si me confirmás la recepción y me avisás una fecha estimada de pago. 😊 
Desde ya, muchas gracias!</t>
  </si>
  <si>
    <t>Facturación_Files_/f90fb623.FACTURA 1.161617.pdf</t>
  </si>
  <si>
    <t>App TACs,  Pantalla Turnos, Integración con RFD, Tableros de Control</t>
  </si>
  <si>
    <t>Hola Juan! 👋 
Te envío la factura correspondiente por la prestación de servicios durante el período 23/04/25 al 23/05/25. 
📋 *Detalles de la factura:* 
• Número: 182 
• Fecha de Emisión: 28/05/25 
• Fecha de Vencimiento: 09/06/25 
• Monto Total: $ 998000.
💼 *Cuenta para el depósito:*• CUIT: 20331228797 
• Titular: PATRIARCA ADRIAN CARLOS 
• CBU: 110491630049195615179 
• Alias: apsol.consultora 
• Banco: Banco Nación 🏦
Te agradecería si me confirmás la recepción y me avisás una fecha estimada de pago. 😊 
Desde ya, muchas gracias!</t>
  </si>
  <si>
    <t>43b3da09</t>
  </si>
  <si>
    <t>Facturación_Images/090781fe.FACTURA 1.165318.png</t>
  </si>
  <si>
    <t>Total $ 610.000 -  10% de descuento = $549.000.-</t>
  </si>
  <si>
    <t>d023bea5</t>
  </si>
  <si>
    <t>Asistente virtual y plataforma de gestión</t>
  </si>
  <si>
    <t>https://api.textmebot.com/send.php?recipient=+5493492527138&amp;apikey=xoF6EUkK31se&amp;</t>
  </si>
  <si>
    <t>Hola Gastón! 👋 
Te envío la factura correspondiente por la prestación de servicios durante el período 22/04/25 al 22/05/25. 
📋 *Detalles de la factura:* 
• Número: - 
• Fecha de Emisión: 28/05/25 
• Fecha de Vencimiento: 05/06/25 
• Monto Total: $ 549000.
💼 *Cuenta para el depósito:*• CUIT: 20331228797 
• Titular: PATRIARCA ADRIAN CARLOS 
• CBU: 110491630049195615179 
• Alias: apsol.consultora 
• Banco: Banco Nación 🏦
Te agradecería si me confirmás la recepción y me avisás una fecha estimada de pago. 😊 
Desde ya, muchas gracias!</t>
  </si>
  <si>
    <t>183</t>
  </si>
  <si>
    <t>Hola Gonzalo! 👋 
Te envío la factura correspondiente por la prestación de servicios durante el período 28/04/25 al 28/05/25. 
📋 *Detalles de la factura:* 
• Número: 183 
• Fecha de Emisión: 09/06/25 
• Fecha de Vencimiento: 18/06/25 
• Monto Total: $ 654000.
💼 *Cuenta para el depósito:*- CUIT: 20331228797
- Titular: PATRIARCA ADRIAN CARLOS
- Cbu: 110491630049195615179
- Alias: apsol.consultora
- Banco: Banco Nación
Te agradecería si me confirmás la recepción y me avisás una fecha estimada de pago. 😊 
Desde ya, muchas gracias!</t>
  </si>
  <si>
    <t>Facturación_Files_/4ca61917.FACTURA 1.125251.pdf</t>
  </si>
  <si>
    <t>36</t>
  </si>
  <si>
    <t>Hola Ignacio! 👋 
Te envío la factura correspondiente por la prestación de servicios durante el período 04/05/25 al 04/06/25. 
📋 *Detalles de la factura:* 
• Número: 36 
• Fecha de Emisión: 09/06/25 
• Fecha de Vencimiento: 16/06/25 
• Monto Total: $ 1364000.
💼 *Cuenta para el depósito:*• CUIT: 20305727785 
• Titular: SEBASTIAN GASTON WOLF 
• CBU: 1.4300017130332018e+21 
• Alias: apsol.consultoria 
• Banco: BRUBANK 🏦
Te agradecería si me confirmás la recepción y me avisás una fecha estimada de pago. 😊 
Desde ya, muchas gracias!</t>
  </si>
  <si>
    <t>Facturación_Files_/52a6976a.FACTURA 1.125645.pdf</t>
  </si>
  <si>
    <t>37</t>
  </si>
  <si>
    <t>Hola Alan! 👋 
Te envío la factura correspondiente por la prestación de servicios durante el período 07/05/25 al 07/06/25. 
📋 *Detalles de la factura:* 
• Número: 37 
• Fecha de Emisión: 09/06/25 
• Fecha de Vencimiento: 16/06/25 
• Monto Total: $ 622000.
💼 *Cuenta para el depósito:*• CUIT: 20305727785 
• Titular: SEBASTIAN GASTON WOLF 
• CBU: 1.4300017130332018e+21 
• Alias: apsol.consultoria 
• Banco: BRUBANK 🏦
Te agradecería si me confirmás la recepción y me avisás una fecha estimada de pago. 😊 
Desde ya, muchas gracias!</t>
  </si>
  <si>
    <t>Facturación_Files_/eb49e8d8.FACTURA 1.163558.pdf</t>
  </si>
  <si>
    <t>38</t>
  </si>
  <si>
    <t>5d431273</t>
  </si>
  <si>
    <t>Mantenimiento de sistemas actuales, Desarrollo de soluciones.</t>
  </si>
  <si>
    <t>Hola Martin! 👋 
Te envío la factura correspondiente por la prestación de servicios durante el período 06/05/25 al 06/06/25. 
📋 *Detalles de la factura:* 
• Número: 38 
• Fecha de Emisión: 09/06/25 
• Fecha de Vencimiento: 18/06/25 
• Monto Total: $ 592000.
💼 *Cuenta para el depósito:*• CUIT: 20305727785 
• Titular: SEBASTIAN GASTON WOLF 
• CBU: 1430001713033201820014 
• Alias: apsol.consultoria 
• Banco: BRUBANK 🏦
Te agradecería si me confirmás la recepción y me avisás una fecha estimada de pago. 😊 
Desde ya, muchas gracias!</t>
  </si>
  <si>
    <t>b19d09ff</t>
  </si>
  <si>
    <t>Facturación_Files_/0fb245d5.FACTURA 1.125448.pdf</t>
  </si>
  <si>
    <t>184</t>
  </si>
  <si>
    <t>Facturación_Files_/0fb245d5.FACTURA 2.125448.pdf</t>
  </si>
  <si>
    <t>Facturación_Files_/0fb245d5.DOCUMENTO.125448.pdf</t>
  </si>
  <si>
    <t>d3811c3d</t>
  </si>
  <si>
    <t>Tablero de Control -</t>
  </si>
  <si>
    <t>https://api.textmebot.com/send.php?recipient=+5493755652005&amp;apikey=xoF6EUkK31se&amp;</t>
  </si>
  <si>
    <t>Hola Juan! 👋 
Te envío la factura correspondiente por la prestación de servicios durante el período 06/05/25 al 06/06/25. 
📋 *Detalles de la factura:* 
• Número: 184 
• Fecha de Emisión: 10/06/25 
• Fecha de Vencimiento: 16/06/25 
• Monto Total: $ 700000.
💼 *Cuenta para el depósito:*- CUIT: 20331228797
- Titular: PATRIARCA ADRIAN CARLOS
- Cbu: 110491630049195615179
- Alias: apsol.consultora
- Banco: Banco Nación
Te agradecería si me confirmás la recepción y me avisás una fecha estimada de pago. 😊 
Desde ya, muchas gracias!</t>
  </si>
  <si>
    <t>Cobro s/factura</t>
  </si>
  <si>
    <t>Mantenimiento de Desarrollos y Nuevos proyectos</t>
  </si>
  <si>
    <t>Hola Estefania! 👋 
Te envío la factura correspondiente por la prestación de servicios durante el período 11/05/25 al 11/06/25. 
📋 *Detalles de la factura:* 
• Número: - 
• Fecha de Emisión: 18/06/25 
• Fecha de Vencimiento: 30/06/25 
• Monto Total: $ 809000.
💼 *Cuenta para el depósito:*- CUIT: 20331228797
- Titular: PATRIARCA ADRIAN CARLOS
- Cbu: 110491630049195615179
- Alias: apsol.consultora
- Banco: Banco Nación
Te agradecería si me confirmás la recepción y me avisás una fecha estimada de pago. 😊 
Desde ya, muchas gracias!</t>
  </si>
  <si>
    <t>Facturación_Files_/6026bc56.FACTURA 1.141321.pdf</t>
  </si>
  <si>
    <t>185</t>
  </si>
  <si>
    <t>Hola Marketing! 👋 
Te envío la factura correspondiente por la prestación de servicios durante el período 18/05/25 al 18/06/25. 
📋 *Detalles de la factura:* 
• Número: 185 
• Fecha de Emisión: 18/06/25 
• Fecha de Vencimiento: 30/06/25 
• Monto Total: $ 378000.
💼 *Cuenta para el depósito:*- CUIT: 20331228797
- Titular: PATRIARCA ADRIAN CARLOS
- Cbu: 110491630049195615179
- Alias: apsol.consultora
- Banco: Banco Nación
Te agradecería si me confirmás la recepción y me avisás una fecha estimada de pago. 😊 
Desde ya, muchas gracias!</t>
  </si>
  <si>
    <t>- U$D 423 servicio desde el 14-05 al 14-06  - 47.56 Deuda periodo anterior</t>
  </si>
  <si>
    <t>d72a37d2</t>
  </si>
  <si>
    <t>186</t>
  </si>
  <si>
    <t>Cierre de proyectos, se facturan 35 hs de 40. App TACs,  Pantalla Turnos, Integración con RFD, Tableros de Control - 40 hs de desarrollo y consultoría. Periodo: 23/05/25 - 23/06/25 - App TACs,  Pantalla Turnos, Integración con RFD, Tableros de Control</t>
  </si>
  <si>
    <t>Incluye 10% de descuento</t>
  </si>
  <si>
    <t>39</t>
  </si>
  <si>
    <t>40</t>
  </si>
  <si>
    <t>187</t>
  </si>
  <si>
    <t>41</t>
  </si>
  <si>
    <t>Efectivo</t>
  </si>
  <si>
    <t>6a13e326</t>
  </si>
  <si>
    <t>42</t>
  </si>
  <si>
    <t>727e6ee9</t>
  </si>
  <si>
    <t>Desarrollo de Asistente de laboratorio</t>
  </si>
  <si>
    <t>https://api.textmebot.com/send.php?recipient=+5491141908925&amp;apikey=xoF6EUkK31se&amp;</t>
  </si>
  <si>
    <t>Hola Andrea! 👋 
Te envío la factura correspondiente por la prestación de servicios durante el período 14/06/25 al 14/07/25. 
📋 *Detalles de la factura:* 
• Número:  
• Fecha de Emisión: 17/07/25 
• Fecha de Vencimiento: 23/07/25 
• Monto Total: $ 423.
💼 *Cuenta para el depósito:*- Titular: Adrian Patriarca
- Banco: Citibank
- Moneda: USD
- Dirección del Banco: 111 Wall Street New York, NY 10043 USA
- Número de enrutamiento de ABA: 031100209
- Código SWIFT: CITIUS33
- Número de cuenta: 70580840001795095
Te agradecería si me confirmás la recepción y me avisás una fecha estimada de pago. 😊 
Desde ya, muchas gracias!</t>
  </si>
  <si>
    <t>6537662d</t>
  </si>
  <si>
    <t>68c7e623</t>
  </si>
  <si>
    <t>188</t>
  </si>
  <si>
    <t>Asistente Virtual</t>
  </si>
  <si>
    <t>https://api.textmebot.com/send.php?recipient=+5493413077374&amp;apikey=xoF6EUkK31se&amp;</t>
  </si>
  <si>
    <t>189</t>
  </si>
  <si>
    <t>Hola Marketing! 👋 
Te envío la factura correspondiente por la prestación de servicios durante el período 18/06/25 al 18/07/25. 
📋 *Detalles de la factura:* 
• Número: 189 
• Fecha de Emisión: 22/07/25 
• Fecha de Vencimiento: 01/08/25 
• Monto Total: $ 378000.
💼 *Cuenta para el depósito:*- CUIT: 20331228797
- Titular: PATRIARCA ADRIAN CARLOS
- Cbu: 110491630049195620000
- Alias: apsol.consultora
- Banco: Banco Nación
Te agradecería si me confirmás la recepción y me avisás una fecha estimada de pago. 😊 
Desde ya, muchas gracias!</t>
  </si>
  <si>
    <t>190</t>
  </si>
  <si>
    <t>b0ce67dc</t>
  </si>
  <si>
    <t>Mantenimiento de Sistemas: App Gestión de TAC, Abastecimiento, Integración para sistema RFD | Tablero de cotizaciones Orión | Tablero MercadoLibre | Pantalla de turnos</t>
  </si>
  <si>
    <t>7fb30e9d</t>
  </si>
  <si>
    <t>Servicio bonificado</t>
  </si>
  <si>
    <t>50459ce8</t>
  </si>
  <si>
    <t>191</t>
  </si>
  <si>
    <t>43</t>
  </si>
  <si>
    <t>45</t>
  </si>
  <si>
    <t>cbc8da9a</t>
  </si>
  <si>
    <t>Mantenimiento de sistemas</t>
  </si>
  <si>
    <t>46</t>
  </si>
  <si>
    <t>47</t>
  </si>
  <si>
    <t>24b00c3c</t>
  </si>
  <si>
    <t>c7d5db6b</t>
  </si>
  <si>
    <t>192</t>
  </si>
  <si>
    <t>8defa075</t>
  </si>
  <si>
    <t>Desarrollo sistema de abastecimiento, Tableros de control entre otros</t>
  </si>
  <si>
    <t>https://api.textmebot.com/send.php?recipient=+5493424791582&amp;apikey=xoF6EUkK31se&amp;</t>
  </si>
  <si>
    <t>Hola Andrea! 👋 
Te envío la factura correspondiente por la prestación de servicios durante el período 14/07/25 al 14/08/25. 
📋 *Detalles de la factura:* 
• Número:  
• Fecha de Emisión: 18/08/25 
• Fecha de Vencimiento: 22/08/25 
• Monto Total: $ 423.
💼 *Cuenta para el depósito:*- Titular: Adrian Patriarca
- Banco: Citibank
- Moneda: USD
- Dirección del Banco: 111 Wall Street New York, NY 10043 USA
- Número de enrutamiento de ABA: 031100209
- Código SWIFT: CITIUS33
- Número de cuenta: 70580840001795095
Te agradecería si me confirmás la recepción y me avisás una fecha estimada de pago. 😊 
Desde ya, muchas gracias!</t>
  </si>
  <si>
    <t>193</t>
  </si>
  <si>
    <t>FC 44 - NC 02</t>
  </si>
  <si>
    <t>340a5560</t>
  </si>
  <si>
    <t>Se adjunta vieja factura + Nota de credito por la diferencia</t>
  </si>
  <si>
    <t>194</t>
  </si>
  <si>
    <t>Actualización trimestral por UVA. Al 22/07/2025, valor UVA: $1.536. Honorarios: 429 UVA = $658.944. Descuento 10%: –$65.894. Total: $593.000 (redondeado).</t>
  </si>
  <si>
    <t>195</t>
  </si>
  <si>
    <t>Hola Gonzalo! 👋 
Te envío la factura correspondiente por la prestación de servicios durante el período 28/07/25 al 28/08/25. 
📋 *Detalles de la factura:* 
• Número: 195 
• Fecha de Emisión: 03/09/25 
• Fecha de Vencimiento: 12/09/25 
• Monto Total: $ 691000.
💼 *Cuenta para el depósito:*- CUIT: 20331228797
- Titular: PATRIARCA ADRIAN CARLOS
- Cbu: 110491630049195620000
- Alias: apsol.consultora
- Banco: Banco Nación
Te agradecería si me confirmás la recepción y me avisás una fecha estimada de pago. 😊 
Desde ya, muchas gracias!</t>
  </si>
  <si>
    <t>0572fc77</t>
  </si>
  <si>
    <t>196</t>
  </si>
  <si>
    <t>Mantenimiento Sistemas: -Tablero Inversión Publicitaria -Tablero Performance Publicitaria - Tablero Gestión de Stock de Insumos - Sistema de Gestión Area Marketing</t>
  </si>
  <si>
    <t>Hola Marketing! 👋 
Te envío la factura correspondiente por la prestación de servicios durante el período 17/07/25 al 17/08/25. 
📋 *Detalles de la factura:* 
• Número: 196 
• Fecha de Emisión: 03/09/25 
• Fecha de Vencimiento: 15/09/25 
• Monto Total: $ 148000.
💼 *Cuenta para el depósito:*- CUIT: 20331228797
- Titular: PATRIARCA ADRIAN CARLOS
- Cbu: 110491630049195615179
- Alias: apsol.consultora
- Banco: Banco Nación
Te agradecería si me confirmás la recepción y me avisás una fecha estimada de pago. 😊 
Desde ya, muchas gracias!</t>
  </si>
  <si>
    <t>48</t>
  </si>
  <si>
    <t>10.75 hs facturadas por desarrollo de App en el periodo 01/08/2025 al 01/09/2025</t>
  </si>
  <si>
    <t>197</t>
  </si>
  <si>
    <t>49</t>
  </si>
  <si>
    <t>50</t>
  </si>
  <si>
    <t>51</t>
  </si>
  <si>
    <t>Hola Alan! 👋 
Te envío la factura correspondiente por la prestación de servicios durante el período 07/08/25 al 07/09/25. 
📋 *Detalles de la factura:* 
• Número:  
• Fecha de Emisión: 11/09/25 
• Fecha de Vencimiento: 18/09/25 
• Monto Total: $ 440000.
💼 *Cuenta para el depósito:*- CUIT: 20305727785
- Titular: SEBASTIAN GASTON WOLF
- Cbu: 1.4300017130332018e+21
- Alias: apsol.consultoria
- Banco: BRUBANK
Te agradecería si me confirmás la recepción y me avisás una fecha estimada de pago. 😊 
Desde ya, muchas gracias!</t>
  </si>
  <si>
    <t>7a0751b4</t>
  </si>
  <si>
    <t>ce8bf29c</t>
  </si>
  <si>
    <t>Implementación (100 USD = 100*1425 = 142.500) | Abono 16/09 al 16/10 (160 USD = 160*1425 = 228.000)</t>
  </si>
  <si>
    <t>https://api.textmebot.com/send.php?recipient=+5492665036264&amp;apikey=xoF6EUkK31se&amp;</t>
  </si>
  <si>
    <t>Hola Santiago! 👋 
Te envío la factura correspondiente por la prestación de servicios durante el período 01/09/25 al 03/09/25. 
📋 *Detalles de la factura:* 
• Número:  
• Fecha de Emisión: 15/09/25 
• Fecha de Vencimiento: 19/09/25 
• Monto Total: $ 370500.
💼 *Cuenta para el depósito:*- CUIT: 20305727785
- Titular: SEBASTIAN GASTON WOLF
- Cbu: 1.4300017130332018e+21
- Alias: apsol.consultoria
- Banco: BRUBANK
Te agradecería si me confirmás la recepción y me avisás una fecha estimada de pago. 😊 
Desde ya, muchas gracias!</t>
  </si>
  <si>
    <t>198</t>
  </si>
  <si>
    <t>199</t>
  </si>
  <si>
    <t>200</t>
  </si>
  <si>
    <t>Verificación de la empresa en Meta, Construcción de la automatización para enviar mensajes, Asistente virtual, Aumento de limites en el envio de mensajes</t>
  </si>
  <si>
    <t>Hola Gastón! 👋 
Te envío la factura correspondiente por la prestación de servicios durante el período 22/08/25 al 22/09/25. 
📋 *Detalles de la factura:* 
• Número:  
• Fecha de Emisión: 29/09/25 
• Fecha de Vencimiento: 07/10/25 
• Monto Total: $ 593000.
💼 *Cuenta para el depósito:*- CUIT: 20331228797
- Titular: PATRIARCA ADRIAN CARLOS
- Cbu: 110491630049195620000
- Alias: apsol.consultora
- Banco: Banco Nación
Te agradecería si me confirmás la recepción y me avisás una fecha estimada de pago. 😊 
Desde ya, muchas gracias!</t>
  </si>
  <si>
    <t>53</t>
  </si>
  <si>
    <t>201</t>
  </si>
  <si>
    <t>54</t>
  </si>
  <si>
    <t>55</t>
  </si>
  <si>
    <t>f8d09b83</t>
  </si>
  <si>
    <t>559adcf6</t>
  </si>
  <si>
    <t>Proyectos en curso: Desarrollo e implementación modulo abastecimiento, migración a workspace, automatización de carga de facturas</t>
  </si>
  <si>
    <t>1 hs facturadas por desarrollo de App en el periodo 01/09/2025 al 01/10/2025</t>
  </si>
  <si>
    <t>202</t>
  </si>
  <si>
    <t>203</t>
  </si>
  <si>
    <t>Mantenimiento App Compras, desarrollo de tableros de control para costeo.</t>
  </si>
  <si>
    <t>90478da9</t>
  </si>
  <si>
    <t>Hola Gonzalo! 👋 
Te envío la factura correspondiente por la prestación de servicios durante el período 28/08/25 al 28/09/25. 
📋 *Detalles de la factura:* 
• Número: 203 
• Fecha de Emisión: 20/10/25 
• Fecha de Vencimiento: 29/10/25 
• Monto Total: $ 950000.
💼 *Cuenta para el depósito:*- CUIT: 20331228797
- Titular: PATRIARCA ADRIAN CARLOS
- Cbu: 110491630049195615179
- Alias: apsol.consultora
- Banco: Banco Nación
Te agradecería si me confirmás la recepción y me avisás una fecha estimada de pago. 😊 
Desde ya, muchas gracias!</t>
  </si>
  <si>
    <t>USD 160 - A tipo de cambió fecha de emisión.</t>
  </si>
  <si>
    <t>Abono 16/09 al 16/10 (160 USD = 160*1475 = 236.000)</t>
  </si>
  <si>
    <t>Hola Santiago! 👋 
Te envío la factura correspondiente por la prestación de servicios durante el período 15/09/25 al 15/10/25. 
📋 *Detalles de la factura:* 
• Número:  
• Fecha de Emisión: 20/10/25 
• Fecha de Vencimiento: 24/10/25 
• Monto Total: $ 236000.
💼 *Cuenta para el depósito:*- CUIT: 20305727785
- Titular: SEBASTIAN GASTON WOLF
- Cbu: 1.4300017130332018e+21
- Alias: apsol.consultoria
- Banco: BRUBANK
Te agradecería si me confirmás la recepción y me avisás una fecha estimada de pago. 😊 
Desde ya, muchas gracias!</t>
  </si>
  <si>
    <t>204</t>
  </si>
  <si>
    <t>29f06d8a</t>
  </si>
  <si>
    <t>206</t>
  </si>
  <si>
    <t>56446670</t>
  </si>
  <si>
    <t>Relevamiento de procesos, diseño de solución y desarrollo</t>
  </si>
  <si>
    <t>https://api.textmebot.com/send.php?recipient=+5491166128341&amp;apikey=xoF6EUkK31se&amp;</t>
  </si>
  <si>
    <t>Hola Sergio! 👋 
Te envío la factura correspondiente por la prestación de servicios durante el período 18/10/25 al 19/11/25. 
📋 *Detalles de la factura:* 
• Número: 206 
• Fecha de Emisión: 20/11/25 
• Fecha de Vencimiento: 26/11/25 
• Monto Total: $ 700000.
💼 *Cuenta para el depósito:*- CUIT: 20331228797
- Titular: PATRIARCA ADRIAN CARLOS
- Cbu: 110491630049195620000
- Alias: apsol.consultora
- Banco: Banco Nación
Te agradecería si me confirmás la recepción y me avisás una fecha estimada de pago. 😊 
Desde ya, muchas gracias!</t>
  </si>
  <si>
    <t>55dbb122</t>
  </si>
  <si>
    <t>207</t>
  </si>
  <si>
    <t>Desarrollo de App Integrada a sistema actual</t>
  </si>
  <si>
    <t>https://api.textmebot.com/send.php?recipient=+5493498478357&amp;apikey=xoF6EUkK31se&amp;</t>
  </si>
  <si>
    <t>Desarrollo de nuevas funcionalidades y mantenimiento de sistemas</t>
  </si>
  <si>
    <t>208</t>
  </si>
  <si>
    <t>Desarrollo sistema de abastecimiento, Tableros de control, Capacitaciones uso de herramientas y Consultoría</t>
  </si>
  <si>
    <t>Hola Pablo! 👋 
Te envío la factura correspondiente por la prestación de servicios durante el período 08/10/25 al 08/11/25. 
📋 *Detalles de la factura:* 
• Número: 208 
• Fecha de Emisión: 10/11/25 
• Fecha de Vencimiento: 18/11/25 
• Monto Total: $ 1342000.
💼 *Cuenta para el depósito:*- CUIT: 20331228797
- Titular: PATRIARCA ADRIAN CARLOS
- Cbu: 110491630049195620000
- Alias: apsol.consultora
- Banco: Banco Nación
Te agradecería si me confirmás la recepción y me avisás una fecha estimada de pago. 😊 
Desde ya, muchas gracias!</t>
  </si>
  <si>
    <t>60</t>
  </si>
  <si>
    <t>209</t>
  </si>
  <si>
    <t>Hola Gonzalo! 👋 
Te envío la factura correspondiente por la prestación de servicios durante el período 28/09/25 al 28/10/25. 
📋 *Detalles de la factura:* 
• Número: 209 
• Fecha de Emisión: 10/11/25 
• Fecha de Vencimiento: 19/11/25 
• Monto Total: $ 950000.
💼 *Cuenta para el depósito:*- CUIT: 20331228797
- Titular: PATRIARCA ADRIAN CARLOS
- Cbu: 110491630049195620000
- Alias: apsol.consultora
- Banco: Banco Nación
Te agradecería si me confirmás la recepción y me avisás una fecha estimada de pago. 😊 
Desde ya, muchas gracias!</t>
  </si>
  <si>
    <t>61</t>
  </si>
  <si>
    <t>5.5 hs facturadas por desarrollo de App en el periodo 01/10/2025 al 13/11/2025</t>
  </si>
  <si>
    <t>a8f8d6d7</t>
  </si>
  <si>
    <t>Incluye 8% de descuento. 710.000 - 56.800= 653.000</t>
  </si>
  <si>
    <t>949d69ed</t>
  </si>
  <si>
    <t>Proceso ETL (Extract Tranform Load) y Desarrollo de Tablero de control de compras</t>
  </si>
  <si>
    <t>https://api.textmebot.com/send.php?recipient=+5491164305365&amp;apikey=xoF6EUkK31se&amp;</t>
  </si>
  <si>
    <t>Hola Fabrizio! 👋 
Te envío la factura correspondiente por la prestación de servicios durante el período 06/10/25 al 06/11/25. 
📋 *Detalles de la factura:* 
• Número:  
• Fecha de Emisión: 13/11/25 
• Fecha de Vencimiento: 19/11/25 
• Monto Total: $ 653000.
💼 *Cuenta para el depósito:*- CUIT: 20331228797
- Titular: PATRIARCA ADRIAN CARLOS
- Cbu: 110491630049195620000
- Alias: apsol.consultora
- Banco: Banco Nación
Te agradecería si me confirmás la recepción y me avisás una fecha estimada de pago. 😊 
Desde ya, muchas gracias!</t>
  </si>
  <si>
    <t>Abono 16/11 al 16/12 (160 USD = 160*1425 = 228.000)</t>
  </si>
  <si>
    <t>210</t>
  </si>
  <si>
    <t>Mantenimiento Sistemas: -Tablero Inversión Publicitaria -Tablero Performance Publicitaria - Tablero Gestión de Stock de Insumos - Sistema de Gestión Area Marketing + Modificación "agregar una columna "Descripción" en la tabla Egresos detalle, para luego incluirla en el formulario de egresos (como dato no obligatorio) y en el detalle egresos, con la posibilidad de editarla mediante quick edit"</t>
  </si>
  <si>
    <t>bedcc2de</t>
  </si>
  <si>
    <t>d72a3723</t>
  </si>
  <si>
    <t>https://api.textmebot.com/send.php?recipient=+5493424476596&amp;apikey=xoF6EUkK31se&amp;</t>
  </si>
  <si>
    <t>Hola Andrea! 👋 
Te envío la factura correspondiente por la prestación de servicios durante el período 12/10/25 al 13/11/25. 
📋 *Detalles de la factura:* 
• Número:  
• Fecha de Emisión: 19/11/25 
• Fecha de Vencimiento: 25/11/25 
• Monto Total: $ 423.
💼 *Cuenta para el depósito:*- Titular: Adrian Patriarca
- Banco: Citibank
- Moneda: USD
- Dirección del Banco: 111 Wall Street New York, NY 10043 USA
- Número de enrutamiento de ABA: 031100209
- Código SWIFT: CITIUS33
- Número de cuenta: 70580840001795096
Te agradecería si me confirmás la recepción y me avisás una fecha estimada de pago. 😊 
Desde ya, muchas gracias!</t>
  </si>
  <si>
    <t>211</t>
  </si>
  <si>
    <t>Automatización de recordatorios a clientes, Puesta en Marcha de CRM Verificación de la empresa en Meta, Construcción de la automatización para enviar mensajes, Asistente virtual, Aumento de limites en el envio de mensajes</t>
  </si>
  <si>
    <t>Hola Noelia! 👋 
Te envío la factura correspondiente por la prestación de servicios durante el período 16/10/25 al 17/11/25. 
📋 *Detalles de la factura:* 
• Número: 211 
• Fecha de Emisión: 19/11/25 
• Fecha de Vencimiento: 25/11/25 
• Monto Total: $ 1050000.
💼 *Cuenta para el depósito:*- CUIT: 20331228797
- Titular: PATRIARCA ADRIAN CARLOS
- Cbu: 110491630049195620000
- Alias: apsol.consultora
- Banco: Banco Nación
Te agradecería si me confirmás la recepción y me avisás una fecha estimada de pago. 😊 
Desde ya, muchas gracias!</t>
  </si>
  <si>
    <t>62</t>
  </si>
  <si>
    <t>Desarrollo de Asistente de laboratorio + Plataforma de gestión</t>
  </si>
  <si>
    <t>Hola Nelson! 👋 
Te envío la factura correspondiente por la prestación de servicios durante el período 09/10/25 al 10/11/25. 
📋 *Detalles de la factura:* 
• Número: 62 
• Fecha de Emisión: 20/11/25 
• Fecha de Vencimiento: 26/11/25 
• Monto Total: $ 527000.
💼 *Cuenta para el depósito:*- CUIT: 20305727785
- Titular: SEBASTIAN GASTON WOLF
- Cbu: 1.4300017130332018e+21
- Alias: apsol.consultoria
- Banco: BRUBANK
Te agradecería si me confirmás la recepción y me avisás una fecha estimada de pago. 😊 
Desde ya, muchas gracias!</t>
  </si>
  <si>
    <t>212</t>
  </si>
  <si>
    <t>213</t>
  </si>
  <si>
    <t>Hola Ignacio! 👋 
Te envío la factura correspondiente por la prestación de servicios durante el período 04/11/25 al 04/12/25. 
📋 *Detalles de la factura:* 
• Número: 63 
• Fecha de Emisión: 09/12/25 
• Fecha de Vencimiento: 16/12/25 
• Monto Total: $ 1437000.
💼 *Cuenta para el depósito:*- CUIT: 20305727785
- Titular: SEBASTIAN GASTON WOLF
- Cbu: 1.4300017130332018e+21
- Alias: apsol.consultoria
- Banco: BRUBANK
Te agradecería si me confirmás la recepción y me avisás una fecha estimada de pago. 😊 
Desde ya, muchas gracias!</t>
  </si>
  <si>
    <t>214</t>
  </si>
  <si>
    <t>215</t>
  </si>
  <si>
    <t>Desarrollo y mantenimiento sistema de abastecimiento, Tableros de control, Capacitaciones uso de herramientas y Consultoría</t>
  </si>
  <si>
    <t>Proceso ETL (Extract Tranform Load), Generación de Tunel para poder trabajar en nuestros equipos y Desarrollo de Tablero de control de compras</t>
  </si>
  <si>
    <t>66</t>
  </si>
  <si>
    <t>16 hs facturadas por desarrollo y cambios en App en el periodo 14/11/2025 al 14/12/2025</t>
  </si>
  <si>
    <t>Hola Martin! 👋 
Te envío la factura correspondiente por la prestación de servicios durante el período 14/11/25 al 14/12/25. 
📋 *Detalles de la factura:* 
• Número: 66 
• Fecha de Emisión: 15/12/25 
• Fecha de Vencimiento: 22/12/25 
• Monto Total: $ 476800.
💼 *Cuenta para el depósito:*- CUIT: 20305727785
- Titular: SEBASTIAN GASTON WOLF
- Cbu: 1.4300017130332018e+21
- Alias: apsol.consultoria
- Banco: BRUBANK
Te agradecería si me confirmás la recepción y me avisás una fecha estimada de pago. 😊 
Desde ya, muchas gracias!</t>
  </si>
  <si>
    <t>Abono 16/12 al 16/01/2026 (160 USD = 160*1480 = 236.000)</t>
  </si>
  <si>
    <t>216</t>
  </si>
  <si>
    <t>67</t>
  </si>
  <si>
    <t>Implementación y ultimos ajustes asistente virtual, Implementación CRM,  Desarrollo de Asistente de laboratorio + Plataforma de gestión</t>
  </si>
  <si>
    <t>Desarrollo de Sistema de Gestión, Integración con We-Travel, Acompañamiento en implementación, Incluye 10% de descuento</t>
  </si>
  <si>
    <t>217</t>
  </si>
  <si>
    <t>218</t>
  </si>
  <si>
    <t>Relevamiento de procesos, diseño de solución y desarrollo de sistema para la gestión integral del instituto</t>
  </si>
  <si>
    <t>219</t>
  </si>
  <si>
    <t>220</t>
  </si>
  <si>
    <t>Desarrollo y mantenimiento de App Integrada a sistema actual</t>
  </si>
  <si>
    <t>Hola Marcelo! 👋 
Te envío la factura correspondiente por la prestación de servicios durante el período 01/12/25 al 01/01/26. 
📋 *Detalles de la factura:* 
• Número: 220 
• Fecha de Emisión: 06/01/26 
• Fecha de Vencimiento: 13/01/26 
• Monto Total: $ 970000.
💼 *Cuenta para el depósito:*- CUIT: 20331228797
- Titular: PATRIARCA ADRIAN CARLOS
- Cbu: 110491630049195620000
- Alias: apsol.consultora
- Banco: Banco Nación
Te agradecería si me confirmás la recepción y me avisás una fecha estimada de pago. 😊 
Desde ya, muchas gracias!</t>
  </si>
  <si>
    <t>68</t>
  </si>
  <si>
    <t>36bc8eb7</t>
  </si>
  <si>
    <t>221</t>
  </si>
  <si>
    <t>Hola Gonzalo! 👋 
Te envío la factura correspondiente por la prestación de servicios durante el período 27/11/25 al 28/12/25. 
📋 *Detalles de la factura:* 
• Número: 221 
• Fecha de Emisión: 06/01/26 
• Fecha de Vencimiento: 15/01/26 
• Monto Total: $ 1010000.
💼 *Cuenta para el depósito:*- CUIT: 20331228797
- Titular: PATRIARCA ADRIAN CARLOS
- Cbu: 110491630049195620000
- Alias: apsol.consultora
- Banco: Banco Nación
Te agradecería si me confirmás la recepción y me avisás una fecha estimada de pago. 😊 
Desde ya, muchas gracias!</t>
  </si>
  <si>
    <t>ATENCIÓN  SE EMITE YA PAGADO</t>
  </si>
  <si>
    <t>222</t>
  </si>
  <si>
    <t>En el periodo comprendido desde el 12-12 al 13-01 se brindaron 28,25 hs. En esta factura se Facturan 20 hs dejando las restantes a cobrar para el proximo periodo.</t>
  </si>
  <si>
    <t>20 hs facturadas para el periodo 12-12 al 12-01 de un total de 28.25. Restan 8.25 hs facturables el proximo periodo</t>
  </si>
  <si>
    <t>71</t>
  </si>
  <si>
    <t>Liquidación final desarrollos Apsol periodo 07/12 al 07/01 se trabajaron 3.25 hs.</t>
  </si>
  <si>
    <t>223</t>
  </si>
  <si>
    <t>Mantenimiento de automatizaciones, mejora de gestión de cuentas, desarrollo de sistema antibloqueos, desarrollo de sistema de autogestión</t>
  </si>
  <si>
    <t>Hola Noelia! 👋 
Te envío la factura correspondiente por la prestación de servicios durante el período 17/12/25 al 18/01/26. 
📋 *Detalles de la factura:* 
• Número: 223 
• Fecha de Emisión: 19/01/26 
• Fecha de Vencimiento: 23/01/26 
• Monto Total: $ 1115000.
💼 *Cuenta para el depósito:*- CUIT: 20331228797
- Titular: PATRIARCA ADRIAN CARLOS
- Cbu: 110491630049195620000
- Alias: apsol.consultora
- Banco: Banco Nación
Te agradecería si me confirmás la recepción y me avisás una fecha estimada de pago. 😊 
Desde ya, muchas gracias!</t>
  </si>
  <si>
    <t>Desarrollo de Sistema de Gestión, Integración con We-Travel, Integración con DOGMA, Acompañamiento en implementación, Incluye 10% de descuento</t>
  </si>
  <si>
    <t>33122879</t>
  </si>
  <si>
    <t>72</t>
  </si>
  <si>
    <t>Implementación y ultimos ajustes asistente virtual,  Desarrollo de Asistente de laboratorio + Plataforma de gestión</t>
  </si>
  <si>
    <t>Hola Nelson! 👋 
Te envío la factura correspondiente por la prestación de servicios durante el período 10/12/25 al 19/01/26. 
📋 *Detalles de la factura:* 
• Número: 72 
• Fecha de Emisión: 19/01/26 
• Fecha de Vencimiento: 23/01/26 
• Monto Total: $ 527000.
💼 *Cuenta para el depósito:*- CUIT: 20305727785
- Titular: SEBASTIAN GASTON WOLF
- Cbu: 1.4300017130332018e+21
- Alias: apsol.consultoria
- Banco: BRUBANK
Te agradecería si me confirmás la recepción y me avisás una fecha estimada de pago. 😊 
Desde ya, muchas gracias!</t>
  </si>
  <si>
    <t>225</t>
  </si>
  <si>
    <t>Se adjunta nota de credito por factura mal emitida (N° 224)</t>
  </si>
  <si>
    <t>3 hs Desarrollo de modulo para emitir Informes de Existencia de Stock. Mantenimiento Sistemas: -Tablero Inversión Publicitaria -Tablero Performance Publicitaria - Tablero Gestión de Stock de Insumos - Sistema de Gestión Area Marketing</t>
  </si>
  <si>
    <t>226</t>
  </si>
  <si>
    <t>227</t>
  </si>
  <si>
    <t>228</t>
  </si>
  <si>
    <t>Desarrollo y mantenimiento de App Integrada a sistema actual, Tableros de control</t>
  </si>
  <si>
    <t>73</t>
  </si>
  <si>
    <t>229</t>
  </si>
  <si>
    <t>230</t>
  </si>
  <si>
    <t>231</t>
  </si>
  <si>
    <t>Hola Noelia! 👋 
Te envío la factura correspondiente por la prestación de servicios durante el período 18/01/26 al 18/02/26. 
📋 *Detalles de la factura:* 
• Número: 231 
• Fecha de Emisión: 19/02/26 
• Fecha de Vencimiento: 25/02/26 
• Monto Total: $ 1115000.
💼 *Cuenta para el depósito:*- CUIT: 20331228797
- Titular: PATRIARCA ADRIAN CARLOS
- Cbu: 110491630049195620000
- Alias: apsol.consultora
- Banco: Banco Nación
Te agradecería si me confirmás la recepción y me avisás una fecha estimada de pago. 😊 
Desde ya, muchas gracias!</t>
  </si>
  <si>
    <t>19.75 hs facturadas para el periodo 12-01 al 12-02. Se contabilizan las 8,25 hs no facturadas el periodo anterior.</t>
  </si>
  <si>
    <t>Hola Martin! 👋 
Te envío la factura correspondiente por la prestación de servicios durante el período 13/01/26 al 13/02/26. 
📋 *Detalles de la factura:* 
• Número: 75 
• Fecha de Emisión: 19/02/26 
• Fecha de Vencimiento: 26/02/26 
• Monto Total: $ 610000.
💼 *Cuenta para el depósito:*- CUIT: 20305727785
- Titular: SEBASTIAN GASTON WOLF
- Cbu: 1.4300017130332018e+21
- Alias: apsol.consultoria
- Banco: BRUBANK
Te agradecería si me confirmás la recepción y me avisás una fecha estimada de pago. 😊 
Desde ya, muchas gracias!</t>
  </si>
  <si>
    <t>Mejoras FInales realizadas:
- Se incorporó en la app la posibilidad de modificar el promt
- En la confirmación del turno ahora ya no se pone mas el ID del pedido, ahora el agente coloca un resumen de la conversacióN
- Estabilización del sistema (corrección y mejoras internas)
- El asistente ya no genera dos mensajes juntos como lo hacia antes de manera frecuente
- Optimización de promt 
- Integración del promt que se coloca en la app con el asistente, para que el usuario pueda ajustar las especificaciones del promt
- Recuperación de datos de un paciente frecuente (ahora el agente verifica si su interlocutor es un paciente frecuente)
- Mejora en el uso del nombre del interlocutor
- Se desvinculó el CRM por no ser requerido
- El asistente ahora agenda a los nuevos pacientes
- Mejora de la visual del apartado "Chat"
- Analisis de los estudios mas realizados para que el cliente pueda generar la tabla de conversión
- Generación del archivo txt, requerido para el sistema
- Conversión de estudios a codigo BIODATA</t>
  </si>
  <si>
    <t>Mejoras finales y estabilización del proyecto</t>
  </si>
  <si>
    <t>5e3ca150</t>
  </si>
  <si>
    <t>Desarrollo sistema de gestión, acompañamiento en implementación, mejora continua del sistema</t>
  </si>
  <si>
    <t>233</t>
  </si>
  <si>
    <t>ad18cf9b</t>
  </si>
  <si>
    <t>234</t>
  </si>
  <si>
    <t>681b8aa1</t>
  </si>
  <si>
    <t>Desarrollo de Portal de proveedores Web</t>
  </si>
  <si>
    <t>https://api.textmebot.com/send.php?recipient=+5491131961212&amp;apikey=xoF6EUkK31se&amp;</t>
  </si>
  <si>
    <t>El proyecto se considera Finalizado, ya que segun lo confirmado por Fabrizio los indicadores fueron validados y sus resultados son correctos.</t>
  </si>
  <si>
    <t>Etapa Final 14 hs facturadas periodo 08/12/2025 al 02/03/2026 - Traspaso del tablero de control. Validación confirmada por Fabrizio. Proceso ETL (Extract Tranform Load), Generación de Tunel para poder trabajar en nuestros equipos y Desarrollo de Tablero de control de compras</t>
  </si>
  <si>
    <t>Hola Fabrizio! 👋 
Te envío la factura correspondiente por la prestación de servicios durante el período 08/12/25 al 06/03/26. 
📋 *Detalles de la factura:* 
• Número:  
• Fecha de Emisión: 02/03/26 
• Fecha de Vencimiento: 06/03/26 
• Monto Total: $ 653000.
💼 *Cuenta para el depósito:*- CUIT: 20331228797
- Titular: PATRIARCA ADRIAN CARLOS
- Cbu: 110491630049195620000
- Alias: apsol.consultora
- Banco: Banco Nación
Te agradecería si me confirmás la recepción y me avisás una fecha estimada de pago. 😊 
Desde ya, muchas gracias!</t>
  </si>
  <si>
    <t>235</t>
  </si>
  <si>
    <t>Planteo y desarrollo de App para clientes Mayoristas. Mantenimiento de App Vendedores Mayoristas, Tableros de control</t>
  </si>
  <si>
    <t>236</t>
  </si>
  <si>
    <t>237</t>
  </si>
  <si>
    <t>Desarrollo y mantenimiento sistemas de abastecimiento, Tableros de control, Capacitaciones uso de herramientas y Consultoría</t>
  </si>
  <si>
    <t>77</t>
  </si>
  <si>
    <t>79</t>
  </si>
  <si>
    <t>Hola Ignacio! 👋 
Te envío la factura correspondiente por la prestación de servicios durante el período 04/02/26 al 04/03/26. 
📋 *Detalles de la factura:* 
• Número: 79 
• Fecha de Emisión: 10/03/26 
• Fecha de Vencimiento: 17/03/26 
• Monto Total: $ 1450000.
💼 *Cuenta para el depósito:*- CUIT: 20305727785
- Titular: SEBASTIAN GASTON WOLF
- Cbu: 1.4300017130332018e+21
- Alias: apsol.consultoria
- Banco: BRUBANK
Te agradecería si me confirmás la recepción y me avisás una fecha estimada de pago. 😊 
Desde ya, muchas gracias!</t>
  </si>
  <si>
    <t>47e1c751</t>
  </si>
  <si>
    <t>https://api.textmebot.com/send.php?recipient=+5493493449796&amp;apikey=xoF6EUkK31se&amp;</t>
  </si>
  <si>
    <t>Finalización del proyecto:
Durante el período comprendido entre el 14/02 y el 06/03, se destinaron 16 horas de desarrollo y consultoría para completar las tareas correspondientes a la etapa de finalización del proyecto.
Si querés, también te puedo dar 2 o 3 variantes según si el texto es para presupuesto, informe o factura.</t>
  </si>
  <si>
    <t>Entre el 14/02 y el 06/03 se destinaron 16 horas de desarrollo y consultoría para completar las tareas correspondientes a la etapa final del proyecto.</t>
  </si>
  <si>
    <t>105ac1da</t>
  </si>
  <si>
    <t>3162ec60</t>
  </si>
  <si>
    <t>https://api.textmebot.com/send.php?recipient=+5493482532610&amp;apikey=xoF6EUkK31se&amp;</t>
  </si>
  <si>
    <t>Hola Marcelo! 👋 
Te envío la factura correspondiente por la prestación de servicios durante el período 04/02/26 al 04/03/26. 
📋 *Detalles de la factura:* 
• Número: 80 
• Fecha de Emisión: 19/03/26 
• Fecha de Vencimiento: 25/03/26 
• Monto Total: $ 780000.
💼 *Cuenta para el depósito:*- CUIT: 20305727785
- Titular: SEBASTIAN GASTON WOLF
- Cbu: 1.4300017130332018e+21
- Alias: apsol.consultoria
- Banco: BRUBANK
Te agradecería si me confirmás la recepción y me avisás una fecha estimada de pago. 😊 
Desde ya, muchas gracias!</t>
  </si>
  <si>
    <t>239</t>
  </si>
  <si>
    <t>Hola Marketing! 👋 
Te envío la factura correspondiente por la prestación de servicios durante el período 17/02/26 al 17/03/26. 
📋 *Detalles de la factura:* 
• Número: 239 
• Fecha de Emisión: 19/03/26 
• Fecha de Vencimiento: 31/03/26 
• Monto Total: $ 172000.
💼 *Cuenta para el depósito:*- CUIT: 20331228797
- Titular: PATRIARCA ADRIAN CARLOS
- Cbu: 110491630049195620000
- Alias: apsol.consultora
- Banco: Banco Nación
Te agradecería si me confirmás la recepción y me avisás una fecha estimada de pago. 😊 
Desde ya, muchas gracias!</t>
  </si>
  <si>
    <t>240</t>
  </si>
  <si>
    <t>Desarrollo de sistema de producción Insuga Chaco</t>
  </si>
  <si>
    <t>030ba187</t>
  </si>
  <si>
    <t>13.75 hs facturadas para el periodo 13-02 al 13-03.</t>
  </si>
  <si>
    <t>Hola Martin! 👋 
Te envío la factura correspondiente por la prestación de servicios durante el período 13/02/26 al 13/03/26. 
📋 *Detalles de la factura:* 
• Número: 81 
• Fecha de Emisión: 20/03/26 
• Fecha de Vencimiento: 27/03/26 
• Monto Total: $ 431000.
💼 *Cuenta para el depósito:*- CUIT: 20305727785
- Titular: SEBASTIAN GASTON WOLF
- Cbu: 1.4300017130332018e+21
- Alias: apsol.consultoria
- Banco: BRUBANK
Te agradecería si me confirmás la recepción y me avisás una fecha estimada de pago. 😊 
Desde ya, muchas gracias!</t>
  </si>
  <si>
    <t>241</t>
  </si>
  <si>
    <t>Hola Noelia! 👋 
Te envío la factura correspondiente por la prestación de servicios durante el período 18/02/26 al 18/03/26. 
📋 *Detalles de la factura:* 
• Número: 241 
• Fecha de Emisión: 20/03/26 
• Fecha de Vencimiento: 30/03/26 
• Monto Total: $ 1115000.
💼 *Cuenta para el depósito:*- CUIT: 20331228797
- Titular: PATRIARCA ADRIAN CARLOS
- Cbu: 110491630049195620000
- Alias: apsol.consultora
- Banco: Banco Nación
Te agradecería si me confirmás la recepción y me avisás una fecha estimada de pago. 😊 
Desde ya, muchas gracias!</t>
  </si>
  <si>
    <t>242</t>
  </si>
  <si>
    <t>82</t>
  </si>
  <si>
    <t>Mantenimiento Asistente virtual ($100.000)+ Gastos de IA (19.74 usd * 1420 $/usd = $28.030.- )</t>
  </si>
  <si>
    <t>645c84b0</t>
  </si>
  <si>
    <t>243</t>
  </si>
  <si>
    <t>Desarrollo de Portal de proveedores Web, preparación para integración con sistema Tactica</t>
  </si>
  <si>
    <t>244</t>
  </si>
  <si>
    <t>245</t>
  </si>
  <si>
    <t>f7dca4b3</t>
  </si>
  <si>
    <t>246</t>
  </si>
  <si>
    <t>247</t>
  </si>
  <si>
    <t>Se aplica Ajuste por Inflación siendo el resultante 1.570.000 .- y se resta 50.000 del sobrante ultimo mes</t>
  </si>
  <si>
    <t>248</t>
  </si>
  <si>
    <t>Desarrollo de Notificaciones TAC en estado critico vía email. Mantenimiento de Sistemas: App Gestión de TAC, Abastecimiento, Integración para sistema RFD | Tablero de cotizaciones Orión | Tablero MercadoLibre | Pantalla de turnos</t>
  </si>
  <si>
    <t>249</t>
  </si>
  <si>
    <t>b6c00731</t>
  </si>
  <si>
    <t>Servicio de mantenimiento App y Tablero de Control Metalurgica HQ</t>
  </si>
  <si>
    <t>853810b1</t>
  </si>
  <si>
    <t>250</t>
  </si>
  <si>
    <t>1608dbb1</t>
  </si>
  <si>
    <t>251</t>
  </si>
  <si>
    <t>2da0ef55</t>
  </si>
  <si>
    <t>c76f44aa</t>
  </si>
  <si>
    <t>252</t>
  </si>
  <si>
    <t>Desarrollo de asistente virtual para 7 lineas, nueva app de gestión, Mantenimiento de automatizaciones, mejora de gestión de cuentas, desarrollo de sistema antibloqueos, desarrollo de sistema de autogestión</t>
  </si>
  <si>
    <t>b8ddc363</t>
  </si>
  <si>
    <t>253</t>
  </si>
  <si>
    <t>940f29af</t>
  </si>
  <si>
    <t>254</t>
  </si>
  <si>
    <t>Mantenimiento Asistente virtual + Tokens IA Open IA</t>
  </si>
  <si>
    <t>50f3eb3b</t>
  </si>
  <si>
    <t>255</t>
  </si>
  <si>
    <t>11.20 hs facturadas para el periodo 13-03 al 13-04</t>
  </si>
  <si>
    <t>Fecha y Hora</t>
  </si>
  <si>
    <t>Fila Procesada</t>
  </si>
  <si>
    <t>Columna</t>
  </si>
  <si>
    <t>URL</t>
  </si>
  <si>
    <t>Fila 99</t>
  </si>
  <si>
    <t>Columna K</t>
  </si>
  <si>
    <t>https://api.textmebot.com/send.php?recipient=+5493424476596&amp;apikey=xoF6EUkK31se&amp;https://www.appsheet.com/template/gettablefileurl?appName=Rv03-Apsol-5668714&amp;tableName=Facturaci%C3%B3n&amp;fileName=documentFacturación_Files_/4cf8925a.FACTURA 1.152512.xlsx</t>
  </si>
  <si>
    <t>Enviado</t>
  </si>
  <si>
    <t>Columna M</t>
  </si>
  <si>
    <t>N/A</t>
  </si>
  <si>
    <t>Omitido (Vacío)</t>
  </si>
  <si>
    <t>Columna N</t>
  </si>
  <si>
    <t>Columna O</t>
  </si>
  <si>
    <t>Columna Y</t>
  </si>
  <si>
    <t>Texto</t>
  </si>
  <si>
    <t>Fila 6</t>
  </si>
  <si>
    <t>https://api.textmebot.com/send.php?recipient=+5493424476596&amp;apikey=xoF6EUkK31se&amp;document=https://www.appsheet.com/template/gettablefileurl?appName=Rv03-Apsol-5668714&amp;tableName=Facturaci%C3%B3n&amp;fileName=Facturación_Files_/4cf8925a.FACTURA 1.152512.xlsx</t>
  </si>
  <si>
    <t>https://api.textmebot.com/send.php?recipient=+5493424476596&amp;apikey=xoF6EUkK31se&amp;document=https://www.appsheet.com/template/gettablefileurl?appName=Rv03-Apsol-5668714&amp;tableName=Facturaci%C3%B3n&amp;fileName=Facturación_Files_/b897182b.FACTURA 1.120028.pdf</t>
  </si>
  <si>
    <t>https://api.textmebot.com/send.php?recipient=+5493424476596&amp;apikey=xoF6EUkK31se&amp;text=https://www.appsheet.com/template/gettablefileurl?appName=Rv03-Apsol-5668714&amp;tableName=Facturaci%C3%B3n&amp;fileName=Hola Adrian</t>
  </si>
  <si>
    <t>Fila 26</t>
  </si>
  <si>
    <t>Fila 31</t>
  </si>
  <si>
    <t>https://api.textmebot.com/send.php?recipient=+5493424476596&amp;apikey=xoF6EUkK31se&amp;document=NaN</t>
  </si>
  <si>
    <t>https://api.textmebot.com/send.php?recipient=+5493424476596&amp;apikey=xoF6EUkK31se&amp;text=https://www.appsheet.com/template/gettablefileurl?appName=Rv03-Apsol-5668714&amp;tableName=Facturaci%C3%B3n&amp;fileName=YHola Adrian</t>
  </si>
  <si>
    <t>https://api.textmebot.com/send.php?recipient=+5493424476596&amp;apikey=xoF6EUkK31se&amp;document=https://www.appsheet.com/template/gettablefileurl?appName=Rv03-Apsol-5668714&amp;tableName=Facturaci%C3%B3n&amp;fileName=Facturación_Files_/b897182b.FACTURA%201.120028.pdf</t>
  </si>
  <si>
    <t>https://api.textmebot.com/send.php?recipient=+5493424476596&amp;apikey=xoF6EUkK31se&amp;text=Hola%20Adrian</t>
  </si>
  <si>
    <t>https://api.textmebot.com/send.php?recipient=+5493424476596&amp;apikey=xoF6EUkK31se&amp;document=https://www.appsheet.com/template/gettablefileurl?appName=Rv03-Apsol-5668714&amp;tableName=Facturaci%C3%B3n&amp;fileName=b897182b.FACTURA 1.120028.pdf</t>
  </si>
  <si>
    <t>https://api.textmebot.com/send.php?recipient=+5493424476596&amp;apikey=xoF6EUkK31se&amp;document=https://www.appsheet.com/template/gettablefileurl?appName=Rv03-Apsol-5668714&amp;tableName=Facturaci%C3%B3n&amp;fileName=Facturación_Files_/2834822b.DOCUMENTO.180356.pdf</t>
  </si>
  <si>
    <t>Fila 51</t>
  </si>
  <si>
    <t>https://api.textmebot.com/send.php?recipient=+5493424476596&amp;apikey=xoF6EUkK31se&amp;document=https://www.appsheet.com/template/gettablefileurl?appName=Rv03-Apsol-5668714&amp;tableName=Facturaci%C3%B3n&amp;fileName=Facturaci%C3%B3n_Files_%2Fb897182b.FACTURA%201.120028.pdf</t>
  </si>
  <si>
    <t>https://api.textmebot.com/send.php?recipient=+5493424476596&amp;apikey=xoF6EUkK31se&amp;document=https://www.appsheet.com/template/gettablefileurl?appName=Rv03-Apsol-5668714&amp;tableName=Facturaci%C3%B3n&amp;fileName=Facturaci%C3%B3n_Files_%2F2834822b.DOCUMENTO.180356.pdf</t>
  </si>
  <si>
    <t>https://api.textmebot.com/send.php?recipient=+5493424476596&amp;apikey=xoF6EUkK31se&amp;document=https://www.appsheet.com/template/gettablefileurl?appName=Rv03-Apsol-5668714&amp;tableName=Facturaci%C3%B3n&amp;fileName=Facturaci%C3%B3n_Files_%2Fb9a94019.FACTURA%201.163845.pdf</t>
  </si>
  <si>
    <t>https://api.textmebot.com/send.php?recipient=+5493424476596&amp;apikey=xoF6EUkK31se&amp;document=https://www.appsheet.com/template/gettablefileurl?appName=Rv03-Apsol-5668714&amp;tableName=Facturaci%C3%B3n&amp;fileName=Facturaci%C3%B3n_Files_%2Fb9a94019.FACTURA 1.163845.pdf</t>
  </si>
  <si>
    <t>https://api.textmebot.com/send.php?recipient=+5493424476596&amp;apikey=xoF6EUkK31se&amp;document=https://www.appsheet.com/template/gettablefileurl?appName=Rv03-Apsol-5668714&amp;tableName=Facturaci%C3%B3n&amp;fileName=Facturaci%C3%B3n_Files_%2F32cf3477.FACTURA%201.164859.pdf</t>
  </si>
  <si>
    <t>https://api.textmebot.com/send.php?recipient=+5493424476596&amp;apikey=xoF6EUkK31se&amp;document=https://www.appsheet.com/template/gettablefileurl?appName=Rv03-Apsol-5668714&amp;tableName=Facturaci%C3%B3n&amp;fileName=Facturaci%C3%B3n_Files_%2F32cf3477.DOCUMENTO.164859.pdf</t>
  </si>
  <si>
    <t>Fila 91</t>
  </si>
  <si>
    <t>Fila 96</t>
  </si>
  <si>
    <t>https://api.textmebot.com/send.php?recipient=+5493424476596&amp;apikey=xoF6EUkK31se&amp;document=https%3A%2F%2Fdrive.google.com%2Fuc%3Fid%3D1VDrqGbS60LIULjvkVtFsetZzdO7HLJCZ</t>
  </si>
  <si>
    <t>https://api.textmebot.com/send.php?recipient=+5493424476596&amp;apikey=xoF6EUkK31se&amp;document=https%3A%2F%2Fdrive.google.com%2Fuc%3Fid%3D1u1eARctkphzQE8w_hjP7gM1nmlkFeBGV</t>
  </si>
  <si>
    <t>Fila 106</t>
  </si>
  <si>
    <t>https://api.textmebot.com/send.php?recipient=+5493424476596&amp;apikey=xoF6EUkK31se&amp;document=https://drive.google.com/uc?id=1VDrqGbS60LIULjvkVtFsetZzdO7HLJCZ</t>
  </si>
  <si>
    <t>https://api.textmebot.com/send.php?recipient=+5493424476596&amp;apikey=xoF6EUkK31se&amp;document=https://drive.google.com/uc?id=1u1eARctkphzQE8w_hjP7gM1nmlkFeBGV</t>
  </si>
  <si>
    <t>Fila 116</t>
  </si>
  <si>
    <t>https://api.textmebot.com/send.php?recipient=+5493424476596&amp;apikey=xoF6EUkK31se&amp;document=https://drive.google.com/file/d/1VDrqGbS60LIULjvkVtFsetZzdO7HLJCZ/view?usp=drive_link</t>
  </si>
  <si>
    <t>https://api.textmebot.com/send.php?recipient=+5493424476596&amp;apikey=xoF6EUkK31se&amp;document=https://drive.google.com/file/d/1u1eARctkphzQE8w_hjP7gM1nmlkFeBGV/view?usp=drive_link</t>
  </si>
  <si>
    <t>https://api.textmebot.com/send.php?recipient=+5493424476596&amp;apikey=xoF6EUkK31se&amp;text=Hola%20adrian%20te%20envio%20tus%20facturas</t>
  </si>
  <si>
    <t>Fila 100</t>
  </si>
  <si>
    <t>https://api.textmebot.com/send.php?recipient=+5493424476596&amp;apikey=xoF6EUkK31se&amp;document=https://drive.google.com/file/d/1M22wrEyTXuXQxM3aYSzyLeZWY12r28BN/view?usp=drive_link</t>
  </si>
  <si>
    <t>https://api.textmebot.com/send.php?recipient=+5493424476596&amp;apikey=xoF6EUkK31se&amp;text=Hola%20Adrian!%20%F0%9F%91%8B%20Te%20env%C3%ADo%20la%20factura%20correspondiente%20por%20la%20prestaci%C3%B3n%20de%20servicios%20durante%20el%20per%C3%ADodo%2011%2F18%2F2024%20al%2012%2F19%2F2024.%20%F0%9F%93%8B%20Detalles%20de%20la%20factura%3A%20%E2%80%A2%20N%C3%BAmero%3A%20123%20%E2%80%A2%20Fecha%20de%20Emisi%C3%B3n%3A%2012%2F30%2F2024%20%E2%80%A2%20Fecha%20de%20Vencimiento%3A%2001%2F06%2F2025%20%E2%80%A2%20Monto%20Total%3A%20277800%20%F0%9F%92%B8%20%E2%80%A2%20Concepto%3A%20(Completar%20aqu%C3%AD)%20%F0%9F%92%BC%20Cuenta%20para%20el%20dep%C3%B3sito%3A%20%E2%80%A2%20CUIT%3A%2020331228797%20%E2%80%A2%20Titular%3A%20PATRIARCA%20ADRIAN%20CARLOS%20%E2%80%A2%20CBU%3A%200110491630049195615179%20%E2%80%A2%20Alias%3A%20apsol.consultora%20%E2%80%A2%20Banco%3A%20Banco%20Naci%C3%B3n%20%F0%9F%8F%A6%20%F0%9F%93%86%20Pr%C3%B3xima%20actualizaci%C3%B3n%20de%20tarifa%3A%2007%2F20%2F2042.%20Te%20agradecer%C3%ADa%20si%20me%20confirm%C3%A1s%20la%20recepci%C3%B3n%20y%20me%20avis%C3%A1s%20una%20fecha%20estimada%20de%20pago.%20%F0%9F%98%8A%20Desde%20ya%2C%20muchas%20gracias!%20Saludos%2C%20Adri%C3%A1n%20Patriarca%20APSOL%20-%20Consultor%C3%ADa%20Empresarial</t>
  </si>
  <si>
    <t>K</t>
  </si>
  <si>
    <t>Archivo no encontrado</t>
  </si>
  <si>
    <t>Error</t>
  </si>
  <si>
    <t>M</t>
  </si>
  <si>
    <t>Sin datos</t>
  </si>
  <si>
    <t>Omitido</t>
  </si>
  <si>
    <t>N</t>
  </si>
  <si>
    <t>O</t>
  </si>
  <si>
    <t>https://api.textmebot.com/send.php?recipient=+5493424476596&amp;apikey=xoF6EUkK31se&amp;text=Hola</t>
  </si>
  <si>
    <t>https://drive.google.com/file/d/1dMnbp9a3icyejX3cRU7ZHcIjGW9HnDSV/view?usp=drive_link</t>
  </si>
  <si>
    <t>https://drive.google.com/file/d/1t58eh0n4lCmtCKhcp16ViBC2l2YqAbB2/view?usp=drive_link</t>
  </si>
  <si>
    <t>https://api.textmebot.com/send.php?recipient=+5493424476596&amp;apikey=xoF6EUkK31se&amp;text=Hola%20Adrian!%20%F0%9F%91%8B%20%0ATe%20env%C3%ADo%20la%20factura%20correspondiente%20por%20la%20prestaci%C3%B3n%20de%20servicios%20durante%20el%20per%C3%ADodo%2011%2F18%2F2024%20al%2012%2F19%2F2024.%20%0A%0A%F0%9F%93%8B%20Detalles%20de%20la%20factura%3A%20%0A%E2%80%A2%20N%C3%BAmero%3A%20120%20%0A%E2%80%A2%20Fecha%20de%20Emisi%C3%B3n%3A%2012%2F31%2F2024%20%0A%E2%80%A2%20Fecha%20de%20Vencimiento%3A%2001%2F07%2F2025%20%0A%E2%80%A2%20Monto%20Total%3A%20277800%20%F0%9F%92%B8%20%0A%E2%80%A2%20Concepto%3A%20(Completar%20aqu%C3%AD)%20%0A%0A%F0%9F%92%BC%20Cuenta%20para%20el%20dep%C3%B3sito%3A%20%0A%E2%80%A2%20CUIT%3A%2020331228797%20%0A%E2%80%A2%20Titular%3A%20PATRIARCA%20ADRIAN%20CARLOS%20%0A%E2%80%A2%20CBU%3A%200110491630049195615179%20%0A%E2%80%A2%20Alias%3A%20apsol.consultora%20%0A%E2%80%A2%20Banco%3A%20Banco%20Naci%C3%B3n%20%F0%9F%8F%A6%20%0A%0A%F0%9F%93%86%20Pr%C3%B3xima%20actualizaci%C3%B3n%20de%20tarifa%3A%2001%2F20%2F2045.%20%0A%0ATe%20agradecer%C3%ADa%20si%20me%20confirm%C3%A1s%20la%20recepci%C3%B3n%20y%20me%20avis%C3%A1s%20una%20fecha%20estimada%20de%20pago.%20%F0%9F%98%8A%20%0A%0ADesde%20ya%2C%20muchas%20gracias!%20%0ASaludos%2C%20%0AAdri%C3%A1n%20Patriarca%20%0AAPSOL%20-%20Consultor%C3%ADa%20Empresarial</t>
  </si>
  <si>
    <t>https://drive.google.com/file/d/1wbBZkwdLY5arYKOtMODK44C9U_94slQt/view?usp=drive_link</t>
  </si>
  <si>
    <t>https://api.textmebot.com/send.php?recipient=+5493424476596&amp;apikey=xoF6EUkK31se&amp;text=Hola%20Adrian!%20%F0%9F%91%8B%20%0ATe%20env%C3%ADo%20la%20factura%20correspondiente%20por%20la%20prestaci%C3%B3n%20de%20servicios%20durante%20el%20per%C3%ADodo%2011%2F18%2F2024%20al%2012%2F19%2F2024.%20%0A%0A%F0%9F%93%8B%20Detalles%20de%20la%20factura%3A%20%0A%E2%80%A2%20N%C3%BAmero%3A%20120%20%0A%E2%80%A2%20Fecha%20de%20Emisi%C3%B3n%3A%2012%2F31%2F2024%20%0A%E2%80%A2%20Fecha%20de%20Vencimiento%3A%2001%2F07%2F2025%20%0A%E2%80%A2%20Monto%20Total%3A%20277800%20%F0%9F%92%B8%20%0A%E2%80%A2%20Concepto%3A%20(Completar%20aqu%C3%AD)%20%0A%0A%F0%9F%92%BC%20Cuenta%20para%20el%20dep%C3%B3sito%3A%20%0A%E2%80%A2%20CUIT%3A%2020-33122879-7%20%0A%E2%80%A2%20Titular%3A%20Adrian%20Carlos%20Patriarca%20%0A%E2%80%A2%20CBU%3A%203840200500000014889338%20%0A%E2%80%A2%20Alias%3A%20HABRE.JAGUAR.ENTERES%20%0A%E2%80%A2%20Banco%3A%20Wilobank%20S.A.U%20(Ual%C3%A1)%20%F0%9F%8F%A6%20%0A%0A%F0%9F%93%86%20Pr%C3%B3xima%20actualizaci%C3%B3n%20de%20tarifa%3A%2007%2F20%2F2047.%20%0A%0ATe%20agradecer%C3%ADa%20si%20me%20confirm%C3%A1s%20la%20recepci%C3%B3n%20y%20me%20avis%C3%A1s%20una%20fecha%20estimada%20de%20pago.%20%F0%9F%98%8A%20%0A%0ADesde%20ya%2C%20muchas%20gracias!%20%0ASaludos%2C%20%0AAdri%C3%A1n%20Patriarca%20%0AAPSOL%20-%20Consultor%C3%ADa%20Empresarial</t>
  </si>
  <si>
    <t>https://drive.google.com/file/d/1wnsLh1kMPkttRpAf-MwFIlmpKrC392UE/view?usp=drive_link</t>
  </si>
  <si>
    <t>https://api.textmebot.com/send.php?recipient=+5493424476596&amp;apikey=xoF6EUkK31se&amp;text=Hola%20Adrian!%20%F0%9F%91%8B%20%0ATe%20env%C3%ADo%20la%20factura%20correspondiente%20por%20la%20prestaci%C3%B3n%20de%20servicios%20durante%20el%20per%C3%ADodo%2011%2F18%2F2024%20al%2012%2F19%2F2024.%20%0A%0A%F0%9F%93%8B%20Detalles%20de%20la%20factura%3A%20%0A%E2%80%A2%20N%C3%BAmero%3A%20120%20%0A%E2%80%A2%20Fecha%20de%20Emisi%C3%B3n%3A%2012%2F31%2F2024%20%0A%E2%80%A2%20Fecha%20de%20Vencimiento%3A%2001%2F07%2F2025%20%0A%E2%80%A2%20Monto%20Total%3A%20277800%20%F0%9F%92%B8%20%0A%E2%80%A2%20Concepto%3A%20(Completar%20aqu%C3%AD)%20%0A%0A%F0%9F%92%BC%20Cuenta%20para%20el%20dep%C3%B3sito%3A%20%0A%E2%80%A2%20CUIT%3A%2020-33122879-7%20%0A%E2%80%A2%20Titular%3A%20Adrian%20Carlos%20Patriarca%20%0A%E2%80%A2%20CBU%3A%203840200500000014889338%20%0A%E2%80%A2%20Alias%3A%20HABRE.JAGUAR.ENTERES%20%0A%E2%80%A2%20Banco%3A%20Wilobank%20S.A.U%20(Ual%C3%A1)%20%F0%9F%8F%A6%20%0A%0A%F0%9F%93%86%20Pr%C3%B3xima%20actualizaci%C3%B3n%20de%20tarifa%3A%2001%2F20%2F2050.%20%0A%0ATe%20agradecer%C3%ADa%20si%20me%20confirm%C3%A1s%20la%20recepci%C3%B3n%20y%20me%20avis%C3%A1s%20una%20fecha%20estimada%20de%20pago.%20%F0%9F%98%8A%20%0A%0ADesde%20ya%2C%20muchas%20gracias!%20%0ASaludos%2C%20%0AAdri%C3%A1n%20Patriarca%20%0AAPSOL%20-%20Consultor%C3%ADa%20Empresarial</t>
  </si>
  <si>
    <t>https://api.textmebot.com/send.php?recipient=+5493424476596&amp;apikey=xoF6EUkK31se&amp;text=Hola%20Adrian!%20%F0%9F%91%8B%20Espero%20que%20todo%20est%C3%A9%20yendo%20bien.%20Quisiera%20recordarte%20que%20a%C3%BAn%20no%20hemos%20recibido%20el%20pago%20correspondiente%20a%20la%20factura%20de%20APSOL%20emitida%20el%2012%2F31%2F2024.%20%0A%0A%F0%9F%93%8B%20Detalles%20de%20la%20factura%3A%20%0A%E2%80%A2%20N%C3%BAmero%3A%20120%20%0A%E2%80%A2%20Vencimiento%3A%2001%2F07%2F2025%20%0A%E2%80%A2%20Monto%20total%3A%20277800%20%F0%9F%92%B8%20%0A%E2%80%A2%20Concepto%3A%20(Completar%20aqu%C3%AD)%20%0A%0A%F0%9F%92%BC%20Cuenta%20a%20depositar%3A%20%0A%E2%80%A2%20CUIT%3A%2020-33122879-7%20%0A%E2%80%A2%20Titular%3A%20Adrian%20Carlos%20Patriarca%20%0A%E2%80%A2%20CBU%3A%203840200500000014889338%20%0A%E2%80%A2%20Alias%3A%20HABRE.JAGUAR.ENTERES%20%0A%E2%80%A2%20Banco%3A%20Wilobank%20S.A.U%20(Ual%C3%A1)%20%F0%9F%8F%A6%20%0A%0AAdjunto%20encontrar%C3%A1s%20la%20factura%20para%20tu%20referencia.%20%0A%0ASi%20ya%20has%20realizado%20el%20pago%2C%20por%20favor%2C%20ignora%20este%20mensaje.%20%0A%0AGracias%20por%20tu%20pronta%20atenci%C3%B3n%20a%20este%20asunto.%20%0A%0AAPSOL%20-%20Consultor%C3%ADa%20Empresarial</t>
  </si>
  <si>
    <t>https://api.textmebot.com/send.php?recipient=+5493424476596&amp;apikey=xoF6EUkK31se&amp;text=Hola%20Adrian!%20%F0%9F%91%8B%20Espero%20que%20todo%20est%C3%A9%20yendo%20bien.%20Quisiera%20recordarte%20que%20a%C3%BAn%20no%20hemos%20recibido%20el%20pago%20correspondiente%20a%20la%20factura%20de%20APSOL%20emitida%20el%2031%2F12%2F24.%20%0A%0A%F0%9F%93%8B%20Detalles%20de%20la%20factura%3A%20%0A%E2%80%A2%20N%C3%BAmero%3A%20120%20%0A%E2%80%A2%20Vencimiento%3A%2007%2F01%2F25%20%0A%E2%80%A2%20Monto%20total%3A%20%24277800.%20%0A%F0%9F%92%BC%20Cuenta%20a%20depositar%3A%20%0A%E2%80%A2%20CUIT%3A%2020-33122879-7%20%0A%E2%80%A2%20Titular%3A%20Adrian%20Carlos%20Patriarca%20%0A%E2%80%A2%20CBU%3A%203840200500000014889338%20%0A%E2%80%A2%20Alias%3A%20HABRE.JAGUAR.ENTERES%20%0A%E2%80%A2%20Banco%3A%20Wilobank%20S.A.U%20(Ual%C3%A1)%20%F0%9F%8F%A6%20%0A%0AAdjunto%20encontrar%C3%A1s%20la%20factura%20para%20tu%20referencia.%20%0A%0ASi%20ya%20has%20realizado%20el%20pago%2C%20por%20favor%2C%20ignora%20este%20mensaje.%20%0A%0AGracias%20por%20tu%20pronta%20atenci%C3%B3n%20a%20este%20asunto.%20%0A%0AAPSOL%20-%20Consultor%C3%ADa%20Empresarial</t>
  </si>
  <si>
    <t>https://api.textmebot.com/send.php?recipient=+5493424476596&amp;apikey=xoF6EUkK31se&amp;text=Hola%20Adrian!%20%F0%9F%91%8B%20%0A%20Espero%20que%20todo%20est%C3%A9%20yendo%20bien.%20Quisiera%20recordarte%20que%20a%C3%BAn%20no%20hemos%20recibido%20el%20pago%20correspondiente%20a%20la%20factura%20N%C2%B0%20120%20emitida%20el%2031%2F12%2F24.%20%0A%0A%F0%9F%93%8B%20*Detalles%20de%20la%20factura%3A*%20%0A%E2%80%A2%20N%C3%BAmero%3A%20120%20%0A%E2%80%A2%20Vencimiento%3A%2007%2F01%2F25%20%0A%E2%80%A2%20Monto%20total%3A%20%24277800.%20%0A%0A%F0%9F%92%BC%20*Cuenta%20a%20depositar%3A*%20%0A%E2%80%A2%20CUIT%3A%2020-33122879-7%20%0A%E2%80%A2%20Titular%3A%20Adrian%20Carlos%20Patriarca%20%0A%E2%80%A2%20CBU%3A%203840200500000014889338%20%0A%E2%80%A2%20Alias%3A%20HABRE.JAGUAR.ENTERES%20%0A%E2%80%A2%20Banco%3A%20Wilobank%20S.A.U%20(Ual%C3%A1)%20%F0%9F%8F%A6%20%0A%0AAdjunto%20encontrar%C3%A1s%20la%20factura%20para%20tu%20referencia.%20%0A%0ASi%20ya%20has%20realizado%20el%20pago%2C%20por%20favor%2C%20ignora%20este%20mensaje.%20%0A%0AGracias%20por%20tu%20pronta%20atenci%C3%B3n%20a%20este%20asunto.%20%0A%0AAPSOL%20-%20Consultor%C3%ADa%20Empresarial</t>
  </si>
  <si>
    <t>https://drive.google.com/file/d/12PDqaxj3835pNYh5AQVB9UkbF0WZVcBW/view?usp=drive_link</t>
  </si>
  <si>
    <t>https://api.textmebot.com/send.php?recipient=+5493424476596&amp;apikey=xoF6EUkK31se&amp;text=Hola%20Daniela!%20%F0%9F%91%8B%20%0A%20Espero%20que%20todo%20est%C3%A9%20yendo%20bien.%20Quisiera%20recordarte%20que%20a%C3%BAn%20no%20hemos%20recibido%20el%20pago%20correspondiente%20a%20la%20factura%20N%C2%B0%20138%20emitida%20el%2020%2F11%2F24.%20%0A%0A%F0%9F%93%8B%20*Detalles%20de%20la%20factura%3A*%20%0A%E2%80%A2%20N%C3%BAmero%3A%20138%20%0A%E2%80%A2%20Vencimiento%3A%2026%2F11%2F24%20%0A%E2%80%A2%20Monto%20total%3A%20%24397000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</si>
  <si>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https://drive.google.com/file/d/1Sjv97TgzyY_tc-tyRgKWUH3PS8w0vjEa/view?usp=drive_link</t>
  </si>
  <si>
    <t>https://api.textmebot.com/send.php?recipient=+5493424476596&amp;apikey=xoF6EUkK31se&amp;text=Hola%20Martin!%20%F0%9F%91%8B%20%0ATe%20env%C3%ADo%20la%20factura%20correspondiente%20por%20la%20prestaci%C3%B3n%20de%20servicios%20durante%20el%20per%C3%ADodo%2006%2F12%2F24%20al%2006%2F01%2F25.%20%0A%0A%F0%9F%93%8B%20*Detalles%20de%20la%20factura%3A*%20%0A%E2%80%A2%20N%C3%BAmero%3A%20152%20%0A%E2%80%A2%20Fecha%20de%20Emisi%C3%B3n%3A%2006%2F01%2F25%20%0A%E2%80%A2%20Fecha%20de%20Vencimiento%3A%2013%2F01%2F25%20%0A%E2%80%A2%20Monto%20Total%3A%20%24%20897000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</si>
  <si>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https://drive.google.com/file/d/1Qsi1xPnQY8-BetKlEZDs6gIva5CLIvte/view?usp=drive_link</t>
  </si>
  <si>
    <t>https://api.textmebot.com/send.php?recipient=+5493424476596&amp;apikey=xoF6EUkK31se&amp;text=Hola%20Adrian!%20%F0%9F%91%8B%20%0ATe%20env%C3%ADo%20la%20factura%20correspondiente%20por%20la%20prestaci%C3%B3n%20de%20servicios%20durante%20el%20per%C3%ADodo%2030%2F12%2F24%20al%2001%2F01%2F25.%20%0A%0A%F0%9F%93%8B%20*Detalles%20de%20la%20factura%3A*%20%0A%E2%80%A2%20N%C3%BAmero%3A%2012%20%0A%E2%80%A2%20Fecha%20de%20Emisi%C3%B3n%3A%2006%2F01%2F25%20%0A%E2%80%A2%20Fecha%20de%20Vencimiento%3A%2013%2F01%2F25%20%0A%E2%80%A2%20Monto%20Total%3A%20%24%20277800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</si>
  <si>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Parametros recibidos</t>
  </si>
  <si>
    <t>"{\"phoneNumber\": \"3424851440\" ,\"K\": \"Facturación_Files_/cc06c73a.FACTURA 1.200035.pdf\",\"M\": \"\",\"N\": \"\",\"O\": \"\",\"Y\": \"Hola Adrian! 👋 \\nTe envío la factura correspondiente por la prestación de servicios durante el período 30/12/24 al 01/01/25. \\n\\n📋 *Detalles de la factura:* \\n• Número: 12 \\n• Fecha de Emisión: 06/01/25 \\n• Fecha de Vencimiento: 13/01/25 \\n• Monto Total: $ 277800.\\n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</si>
  <si>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Log</t>
  </si>
  <si>
    <t>cc06c73a.FACTURA 1.200035.pdf</t>
  </si>
  <si>
    <t>https://api.textmebot.com/send.php?recipient=+5493424851440&amp;apikey=xoF6EUkK31se&amp;text=Hola%20Adrian!%20%F0%9F%91%8B%20%0ATe%20env%C3%ADo%20la%20factura%20correspondiente%20por%20la%20prestaci%C3%B3n%20de%20servicios%20durante%20el%20per%C3%ADodo%2030%2F12%2F24%20al%2001%2F01%2F25.%20%0A%0A%F0%9F%93%8B%20*Detalles%20de%20la%20factura%3A*%20%0A%E2%80%A2%20N%C3%BAmero%3A%2012%20%0A%E2%80%A2%20Fecha%20de%20Emisi%C3%B3n%3A%2006%2F01%2F25%20%0A%E2%80%A2%20Fecha%20de%20Vencimiento%3A%2013%2F01%2F25%20%0A%E2%80%A2%20Monto%20Total%3A%20%24%20277800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</si>
  <si>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Texto personalizado</t>
  </si>
  <si>
    <t>https://drive.google.com/file/d/16e0sl9mXshp3UMZEO0uH9xp-ilPL5NMB/view?usp=drive_link</t>
  </si>
  <si>
    <t>https://api.textmebot.com/send.php?recipient=+5493424476596&amp;apikey=xoF6EUkK31se&amp;text=Hola%20Adrian!%20%F0%9F%91%8B%20%0ATe%20env%C3%ADo%20la%20factura%20correspondiente%20por%20la%20prestaci%C3%B3n%20de%20servicios%20durante%20el%20per%C3%ADodo%2001%2F01%2F25%20al%2001%2F01%2F25.%20%0A%0A%F0%9F%93%8B%20*Detalles%20de%20la%20factura%3A*%20%0A%E2%80%A2%20N%C3%BAmero%3A%20123%20%0A%E2%80%A2%20Fecha%20de%20Emisi%C3%B3n%3A%2006%2F01%2F25%20%0A%E2%80%A2%20Fecha%20de%20Vencimiento%3A%2013%2F01%2F25%20%0A%E2%80%A2%20Monto%20Total%3A%20%24%20277800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</si>
  <si>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\"3426293881\" ,\"K\": \"Facturación_Files_/cadf628e.FACTURA 1.214134.pdf\",\"M\": \"\",\"N\": \"\",\"O\": \"\",\"Y\": \"Hola Adrian! 👋 \\nTe envío la factura correspondiente por la prestación de servicios durante el período 01/01/25 al 01/01/25. \\n\\n📋 *Detalles de la factura:* \\n• Número: 123 \\n• Fecha de Emisión: 06/01/25 \\n• Fecha de Vencimiento: 13/01/25 \\n• Monto Total: $ 277800.\\n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</si>
  <si>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https://drive.google.com/file/d/1DTBap3TkwwJC_ccBK6gbjGTSfZx3KTqG/view?usp=drive_link</t>
  </si>
  <si>
    <t>cadf628e.FACTURA 1.214134.pdf</t>
  </si>
  <si>
    <t>https://api.textmebot.com/send.php?recipient=+5493426293881&amp;apikey=xoF6EUkK31se&amp;text=Hola%20Adrian!%20%F0%9F%91%8B%20%0ATe%20env%C3%ADo%20la%20factura%20correspondiente%20por%20la%20prestaci%C3%B3n%20de%20servicios%20durante%20el%20per%C3%ADodo%2001%2F01%2F25%20al%2001%2F01%2F25.%20%0A%0A%F0%9F%93%8B%20*Detalles%20de%20la%20factura%3A*%20%0A%E2%80%A2%20N%C3%BAmero%3A%20123%20%0A%E2%80%A2%20Fecha%20de%20Emisi%C3%B3n%3A%2006%2F01%2F25%20%0A%E2%80%A2%20Fecha%20de%20Vencimiento%3A%2013%2F01%2F25%20%0A%E2%80%A2%20Monto%20Total%3A%20%24%20277800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</si>
  <si>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\"3426293881\" ,\"K\": \"Facturación_Files_/cadf628e.FACTURA 1.214134.pdf\",\"M\": \"\",\"N\": \"\",\"O\": \"\",\"Y\": \"Hola Adrian! 👋 \\n Espero que todo esté yendo bien. Quisiera recordarte que aún no hemos recibido el pago correspondiente a la factura N° 123 emitida el 06/01/25. \\n\\n📋 *Detalles de la factura:* \\n• Número: 123 \\n• Vencimiento: 13/01/25 \\n• Monto total: $277800.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</si>
  <si>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+5493426293881&amp;apikey=xoF6EUkK31se&amp;text=Hola%20Adrian!%20%F0%9F%91%8B%20%0A%20Espero%20que%20todo%20est%C3%A9%20yendo%20bien.%20Quisiera%20recordarte%20que%20a%C3%BAn%20no%20hemos%20recibido%20el%20pago%20correspondiente%20a%20la%20factura%20N%C2%B0%20123%20emitida%20el%2006%2F01%2F25.%20%0A%0A%F0%9F%93%8B%20*Detalles%20de%20la%20factura%3A*%20%0A%E2%80%A2%20N%C3%BAmero%3A%20123%20%0A%E2%80%A2%20Vencimiento%3A%2013%2F01%2F25%20%0A%E2%80%A2%20Monto%20total%3A%20%24277800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</si>
  <si>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\"3425225459\" ,\"K\": \"Facturación_Files_/d2c7c719.FACTURA 1.140000.pdf\",\"M\": \"\",\"N\": \"\",\"O\": \"\",\"Y\": \"Hola Ignacio! 👋 \\nTe envío la factura correspondiente por la prestación de servicios durante el período 04/12/24 al 04/01/25. \\n\\n📋 *Detalles de la factura:* \\n• Número: 153 \\n• Fecha de Emisión: 07/01/25 \\n• Fecha de Vencimiento: 14/01/25 \\n• Monto Total: $ 635000.\\n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</si>
  <si>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https://drive.google.com/file/d/1B7GMyimHg1U6k5Sq7-l0VawvGwJXkrhm/view?usp=drive_link</t>
  </si>
  <si>
    <t>d2c7c719.FACTURA 1.140000.pdf</t>
  </si>
  <si>
    <t>https://api.textmebot.com/send.php?recipient=+5493425225459&amp;apikey=xoF6EUkK31se&amp;text=Hola%20Ignacio!%20%F0%9F%91%8B%20%0ATe%20env%C3%ADo%20la%20factura%20correspondiente%20por%20la%20prestaci%C3%B3n%20de%20servicios%20durante%20el%20per%C3%ADodo%2004%2F12%2F24%20al%2004%2F01%2F25.%20%0A%0A%F0%9F%93%8B%20*Detalles%20de%20la%20factura%3A*%20%0A%E2%80%A2%20N%C3%BAmero%3A%20153%20%0A%E2%80%A2%20Fecha%20de%20Emisi%C3%B3n%3A%2007%2F01%2F25%20%0A%E2%80%A2%20Fecha%20de%20Vencimiento%3A%2014%2F01%2F25%20%0A%E2%80%A2%20Monto%20Total%3A%20%24%20635000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</si>
  <si>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\"3424062455\" ,\"K\": \"Facturación_Files_/00afb144.FACTURA 1.140930.pdf\",\"M\": \"\",\"N\": \"\",\"O\": \"\",\"Y\": \"Hola Gonzalo! 👋 \\nTe envío la factura correspondiente por la prestación de servicios durante el período 27/11/24 al 28/12/24. \\n\\n📋 *Detalles de la factura:* \\n• Número: 154 \\n• Fecha de Emisión: 07/01/25 \\n• Fecha de Vencimiento: 13/01/25 \\n• Monto Total: $ 572000.\\n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</si>
  <si>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https://drive.google.com/file/d/1r_KWJ6My3-WD8gYJ-mLN-NrTvQfCCBlt/view?usp=drive_link</t>
  </si>
  <si>
    <t>00afb144.FACTURA 1.140930.pdf</t>
  </si>
  <si>
    <t>https://api.textmebot.com/send.php?recipient=+5493424062455&amp;apikey=xoF6EUkK31se&amp;text=Hola%20Gonzalo!%20%F0%9F%91%8B%20%0ATe%20env%C3%ADo%20la%20factura%20correspondiente%20por%20la%20prestaci%C3%B3n%20de%20servicios%20durante%20el%20per%C3%ADodo%2027%2F11%2F24%20al%2028%2F12%2F24.%20%0A%0A%F0%9F%93%8B%20*Detalles%20de%20la%20factura%3A*%20%0A%E2%80%A2%20N%C3%BAmero%3A%20154%20%0A%E2%80%A2%20Fecha%20de%20Emisi%C3%B3n%3A%2007%2F01%2F25%20%0A%E2%80%A2%20Fecha%20de%20Vencimiento%3A%2013%2F01%2F25%20%0A%E2%80%A2%20Monto%20Total%3A%20%24%20572000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</si>
  <si>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 ,\"K\": \"Facturación_Files_/81b7989e.FACTURA 1.142524.pdf\",\"M\": \"\",\"N\": \"\",\"O\": \"\",\"Y\": \"Hola Luciano! 👋 \\nTe envío la factura correspondiente por la prestación de servicios durante el período 04/12/24 al 04/01/25. \\n\\n📋 *Detalles de la factura:* \\n• Número: 155 \\n• Fecha de Emisión: 07/01/25 \\n• Fecha de Vencimiento: 14/01/25 \\n• Monto Total: $ 775000.\\n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</si>
  <si>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https://drive.google.com/file/d/1Vh7Yd13qCyhMVp69n4051geshrlnT8x9/view?usp=drive_link</t>
  </si>
  <si>
    <t>81b7989e.FACTURA 1.142524.pdf</t>
  </si>
  <si>
    <t>https://api.textmebot.com/send.php?recipient=+549.&amp;apikey=xoF6EUkK31se&amp;text=Hola%20Luciano!%20%F0%9F%91%8B%20%0ATe%20env%C3%ADo%20la%20factura%20correspondiente%20por%20la%20prestaci%C3%B3n%20de%20servicios%20durante%20el%20per%C3%ADodo%2004%2F12%2F24%20al%2004%2F01%2F25.%20%0A%0A%F0%9F%93%8B%20*Detalles%20de%20la%20factura%3A*%20%0A%E2%80%A2%20N%C3%BAmero%3A%20155%20%0A%E2%80%A2%20Fecha%20de%20Emisi%C3%B3n%3A%2007%2F01%2F25%20%0A%E2%80%A2%20Fecha%20de%20Vencimiento%3A%2014%2F01%2F25%20%0A%E2%80%A2%20Monto%20Total%3A%20%24%20775000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</si>
  <si>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\"3424770891\" ,\"K\": \"Facturación_Files_/00a97498.FACTURA 1.143400.pdf\",\"M\": \"\",\"N\": \"\",\"O\": \"\",\"Y\": \"Hola Juan! 👋 \\nTe envío la factura correspondiente por la prestación de servicios durante el período 23/11/24 al 23/12/24. \\n\\n📋 *Detalles de la factura:* \\n• Número: 156 \\n• Fecha de Emisión: 07/01/25 \\n• Fecha de Vencimiento: 21/01/25 \\n• Monto Total: $ 861000.\\n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</si>
  <si>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https://drive.google.com/file/d/1y6ldBHlPMYBMKTiVckjP-khKw_1f6HJO/view?usp=drive_link</t>
  </si>
  <si>
    <t>00a97498.FACTURA 1.143400.pdf</t>
  </si>
  <si>
    <t>https://api.textmebot.com/send.php?recipient=+5493424770891&amp;apikey=xoF6EUkK31se&amp;text=Hola%20Juan!%20%F0%9F%91%8B%20%0ATe%20env%C3%ADo%20la%20factura%20correspondiente%20por%20la%20prestaci%C3%B3n%20de%20servicios%20durante%20el%20per%C3%ADodo%2023%2F11%2F24%20al%2023%2F12%2F24.%20%0A%0A%F0%9F%93%8B%20*Detalles%20de%20la%20factura%3A*%20%0A%E2%80%A2%20N%C3%BAmero%3A%20156%20%0A%E2%80%A2%20Fecha%20de%20Emisi%C3%B3n%3A%2007%2F01%2F25%20%0A%E2%80%A2%20Fecha%20de%20Vencimiento%3A%2021%2F01%2F25%20%0A%E2%80%A2%20Monto%20Total%3A%20%24%20861000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</si>
  <si>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\"3521639222\" ,\"K\": \"Facturación_Files_/c23a0fca.FACTURA 1.184312.pdf\",\"M\": \"\",\"N\": \"\",\"O\": \"\",\"Y\": \"Hola Alan! 👋 \\nTe envío la factura correspondiente por la prestación de servicios durante el período 07/12/24 al 07/01/25. \\n\\n📋 *Detalles de la factura:* \\n• Número: 18 \\n• Fecha de Emisión: 08/01/25 \\n• Fecha de Vencimiento: 14/01/25 \\n• Monto Total: $ 561000.\\n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</si>
  <si>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https://drive.google.com/file/d/1uPm4O-aLod56wcHAc7xbDouGtCLGYW6P/view?usp=drive_link</t>
  </si>
  <si>
    <t>c23a0fca.FACTURA 1.184312.pdf</t>
  </si>
  <si>
    <t>https://api.textmebot.com/send.php?recipient=+5493521639222&amp;apikey=xoF6EUkK31se&amp;text=Hola%20Alan!%20%F0%9F%91%8B%20%0ATe%20env%C3%ADo%20la%20factura%20correspondiente%20por%20la%20prestaci%C3%B3n%20de%20servicios%20durante%20el%20per%C3%ADodo%2007%2F12%2F24%20al%2007%2F01%2F25.%20%0A%0A%F0%9F%93%8B%20*Detalles%20de%20la%20factura%3A*%20%0A%E2%80%A2%20N%C3%BAmero%3A%2018%20%0A%E2%80%A2%20Fecha%20de%20Emisi%C3%B3n%3A%2008%2F01%2F25%20%0A%E2%80%A2%20Fecha%20de%20Vencimiento%3A%2014%2F01%2F25%20%0A%E2%80%A2%20Monto%20Total%3A%20%24%20561000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</si>
  <si>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\"3493420977\" ,\"K\": \"Facturación_Files_/df8e170a.FACTURA 1.173927.pdf\",\"M\": \"\",\"N\": \"\",\"O\": \"\",\"Y\": \"Hola Gustavo! 👋 \\nTe envío la factura correspondiente por la prestación de servicios durante el período 10/12/24 al 11/01/25. \\n\\n📋 *Detalles de la factura:* \\n• Número: 157 \\n• Fecha de Emisión: 13/01/25 \\n• Fecha de Vencimiento: 27/01/25 \\n• Monto Total: $ 706000.\\n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</si>
  <si>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https://drive.google.com/file/d/1KfAbya2vJvOR4Yyq53CVYb2VQDGZIKSr/view?usp=drive_link</t>
  </si>
  <si>
    <t>df8e170a.FACTURA 1.173927.pdf</t>
  </si>
  <si>
    <t>https://api.textmebot.com/send.php?recipient=+5493493420977&amp;apikey=xoF6EUkK31se&amp;text=Hola%20Gustavo!%20%F0%9F%91%8B%20%0ATe%20env%C3%ADo%20la%20factura%20correspondiente%20por%20la%20prestaci%C3%B3n%20de%20servicios%20durante%20el%20per%C3%ADodo%2010%2F12%2F24%20al%2011%2F01%2F25.%20%0A%0A%F0%9F%93%8B%20*Detalles%20de%20la%20factura%3A*%20%0A%E2%80%A2%20N%C3%BAmero%3A%20157%20%0A%E2%80%A2%20Fecha%20de%20Emisi%C3%B3n%3A%2013%2F01%2F25%20%0A%E2%80%A2%20Fecha%20de%20Vencimiento%3A%2027%2F01%2F25%20%0A%E2%80%A2%20Monto%20Total%3A%20%24%20706000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</si>
  <si>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\"3493457667\" ,\"K\": \"Facturación_Files_/df8e170a.FACTURA 1.173927.pdf\",\"M\": \"\",\"N\": \"\",\"O\": \"\",\"Y\": \"Hola Gustavo! 👋 \\nTe envío la factura correspondiente por la prestación de servicios durante el período 10/12/24 al 11/01/25. \\n\\n📋 *Detalles de la factura:* \\n• Número: 157 \\n• Fecha de Emisión: 13/01/25 \\n• Fecha de Vencimiento: 27/01/25 \\n• Monto Total: $ 706000.\\n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</si>
  <si>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api.textmebot.com/send.php?recipient=+5493493457667&amp;apikey=xoF6EUkK31se&amp;text=Hola%20Gustavo!%20%F0%9F%91%8B%20%0ATe%20env%C3%ADo%20la%20factura%20correspondiente%20por%20la%20prestaci%C3%B3n%20de%20servicios%20durante%20el%20per%C3%ADodo%2010%2F12%2F24%20al%2011%2F01%2F25.%20%0A%0A%F0%9F%93%8B%20*Detalles%20de%20la%20factura%3A*%20%0A%E2%80%A2%20N%C3%BAmero%3A%20157%20%0A%E2%80%A2%20Fecha%20de%20Emisi%C3%B3n%3A%2013%2F01%2F25%20%0A%E2%80%A2%20Fecha%20de%20Vencimiento%3A%2027%2F01%2F25%20%0A%E2%80%A2%20Monto%20Total%3A%20%24%20706000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</si>
  <si>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\"1152609525\" ,\"K\": \"Facturación_Files_/b0d6faa6.FACTURA 1.130000.pdf\",\"M\": \"\",\"N\": \"\",\"O\": \"\",\"Y\": \"Hola Daniela! 👋 \\n Espero que todo esté yendo bien. Quisiera recordarte que aún no hemos recibido el pago correspondiente a la factura N° 138 emitida el 20/11/24. \\n\\n📋 *Detalles de la factura:* \\n• Número: 138 \\n• Vencimiento: 26/11/24 \\n• Monto total: $397000.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</si>
  <si>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b0d6faa6.FACTURA 1.130000.pdf</t>
  </si>
  <si>
    <t>https://api.textmebot.com/send.php?recipient=+5491152609525&amp;apikey=xoF6EUkK31se&amp;text=Hola%20Daniela!%20%F0%9F%91%8B%20%0A%20Espero%20que%20todo%20est%C3%A9%20yendo%20bien.%20Quisiera%20recordarte%20que%20a%C3%BAn%20no%20hemos%20recibido%20el%20pago%20correspondiente%20a%20la%20factura%20N%C2%B0%20138%20emitida%20el%2020%2F11%2F24.%20%0A%0A%F0%9F%93%8B%20*Detalles%20de%20la%20factura%3A*%20%0A%E2%80%A2%20N%C3%BAmero%3A%20138%20%0A%E2%80%A2%20Vencimiento%3A%2026%2F11%2F24%20%0A%E2%80%A2%20Monto%20total%3A%20%24397000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</si>
  <si>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\"1171282725\" ,\"K\": \"Facturación_Files_/08d5d471.FACTURA 1.124223.pdf\",\"M\": \"\",\"N\": \"\",\"O\": \"\",\"Y\": \"Hola Martin! 👋 \\nTe envío la factura correspondiente por la prestación de servicios durante el período 27/11/24 al 28/12/24. \\n\\n📋 *Detalles de la factura:* \\n• Número: 19 \\n• Fecha de Emisión: 14/01/25 \\n• Fecha de Vencimiento: 21/01/25 \\n• Monto Total: $ 376000.\\n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</si>
  <si>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https://drive.google.com/file/d/1mez8E_AHFDf0TrD39JBoXhR1dtpP0OnL/view?usp=drive_link</t>
  </si>
  <si>
    <t>08d5d471.FACTURA 1.124223.pdf</t>
  </si>
  <si>
    <t>https://api.textmebot.com/send.php?recipient=+5491171282725&amp;apikey=xoF6EUkK31se&amp;text=Hola%20Martin!%20%F0%9F%91%8B%20%0ATe%20env%C3%ADo%20la%20factura%20correspondiente%20por%20la%20prestaci%C3%B3n%20de%20servicios%20durante%20el%20per%C3%ADodo%2027%2F11%2F24%20al%2028%2F12%2F24.%20%0A%0A%F0%9F%93%8B%20*Detalles%20de%20la%20factura%3A*%20%0A%E2%80%A2%20N%C3%BAmero%3A%2019%20%0A%E2%80%A2%20Fecha%20de%20Emisi%C3%B3n%3A%2014%2F01%2F25%20%0A%E2%80%A2%20Fecha%20de%20Vencimiento%3A%2021%2F01%2F25%20%0A%E2%80%A2%20Monto%20Total%3A%20%24%20376000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</si>
  <si>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\"2267434320\" ,\"K\": \"Facturación_Files_/4405da1e.FACTURA 1.003155.pdf\",\"M\": \"\",\"N\": \"\",\"O\": \"\",\"Y\": \"Hola Pablo! 👋 \\nTe envío la factura correspondiente por la prestación de servicios durante el período 14/12/24 al 15/01/25. \\n\\n📋 *Detalles de la factura:* \\n• Número: 20 \\n• Fecha de Emisión: 14/01/25 \\n• Fecha de Vencimiento: 23/01/25 \\n• Monto Total: $ 590000.\\n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</si>
  <si>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https://drive.google.com/file/d/1axiVINAb5akI16Aq5fI7vlybxGa9US2-/view?usp=drive_link</t>
  </si>
  <si>
    <t>4405da1e.FACTURA 1.003155.pdf</t>
  </si>
  <si>
    <t>https://api.textmebot.com/send.php?recipient=+5492267434320&amp;apikey=xoF6EUkK31se&amp;text=Hola%20Pablo!%20%F0%9F%91%8B%20%0ATe%20env%C3%ADo%20la%20factura%20correspondiente%20por%20la%20prestaci%C3%B3n%20de%20servicios%20durante%20el%20per%C3%ADodo%2014%2F12%2F24%20al%2015%2F01%2F25.%20%0A%0A%F0%9F%93%8B%20*Detalles%20de%20la%20factura%3A*%20%0A%E2%80%A2%20N%C3%BAmero%3A%2020%20%0A%E2%80%A2%20Fecha%20de%20Emisi%C3%B3n%3A%2014%2F01%2F25%20%0A%E2%80%A2%20Fecha%20de%20Vencimiento%3A%2023%2F01%2F25%20%0A%E2%80%A2%20Monto%20Total%3A%20%24%20590000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</si>
  <si>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\"3424062455\" ,\"K\": \"Facturación_Files_/00afb144.FACTURA 1.140930.pdf\",\"M\": \"\",\"N\": \"\",\"O\": \"\",\"Y\": \"Hola Gonzalo! 👋 \\n Espero que todo esté yendo bien. Quisiera recordarte que aún no hemos recibido el pago correspondiente a la factura N° 154 emitida el 07/01/25. \\n\\n📋 *Detalles de la factura:* \\n• Número: 154 \\n• Vencimiento: 13/01/25 \\n• Monto total: $572000.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</si>
  <si>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+5493424062455&amp;apikey=xoF6EUkK31se&amp;text=Hola%20Gonzalo!%20%F0%9F%91%8B%20%0A%20Espero%20que%20todo%20est%C3%A9%20yendo%20bien.%20Quisiera%20recordarte%20que%20a%C3%BAn%20no%20hemos%20recibido%20el%20pago%20correspondiente%20a%20la%20factura%20N%C2%B0%20154%20emitida%20el%2007%2F01%2F25.%20%0A%0A%F0%9F%93%8B%20*Detalles%20de%20la%20factura%3A*%20%0A%E2%80%A2%20N%C3%BAmero%3A%20154%20%0A%E2%80%A2%20Vencimiento%3A%2013%2F01%2F25%20%0A%E2%80%A2%20Monto%20total%3A%20%24572000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</si>
  <si>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\"1171282725\" ,\"K\": \"Facturación_Files_/08d5d471.FACTURA 1.124223.pdf\",\"M\": \"\",\"N\": \"\",\"O\": \"\",\"Y\": \"Hola Martin! 👋 \\n Espero que todo esté yendo bien. Quisiera recordarte que aún no hemos recibido el pago correspondiente a la factura N° 19 emitida el 14/01/25. \\n\\n📋 *Detalles de la factura:* \\n• Número: 19 \\n• Vencimiento: 21/01/25 \\n• Monto total: $376000.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</si>
  <si>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+5491171282725&amp;apikey=xoF6EUkK31se&amp;text=Hola%20Martin!%20%F0%9F%91%8B%20%0A%20Espero%20que%20todo%20est%C3%A9%20yendo%20bien.%20Quisiera%20recordarte%20que%20a%C3%BAn%20no%20hemos%20recibido%20el%20pago%20correspondiente%20a%20la%20factura%20N%C2%B0%2019%20emitida%20el%2014%2F01%2F25.%20%0A%0A%F0%9F%93%8B%20*Detalles%20de%20la%20factura%3A*%20%0A%E2%80%A2%20N%C3%BAmero%3A%2019%20%0A%E2%80%A2%20Vencimiento%3A%2021%2F01%2F25%20%0A%E2%80%A2%20Monto%20total%3A%20%24376000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</si>
  <si>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\"2267434320\" ,\"K\": \"Facturación_Files_/4405da1e.FACTURA 1.003155.pdf\",\"M\": \"\",\"N\": \"\",\"O\": \"\",\"Y\": \"Hola Pablo! 👋 \\n Espero que todo esté yendo bien. Quisiera recordarte que aún no hemos recibido el pago correspondiente a la factura N° 20 emitida el 14/01/25. \\n\\n📋 *Detalles de la factura:* \\n• Número: 20 \\n• Vencimiento: 23/01/25 \\n• Monto total: $590000.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</si>
  <si>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+5492267434320&amp;apikey=xoF6EUkK31se&amp;text=Hola%20Pablo!%20%F0%9F%91%8B%20%0A%20Espero%20que%20todo%20est%C3%A9%20yendo%20bien.%20Quisiera%20recordarte%20que%20a%C3%BAn%20no%20hemos%20recibido%20el%20pago%20correspondiente%20a%20la%20factura%20N%C2%B0%2020%20emitida%20el%2014%2F01%2F25.%20%0A%0A%F0%9F%93%8B%20*Detalles%20de%20la%20factura%3A*%20%0A%E2%80%A2%20N%C3%BAmero%3A%2020%20%0A%E2%80%A2%20Vencimiento%3A%2023%2F01%2F25%20%0A%E2%80%A2%20Monto%20total%3A%20%24590000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</si>
  <si>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\"3493457667\" ,\"K\": \"Facturación_Files_/df8e170a.FACTURA 1.173927.pdf\",\"M\": \"\",\"N\": \"\",\"O\": \"\",\"Y\": \"Hola Gustavo! 👋 \\n Espero que todo esté yendo bien. Quisiera recordarte que aún no hemos recibido el pago correspondiente a la factura N° 157 emitida el 13/01/25. \\n\\n📋 *Detalles de la factura:* \\n• Número: 157 \\n• Vencimiento: 27/01/25 \\n• Monto total: $706000.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</si>
  <si>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+5493493457667&amp;apikey=xoF6EUkK31se&amp;text=Hola%20Gustavo!%20%F0%9F%91%8B%20%0A%20Espero%20que%20todo%20est%C3%A9%20yendo%20bien.%20Quisiera%20recordarte%20que%20a%C3%BAn%20no%20hemos%20recibido%20el%20pago%20correspondiente%20a%20la%20factura%20N%C2%B0%20157%20emitida%20el%2013%2F01%2F25.%20%0A%0A%F0%9F%93%8B%20*Detalles%20de%20la%20factura%3A*%20%0A%E2%80%A2%20N%C3%BAmero%3A%20157%20%0A%E2%80%A2%20Vencimiento%3A%2027%2F01%2F25%20%0A%E2%80%A2%20Monto%20total%3A%20%24706000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</si>
  <si>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\"3425225459\" ,\"K\": \"Facturación_Files_/42be4393.FACTURA 1.130234.pdf\",\"M\": \"\",\"N\": \"\",\"O\": \"\",\"Y\": \"Hola Ignacio! 👋 \\nTe envío la factura correspondiente por la prestación de servicios durante el período 19/12/24 al 20/01/25. \\n\\n📋 *Detalles de la factura:* \\n• Número: 21 \\n• Fecha de Emisión: 30/01/25 \\n• Fecha de Vencimiento: 06/02/25 \\n• Monto Total: $ 626000.\\n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</si>
  <si>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https://drive.google.com/file/d/1rtRDmECZg3j5rDrMDtCWczGh376oG7XF/view?usp=drive_link</t>
  </si>
  <si>
    <t>42be4393.FACTURA 1.130234.pdf</t>
  </si>
  <si>
    <t>https://api.textmebot.com/send.php?recipient=+5493425225459&amp;apikey=xoF6EUkK31se&amp;text=Hola%20Ignacio!%20%F0%9F%91%8B%20%0ATe%20env%C3%ADo%20la%20factura%20correspondiente%20por%20la%20prestaci%C3%B3n%20de%20servicios%20durante%20el%20per%C3%ADodo%2019%2F12%2F24%20al%2020%2F01%2F25.%20%0A%0A%F0%9F%93%8B%20*Detalles%20de%20la%20factura%3A*%20%0A%E2%80%A2%20N%C3%BAmero%3A%2021%20%0A%E2%80%A2%20Fecha%20de%20Emisi%C3%B3n%3A%2030%2F01%2F25%20%0A%E2%80%A2%20Fecha%20de%20Vencimiento%3A%2006%2F02%2F25%20%0A%E2%80%A2%20Monto%20Total%3A%20%24%20626000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</si>
  <si>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\"3424236299\" ,\"K\": \"Facturación_Files_/18fa70b1.FACTURA 1.190829.pdf\",\"M\": \"Facturación_Files_/18fa70b1.FACTURA 2.190829.pdf\",\"N\": \"Facturación_Files_/18fa70b1.FACTURA 3.190829.pdf\",\"O\": \"\",\"Y\": \"Hola Gonzalo! 👋 \\nTe envío la factura correspondiente por la prestación de servicios durante el período 14/01/25 al 30/01/25. \\n\\n📋 *Detalles de la factura:* \\n• Número: 158 / 159 / 160 \\n• Fecha de Emisión: 30/01/25 \\n• Fecha de Vencimiento: 13/02/25 \\n• Monto Total: $ 150000.\\n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</si>
  <si>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https://drive.google.com/file/d/154MCSYw1Fi6VqYFeexbJ2FSINC__YAgN/view?usp=drive_link</t>
  </si>
  <si>
    <t>18fa70b1.FACTURA 1.190829.pdf</t>
  </si>
  <si>
    <t>https://drive.google.com/file/d/1voWHchNa9QlxphItqXvpjtpMVuktLLVC/view?usp=drive_link</t>
  </si>
  <si>
    <t>18fa70b1.FACTURA 2.190829.pdf</t>
  </si>
  <si>
    <t>https://drive.google.com/file/d/1V-5EF-DBS42AEPN0LaGrnefRreCpIsUN/view?usp=drive_link</t>
  </si>
  <si>
    <t>18fa70b1.FACTURA 3.190829.pdf</t>
  </si>
  <si>
    <t>https://api.textmebot.com/send.php?recipient=+5493424236299&amp;apikey=xoF6EUkK31se&amp;text=Hola%20Gonzalo!%20%F0%9F%91%8B%20%0ATe%20env%C3%ADo%20la%20factura%20correspondiente%20por%20la%20prestaci%C3%B3n%20de%20servicios%20durante%20el%20per%C3%ADodo%2014%2F01%2F25%20al%2030%2F01%2F25.%20%0A%0A%F0%9F%93%8B%20*Detalles%20de%20la%20factura%3A*%20%0A%E2%80%A2%20N%C3%BAmero%3A%20158%20%2F%20159%20%2F%20160%20%0A%E2%80%A2%20Fecha%20de%20Emisi%C3%B3n%3A%2030%2F01%2F25%20%0A%E2%80%A2%20Fecha%20de%20Vencimiento%3A%2013%2F02%2F25%20%0A%E2%80%A2%20Monto%20Total%3A%20%24%20150000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</si>
  <si>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\"3424770891\" ,\"K\": \"Facturación_Files_/93822fef.FACTURA 1.195039.pdf\",\"M\": \"\",\"N\": \"\",\"O\": \"\",\"Y\": \"Hola Juan! 👋 \\nTe envío la factura correspondiente por la prestación de servicios durante el período 22/12/24 al 23/01/25. \\n\\n📋 *Detalles de la factura:* \\n• Número: 161 \\n• Fecha de Emisión: 30/01/25 \\n• Fecha de Vencimiento: 13/02/25 \\n• Monto Total: $ 861000.\\n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</si>
  <si>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https://drive.google.com/file/d/14bBB9F8WGdb1J-cz9kviNAhKgQtVAahQ/view?usp=drive_link</t>
  </si>
  <si>
    <t>93822fef.FACTURA 1.195039.pdf</t>
  </si>
  <si>
    <t>https://api.textmebot.com/send.php?recipient=+5493424770891&amp;apikey=xoF6EUkK31se&amp;text=Hola%20Juan!%20%F0%9F%91%8B%20%0ATe%20env%C3%ADo%20la%20factura%20correspondiente%20por%20la%20prestaci%C3%B3n%20de%20servicios%20durante%20el%20per%C3%ADodo%2022%2F12%2F24%20al%2023%2F01%2F25.%20%0A%0A%F0%9F%93%8B%20*Detalles%20de%20la%20factura%3A*%20%0A%E2%80%A2%20N%C3%BAmero%3A%20161%20%0A%E2%80%A2%20Fecha%20de%20Emisi%C3%B3n%3A%2030%2F01%2F25%20%0A%E2%80%A2%20Fecha%20de%20Vencimiento%3A%2013%2F02%2F25%20%0A%E2%80%A2%20Monto%20Total%3A%20%24%20861000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</si>
  <si>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\"3521639222\" ,\"K\": \"Facturación_Files_/1c42109e.FACTURA 1.121918.pdf\",\"M\": \"\",\"N\": \"\",\"O\": \"\",\"Y\": \"Hola Alan! 👋 \\nTe envío la factura correspondiente por la prestación de servicios durante el período 07/01/25 al 07/02/25. \\n\\n📋 *Detalles de la factura:* \\n• Número: 22 \\n• Fecha de Emisión: 07/02/25 \\n• Fecha de Vencimiento: 13/02/25 \\n• Monto Total: $ 575000.\\n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</si>
  <si>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https://drive.google.com/file/d/1YXPqNyA9RqkpMgDZo9XqagVBcD_iOV2c/view?usp=drive_link</t>
  </si>
  <si>
    <t>1c42109e.FACTURA 1.121918.pdf</t>
  </si>
  <si>
    <t>https://api.textmebot.com/send.php?recipient=+5493521639222&amp;apikey=xoF6EUkK31se&amp;text=Hola%20Alan!%20%F0%9F%91%8B%20%0ATe%20env%C3%ADo%20la%20factura%20correspondiente%20por%20la%20prestaci%C3%B3n%20de%20servicios%20durante%20el%20per%C3%ADodo%2007%2F01%2F25%20al%2007%2F02%2F25.%20%0A%0A%F0%9F%93%8B%20*Detalles%20de%20la%20factura%3A*%20%0A%E2%80%A2%20N%C3%BAmero%3A%2022%20%0A%E2%80%A2%20Fecha%20de%20Emisi%C3%B3n%3A%2007%2F02%2F25%20%0A%E2%80%A2%20Fecha%20de%20Vencimiento%3A%2013%2F02%2F25%20%0A%E2%80%A2%20Monto%20Total%3A%20%24%20575000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</si>
  <si>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\"3424062455\" ,\"K\": \"Facturación_Files_/b88c49ce.FACTURA 1.122622.pdf\",\"M\": \"\",\"N\": \"\",\"O\": \"\",\"Y\": \"Hola Gonzalo! 👋 \\nTe envío la factura correspondiente por la prestación de servicios durante el período 28/12/24 al 28/01/25. \\n\\n📋 *Detalles de la factura:* \\n• Número: 162 \\n• Fecha de Emisión: 07/02/25 \\n• Fecha de Vencimiento: 13/02/25 \\n• Monto Total: $ 586000.\\n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</si>
  <si>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https://drive.google.com/file/d/1su5tGJHxiH0Q3TMlLEUBdFMjqmAZ1b5x/view?usp=drive_link</t>
  </si>
  <si>
    <t>b88c49ce.FACTURA 1.122622.pdf</t>
  </si>
  <si>
    <t>https://api.textmebot.com/send.php?recipient=+5493424062455&amp;apikey=xoF6EUkK31se&amp;text=Hola%20Gonzalo!%20%F0%9F%91%8B%20%0ATe%20env%C3%ADo%20la%20factura%20correspondiente%20por%20la%20prestaci%C3%B3n%20de%20servicios%20durante%20el%20per%C3%ADodo%2028%2F12%2F24%20al%2028%2F01%2F25.%20%0A%0A%F0%9F%93%8B%20*Detalles%20de%20la%20factura%3A*%20%0A%E2%80%A2%20N%C3%BAmero%3A%20162%20%0A%E2%80%A2%20Fecha%20de%20Emisi%C3%B3n%3A%2007%2F02%2F25%20%0A%E2%80%A2%20Fecha%20de%20Vencimiento%3A%2013%2F02%2F25%20%0A%E2%80%A2%20Monto%20Total%3A%20%24%20586000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</si>
  <si>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\"3425468752\" ,\"K\": \"Facturación_Files_/194dd190.FACTURA 1.123037.pdf\",\"M\": \"\",\"N\": \"\",\"O\": \"\",\"Y\": \"Hola Luciano! 👋 \\nTe envío la factura correspondiente por la prestación de servicios durante el período 04/01/25 al 04/02/25. \\n\\n📋 *Detalles de la factura:* \\n• Número: 163 \\n• Fecha de Emisión: 07/02/25 \\n• Fecha de Vencimiento: 14/02/25 \\n• Monto Total: $ 795000.\\n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</si>
  <si>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https://drive.google.com/file/d/1MNAFYvkoI2ISELX0aOgJHVd_GkwmhwPi/view?usp=drive_link</t>
  </si>
  <si>
    <t>194dd190.FACTURA 1.123037.pdf</t>
  </si>
  <si>
    <t>https://api.textmebot.com/send.php?recipient=+5493425468752&amp;apikey=xoF6EUkK31se&amp;text=Hola%20Luciano!%20%F0%9F%91%8B%20%0ATe%20env%C3%ADo%20la%20factura%20correspondiente%20por%20la%20prestaci%C3%B3n%20de%20servicios%20durante%20el%20per%C3%ADodo%2004%2F01%2F25%20al%2004%2F02%2F25.%20%0A%0A%F0%9F%93%8B%20*Detalles%20de%20la%20factura%3A*%20%0A%E2%80%A2%20N%C3%BAmero%3A%20163%20%0A%E2%80%A2%20Fecha%20de%20Emisi%C3%B3n%3A%2007%2F02%2F25%20%0A%E2%80%A2%20Fecha%20de%20Vencimiento%3A%2014%2F02%2F25%20%0A%E2%80%A2%20Monto%20Total%3A%20%24%20795000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</si>
  <si>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\"3425225459\" ,\"K\": \"Facturación_Files_/da788e66.FACTURA 1.124116.pdf\",\"M\": \"\",\"N\": \"\",\"O\": \"\",\"Y\": \"Hola Ignacio! 👋 \\nTe envío la factura correspondiente por la prestación de servicios durante el período 04/01/25 al 04/02/25. \\n\\n📋 *Detalles de la factura:* \\n• Número: 23 \\n• Fecha de Emisión: 07/02/25 \\n• Fecha de Vencimiento: 14/02/25 \\n• Monto Total: $ 635000.\\n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</si>
  <si>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https://drive.google.com/file/d/1X11u-XLx1dTsRhTxJC2I6zSLjb_t5XYZ/view?usp=drive_link</t>
  </si>
  <si>
    <t>da788e66.FACTURA 1.124116.pdf</t>
  </si>
  <si>
    <t>https://api.textmebot.com/send.php?recipient=+5493425225459&amp;apikey=xoF6EUkK31se&amp;text=Hola%20Ignacio!%20%F0%9F%91%8B%20%0ATe%20env%C3%ADo%20la%20factura%20correspondiente%20por%20la%20prestaci%C3%B3n%20de%20servicios%20durante%20el%20per%C3%ADodo%2004%2F01%2F25%20al%2004%2F02%2F25.%20%0A%0A%F0%9F%93%8B%20*Detalles%20de%20la%20factura%3A*%20%0A%E2%80%A2%20N%C3%BAmero%3A%2023%20%0A%E2%80%A2%20Fecha%20de%20Emisi%C3%B3n%3A%2007%2F02%2F25%20%0A%E2%80%A2%20Fecha%20de%20Vencimiento%3A%2014%2F02%2F25%20%0A%E2%80%A2%20Monto%20Total%3A%20%24%20635000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</si>
  <si>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\"3425389073\" ,\"K\": \"Facturación_Files_/151c02c4.FACTURA 1.122022.pdf\",\"M\": \"\",\"N\": \"\",\"O\": \"\",\"Y\": \"Hola Martin! 👋 \\nTe envío la factura correspondiente por la prestación de servicios durante el período 07/01/25 al 06/02/25. \\n\\n📋 *Detalles de la factura:* \\n• Número: 24 \\n• Fecha de Emisión: 11/02/25 \\n• Fecha de Vencimiento: 20/02/25 \\n• Monto Total: $ 800000.\\n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</si>
  <si>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https://drive.google.com/file/d/1QhYvKItRB9xPfqnqZdGoQOfPd5qSL4hD/view?usp=drive_link</t>
  </si>
  <si>
    <t>151c02c4.FACTURA 1.122022.pdf</t>
  </si>
  <si>
    <t>https://api.textmebot.com/send.php?recipient=+5493425389073&amp;apikey=xoF6EUkK31se&amp;text=Hola%20Martin!%20%F0%9F%91%8B%20%0ATe%20env%C3%ADo%20la%20factura%20correspondiente%20por%20la%20prestaci%C3%B3n%20de%20servicios%20durante%20el%20per%C3%ADodo%2007%2F01%2F25%20al%2006%2F02%2F25.%20%0A%0A%F0%9F%93%8B%20*Detalles%20de%20la%20factura%3A*%20%0A%E2%80%A2%20N%C3%BAmero%3A%2024%20%0A%E2%80%A2%20Fecha%20de%20Emisi%C3%B3n%3A%2011%2F02%2F25%20%0A%E2%80%A2%20Fecha%20de%20Vencimiento%3A%2020%2F02%2F25%20%0A%E2%80%A2%20Monto%20Total%3A%20%24%20800000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</si>
  <si>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\"3493457667\" ,\"K\": \"Facturación_Images/be4344ae.FACTURA 1.190025.jpg\",\"M\": \"\",\"N\": \"\",\"O\": \"\",\"Y\": \"Hola Gustavo! 👋 \\nTe envío la factura correspondiente por la prestación de servicios durante el período 11/01/25 al 11/02/25. \\n\\n📋 *Detalles de la factura:* \\n• Número: 1 \\n• Fecha de Emisión: 11/02/25 \\n• Fecha de Vencimiento: 25/02/25 \\n• Monto Total: $ 726000.\\n  \\n\\n💼 *Cuenta para el depósito:* \\n• CUIT: 2033122879 \\n• Titular: Adrian Patriarca \\n• CBU: Efectivo \\n• Alias: Efectivo \\n• Banco: Efectivo 🏦 \\n  \\n\\nTe agradecería si me confirmás la recepción y me avisás una fecha estimada de pago. 😊 \\n\\nDesde ya, muchas gracias!\"}"</t>
  </si>
  <si>
    <t>be4344ae.FACTURA 1.190025.jpg</t>
  </si>
  <si>
    <t>https://api.textmebot.com/send.php?recipient=+5493493457667&amp;apikey=xoF6EUkK31se&amp;text=Hola%20Gustavo!%20%F0%9F%91%8B%20%0ATe%20env%C3%ADo%20la%20factura%20correspondiente%20por%20la%20prestaci%C3%B3n%20de%20servicios%20durante%20el%20per%C3%ADodo%2011%2F01%2F25%20al%2011%2F02%2F25.%20%0A%0A%F0%9F%93%8B%20*Detalles%20de%20la%20factura%3A*%20%0A%E2%80%A2%20N%C3%BAmero%3A%201%20%0A%E2%80%A2%20Fecha%20de%20Emisi%C3%B3n%3A%2011%2F02%2F25%20%0A%E2%80%A2%20Fecha%20de%20Vencimiento%3A%2025%2F02%2F25%20%0A%E2%80%A2%20Monto%20Total%3A%20%24%20726000.%0A%20%20%0A%0A%F0%9F%92%BC%20*Cuenta%20para%20el%20dep%C3%B3sito%3A*%20%0A%E2%80%A2%20CUIT%3A%202033122879%20%0A%E2%80%A2%20Titular%3A%20Adrian%20Patriarca%20%0A%E2%80%A2%20CBU%3A%20Efectivo%20%0A%E2%80%A2%20Alias%3A%20Efectivo%20%0A%E2%80%A2%20Banco%3A%20Efectivo%20%F0%9F%8F%A6%20%0A%20%20%0A%0ATe%20agradecer%C3%ADa%20si%20me%20confirm%C3%A1s%20la%20recepci%C3%B3n%20y%20me%20avis%C3%A1s%20una%20fecha%20estimada%20de%20pago.%20%F0%9F%98%8A%20%0A%0ADesde%20ya%2C%20muchas%20gracias!</t>
  </si>
  <si>
    <t>"{\"phoneNumber\": \"3521639222\" ,\"K\": \"Facturación_Files_/1c42109e.FACTURA 1.121918.pdf\",\"M\": \"\",\"N\": \"\",\"O\": \"\",\"Y\": \"Hola Alan! 👋 \\n Espero que todo esté yendo bien. Quisiera recordarte que aún no hemos recibido el pago correspondiente a la factura N° 22 emitida el 07/02/25. \\n\\n📋 *Detalles de la factura:* \\n• Número: 22 \\n• Vencimiento: 13/02/25 \\n• Monto total: $575000.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</si>
  <si>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+5493521639222&amp;apikey=xoF6EUkK31se&amp;text=Hola%20Alan!%20%F0%9F%91%8B%20%0A%20Espero%20que%20todo%20est%C3%A9%20yendo%20bien.%20Quisiera%20recordarte%20que%20a%C3%BAn%20no%20hemos%20recibido%20el%20pago%20correspondiente%20a%20la%20factura%20N%C2%B0%2022%20emitida%20el%2007%2F02%2F25.%20%0A%0A%F0%9F%93%8B%20*Detalles%20de%20la%20factura%3A*%20%0A%E2%80%A2%20N%C3%BAmero%3A%2022%20%0A%E2%80%A2%20Vencimiento%3A%2013%2F02%2F25%20%0A%E2%80%A2%20Monto%20total%3A%20%24575000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</si>
  <si>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\"3424062455\" ,\"K\": \"Facturación_Files_/b88c49ce.FACTURA 1.122622.pdf\",\"M\": \"\",\"N\": \"\",\"O\": \"\",\"Y\": \"Hola Gonzalo! 👋 \\n Espero que todo esté yendo bien. Quisiera recordarte que aún no hemos recibido el pago correspondiente a la factura N° 162 emitida el 07/02/25. \\n\\n📋 *Detalles de la factura:* \\n• Número: 162 \\n• Vencimiento: 13/02/25 \\n• Monto total: $586000.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</si>
  <si>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+5493424062455&amp;apikey=xoF6EUkK31se&amp;text=Hola%20Gonzalo!%20%F0%9F%91%8B%20%0A%20Espero%20que%20todo%20est%C3%A9%20yendo%20bien.%20Quisiera%20recordarte%20que%20a%C3%BAn%20no%20hemos%20recibido%20el%20pago%20correspondiente%20a%20la%20factura%20N%C2%B0%20162%20emitida%20el%2007%2F02%2F25.%20%0A%0A%F0%9F%93%8B%20*Detalles%20de%20la%20factura%3A*%20%0A%E2%80%A2%20N%C3%BAmero%3A%20162%20%0A%E2%80%A2%20Vencimiento%3A%2013%2F02%2F25%20%0A%E2%80%A2%20Monto%20total%3A%20%24586000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</si>
  <si>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\"3425468752\" ,\"K\": \"Facturación_Files_/194dd190.FACTURA 1.123037.pdf\",\"M\": \"\",\"N\": \"\",\"O\": \"\",\"Y\": \"Hola Luciano! 👋 \\n Espero que todo esté yendo bien. Quisiera recordarte que aún no hemos recibido el pago correspondiente a la factura N° 163 emitida el 07/02/25. \\n\\n📋 *Detalles de la factura:* \\n• Número: 163 \\n• Vencimiento: 14/02/25 \\n• Monto total: $795000.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</si>
  <si>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+5493425468752&amp;apikey=xoF6EUkK31se&amp;text=Hola%20Luciano!%20%F0%9F%91%8B%20%0A%20Espero%20que%20todo%20est%C3%A9%20yendo%20bien.%20Quisiera%20recordarte%20que%20a%C3%BAn%20no%20hemos%20recibido%20el%20pago%20correspondiente%20a%20la%20factura%20N%C2%B0%20163%20emitida%20el%2007%2F02%2F25.%20%0A%0A%F0%9F%93%8B%20*Detalles%20de%20la%20factura%3A*%20%0A%E2%80%A2%20N%C3%BAmero%3A%20163%20%0A%E2%80%A2%20Vencimiento%3A%2014%2F02%2F25%20%0A%E2%80%A2%20Monto%20total%3A%20%24795000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</si>
  <si>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\"2267434320\" ,\"K\": \"Facturación_Files_/34398f15.FACTURA 1.121940.pdf\",\"M\": \"\",\"N\": \"\",\"O\": \"\",\"Y\": \"Hola Pablo! 👋 \\nTe envío la factura correspondiente por la prestación de servicios durante el período 15/01/25 al 15/02/25. \\n\\n📋 *Detalles de la factura:* \\n• Número: 25 \\n• Fecha de Emisión: 21/02/25 \\n• Fecha de Vencimiento: 04/03/25 \\n• Monto Total: $ 606000.\\n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</si>
  <si>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https://drive.google.com/file/d/1SwFYTvmbxTbmPotzSHqGBaLzxHCr60Cm/view?usp=drive_link</t>
  </si>
  <si>
    <t>34398f15.FACTURA 1.121940.pdf</t>
  </si>
  <si>
    <t>https://api.textmebot.com/send.php?recipient=+5492267434320&amp;apikey=xoF6EUkK31se&amp;text=Hola%20Pablo!%20%F0%9F%91%8B%20%0ATe%20env%C3%ADo%20la%20factura%20correspondiente%20por%20la%20prestaci%C3%B3n%20de%20servicios%20durante%20el%20per%C3%ADodo%2015%2F01%2F25%20al%2015%2F02%2F25.%20%0A%0A%F0%9F%93%8B%20*Detalles%20de%20la%20factura%3A*%20%0A%E2%80%A2%20N%C3%BAmero%3A%2025%20%0A%E2%80%A2%20Fecha%20de%20Emisi%C3%B3n%3A%2021%2F02%2F25%20%0A%E2%80%A2%20Fecha%20de%20Vencimiento%3A%2004%2F03%2F25%20%0A%E2%80%A2%20Monto%20Total%3A%20%24%20606000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</si>
  <si>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\"3424770891\" ,\"K\": \"Facturación_Files_/4cd0be41.FACTURA 1.131421.pdf\",\"M\": \"\",\"N\": \"\",\"O\": \"\",\"Y\": \"Hola Juan! 👋 \\nTe envío la factura correspondiente por la prestación de servicios durante el período 23/01/25 al 23/02/25. \\n\\n📋 *Detalles de la factura:* \\n• Número: 164 \\n• Fecha de Emisión: 27/02/25 \\n• Fecha de Vencimiento: 13/03/25 \\n• Monto Total: $ 895000.\\n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</si>
  <si>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https://drive.google.com/file/d/1PKfwqt8aPaYZKTu0boJXsmRtX7UQvKZg/view?usp=drive_link</t>
  </si>
  <si>
    <t>4cd0be41.FACTURA 1.131421.pdf</t>
  </si>
  <si>
    <t>https://api.textmebot.com/send.php?recipient=+5493424770891&amp;apikey=xoF6EUkK31se&amp;text=Hola%20Juan!%20%F0%9F%91%8B%20%0ATe%20env%C3%ADo%20la%20factura%20correspondiente%20por%20la%20prestaci%C3%B3n%20de%20servicios%20durante%20el%20per%C3%ADodo%2023%2F01%2F25%20al%2023%2F02%2F25.%20%0A%0A%F0%9F%93%8B%20*Detalles%20de%20la%20factura%3A*%20%0A%E2%80%A2%20N%C3%BAmero%3A%20164%20%0A%E2%80%A2%20Fecha%20de%20Emisi%C3%B3n%3A%2027%2F02%2F25%20%0A%E2%80%A2%20Fecha%20de%20Vencimiento%3A%2013%2F03%2F25%20%0A%E2%80%A2%20Monto%20Total%3A%20%24%20895000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</si>
  <si>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\"2267434320\" ,\"K\": \"Facturación_Files_/34398f15.FACTURA 1.121940.pdf\",\"M\": \"\",\"N\": \"\",\"O\": \"\",\"Y\": \"Hola Pablo! 👋 \\n Espero que todo esté yendo bien. Quisiera recordarte que aún no hemos recibido el pago correspondiente a la factura N° 25 emitida el 21/02/25. \\n\\n📋 *Detalles de la factura:* \\n• Número: 25 \\n• Vencimiento: 04/03/25 \\n• Monto total: $606000.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</si>
  <si>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+5492267434320&amp;apikey=xoF6EUkK31se&amp;text=Hola%20Pablo!%20%F0%9F%91%8B%20%0A%20Espero%20que%20todo%20est%C3%A9%20yendo%20bien.%20Quisiera%20recordarte%20que%20a%C3%BAn%20no%20hemos%20recibido%20el%20pago%20correspondiente%20a%20la%20factura%20N%C2%B0%2025%20emitida%20el%2021%2F02%2F25.%20%0A%0A%F0%9F%93%8B%20*Detalles%20de%20la%20factura%3A*%20%0A%E2%80%A2%20N%C3%BAmero%3A%2025%20%0A%E2%80%A2%20Vencimiento%3A%2004%2F03%2F25%20%0A%E2%80%A2%20Monto%20total%3A%20%24606000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</si>
  <si>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\"3521639222\" ,\"K\": \"Facturación_Files_/cd14f87c.FACTURA 1.125120.pdf\",\"M\": \"\",\"N\": \"\",\"O\": \"\",\"Y\": \"Hola Alan! 👋 \\nTe envío la factura correspondiente por la prestación de servicios durante el período 07/02/25 al 07/03/25. \\n\\n📋 *Detalles de la factura:* \\n• Número: 26 \\n• Fecha de Emisión: 11/03/25 \\n• Fecha de Vencimiento: 17/03/25 \\n• Monto Total: $ 588000.\\n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</si>
  <si>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https://drive.google.com/file/d/13NE7M8iQSD0P2tzjLlN6xmQzUiNnYqS9/view?usp=drive_link</t>
  </si>
  <si>
    <t>cd14f87c.FACTURA 1.125120.pdf</t>
  </si>
  <si>
    <t>https://api.textmebot.com/send.php?recipient=+5493521639222&amp;apikey=xoF6EUkK31se&amp;text=Hola%20Alan!%20%F0%9F%91%8B%20%0ATe%20env%C3%ADo%20la%20factura%20correspondiente%20por%20la%20prestaci%C3%B3n%20de%20servicios%20durante%20el%20per%C3%ADodo%2007%2F02%2F25%20al%2007%2F03%2F25.%20%0A%0A%F0%9F%93%8B%20*Detalles%20de%20la%20factura%3A*%20%0A%E2%80%A2%20N%C3%BAmero%3A%2026%20%0A%E2%80%A2%20Fecha%20de%20Emisi%C3%B3n%3A%2011%2F03%2F25%20%0A%E2%80%A2%20Fecha%20de%20Vencimiento%3A%2017%2F03%2F25%20%0A%E2%80%A2%20Monto%20Total%3A%20%24%20588000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</si>
  <si>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\"3493457667\" ,\"K\": \"Facturación_Images/5ee64cab.FACTURA 1.125951.png\",\"M\": \"\",\"N\": \"\",\"O\": \"\",\"Y\": \"Hola Gustavo! 👋 \\nTe envío la factura correspondiente por la prestación de servicios durante el período 11/02/25 al 11/03/25. \\n\\n📋 *Detalles de la factura:* \\n• Número: Sin/Factura pago efectivo \\n• Fecha de Emisión: 11/03/25 \\n• Fecha de Vencimiento: 25/03/25 \\n• Monto Total: $ 741000.\\n  \\n\\n💼 *Cuenta para el depósito:* \\n• CUIT: 2033122879 \\n• Titular: Adrian Patriarca \\n• CBU: Efectivo \\n• Alias: Efectivo \\n• Banco: Efectivo 🏦 \\n  \\n\\nTe agradecería si me confirmás la recepción y me avisás una fecha estimada de pago. 😊 \\n\\nDesde ya, muchas gracias!\"}"</t>
  </si>
  <si>
    <t>5ee64cab.FACTURA 1.125951.png</t>
  </si>
  <si>
    <t>https://api.textmebot.com/send.php?recipient=+5493493457667&amp;apikey=xoF6EUkK31se&amp;text=Hola%20Gustavo!%20%F0%9F%91%8B%20%0ATe%20env%C3%ADo%20la%20factura%20correspondiente%20por%20la%20prestaci%C3%B3n%20de%20servicios%20durante%20el%20per%C3%ADodo%2011%2F02%2F25%20al%2011%2F03%2F25.%20%0A%0A%F0%9F%93%8B%20*Detalles%20de%20la%20factura%3A*%20%0A%E2%80%A2%20N%C3%BAmero%3A%20Sin%2FFactura%20pago%20efectivo%20%0A%E2%80%A2%20Fecha%20de%20Emisi%C3%B3n%3A%2011%2F03%2F25%20%0A%E2%80%A2%20Fecha%20de%20Vencimiento%3A%2025%2F03%2F25%20%0A%E2%80%A2%20Monto%20Total%3A%20%24%20741000.%0A%20%20%0A%0A%F0%9F%92%BC%20*Cuenta%20para%20el%20dep%C3%B3sito%3A*%20%0A%E2%80%A2%20CUIT%3A%202033122879%20%0A%E2%80%A2%20Titular%3A%20Adrian%20Patriarca%20%0A%E2%80%A2%20CBU%3A%20Efectivo%20%0A%E2%80%A2%20Alias%3A%20Efectivo%20%0A%E2%80%A2%20Banco%3A%20Efectivo%20%F0%9F%8F%A6%20%0A%20%20%0A%0ATe%20agradecer%C3%ADa%20si%20me%20confirm%C3%A1s%20la%20recepci%C3%B3n%20y%20me%20avis%C3%A1s%20una%20fecha%20estimada%20de%20pago.%20%F0%9F%98%8A%20%0A%0ADesde%20ya%2C%20muchas%20gracias!</t>
  </si>
  <si>
    <t>"{\"phoneNumber\": \"3425468752\" ,\"K\": \"Facturación_Files_/25f40de1.FACTURA 1.133340.pdf\",\"M\": \"\",\"N\": \"\",\"O\": \"\",\"Y\": \"Hola Luciano! 👋 \\nTe envío la factura correspondiente por la prestación de servicios durante el período 04/02/25 al 04/03/25. \\n\\n📋 *Detalles de la factura:* \\n• Número: 165 \\n• Fecha de Emisión: 11/03/25 \\n• Fecha de Vencimiento: 18/03/25 \\n• Monto Total: $ 811000.\\n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</si>
  <si>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https://drive.google.com/file/d/1_NMSZBVZFBX-1LP-PTDDxPubrFZkpHEu/view?usp=drive_link</t>
  </si>
  <si>
    <t>25f40de1.FACTURA 1.133340.pdf</t>
  </si>
  <si>
    <t>https://api.textmebot.com/send.php?recipient=+5493425468752&amp;apikey=xoF6EUkK31se&amp;text=Hola%20Luciano!%20%F0%9F%91%8B%20%0ATe%20env%C3%ADo%20la%20factura%20correspondiente%20por%20la%20prestaci%C3%B3n%20de%20servicios%20durante%20el%20per%C3%ADodo%2004%2F02%2F25%20al%2004%2F03%2F25.%20%0A%0A%F0%9F%93%8B%20*Detalles%20de%20la%20factura%3A*%20%0A%E2%80%A2%20N%C3%BAmero%3A%20165%20%0A%E2%80%A2%20Fecha%20de%20Emisi%C3%B3n%3A%2011%2F03%2F25%20%0A%E2%80%A2%20Fecha%20de%20Vencimiento%3A%2018%2F03%2F25%20%0A%E2%80%A2%20Monto%20Total%3A%20%24%20811000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</si>
  <si>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\"3425225459\" ,\"K\": \"Facturación_Files_/0b87b959.FACTURA 1.140917.pdf\",\"M\": \"\",\"N\": \"\",\"O\": \"\",\"Y\": \"Hola Ignacio! 👋 \\nTe envío la factura correspondiente por la prestación de servicios durante el período 04/02/25 al 04/03/25. \\n\\n📋 *Detalles de la factura:* \\n• Número: 27 \\n• Fecha de Emisión: 11/03/25 \\n• Fecha de Vencimiento: 18/03/25 \\n• Monto Total: $ 1364000.\\n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</si>
  <si>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https://drive.google.com/file/d/1l-cisKi7j5I8lMQNrvnxtRQ-9alkQONj/view?usp=drive_link</t>
  </si>
  <si>
    <t>0b87b959.FACTURA 1.140917.pdf</t>
  </si>
  <si>
    <t>https://api.textmebot.com/send.php?recipient=+5493425225459&amp;apikey=xoF6EUkK31se&amp;text=Hola%20Ignacio!%20%F0%9F%91%8B%20%0ATe%20env%C3%ADo%20la%20factura%20correspondiente%20por%20la%20prestaci%C3%B3n%20de%20servicios%20durante%20el%20per%C3%ADodo%2004%2F02%2F25%20al%2004%2F03%2F25.%20%0A%0A%F0%9F%93%8B%20*Detalles%20de%20la%20factura%3A*%20%0A%E2%80%A2%20N%C3%BAmero%3A%2027%20%0A%E2%80%A2%20Fecha%20de%20Emisi%C3%B3n%3A%2011%2F03%2F25%20%0A%E2%80%A2%20Fecha%20de%20Vencimiento%3A%2018%2F03%2F25%20%0A%E2%80%A2%20Monto%20Total%3A%20%24%201364000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</si>
  <si>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\"3425389073\" ,\"K\": \"Facturación_Files_/a67fcf5c.FACTURA 1.211138.pdf\",\"M\": \"\",\"N\": \"\",\"O\": \"\",\"Y\": \"Hola Martin! 👋 \\nTe envío la factura correspondiente por la prestación de servicios durante el período 06/02/25 al 06/03/25. \\n\\n📋 *Detalles de la factura:* \\n• Número: 28 \\n• Fecha de Emisión: 11/03/25 \\n• Fecha de Vencimiento: 20/03/25 \\n• Monto Total: $ 960000.\\n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</si>
  <si>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https://drive.google.com/file/d/1pSVytUAZsuWJO232yx0j8Vk_Qo6YxWPr/view?usp=drive_link</t>
  </si>
  <si>
    <t>a67fcf5c.FACTURA 1.211138.pdf</t>
  </si>
  <si>
    <t>https://api.textmebot.com/send.php?recipient=+5493425389073&amp;apikey=xoF6EUkK31se&amp;text=Hola%20Martin!%20%F0%9F%91%8B%20%0ATe%20env%C3%ADo%20la%20factura%20correspondiente%20por%20la%20prestaci%C3%B3n%20de%20servicios%20durante%20el%20per%C3%ADodo%2006%2F02%2F25%20al%2006%2F03%2F25.%20%0A%0A%F0%9F%93%8B%20*Detalles%20de%20la%20factura%3A*%20%0A%E2%80%A2%20N%C3%BAmero%3A%2028%20%0A%E2%80%A2%20Fecha%20de%20Emisi%C3%B3n%3A%2011%2F03%2F25%20%0A%E2%80%A2%20Fecha%20de%20Vencimiento%3A%2020%2F03%2F25%20%0A%E2%80%A2%20Monto%20Total%3A%20%24%20960000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</si>
  <si>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\"3424062455\" ,\"K\": \"Facturación_Files_/25e282ec.FACTURA 1.184432.pdf\",\"M\": \"\",\"N\": \"\",\"O\": \"\",\"Y\": \"Hola Gonzalo! 👋 \\nTe envío la factura correspondiente por la prestación de servicios durante el período 28/01/25 al 28/02/25. \\n\\n📋 *Detalles de la factura:* \\n• Número: 166 \\n• Fecha de Emisión: 13/03/25 \\n• Fecha de Vencimiento: 24/03/25 \\n• Monto Total: $ 602000.\\n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</si>
  <si>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https://drive.google.com/file/d/1WJ1P6kzKBtE7br2-veotr-SFf-EVA5cR/view?usp=drive_link</t>
  </si>
  <si>
    <t>25e282ec.FACTURA 1.184432.pdf</t>
  </si>
  <si>
    <t>https://api.textmebot.com/send.php?recipient=+5493424062455&amp;apikey=xoF6EUkK31se&amp;text=Hola%20Gonzalo!%20%F0%9F%91%8B%20%0ATe%20env%C3%ADo%20la%20factura%20correspondiente%20por%20la%20prestaci%C3%B3n%20de%20servicios%20durante%20el%20per%C3%ADodo%2028%2F01%2F25%20al%2028%2F02%2F25.%20%0A%0A%F0%9F%93%8B%20*Detalles%20de%20la%20factura%3A*%20%0A%E2%80%A2%20N%C3%BAmero%3A%20166%20%0A%E2%80%A2%20Fecha%20de%20Emisi%C3%B3n%3A%2013%2F03%2F25%20%0A%E2%80%A2%20Fecha%20de%20Vencimiento%3A%2024%2F03%2F25%20%0A%E2%80%A2%20Monto%20Total%3A%20%24%20602000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</si>
  <si>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\"3424236299\" ,\"K\": \"Facturación_Files_/a94af567.FACTURA 1.190856.pdf\",\"M\": \"Facturación_Files_/a94af567.FACTURA 2.190856.pdf\",\"N\": \"Facturación_Files_/a94af567.FACTURA 3.190856.pdf\",\"O\": \"\",\"Y\": \"Hola Gonzalo! 👋 \\nTe envío la factura correspondiente por la prestación de servicios durante el período 31/01/25 al 06/03/25. \\n\\n📋 *Detalles de la factura:* \\n• Número: 167/168/169 \\n• Fecha de Emisión: 13/03/25 \\n• Fecha de Vencimiento: 27/03/25 \\n• Monto Total: $ 303160.\\n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</si>
  <si>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https://drive.google.com/file/d/1s2PObTEFEH998RY-Oxzvgu5teUIGQTT4/view?usp=drive_link</t>
  </si>
  <si>
    <t>a94af567.FACTURA 1.190856.pdf</t>
  </si>
  <si>
    <t>https://drive.google.com/file/d/17Tny2OdfspW6YJ4LDKGh707_recSDauI/view?usp=drive_link</t>
  </si>
  <si>
    <t>a94af567.FACTURA 2.190856.pdf</t>
  </si>
  <si>
    <t>https://drive.google.com/file/d/1icvlVtIQC4epztYMtJlsNtjHRCvOPZ1J/view?usp=drive_link</t>
  </si>
  <si>
    <t>a94af567.FACTURA 3.190856.pdf</t>
  </si>
  <si>
    <t>https://api.textmebot.com/send.php?recipient=+5493424236299&amp;apikey=xoF6EUkK31se&amp;text=Hola%20Gonzalo!%20%F0%9F%91%8B%20%0ATe%20env%C3%ADo%20la%20factura%20correspondiente%20por%20la%20prestaci%C3%B3n%20de%20servicios%20durante%20el%20per%C3%ADodo%2031%2F01%2F25%20al%2006%2F03%2F25.%20%0A%0A%F0%9F%93%8B%20*Detalles%20de%20la%20factura%3A*%20%0A%E2%80%A2%20N%C3%BAmero%3A%20167%2F168%2F169%20%0A%E2%80%A2%20Fecha%20de%20Emisi%C3%B3n%3A%2013%2F03%2F25%20%0A%E2%80%A2%20Fecha%20de%20Vencimiento%3A%2027%2F03%2F25%20%0A%E2%80%A2%20Monto%20Total%3A%20%24%20303160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</si>
  <si>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\"1152609525\" ,\"K\": \"Facturación_Files_/b0d6faa6.FACTURA 1.130000.pdf\",\"M\": \"\",\"N\": \"\",\"O\": \"\",\"Y\": \"Hola Daniela! 👋 \\n Espero que todo esté yendo bien. Quisiera recordarte que aún no hemos recibido el pago correspondiente a la factura N° 138 emitida el 20/11/24. \\n\\n📋 *Detalles de la factura:* \\n• Número: 138 \\n• Vencimiento: 21/11/24 \\n• Monto total: $397000.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</si>
  <si>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+5491152609525&amp;apikey=xoF6EUkK31se&amp;text=Hola%20Daniela!%20%F0%9F%91%8B%20%0A%20Espero%20que%20todo%20est%C3%A9%20yendo%20bien.%20Quisiera%20recordarte%20que%20a%C3%BAn%20no%20hemos%20recibido%20el%20pago%20correspondiente%20a%20la%20factura%20N%C2%B0%20138%20emitida%20el%2020%2F11%2F24.%20%0A%0A%F0%9F%93%8B%20*Detalles%20de%20la%20factura%3A*%20%0A%E2%80%A2%20N%C3%BAmero%3A%20138%20%0A%E2%80%A2%20Vencimiento%3A%2021%2F11%2F24%20%0A%E2%80%A2%20Monto%20total%3A%20%24397000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</si>
  <si>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\"3424770891\" ,\"K\": \"Facturación_Files_/4cd0be41.FACTURA 1.131421.pdf\",\"M\": \"\",\"N\": \"\",\"O\": \"\",\"Y\": \"Hola Juan! 👋 \\n Espero que todo esté yendo bien. Quisiera recordarte que aún no hemos recibido el pago correspondiente a la factura N° 164 emitida el 27/02/25. \\n\\n📋 *Detalles de la factura:* \\n• Número: 164 \\n• Vencimiento: 11/03/25 \\n• Monto total: $895000.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</si>
  <si>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+5493424770891&amp;apikey=xoF6EUkK31se&amp;text=Hola%20Juan!%20%F0%9F%91%8B%20%0A%20Espero%20que%20todo%20est%C3%A9%20yendo%20bien.%20Quisiera%20recordarte%20que%20a%C3%BAn%20no%20hemos%20recibido%20el%20pago%20correspondiente%20a%20la%20factura%20N%C2%B0%20164%20emitida%20el%2027%2F02%2F25.%20%0A%0A%F0%9F%93%8B%20*Detalles%20de%20la%20factura%3A*%20%0A%E2%80%A2%20N%C3%BAmero%3A%20164%20%0A%E2%80%A2%20Vencimiento%3A%2011%2F03%2F25%20%0A%E2%80%A2%20Monto%20total%3A%20%24895000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</si>
  <si>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\"3425468752\" ,\"K\": \"Facturación_Files_/25f40de1.FACTURA 1.133340.pdf\",\"M\": \"\",\"N\": \"\",\"O\": \"\",\"Y\": \"Hola Luciano! 👋 \\n Espero que todo esté yendo bien. Quisiera recordarte que aún no hemos recibido el pago correspondiente a la factura N° 165 emitida el 11/03/25. \\n\\n📋 *Detalles de la factura:* \\n• Número: 165 \\n• Vencimiento: 18/03/25 \\n• Monto total: $811000.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</si>
  <si>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+5493425468752&amp;apikey=xoF6EUkK31se&amp;text=Hola%20Luciano!%20%F0%9F%91%8B%20%0A%20Espero%20que%20todo%20est%C3%A9%20yendo%20bien.%20Quisiera%20recordarte%20que%20a%C3%BAn%20no%20hemos%20recibido%20el%20pago%20correspondiente%20a%20la%20factura%20N%C2%B0%20165%20emitida%20el%2011%2F03%2F25.%20%0A%0A%F0%9F%93%8B%20*Detalles%20de%20la%20factura%3A*%20%0A%E2%80%A2%20N%C3%BAmero%3A%20165%20%0A%E2%80%A2%20Vencimiento%3A%2018%2F03%2F25%20%0A%E2%80%A2%20Monto%20total%3A%20%24811000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</si>
  <si>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\"3425389073\" ,\"K\": \"Facturación_Files_/a67fcf5c.FACTURA 1.211138.pdf\",\"M\": \"\",\"N\": \"\",\"O\": \"\",\"Y\": \"Hola Martin! 👋 \\n Espero que todo esté yendo bien. Quisiera recordarte que aún no hemos recibido el pago correspondiente a la factura N° 28 emitida el 11/03/25. \\n\\n📋 *Detalles de la factura:* \\n• Número: 28 \\n• Vencimiento: 20/03/25 \\n• Monto total: $960000.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</si>
  <si>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+5493425389073&amp;apikey=xoF6EUkK31se&amp;text=Hola%20Martin!%20%F0%9F%91%8B%20%0A%20Espero%20que%20todo%20est%C3%A9%20yendo%20bien.%20Quisiera%20recordarte%20que%20a%C3%BAn%20no%20hemos%20recibido%20el%20pago%20correspondiente%20a%20la%20factura%20N%C2%B0%2028%20emitida%20el%2011%2F03%2F25.%20%0A%0A%F0%9F%93%8B%20*Detalles%20de%20la%20factura%3A*%20%0A%E2%80%A2%20N%C3%BAmero%3A%2028%20%0A%E2%80%A2%20Vencimiento%3A%2020%2F03%2F25%20%0A%E2%80%A2%20Monto%20total%3A%20%24960000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</si>
  <si>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\"3424062455\" ,\"K\": \"Facturación_Files_/25e282ec.FACTURA 1.184432.pdf\",\"M\": \"\",\"N\": \"\",\"O\": \"\",\"Y\": \"Hola Gonzalo! 👋 \\n Espero que todo esté yendo bien. Quisiera recordarte que aún no hemos recibido el pago correspondiente a la factura N° 166 emitida el 13/03/25. \\n\\n📋 *Detalles de la factura:* \\n• Número: 166 \\n• Vencimiento: 24/03/25 \\n• Monto total: $602000.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</si>
  <si>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+5493424062455&amp;apikey=xoF6EUkK31se&amp;text=Hola%20Gonzalo!%20%F0%9F%91%8B%20%0A%20Espero%20que%20todo%20est%C3%A9%20yendo%20bien.%20Quisiera%20recordarte%20que%20a%C3%BAn%20no%20hemos%20recibido%20el%20pago%20correspondiente%20a%20la%20factura%20N%C2%B0%20166%20emitida%20el%2013%2F03%2F25.%20%0A%0A%F0%9F%93%8B%20*Detalles%20de%20la%20factura%3A*%20%0A%E2%80%A2%20N%C3%BAmero%3A%20166%20%0A%E2%80%A2%20Vencimiento%3A%2024%2F03%2F25%20%0A%E2%80%A2%20Monto%20total%3A%20%24602000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</si>
  <si>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\"2267434320\" ,\"K\": \"Facturación_Files_/c2a2b45b.FACTURA 1.204055.pdf\",\"M\": \"\",\"N\": \"\",\"O\": \"\",\"Y\": \"Hola Pablo! 👋 \\nTe envío la factura correspondiente por la prestación de servicios durante el período 15/02/25 al 15/03/25. \\n\\n📋 *Detalles de la factura:* \\n• Número: 29 \\n• Fecha de Emisión: 26/03/25 \\n• Fecha de Vencimiento: 01/04/25 \\n• Monto Total: $ 620000.\\n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</si>
  <si>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https://drive.google.com/file/d/13lCzN9zUj6r77MWmyXxyikW-maV5ZWQv/view?usp=drive_link</t>
  </si>
  <si>
    <t>c2a2b45b.FACTURA 1.204055.pdf</t>
  </si>
  <si>
    <t>https://api.textmebot.com/send.php?recipient=+5492267434320&amp;apikey=xoF6EUkK31se&amp;text=Hola%20Pablo!%20%F0%9F%91%8B%20%0ATe%20env%C3%ADo%20la%20factura%20correspondiente%20por%20la%20prestaci%C3%B3n%20de%20servicios%20durante%20el%20per%C3%ADodo%2015%2F02%2F25%20al%2015%2F03%2F25.%20%0A%0A%F0%9F%93%8B%20*Detalles%20de%20la%20factura%3A*%20%0A%E2%80%A2%20N%C3%BAmero%3A%2029%20%0A%E2%80%A2%20Fecha%20de%20Emisi%C3%B3n%3A%2026%2F03%2F25%20%0A%E2%80%A2%20Fecha%20de%20Vencimiento%3A%2001%2F04%2F25%20%0A%E2%80%A2%20Monto%20Total%3A%20%24%20620000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</si>
  <si>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\"3493457667\" ,\"K\": \"Facturación_Images/5ee64cab.FACTURA 1.125951.png\",\"M\": \"\",\"N\": \"\",\"O\": \"\",\"Y\": \"Hola Gustavo! 👋 \\n Espero que todo esté yendo bien. Quisiera recordarte que aún no hemos recibido el pago correspondiente a la factura N° Sin/Factura pago efectivo emitida el 11/03/25. \\n\\n📋 *Detalles de la factura:* \\n• Número: Sin/Factura pago efectivo \\n• Vencimiento: 21/03/25 \\n• Monto total: $741000. \\n\\n💼 *Cuenta a depositar:* \\n• CUIT: 2033122879 \\n• Titular: Adrian Patriarca \\n• CBU: Efectivo \\n• Alias: Efectivo \\n• Banco: Efectivo 🏦 \\n\\nAdjunto encontrarás la factura para tu referencia. \\n\\nSi ya has realizado el pago, por favor, ignora este mensaje. \\n\\nGracias por tu pronta atención a este asunto. \\n\\nAPSOL - Consultoría Empresarial\"}"</t>
  </si>
  <si>
    <t>https://api.textmebot.com/send.php?recipient=+5493493457667&amp;apikey=xoF6EUkK31se&amp;text=Hola%20Gustavo!%20%F0%9F%91%8B%20%0A%20Espero%20que%20todo%20est%C3%A9%20yendo%20bien.%20Quisiera%20recordarte%20que%20a%C3%BAn%20no%20hemos%20recibido%20el%20pago%20correspondiente%20a%20la%20factura%20N%C2%B0%20Sin%2FFactura%20pago%20efectivo%20emitida%20el%2011%2F03%2F25.%20%0A%0A%F0%9F%93%8B%20*Detalles%20de%20la%20factura%3A*%20%0A%E2%80%A2%20N%C3%BAmero%3A%20Sin%2FFactura%20pago%20efectivo%20%0A%E2%80%A2%20Vencimiento%3A%2021%2F03%2F25%20%0A%E2%80%A2%20Monto%20total%3A%20%24741000.%20%0A%0A%F0%9F%92%BC%20*Cuenta%20a%20depositar%3A*%20%0A%E2%80%A2%20CUIT%3A%202033122879%20%0A%E2%80%A2%20Titular%3A%20Adrian%20Patriarca%20%0A%E2%80%A2%20CBU%3A%20Efectivo%20%0A%E2%80%A2%20Alias%3A%20Efectivo%20%0A%E2%80%A2%20Banco%3A%20Efectivo%20%F0%9F%8F%A6%20%0A%0AAdjunto%20encontrar%C3%A1s%20la%20factura%20para%20tu%20referencia.%20%0A%0ASi%20ya%20has%20realizado%20el%20pago%2C%20por%20favor%2C%20ignora%20este%20mensaje.%20%0A%0AGracias%20por%20tu%20pronta%20atenci%C3%B3n%20a%20este%20asunto.%20%0A%0AAPSOL%20-%20Consultor%C3%ADa%20Empresarial</t>
  </si>
  <si>
    <t>"{\"phoneNumber\": \"3424770891\" ,\"K\": \"Facturación_Files_/4420acf7.FACTURA 1.171437.pdf\",\"M\": \"\",\"N\": \"\",\"O\": \"\",\"Y\": \"Hola Juan! 👋 \\nTe envío la factura correspondiente por la prestación de servicios durante el período 23/02/25 al 23/03/25. \\n\\n📋 *Detalles de la factura:* \\n• Número: 170 \\n• Fecha de Emisión: 31/03/25 \\n• Fecha de Vencimiento: 10/04/25 \\n• Monto Total: $ 895000.\\n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</si>
  <si>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https://drive.google.com/file/d/1ZsnyXMn_DwiLxmmmLyY_KQroI9mdmtaQ/view?usp=drive_link</t>
  </si>
  <si>
    <t>4420acf7.FACTURA 1.171437.pdf</t>
  </si>
  <si>
    <t>https://api.textmebot.com/send.php?recipient=+5493424770891&amp;apikey=xoF6EUkK31se&amp;text=Hola%20Juan!%20%F0%9F%91%8B%20%0ATe%20env%C3%ADo%20la%20factura%20correspondiente%20por%20la%20prestaci%C3%B3n%20de%20servicios%20durante%20el%20per%C3%ADodo%2023%2F02%2F25%20al%2023%2F03%2F25.%20%0A%0A%F0%9F%93%8B%20*Detalles%20de%20la%20factura%3A*%20%0A%E2%80%A2%20N%C3%BAmero%3A%20170%20%0A%E2%80%A2%20Fecha%20de%20Emisi%C3%B3n%3A%2031%2F03%2F25%20%0A%E2%80%A2%20Fecha%20de%20Vencimiento%3A%2010%2F04%2F25%20%0A%E2%80%A2%20Monto%20Total%3A%20%24%20895000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</si>
  <si>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\"2267434320\" ,\"K\": \"Facturación_Files_/c2a2b45b.FACTURA 1.204055.pdf\",\"M\": \"\",\"N\": \"\",\"O\": \"\",\"Y\": \"Hola Pablo! 👋 \\n Espero que todo esté yendo bien. Quisiera recordarte que aún no hemos recibido el pago correspondiente a la factura N° 29 emitida el 26/03/25. \\n\\n📋 *Detalles de la factura:* \\n• Número: 29 \\n• Vencimiento: 01/04/25 \\n• Monto total: $620000.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</si>
  <si>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+5492267434320&amp;apikey=xoF6EUkK31se&amp;text=Hola%20Pablo!%20%F0%9F%91%8B%20%0A%20Espero%20que%20todo%20est%C3%A9%20yendo%20bien.%20Quisiera%20recordarte%20que%20a%C3%BAn%20no%20hemos%20recibido%20el%20pago%20correspondiente%20a%20la%20factura%20N%C2%B0%2029%20emitida%20el%2026%2F03%2F25.%20%0A%0A%F0%9F%93%8B%20*Detalles%20de%20la%20factura%3A*%20%0A%E2%80%A2%20N%C3%BAmero%3A%2029%20%0A%E2%80%A2%20Vencimiento%3A%2001%2F04%2F25%20%0A%E2%80%A2%20Monto%20total%3A%20%24620000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</si>
  <si>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\"3425225459\" ,\"K\": \"Facturación_Files_/fa626936.FACTURA 1.130355.pdf\",\"M\": \"\",\"N\": \"\",\"O\": \"\",\"Y\": \"Hola Ignacio! 👋 \\nTe envío la factura correspondiente por la prestación de servicios durante el período 04/03/25 al 04/04/25. \\n\\n📋 *Detalles de la factura:* \\n• Número: 30 \\n• Fecha de Emisión: 09/04/25 \\n• Fecha de Vencimiento: 16/04/25 \\n• Monto Total: $ 1364000.\\n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</si>
  <si>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https://drive.google.com/file/d/1FvZzKR_UexjptAA-MJFx4BWE-YQnqVHp/view?usp=drive_link</t>
  </si>
  <si>
    <t>fa626936.FACTURA 1.130355.pdf</t>
  </si>
  <si>
    <t>https://api.textmebot.com/send.php?recipient=+5493425225459&amp;apikey=xoF6EUkK31se&amp;text=Hola%20Ignacio!%20%F0%9F%91%8B%20%0ATe%20env%C3%ADo%20la%20factura%20correspondiente%20por%20la%20prestaci%C3%B3n%20de%20servicios%20durante%20el%20per%C3%ADodo%2004%2F03%2F25%20al%2004%2F04%2F25.%20%0A%0A%F0%9F%93%8B%20*Detalles%20de%20la%20factura%3A*%20%0A%E2%80%A2%20N%C3%BAmero%3A%2030%20%0A%E2%80%A2%20Fecha%20de%20Emisi%C3%B3n%3A%2009%2F04%2F25%20%0A%E2%80%A2%20Fecha%20de%20Vencimiento%3A%2016%2F04%2F25%20%0A%E2%80%A2%20Monto%20Total%3A%20%24%201364000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</si>
  <si>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\"3425468752\" ,\"K\": \"Facturación_Files_/c7098e40.FACTURA 1.130850.pdf\",\"M\": \"\",\"N\": \"\",\"O\": \"\",\"Y\": \"Hola Luciano! 👋 \\nTe envío la factura correspondiente por la prestación de servicios durante el período 04/03/25 al 04/04/25. \\n\\n📋 *Detalles de la factura:* \\n• Número: 171 \\n• Fecha de Emisión: 09/04/25 \\n• Fecha de Vencimiento: 16/04/25 \\n• Monto Total: $ 833000.\\n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</si>
  <si>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https://drive.google.com/file/d/1AXfosA_el_hXyzd-MNa9ffwlAM63W2qd/view?usp=drive_link</t>
  </si>
  <si>
    <t>c7098e40.FACTURA 1.130850.pdf</t>
  </si>
  <si>
    <t>https://api.textmebot.com/send.php?recipient=+5493425468752&amp;apikey=xoF6EUkK31se&amp;text=Hola%20Luciano!%20%F0%9F%91%8B%20%0ATe%20env%C3%ADo%20la%20factura%20correspondiente%20por%20la%20prestaci%C3%B3n%20de%20servicios%20durante%20el%20per%C3%ADodo%2004%2F03%2F25%20al%2004%2F04%2F25.%20%0A%0A%F0%9F%93%8B%20*Detalles%20de%20la%20factura%3A*%20%0A%E2%80%A2%20N%C3%BAmero%3A%20171%20%0A%E2%80%A2%20Fecha%20de%20Emisi%C3%B3n%3A%2009%2F04%2F25%20%0A%E2%80%A2%20Fecha%20de%20Vencimiento%3A%2016%2F04%2F25%20%0A%E2%80%A2%20Monto%20Total%3A%20%24%20833000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</si>
  <si>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\"3425389073\" ,\"K\": \"Facturación_Files_/45975c04.FACTURA 1.125519.pdf\",\"M\": \"\",\"N\": \"\",\"O\": \"\",\"Y\": \"Hola Martin! 👋 \\nTe envío la factura correspondiente por la prestación de servicios durante el período 07/03/25 al 06/04/25. \\n\\n📋 *Detalles de la factura:* \\n• Número: 31 \\n• Fecha de Emisión: 11/04/25 \\n• Fecha de Vencimiento: 22/04/25 \\n• Monto Total: $ 1174000.\\n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</si>
  <si>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https://drive.google.com/file/d/1rbtyIp-E9KHrOFXzMMQ5Nt9f8JsndygD/view?usp=drive_link</t>
  </si>
  <si>
    <t>45975c04.FACTURA 1.125519.pdf</t>
  </si>
  <si>
    <t>https://api.textmebot.com/send.php?recipient=+5493425389073&amp;apikey=xoF6EUkK31se&amp;text=Hola%20Martin!%20%F0%9F%91%8B%20%0ATe%20env%C3%ADo%20la%20factura%20correspondiente%20por%20la%20prestaci%C3%B3n%20de%20servicios%20durante%20el%20per%C3%ADodo%2007%2F03%2F25%20al%2006%2F04%2F25.%20%0A%0A%F0%9F%93%8B%20*Detalles%20de%20la%20factura%3A*%20%0A%E2%80%A2%20N%C3%BAmero%3A%2031%20%0A%E2%80%A2%20Fecha%20de%20Emisi%C3%B3n%3A%2011%2F04%2F25%20%0A%E2%80%A2%20Fecha%20de%20Vencimiento%3A%2022%2F04%2F25%20%0A%E2%80%A2%20Monto%20Total%3A%20%24%201174000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</si>
  <si>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\"3493661975\" ,\"K\": \"Facturación_Images/4e55b9ba.FACTURA 1.125935.png\",\"M\": \"\",\"N\": \"\",\"O\": \"\",\"Y\": \"Hola Estefania! 👋 \\nTe envío la factura correspondiente por la prestación de servicios durante el período 11/03/25 al 11/04/25. \\n\\n📋 *Detalles de la factura:* \\n• Número: - \\n• Fecha de Emisión: 11/04/25 \\n• Fecha de Vencimiento: 23/04/25 \\n• Monto Total: $ 759000.\\n  \\n\\n💼 *Cuenta para el depósito:* \\n• CUIT: 2033122879 \\n• Titular: Adrian Patriarca \\n• CBU: Efectivo \\n• Alias: Efectivo \\n• Banco: Efectivo 🏦 \\n  \\n\\nTe agradecería si me confirmás la recepción y me avisás una fecha estimada de pago. 😊 \\n\\nDesde ya, muchas gracias!\"}"</t>
  </si>
  <si>
    <t>4e55b9ba.FACTURA 1.125935.png</t>
  </si>
  <si>
    <t>https://api.textmebot.com/send.php?recipient=+5493493661975&amp;apikey=xoF6EUkK31se&amp;text=Hola%20Estefania!%20%F0%9F%91%8B%20%0ATe%20env%C3%ADo%20la%20factura%20correspondiente%20por%20la%20prestaci%C3%B3n%20de%20servicios%20durante%20el%20per%C3%ADodo%2011%2F03%2F25%20al%2011%2F04%2F25.%20%0A%0A%F0%9F%93%8B%20*Detalles%20de%20la%20factura%3A*%20%0A%E2%80%A2%20N%C3%BAmero%3A%20-%20%0A%E2%80%A2%20Fecha%20de%20Emisi%C3%B3n%3A%2011%2F04%2F25%20%0A%E2%80%A2%20Fecha%20de%20Vencimiento%3A%2023%2F04%2F25%20%0A%E2%80%A2%20Monto%20Total%3A%20%24%20759000.%0A%20%20%0A%0A%F0%9F%92%BC%20*Cuenta%20para%20el%20dep%C3%B3sito%3A*%20%0A%E2%80%A2%20CUIT%3A%202033122879%20%0A%E2%80%A2%20Titular%3A%20Adrian%20Patriarca%20%0A%E2%80%A2%20CBU%3A%20Efectivo%20%0A%E2%80%A2%20Alias%3A%20Efectivo%20%0A%E2%80%A2%20Banco%3A%20Efectivo%20%F0%9F%8F%A6%20%0A%20%20%0A%0ATe%20agradecer%C3%ADa%20si%20me%20confirm%C3%A1s%20la%20recepci%C3%B3n%20y%20me%20avis%C3%A1s%20una%20fecha%20estimada%20de%20pago.%20%F0%9F%98%8A%20%0A%0ADesde%20ya%2C%20muchas%20gracias!</t>
  </si>
  <si>
    <t>"{\"phoneNumber\": \"3424770891\" ,\"K\": \"Facturación_Files_/4420acf7.FACTURA 1.171437.pdf\",\"M\": \"\",\"N\": \"\",\"O\": \"\",\"Y\": \"Hola Juan! 👋 \\n Espero que todo esté yendo bien. Quisiera recordarte que aún no hemos recibido el pago correspondiente a la factura N° 170 emitida el 31/03/25. \\n\\n📋 *Detalles de la factura:* \\n• Número: 170 \\n• Vencimiento: 10/04/25 \\n• Monto total: $895000.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</si>
  <si>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+5493424770891&amp;apikey=xoF6EUkK31se&amp;text=Hola%20Juan!%20%F0%9F%91%8B%20%0A%20Espero%20que%20todo%20est%C3%A9%20yendo%20bien.%20Quisiera%20recordarte%20que%20a%C3%BAn%20no%20hemos%20recibido%20el%20pago%20correspondiente%20a%20la%20factura%20N%C2%B0%20170%20emitida%20el%2031%2F03%2F25.%20%0A%0A%F0%9F%93%8B%20*Detalles%20de%20la%20factura%3A*%20%0A%E2%80%A2%20N%C3%BAmero%3A%20170%20%0A%E2%80%A2%20Vencimiento%3A%2010%2F04%2F25%20%0A%E2%80%A2%20Monto%20total%3A%20%24895000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</si>
  <si>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\"3425468752\" ,\"K\": \"Facturación_Files_/c7098e40.FACTURA 1.130850.pdf\",\"M\": \"\",\"N\": \"\",\"O\": \"\",\"Y\": \"Hola Luciano! 👋 \\n Espero que todo esté yendo bien. Quisiera recordarte que aún no hemos recibido el pago correspondiente a la factura N° 171 emitida el 09/04/25. \\n\\n📋 *Detalles de la factura:* \\n• Número: 171 \\n• Vencimiento: 16/04/25 \\n• Monto total: $833000.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</si>
  <si>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+5493425468752&amp;apikey=xoF6EUkK31se&amp;text=Hola%20Luciano!%20%F0%9F%91%8B%20%0A%20Espero%20que%20todo%20est%C3%A9%20yendo%20bien.%20Quisiera%20recordarte%20que%20a%C3%BAn%20no%20hemos%20recibido%20el%20pago%20correspondiente%20a%20la%20factura%20N%C2%B0%20171%20emitida%20el%2009%2F04%2F25.%20%0A%0A%F0%9F%93%8B%20*Detalles%20de%20la%20factura%3A*%20%0A%E2%80%A2%20N%C3%BAmero%3A%20171%20%0A%E2%80%A2%20Vencimiento%3A%2016%2F04%2F25%20%0A%E2%80%A2%20Monto%20total%3A%20%24833000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</si>
  <si>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\"3425295451\" ,\"K\": \"Facturación_Files_/cc2c4816.FACTURA 1.162605.pdf\",\"M\": \"\",\"N\": \"\",\"O\": \"\",\"Y\": \"Hola Gonzalo! 👋 \\nTe envío la factura correspondiente por la prestación de servicios durante el período 28/02/25 al 28/03/25. \\n\\n📋 *Detalles de la factura:* \\n• Número: 172 \\n• Fecha de Emisión: 21/04/25 \\n• Fecha de Vencimiento: 30/04/25 \\n• Monto Total: $ 615000.\\n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</si>
  <si>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https://drive.google.com/file/d/1X33E-SobSNu51EKGc9DT04wzvI28biTn/view?usp=drive_link</t>
  </si>
  <si>
    <t>cc2c4816.FACTURA 1.162605.pdf</t>
  </si>
  <si>
    <t>https://api.textmebot.com/send.php?recipient=+5493425295451&amp;apikey=xoF6EUkK31se&amp;text=Hola%20Gonzalo!%20%F0%9F%91%8B%20%0ATe%20env%C3%ADo%20la%20factura%20correspondiente%20por%20la%20prestaci%C3%B3n%20de%20servicios%20durante%20el%20per%C3%ADodo%2028%2F02%2F25%20al%2028%2F03%2F25.%20%0A%0A%F0%9F%93%8B%20*Detalles%20de%20la%20factura%3A*%20%0A%E2%80%A2%20N%C3%BAmero%3A%20172%20%0A%E2%80%A2%20Fecha%20de%20Emisi%C3%B3n%3A%2021%2F04%2F25%20%0A%E2%80%A2%20Fecha%20de%20Vencimiento%3A%2030%2F04%2F25%20%0A%E2%80%A2%20Monto%20Total%3A%20%24%20615000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</si>
  <si>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\"3425380483\" ,\"K\": \"Facturación_Files_/690e7ed7.FACTURA 1.195512.pdf\",\"M\": \"Facturación_Files_/690e7ed7.FACTURA 2.195512.pdf\",\"N\": \"Facturación_Files_/690e7ed7.FACTURA 3.195512.pdf\",\"O\": \"\",\"Y\": \"Hola Marketing! 👋 \\nTe envío la factura correspondiente por la prestación de servicios durante el período 18/03/25 al 18/04/25. \\n\\n📋 *Detalles de la factura:* \\n• Número: 173 \\n• Fecha de Emisión: 21/04/25 \\n• Fecha de Vencimiento: 01/05/25 \\n• Monto Total: $ 378000.\\n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</si>
  <si>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https://drive.google.com/file/d/1kGC7QHYwEyHlb_rI3-k6pYNB7eqe1ToH/view?usp=drive_link</t>
  </si>
  <si>
    <t>690e7ed7.FACTURA 1.195512.pdf</t>
  </si>
  <si>
    <t>https://drive.google.com/file/d/1n0EQOLRoPZ6q08MZr7OAO8QgXQkQ_vgo/view?usp=drive_link</t>
  </si>
  <si>
    <t>690e7ed7.FACTURA 2.195512.pdf</t>
  </si>
  <si>
    <t>https://drive.google.com/file/d/1_FDAPjD34DHNHYb2RdeYwE8dJDqyJnig/view?usp=drive_link</t>
  </si>
  <si>
    <t>690e7ed7.FACTURA 3.195512.pdf</t>
  </si>
  <si>
    <t>https://api.textmebot.com/send.php?recipient=+5493425380483&amp;apikey=xoF6EUkK31se&amp;text=Hola%20Marketing!%20%F0%9F%91%8B%20%0ATe%20env%C3%ADo%20la%20factura%20correspondiente%20por%20la%20prestaci%C3%B3n%20de%20servicios%20durante%20el%20per%C3%ADodo%2018%2F03%2F25%20al%2018%2F04%2F25.%20%0A%0A%F0%9F%93%8B%20*Detalles%20de%20la%20factura%3A*%20%0A%E2%80%A2%20N%C3%BAmero%3A%20173%20%0A%E2%80%A2%20Fecha%20de%20Emisi%C3%B3n%3A%2021%2F04%2F25%20%0A%E2%80%A2%20Fecha%20de%20Vencimiento%3A%2001%2F05%2F25%20%0A%E2%80%A2%20Monto%20Total%3A%20%24%20378000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</si>
  <si>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\"3424770891\" ,\"K\": \"Facturación_Files_/5263d2ec.FACTURA 1.145057.pdf\",\"M\": \"\",\"N\": \"\",\"O\": \"\",\"Y\": \"Hola Juan! 👋 \\nTe envío la factura correspondiente por la prestación de servicios durante el período 23/03/25 al 23/04/25. \\n\\n📋 *Detalles de la factura:* \\n• Número: 176 \\n• Fecha de Emisión: 28/04/25 \\n• Fecha de Vencimiento: 08/05/25 \\n• Monto Total: $ 939000.\\n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</si>
  <si>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https://drive.google.com/file/d/1Tg8NKAikAcYfbHq-hQcDbTKQe-qiuPSC/view?usp=drive_link</t>
  </si>
  <si>
    <t>5263d2ec.FACTURA 1.145057.pdf</t>
  </si>
  <si>
    <t>https://api.textmebot.com/send.php?recipient=+5493424770891&amp;apikey=xoF6EUkK31se&amp;text=Hola%20Juan!%20%F0%9F%91%8B%20%0ATe%20env%C3%ADo%20la%20factura%20correspondiente%20por%20la%20prestaci%C3%B3n%20de%20servicios%20durante%20el%20per%C3%ADodo%2023%2F03%2F25%20al%2023%2F04%2F25.%20%0A%0A%F0%9F%93%8B%20*Detalles%20de%20la%20factura%3A*%20%0A%E2%80%A2%20N%C3%BAmero%3A%20176%20%0A%E2%80%A2%20Fecha%20de%20Emisi%C3%B3n%3A%2028%2F04%2F25%20%0A%E2%80%A2%20Fecha%20de%20Vencimiento%3A%2008%2F05%2F25%20%0A%E2%80%A2%20Monto%20Total%3A%20%24%20939000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</si>
  <si>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\"2267434320\" ,\"K\": \"Facturación_Files_/c2a2b45b.FACTURA 1.204055.pdf\",\"M\": \"\",\"N\": \"\",\"O\": \"\",\"Y\": \"Hola Pablo! 👋 \\n Espero que todo esté yendo bien. Quisiera recordarte que aún no hemos recibido el pago correspondiente a la factura N° 29 emitida el 26/03/25. \\n\\n📋 *Detalles de la factura:* \\n• Número: 29 \\n• Vencimiento: 28/03/25 \\n• Monto total: $620000.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</si>
  <si>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+5492267434320&amp;apikey=xoF6EUkK31se&amp;text=Hola%20Pablo!%20%F0%9F%91%8B%20%0A%20Espero%20que%20todo%20est%C3%A9%20yendo%20bien.%20Quisiera%20recordarte%20que%20a%C3%BAn%20no%20hemos%20recibido%20el%20pago%20correspondiente%20a%20la%20factura%20N%C2%B0%2029%20emitida%20el%2026%2F03%2F25.%20%0A%0A%F0%9F%93%8B%20*Detalles%20de%20la%20factura%3A*%20%0A%E2%80%A2%20N%C3%BAmero%3A%2029%20%0A%E2%80%A2%20Vencimiento%3A%2028%2F03%2F25%20%0A%E2%80%A2%20Monto%20total%3A%20%24620000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</si>
  <si>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\"3425295451\" ,\"K\": \"Facturación_Files_/cc2c4816.FACTURA 1.162605.pdf\",\"M\": \"\",\"N\": \"\",\"O\": \"\",\"Y\": \"Hola Gonzalo! 👋 \\n Espero que todo esté yendo bien. Quisiera recordarte que aún no hemos recibido el pago correspondiente a la factura N° 172 emitida el 21/04/25. \\n\\n📋 *Detalles de la factura:* \\n• Número: 172 \\n• Vencimiento: 30/04/25 \\n• Monto total: $615000.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</si>
  <si>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+5493425295451&amp;apikey=xoF6EUkK31se&amp;text=Hola%20Gonzalo!%20%F0%9F%91%8B%20%0A%20Espero%20que%20todo%20est%C3%A9%20yendo%20bien.%20Quisiera%20recordarte%20que%20a%C3%BAn%20no%20hemos%20recibido%20el%20pago%20correspondiente%20a%20la%20factura%20N%C2%B0%20172%20emitida%20el%2021%2F04%2F25.%20%0A%0A%F0%9F%93%8B%20*Detalles%20de%20la%20factura%3A*%20%0A%E2%80%A2%20N%C3%BAmero%3A%20172%20%0A%E2%80%A2%20Vencimiento%3A%2030%2F04%2F25%20%0A%E2%80%A2%20Monto%20total%3A%20%24615000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</si>
  <si>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\"3425380483\" ,\"K\": \"Facturación_Files_/690e7ed7.FACTURA 1.195512.pdf\",\"M\": \"Facturación_Files_/690e7ed7.FACTURA 2.195512.pdf\",\"N\": \"Facturación_Files_/690e7ed7.FACTURA 3.195512.pdf\",\"O\": \"\",\"Y\": \"Hola Marketing! 👋 \\n Espero que todo esté yendo bien. Quisiera recordarte que aún no hemos recibido el pago correspondiente a la factura N° 173 emitida el 21/04/25. \\n\\n📋 *Detalles de la factura:* \\n• Número: 173 \\n• Vencimiento: 01/05/25 \\n• Monto total: $378000.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</si>
  <si>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+5493425380483&amp;apikey=xoF6EUkK31se&amp;text=Hola%20Marketing!%20%F0%9F%91%8B%20%0A%20Espero%20que%20todo%20est%C3%A9%20yendo%20bien.%20Quisiera%20recordarte%20que%20a%C3%BAn%20no%20hemos%20recibido%20el%20pago%20correspondiente%20a%20la%20factura%20N%C2%B0%20173%20emitida%20el%2021%2F04%2F25.%20%0A%0A%F0%9F%93%8B%20*Detalles%20de%20la%20factura%3A*%20%0A%E2%80%A2%20N%C3%BAmero%3A%20173%20%0A%E2%80%A2%20Vencimiento%3A%2001%2F05%2F25%20%0A%E2%80%A2%20Monto%20total%3A%20%24378000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</si>
  <si>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\"3425225459\" ,\"K\": \"Facturación_Files_/b41dfa0d.FACTURA 1.143726.pdf\",\"M\": \"\",\"N\": \"\",\"O\": \"\",\"Y\": \"Hola Ignacio! 👋 \\nTe envío la factura correspondiente por la prestación de servicios durante el período 04/04/25 al 04/05/25. \\n\\n📋 *Detalles de la factura:* \\n• Número: 32 \\n• Fecha de Emisión: 08/05/25 \\n• Fecha de Vencimiento: 15/05/25 \\n• Monto Total: $ 1364000.\\n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</si>
  <si>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https://drive.google.com/file/d/1ZotDZ1PPjIlUApomujOTg90xJREOVBVa/view?usp=drive_link</t>
  </si>
  <si>
    <t>b41dfa0d.FACTURA 1.143726.pdf</t>
  </si>
  <si>
    <t>https://api.textmebot.com/send.php?recipient=+5493425225459&amp;apikey=xoF6EUkK31se&amp;text=Hola%20Ignacio!%20%F0%9F%91%8B%20%0ATe%20env%C3%ADo%20la%20factura%20correspondiente%20por%20la%20prestaci%C3%B3n%20de%20servicios%20durante%20el%20per%C3%ADodo%2004%2F04%2F25%20al%2004%2F05%2F25.%20%0A%0A%F0%9F%93%8B%20*Detalles%20de%20la%20factura%3A*%20%0A%E2%80%A2%20N%C3%BAmero%3A%2032%20%0A%E2%80%A2%20Fecha%20de%20Emisi%C3%B3n%3A%2008%2F05%2F25%20%0A%E2%80%A2%20Fecha%20de%20Vencimiento%3A%2015%2F05%2F25%20%0A%E2%80%A2%20Monto%20Total%3A%20%24%201364000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</si>
  <si>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\"3425468752\" ,\"K\": \"Facturación_Files_/b946d528.FACTURA 1.152124.pdf\",\"M\": \"\",\"N\": \"\",\"O\": \"\",\"Y\": \"Hola Luciano! 👋 \\nTe envío la factura correspondiente por la prestación de servicios durante el período 04/04/25 al 04/05/25. \\n\\n📋 *Detalles de la factura:* \\n• Número: 177 \\n• Fecha de Emisión: 08/05/25 \\n• Fecha de Vencimiento: 15/05/25 \\n• Monto Total: $ 856000.\\n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</si>
  <si>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https://drive.google.com/file/d/1QxDn19AJeLbtLbPCPA2VDicLF8VSJ_Fa/view?usp=drive_link</t>
  </si>
  <si>
    <t>b946d528.FACTURA 1.152124.pdf</t>
  </si>
  <si>
    <t>https://api.textmebot.com/send.php?recipient=+5493425468752&amp;apikey=xoF6EUkK31se&amp;text=Hola%20Luciano!%20%F0%9F%91%8B%20%0ATe%20env%C3%ADo%20la%20factura%20correspondiente%20por%20la%20prestaci%C3%B3n%20de%20servicios%20durante%20el%20per%C3%ADodo%2004%2F04%2F25%20al%2004%2F05%2F25.%20%0A%0A%F0%9F%93%8B%20*Detalles%20de%20la%20factura%3A*%20%0A%E2%80%A2%20N%C3%BAmero%3A%20177%20%0A%E2%80%A2%20Fecha%20de%20Emisi%C3%B3n%3A%2008%2F05%2F25%20%0A%E2%80%A2%20Fecha%20de%20Vencimiento%3A%2015%2F05%2F25%20%0A%E2%80%A2%20Monto%20Total%3A%20%24%20856000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</si>
  <si>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\"3521639222\" ,\"K\": \"Facturación_Files_/d5066746.FACTURA 1.164804.pdf\",\"M\": \"\",\"N\": \"\",\"O\": \"\",\"Y\": \"Hola Alan! 👋 \\nTe envío la factura correspondiente por la prestación de servicios durante el período 07/04/25 al 07/05/25. \\n\\n📋 *Detalles de la factura:* \\n• Número: 33 \\n• Fecha de Emisión: 08/05/25 \\n• Fecha de Vencimiento: 15/05/25 \\n• Monto Total: $ 602000.\\n  \\n\\n💼 *Cuenta para el depósito:* \\n• CUIT: 20305727785 \\n• Titular: SEBASTIAN GASTON WOLF \\n• CBU: 1430001713033201820014 \\n• Alias: apsol.consultoria \\n• Banco: BRUBANK 🏦 \\n  \\n\\nTe agradecería si me confirmás la recepción y me avisás una fecha estimada de pago. 😊 \\n\\nDesde ya, muchas gracias!\"}"</t>
  </si>
  <si>
    <t>https://drive.google.com/file/d/1y0l_tG9_aEcg5eUgQNBMVSupJBy6Vu1V/view?usp=drive_link</t>
  </si>
  <si>
    <t>d5066746.FACTURA 1.164804.pdf</t>
  </si>
  <si>
    <t>https://api.textmebot.com/send.php?recipient=+5493521639222&amp;apikey=xoF6EUkK31se&amp;text=Hola%20Alan!%20%F0%9F%91%8B%20%0ATe%20env%C3%ADo%20la%20factura%20correspondiente%20por%20la%20prestaci%C3%B3n%20de%20servicios%20durante%20el%20per%C3%ADodo%2007%2F04%2F25%20al%2007%2F05%2F25.%20%0A%0A%F0%9F%93%8B%20*Detalles%20de%20la%20factura%3A*%20%0A%E2%80%A2%20N%C3%BAmero%3A%2033%20%0A%E2%80%A2%20Fecha%20de%20Emisi%C3%B3n%3A%2008%2F05%2F25%20%0A%E2%80%A2%20Fecha%20de%20Vencimiento%3A%2015%2F05%2F25%20%0A%E2%80%A2%20Monto%20Total%3A%20%24%20602000.%0A%20%20%0A%0A%F0%9F%92%BC%20*Cuenta%20para%20el%20dep%C3%B3sito%3A*%20%0A%E2%80%A2%20CUIT%3A%2020305727785%20%0A%E2%80%A2%20Titular%3A%20SEBASTIAN%20GASTON%20WOLF%20%0A%E2%80%A2%20CBU%3A%201430001713033201820014%20%0A%E2%80%A2%20Alias%3A%20apsol.consultoria%20%0A%E2%80%A2%20Banco%3A%20BRUBANK%20%F0%9F%8F%A6%20%0A%20%20%0A%0ATe%20agradecer%C3%ADa%20si%20me%20confirm%C3%A1s%20la%20recepci%C3%B3n%20y%20me%20avis%C3%A1s%20una%20fecha%20estimada%20de%20pago.%20%F0%9F%98%8A%20%0A%0ADesde%20ya%2C%20muchas%20gracias!</t>
  </si>
  <si>
    <t>"{\"phoneNumber\": \"3424770891\" ,\"K\": \"Facturación_Files_/5263d2ec.FACTURA 1.145057.pdf\",\"M\": \"\",\"N\": \"\",\"O\": \"\",\"Y\": \"Hola Juan! 👋 \\n Espero que todo esté yendo bien. Quisiera recordarte que aún no hemos recibido el pago correspondiente a la factura N° 176 emitida el 28/04/25. \\n\\n📋 *Detalles de la factura:* \\n• Número: 176 \\n• Vencimiento: 08/05/25 \\n• Monto total: $939000. \\n\\n💼 *Cuenta a depositar:* \\n• CUIT: 20331228797 \\n• Titular: PATRIARCA ADRIAN CARLOS \\n• CBU: 0110491630049195615179 \\n• Alias: apsol.consultora \\n• Banco: Banco Nación 🏦 \\n\\nAdjunto encontrarás la factura para tu referencia. \\n\\nSi ya has realizado el pago, por favor, ignora este mensaje. \\n\\nGracias por tu pronta atención a este asunto. \\n\\nAPSOL - Consultoría Empresarial\"}"</t>
  </si>
  <si>
    <t>https://api.textmebot.com/send.php?recipient=+5493424770891&amp;apikey=xoF6EUkK31se&amp;text=Hola%20Juan!%20%F0%9F%91%8B%20%0A%20Espero%20que%20todo%20est%C3%A9%20yendo%20bien.%20Quisiera%20recordarte%20que%20a%C3%BAn%20no%20hemos%20recibido%20el%20pago%20correspondiente%20a%20la%20factura%20N%C2%B0%20176%20emitida%20el%2028%2F04%2F25.%20%0A%0A%F0%9F%93%8B%20*Detalles%20de%20la%20factura%3A*%20%0A%E2%80%A2%20N%C3%BAmero%3A%20176%20%0A%E2%80%A2%20Vencimiento%3A%2008%2F05%2F25%20%0A%E2%80%A2%20Monto%20total%3A%20%24939000.%20%0A%0A%F0%9F%92%BC%20*Cuenta%20a%20depositar%3A*%20%0A%E2%80%A2%20CUIT%3A%2020331228797%20%0A%E2%80%A2%20Titular%3A%20PATRIARCA%20ADRIAN%20CARLOS%20%0A%E2%80%A2%20CBU%3A%200110491630049195615179%20%0A%E2%80%A2%20Alias%3A%20apsol.consultora%20%0A%E2%80%A2%20Banco%3A%20Banco%20Naci%C3%B3n%20%F0%9F%8F%A6%20%0A%0AAdjunto%20encontrar%C3%A1s%20la%20factura%20para%20tu%20referencia.%20%0A%0ASi%20ya%20has%20realizado%20el%20pago%2C%20por%20favor%2C%20ignora%20este%20mensaje.%20%0A%0AGracias%20por%20tu%20pronta%20atenci%C3%B3n%20a%20este%20asunto.%20%0A%0AAPSOL%20-%20Consultor%C3%ADa%20Empresarial</t>
  </si>
  <si>
    <t>"{\"phoneNumber\": \"3493661975\" ,\"K\": \"Facturación_Images/ab6f35c1.FACTURA 1.200352.png\",\"M\": \"\",\"N\": \"\",\"O\": \"\",\"Y\": \"Hola Estefania! 👋 \\nTe envío la factura correspondiente por la prestación de servicios durante el período 11/04/25 al 11/05/25. \\n\\n📋 *Detalles de la factura:* \\n• Número: Pago Efectivo \\n• Fecha de Emisión: 12/05/25 \\n• Fecha de Vencimiento: 22/05/25 \\n• Monto Total: $ 784000.\\n  \\n\\n💼 *Cuenta para el depósito:* \\n• CUIT: 2033122879 \\n• Titular: Adrian Patriarca \\n• CBU: Efectivo \\n• Alias: Efectivo \\n• Banco: Efectivo 🏦 \\n  \\n\\nTe agradecería si me confirmás la recepción y me avisás una fecha estimada de pago. 😊 \\n\\nDesde ya, muchas gracias!\"}"</t>
  </si>
  <si>
    <t>ab6f35c1.FACTURA 1.200352.png</t>
  </si>
  <si>
    <t>https://api.textmebot.com/send.php?recipient=+5493493661975&amp;apikey=xoF6EUkK31se&amp;text=Hola%20Estefania!%20%F0%9F%91%8B%20%0ATe%20env%C3%ADo%20la%20factura%20correspondiente%20por%20la%20prestaci%C3%B3n%20de%20servicios%20durante%20el%20per%C3%ADodo%2011%2F04%2F25%20al%2011%2F05%2F25.%20%0A%0A%F0%9F%93%8B%20*Detalles%20de%20la%20factura%3A*%20%0A%E2%80%A2%20N%C3%BAmero%3A%20Pago%20Efectivo%20%0A%E2%80%A2%20Fecha%20de%20Emisi%C3%B3n%3A%2012%2F05%2F25%20%0A%E2%80%A2%20Fecha%20de%20Vencimiento%3A%2022%2F05%2F25%20%0A%E2%80%A2%20Monto%20Total%3A%20%24%20784000.%0A%20%20%0A%0A%F0%9F%92%BC%20*Cuenta%20para%20el%20dep%C3%B3sito%3A*%20%0A%E2%80%A2%20CUIT%3A%202033122879%20%0A%E2%80%A2%20Titular%3A%20Adrian%20Patriarca%20%0A%E2%80%A2%20CBU%3A%20Efectivo%20%0A%E2%80%A2%20Alias%3A%20Efectivo%20%0A%E2%80%A2%20Banco%3A%20Efectivo%20%F0%9F%8F%A6%20%0A%20%20%0A%0ATe%20agradecer%C3%ADa%20si%20me%20confirm%C3%A1s%20la%20recepci%C3%B3n%20y%20me%20avis%C3%A1s%20una%20fecha%20estimada%20de%20pago.%20%F0%9F%98%8A%20%0A%0ADesde%20ya%2C%20muchas%20gracias!</t>
  </si>
  <si>
    <t>"{\"phoneNumber\": \"3425295451\" ,\"K\": \"Facturación_Files_/395b5734.FACTURA 1.202000.pdf\",\"M\": \"\",\"N\": \"\",\"O\": \"\",\"Y\": \"Hola Gonzalo! 👋 \\nTe envío la factura correspondiente por la prestación de servicios durante el período 28/03/25 al 28/04/25. \\n\\n📋 *Detalles de la factura:* \\n• Número: 178 \\n• Fecha de Emisión: 12/05/25 \\n• Fecha de Vencimiento: 21/05/25 \\n• Monto Total: $ 631000.\\n  \\n\\n💼 *Cuenta para el depósito:* \\n• CUIT: 20331228797 \\n• Titular: PATRIARCA ADRIAN CARLOS \\n• CBU: 0110491630049195615179 \\n• Alias: apsol.consultora \\n• Banco: Banco Nación 🏦 \\n  \\n\\nTe agradecería si me confirmás la recepción y me avisás una fecha estimada de pago. 😊 \\n\\nDesde ya, muchas gracias!\"}"</t>
  </si>
  <si>
    <t>https://drive.google.com/file/d/1byNu5VsbS8ItCNbgGf3Azy7uSW_K5dFi/view?usp=drive_link</t>
  </si>
  <si>
    <t>395b5734.FACTURA 1.202000.pdf</t>
  </si>
  <si>
    <t>https://api.textmebot.com/send.php?recipient=+5493425295451&amp;apikey=xoF6EUkK31se&amp;text=Hola%20Gonzalo!%20%F0%9F%91%8B%20%0ATe%20env%C3%ADo%20la%20factura%20correspondiente%20por%20la%20prestaci%C3%B3n%20de%20servicios%20durante%20el%20per%C3%ADodo%2028%2F03%2F25%20al%2028%2F04%2F25.%20%0A%0A%F0%9F%93%8B%20*Detalles%20de%20la%20factura%3A*%20%0A%E2%80%A2%20N%C3%BAmero%3A%20178%20%0A%E2%80%A2%20Fecha%20de%20Emisi%C3%B3n%3A%2012%2F05%2F25%20%0A%E2%80%A2%20Fecha%20de%20Vencimiento%3A%2021%2F05%2F25%20%0A%E2%80%A2%20Monto%20Total%3A%20%24%20631000.%0A%20%20%0A%0A%F0%9F%92%BC%20*Cuenta%20para%20el%20dep%C3%B3sito%3A*%20%0A%E2%80%A2%20CUIT%3A%2020331228797%20%0A%E2%80%A2%20Titular%3A%20PATRIARCA%20ADRIAN%20CARLOS%20%0A%E2%80%A2%20CBU%3A%200110491630049195615179%20%0A%E2%80%A2%20Alias%3A%20apsol.consultora%20%0A%E2%80%A2%20Banco%3A%20Banco%20Naci%C3%B3n%20%F0%9F%8F%A6%20%0A%20%20%0A%0ATe%20agradecer%C3%ADa%20si%20me%20confirm%C3%A1s%20la%20recepci%C3%B3n%20y%20me%20avis%C3%A1s%20una%20fecha%20estimada%20de%20pago.%20%F0%9F%98%8A%20%0A%0ADesde%20ya%2C%20muchas%20gracias!</t>
  </si>
  <si>
    <t>"{\"phoneNumber\": \"3426293881\" ,\"K\": \"Facturación_Files_/3cdba626.FACTURA 1.190816.pdf\",\"M\": \"\",\"N\": \"\",\"O\": \"\",\"Y\": \"Hola Adrian! 👋 \\nTe envío la factura correspondiente por la prestación de servicios durante el período 03/04/25 al 03/05/25. \\n\\n📋 *Detalles de la factura:* \\n• Número: 12 \\n• Fecha de Emisión: 15/05/25 \\n• Fecha de Vencimiento: 22/05/25 \\n• Monto Total: $ 277800.\\n  \\n\\n💼 *Cuenta para el depósito:* \\n• CUIT:  \\n• Titular:  \\n• CBU:  \\n• Alias:  \\n• Banco:  🏦 \\n  \\n\\nTe agradecería si me confirmás la recepción y me avisás una fecha estimada de pago. 😊 \\n\\nDesde ya, muchas gracias!\"}"</t>
  </si>
  <si>
    <t>https://drive.google.com/file/d/1h8mSe18Uh9RYv5EYROsW-KwE5wn9-6nq/view?usp=drive_link</t>
  </si>
  <si>
    <t>3cdba626.FACTURA 1.190816.pdf</t>
  </si>
  <si>
    <t>https://api.textmebot.com/send.php?recipient=+5493426293881&amp;apikey=xoF6EUkK31se&amp;text=Hola%20Adrian!%20%F0%9F%91%8B%20%0ATe%20env%C3%ADo%20la%20factura%20correspondiente%20por%20la%20prestaci%C3%B3n%20de%20servicios%20durante%20el%20per%C3%ADodo%2003%2F04%2F25%20al%2003%2F05%2F25.%20%0A%0A%F0%9F%93%8B%20*Detalles%20de%20la%20factura%3A*%20%0A%E2%80%A2%20N%C3%BAmero%3A%2012%20%0A%E2%80%A2%20Fecha%20de%20Emisi%C3%B3n%3A%2015%2F05%2F25%20%0A%E2%80%A2%20Fecha%20de%20Vencimiento%3A%2022%2F05%2F25%20%0A%E2%80%A2%20Monto%20Total%3A%20%24%20277800.%0A%20%20%0A%0A%F0%9F%92%BC%20*Cuenta%20para%20el%20dep%C3%B3sito%3A*%20%0A%E2%80%A2%20CUIT%3A%20%20%0A%E2%80%A2%20Titular%3A%20%20%0A%E2%80%A2%20CBU%3A%20%20%0A%E2%80%A2%20Alias%3A%20%20%0A%E2%80%A2%20Banco%3A%20%20%F0%9F%8F%A6%20%0A%20%20%0A%0ATe%20agradecer%C3%ADa%20si%20me%20confirm%C3%A1s%20la%20recepci%C3%B3n%20y%20me%20avis%C3%A1s%20una%20fecha%20estimada%20de%20pago.%20%F0%9F%98%8A%20%0A%0ADesde%20ya%2C%20muchas%20gracias!</t>
  </si>
  <si>
    <t>"{\"phoneNumber\": \"1164872810\" ,\"K\": \"Facturación_Images/01e76cba.FACTURA 1.192928.jpg\",\"M\": \"\",\"N\": \"\",\"O\": \"\",\"Y\": \"Hola Andrea! 👋 \\nTe envío la factura correspondiente por la prestación de servicios durante el período 14/04/25 al 14/05/25. \\n\\n📋 *Detalles de la factura:* \\n• Número: - \\n• Fecha de Emisión: 15/05/25 \\n• Fecha de Vencimiento: 21/05/25 \\n• Monto Total: $ 423.\\n  \\n\\n💼 *Cuenta para el depósito:* \\n• CUIT:  \\n• Titular:  \\n• CBU:  \\n• Alias:  \\n• Banco:  🏦 \\n  \\n\\nTe agradecería si me confirmás la recepción y me avisás una fecha estimada de pago. 😊 \\n\\nDesde ya, muchas gracias!\"}"</t>
  </si>
  <si>
    <t>01e76cba.FACTURA 1.192928.jpg</t>
  </si>
  <si>
    <t>https://api.textmebot.com/send.php?recipient=+5491164872810&amp;apikey=xoF6EUkK31se&amp;text=Hola%20Andrea!%20%F0%9F%91%8B%20%0ATe%20env%C3%ADo%20la%20factura%20correspondiente%20por%20la%20prestaci%C3%B3n%20de%20servicios%20durante%20el%20per%C3%ADodo%2014%2F04%2F25%20al%2014%2F05%2F25.%20%0A%0A%F0%9F%93%8B%20*Detalles%20de%20la%20factura%3A*%20%0A%E2%80%A2%20N%C3%BAmero%3A%20-%20%0A%E2%80%A2%20Fecha%20de%20Emisi%C3%B3n%3A%2015%2F05%2F25%20%0A%E2%80%A2%20Fecha%20de%20Vencimiento%3A%2021%2F05%2F25%20%0A%E2%80%A2%20Monto%20Total%3A%20%24%20423.%0A%20%20%0A%0A%F0%9F%92%BC%20*Cuenta%20para%20el%20dep%C3%B3sito%3A*%20%0A%E2%80%A2%20CUIT%3A%20%20%0A%E2%80%A2%20Titular%3A%20%20%0A%E2%80%A2%20CBU%3A%20%20%0A%E2%80%A2%20Alias%3A%20%20%0A%E2%80%A2%20Banco%3A%20%20%F0%9F%8F%A6%20%0A%20%20%0A%0ATe%20agradecer%C3%ADa%20si%20me%20confirm%C3%A1s%20la%20recepci%C3%B3n%20y%20me%20avis%C3%A1s%20una%20fecha%20estimada%20de%20pago.%20%F0%9F%98%8A%20%0A%0ADesde%20ya%2C%20muchas%20gracias!</t>
  </si>
  <si>
    <t>"{\"phoneNumber\": \"3425225459\" ,\"K\": \"Facturación_Files_/b41dfa0d.FACTURA 1.143726.pdf\",\"M\": \"\",\"N\": \"\",\"O\": \"\",\"Y\": \"Hola Ignacio! 👋 \\n Espero que todo esté yendo bien. Quisiera recordarte que aún no hemos recibido el pago correspondiente a la factura N° 32 emitida el 08/05/25. \\n\\n📋 *Detalles de la factura:* \\n• Número: 32 \\n• Vencimiento: 15/05/25 \\n• Monto total: $1364000. \\n\\n💼 *Cuenta a depositar:* \\n• CUIT: 20305727785 \\n• Titular: SEBASTIAN GASTON WOLF \\n• CBU: 1430001713033201820014 \\n• Alias: apsol.consultoria \\n• Banco: BRUBANK 🏦 \\n\\nAdjunto encontrarás la factura para tu referencia. \\n\\nSi ya has realizado el pago, por favor, ignora este mensaje. \\n\\nGracias por tu pronta atención a este asunto. \\n\\nAPSOL - Consultoría Empresarial\"}"</t>
  </si>
  <si>
    <t>https://api.textmebot.com/send.php?recipient=+5493425225459&amp;apikey=xoF6EUkK31se&amp;text=Hola%20Ignacio!%20%F0%9F%91%8B%20%0A%20Espero%20que%20todo%20est%C3%A9%20yendo%20bien.%20Quisiera%20recordarte%20que%20a%C3%BAn%20no%20hemos%20recibido%20el%20pago%20correspondiente%20a%20la%20factura%20N%C2%B0%2032%20emitida%20el%2008%2F05%2F25.%20%0A%0A%F0%9F%93%8B%20*Detalles%20de%20la%20factura%3A*%20%0A%E2%80%A2%20N%C3%BAmero%3A%2032%20%0A%E2%80%A2%20Vencimiento%3A%2015%2F05%2F25%20%0A%E2%80%A2%20Monto%20total%3A%20%241364000.%20%0A%0A%F0%9F%92%BC%20*Cuenta%20a%20depositar%3A*%20%0A%E2%80%A2%20CUIT%3A%2020305727785%20%0A%E2%80%A2%20Titular%3A%20SEBASTIAN%20GASTON%20WOLF%20%0A%E2%80%A2%20CBU%3A%201430001713033201820014%20%0A%E2%80%A2%20Alias%3A%20apsol.consultoria%20%0A%E2%80%A2%20Banco%3A%20BRUBANK%20%F0%9F%8F%A6%20%0A%0AAdjunto%20encontrar%C3%A1s%20la%20factura%20para%20tu%20referencia.%20%0A%0ASi%20ya%20has%20realizado%20el%20pago%2C%20por%20favor%2C%20ignora%20este%20mensaje.%20%0A%0AGracias%20por%20tu%20pronta%20atenci%C3%B3n%20a%20este%20asunto.%20%0A%0AAPSOL%20-%20Consultor%C3%ADa%20Empresarial</t>
  </si>
  <si>
    <t>"{\"phoneNumber\": \"3425389073\" ,\"K\": \"Facturación_Files_/7098ee6a.FACTURA 1.141712.pdf\",\"M\": \"\",\"N\": \"\",\"O\": \"\",\"Y\": \"Hola Martin! 👋 \\nTe envío la factura correspondiente por la prestación de servicios durante el período 07/04/25 al 06/05/25. \\n\\n📋 *Detalles de la factura:* \\n• Número: 34 \\n• Fecha de Emisión: 19/05/25 \\n• Fecha de Vencimiento: 28/05/25 \\n• Monto Total: $ 1014000.\\n  \\n\\n💼 *Cuenta para el depósito:*• CUIT: 20305727785 \\n• Titular: SEBASTIAN GASTON WOLF \\n• CBU: 1430001713033201820014 \\n• Alias: apsol.consultoria \\n• Banco: BRUBANK 🏦\\nTe agradecería si me confirmás la recepción y me avisás una fecha estimada de pago. 😊 \\n\\nDesde ya, muchas gracias!\"}"</t>
  </si>
  <si>
    <t>https://drive.google.com/file/d/1vldwiECS9xxBaHGRYxHKBNHjbLH3WfHv/view?usp=drive_link</t>
  </si>
  <si>
    <t>7098ee6a.FACTURA 1.141712.pdf</t>
  </si>
  <si>
    <t>https://api.textmebot.com/send.php?recipient=+5493425389073&amp;apikey=xoF6EUkK31se&amp;text=Hola%20Martin!%20%F0%9F%91%8B%20%0ATe%20env%C3%ADo%20la%20factura%20correspondiente%20por%20la%20prestaci%C3%B3n%20de%20servicios%20durante%20el%20per%C3%ADodo%2007%2F04%2F25%20al%2006%2F05%2F25.%20%0A%0A%F0%9F%93%8B%20*Detalles%20de%20la%20factura%3A*%20%0A%E2%80%A2%20N%C3%BAmero%3A%2034%20%0A%E2%80%A2%20Fecha%20de%20Emisi%C3%B3n%3A%2019%2F05%2F25%20%0A%E2%80%A2%20Fecha%20de%20Vencimiento%3A%2028%2F05%2F25%20%0A%E2%80%A2%20Monto%20Total%3A%20%24%201014000.%0A%20%20%0A%0A%F0%9F%92%BC%20*Cuenta%20para%20el%20dep%C3%B3sito%3A*%E2%80%A2%20CUIT%3A%2020305727785%20%0A%E2%80%A2%20Titular%3A%20SEBASTIAN%20GASTON%20WOLF%20%0A%E2%80%A2%20CBU%3A%201430001713033201820014%20%0A%E2%80%A2%20Alias%3A%20apsol.consultoria%20%0A%E2%80%A2%20Banco%3A%20BRUBANK%20%F0%9F%8F%A6%0ATe%20agradecer%C3%ADa%20si%20me%20confirm%C3%A1s%20la%20recepci%C3%B3n%20y%20me%20avis%C3%A1s%20una%20fecha%20estimada%20de%20pago.%20%F0%9F%98%8A%20%0A%0ADesde%20ya%2C%20muchas%20gracias!</t>
  </si>
  <si>
    <t>"{\"phoneNumber\": \"3425380483\" ,\"K\": \"Facturación_Files_/e5f8b8fc.FACTURA 1.144317.pdf\",\"M\": \"Facturación_Files_/e5f8b8fc.FACTURA 2.144317.pdf\",\"N\": \"Facturación_Files_/e5f8b8fc.FACTURA 3.144317.pdf\",\"O\": \"\",\"Y\": \"Hola Marketing! 👋 \\nTe envío la factura correspondiente por la prestación de servicios durante el período 18/04/25 al 18/05/25. \\n\\n📋 *Detalles de la factura:* \\n• Número: 179 / 180 / 181 \\n• Fecha de Emisión: 19/05/25 \\n• Fecha de Vencimiento: 29/05/25 \\n• Monto Total: $ 378000.\\n  \\n\\n💼 *Cuenta para el depósito:*• CUIT: 20331228797 \\n• Titular: PATRIARCA ADRIAN CARLOS \\n• CBU: 110491630049195615179 \\n• Alias: apsol.consultora \\n• Banco: Banco Nación 🏦\\nTe agradecería si me confirmás la recepción y me avisás una fecha estimada de pago. 😊 \\n\\nDesde ya, muchas gracias!\"}"</t>
  </si>
  <si>
    <t>https://drive.google.com/file/d/1jGofflPWn4I2RZUqGLK5vGE0otU0bpKT/view?usp=drive_link</t>
  </si>
  <si>
    <t>e5f8b8fc.FACTURA 1.144317.pdf</t>
  </si>
  <si>
    <t>https://drive.google.com/file/d/1w2sRROGsQ1ROlDMxqnqjfEcB3cX_6Xpf/view?usp=drive_link</t>
  </si>
  <si>
    <t>e5f8b8fc.FACTURA 2.144317.pdf</t>
  </si>
  <si>
    <t>https://drive.google.com/file/d/1k9TYBvep9wiAwLG0N1k92oy_peiO-3zW/view?usp=drive_link</t>
  </si>
  <si>
    <t>e5f8b8fc.FACTURA 3.144317.pdf</t>
  </si>
  <si>
    <t>https://api.textmebot.com/send.php?recipient=+5493425380483&amp;apikey=xoF6EUkK31se&amp;text=Hola%20Marketing!%20%F0%9F%91%8B%20%0ATe%20env%C3%ADo%20la%20factura%20correspondiente%20por%20la%20prestaci%C3%B3n%20de%20servicios%20durante%20el%20per%C3%ADodo%2018%2F04%2F25%20al%2018%2F05%2F25.%20%0A%0A%F0%9F%93%8B%20*Detalles%20de%20la%20factura%3A*%20%0A%E2%80%A2%20N%C3%BAmero%3A%20179%20%2F%20180%20%2F%20181%20%0A%E2%80%A2%20Fecha%20de%20Emisi%C3%B3n%3A%2019%2F05%2F25%20%0A%E2%80%A2%20Fecha%20de%20Vencimiento%3A%2029%2F05%2F25%20%0A%E2%80%A2%20Monto%20Total%3A%20%24%20378000.%0A%20%20%0A%0A%F0%9F%92%BC%20*Cuenta%20para%20el%20dep%C3%B3sito%3A*%E2%80%A2%20CUIT%3A%2020331228797%20%0A%E2%80%A2%20Titular%3A%20PATRIARCA%20ADRIAN%20CARLOS%20%0A%E2%80%A2%20CBU%3A%20110491630049195615179%20%0A%E2%80%A2%20Alias%3A%20apsol.consultora%20%0A%E2%80%A2%20Banco%3A%20Banco%20Naci%C3%B3n%20%F0%9F%8F%A6%0ATe%20agradecer%C3%ADa%20si%20me%20confirm%C3%A1s%20la%20recepci%C3%B3n%20y%20me%20avis%C3%A1s%20una%20fecha%20estimada%20de%20pago.%20%F0%9F%98%8A%20%0A%0ADesde%20ya%2C%20muchas%20gracias!</t>
  </si>
  <si>
    <t>"{\"phoneNumber\": \"2267434320\" ,\"K\": \"Facturación_Files_/06d97b20.FACTURA 1.195441.pdf\",\"M\": \"\",\"N\": \"\",\"O\": \"\",\"Y\": \"Hola Pablo! 👋 \\nTe envío la factura correspondiente por la prestación de servicios durante el período 15/04/25 al 15/05/25. \\n\\n📋 *Detalles de la factura:* \\n• Número: 35 \\n• Fecha de Emisión: 22/05/25 \\n• Fecha de Vencimiento: 26/05/25 \\n• Monto Total: $ 485000.\\n  \\n\\n💼 *Cuenta para el depósito:*Te agradecería si me confirmás la recepción y me avisás una fecha estimada de pago. 😊 \\n\\nDesde ya, muchas gracias!\"}"</t>
  </si>
  <si>
    <t>https://drive.google.com/file/d/11zm1k9Rh2ZgELJo_cPuCEINuiv9aVxJk/view?usp=drive_link</t>
  </si>
  <si>
    <t>06d97b20.FACTURA 1.195441.pdf</t>
  </si>
  <si>
    <t>https://api.textmebot.com/send.php?recipient=+5492267434320&amp;apikey=xoF6EUkK31se&amp;text=Hola%20Pablo!%20%F0%9F%91%8B%20%0ATe%20env%C3%ADo%20la%20factura%20correspondiente%20por%20la%20prestaci%C3%B3n%20de%20servicios%20durante%20el%20per%C3%ADodo%2015%2F04%2F25%20al%2015%2F05%2F25.%20%0A%0A%F0%9F%93%8B%20*Detalles%20de%20la%20factura%3A*%20%0A%E2%80%A2%20N%C3%BAmero%3A%2035%20%0A%E2%80%A2%20Fecha%20de%20Emisi%C3%B3n%3A%2022%2F05%2F25%20%0A%E2%80%A2%20Fecha%20de%20Vencimiento%3A%2026%2F05%2F25%20%0A%E2%80%A2%20Monto%20Total%3A%20%24%20485000.%0A%20%20%0A%0A%F0%9F%92%BC%20*Cuenta%20para%20el%20dep%C3%B3sito%3A*Te%20agradecer%C3%ADa%20si%20me%20confirm%C3%A1s%20la%20recepci%C3%B3n%20y%20me%20avis%C3%A1s%20una%20fecha%20estimada%20de%20pago.%20%F0%9F%98%8A%20%0A%0ADesde%20ya%2C%20muchas%20gracias!</t>
  </si>
  <si>
    <t>"{\"phoneNumber\": \"3425295451\" ,\"K\": \"Facturación_Files_/395b5734.FACTURA 1.202000.pdf\",\"M\": \"\",\"N\": \"\",\"O\": \"\",\"Y\": \"Hola Gonzalo! 👋 \\n Espero que todo esté yendo bien. Quisiera recordarte que aún no hemos recibido el pago correspondiente a la factura N° 178 emitida el 12/05/25. \\n\\n📋 *Detalles de la factura:* \\n• Número: 178 \\n• Vencimiento: 21/05/25 \\n• Monto total: $631000. \\n\\n💼 *Cuenta a depositar:*• CUIT: 20331228797 \\n• Titular: PATRIARCA ADRIAN CARLOS \\n• CBU: 110491630049195615179 \\n• Alias: apsol.consultora \\n• Banco: Banco Nación 🏦\\nAdjunto encontrarás la factura para tu referencia. \\n\\nSi ya has realizado el pago, por favor, ignora este mensaje. \\n\\nGracias por tu pronta atención a este asunto. \\n\\nAPSOL - Consultoría Empresarial\"}"</t>
  </si>
  <si>
    <t>https://api.textmebot.com/send.php?recipient=+5493425295451&amp;apikey=xoF6EUkK31se&amp;text=Hola%20Gonzalo!%20%F0%9F%91%8B%20%0A%20Espero%20que%20todo%20est%C3%A9%20yendo%20bien.%20Quisiera%20recordarte%20que%20a%C3%BAn%20no%20hemos%20recibido%20el%20pago%20correspondiente%20a%20la%20factura%20N%C2%B0%20178%20emitida%20el%2012%2F05%2F25.%20%0A%0A%F0%9F%93%8B%20*Detalles%20de%20la%20factura%3A*%20%0A%E2%80%A2%20N%C3%BAmero%3A%20178%20%0A%E2%80%A2%20Vencimiento%3A%2021%2F05%2F25%20%0A%E2%80%A2%20Monto%20total%3A%20%24631000.%20%0A%0A%F0%9F%92%BC%20*Cuenta%20a%20depositar%3A*%E2%80%A2%20CUIT%3A%2020331228797%20%0A%E2%80%A2%20Titular%3A%20PATRIARCA%20ADRIAN%20CARLOS%20%0A%E2%80%A2%20CBU%3A%20110491630049195615179%20%0A%E2%80%A2%20Alias%3A%20apsol.consultora%20%0A%E2%80%A2%20Banco%3A%20Banco%20Naci%C3%B3n%20%F0%9F%8F%A6%0AAdjunto%20encontrar%C3%A1s%20la%20factura%20para%20tu%20referencia.%20%0A%0ASi%20ya%20has%20realizado%20el%20pago%2C%20por%20favor%2C%20ignora%20este%20mensaje.%20%0A%0AGracias%20por%20tu%20pronta%20atenci%C3%B3n%20a%20este%20asunto.%20%0A%0AAPSOL%20-%20Consultor%C3%ADa%20Empresarial</t>
  </si>
  <si>
    <t>"{\"phoneNumber\": \"3424770891\" ,\"K\": \"Facturación_Files_/5263d2ec.FACTURA 1.145057.pdf\",\"M\": \"\",\"N\": \"\",\"O\": \"\",\"Y\": \"Hola Juan! 👋 \\n Espero que todo esté yendo bien. Quisiera recordarte que aún no hemos recibido el pago correspondiente a la factura N° 176 emitida el 28/04/25. \\n\\n📋 *Detalles de la factura:* \\n• Número: 176 \\n• Vencimiento: 08/05/25 \\n• Monto total: $939000. \\n\\n💼 *Cuenta a depositar:*• CUIT: 20331228797 \\n• Titular: PATRIARCA ADRIAN CARLOS \\n• CBU: 110491630049195615179 \\n• Alias: apsol.consultora \\n• Banco: Banco Nación 🏦\\nAdjunto encontrarás la factura para tu referencia. \\n\\nSi ya has realizado el pago, por favor, ignora este mensaje. \\n\\nGracias por tu pronta atención a este asunto. \\n\\nAPSOL - Consultoría Empresarial\"}"</t>
  </si>
  <si>
    <t>https://api.textmebot.com/send.php?recipient=+5493424770891&amp;apikey=xoF6EUkK31se&amp;text=Hola%20Juan!%20%F0%9F%91%8B%20%0A%20Espero%20que%20todo%20est%C3%A9%20yendo%20bien.%20Quisiera%20recordarte%20que%20a%C3%BAn%20no%20hemos%20recibido%20el%20pago%20correspondiente%20a%20la%20factura%20N%C2%B0%20176%20emitida%20el%2028%2F04%2F25.%20%0A%0A%F0%9F%93%8B%20*Detalles%20de%20la%20factura%3A*%20%0A%E2%80%A2%20N%C3%BAmero%3A%20176%20%0A%E2%80%A2%20Vencimiento%3A%2008%2F05%2F25%20%0A%E2%80%A2%20Monto%20total%3A%20%24939000.%20%0A%0A%F0%9F%92%BC%20*Cuenta%20a%20depositar%3A*%E2%80%A2%20CUIT%3A%2020331228797%20%0A%E2%80%A2%20Titular%3A%20PATRIARCA%20ADRIAN%20CARLOS%20%0A%E2%80%A2%20CBU%3A%20110491630049195615179%20%0A%E2%80%A2%20Alias%3A%20apsol.consultora%20%0A%E2%80%A2%20Banco%3A%20Banco%20Naci%C3%B3n%20%F0%9F%8F%A6%0AAdjunto%20encontrar%C3%A1s%20la%20factura%20para%20tu%20referencia.%20%0A%0ASi%20ya%20has%20realizado%20el%20pago%2C%20por%20favor%2C%20ignora%20este%20mensaje.%20%0A%0AGracias%20por%20tu%20pronta%20atenci%C3%B3n%20a%20este%20asunto.%20%0A%0AAPSOL%20-%20Consultor%C3%ADa%20Empresarial</t>
  </si>
  <si>
    <t>"{\"phoneNumber\": \"2267434320\" ,\"K\": \"Facturación_Files_/06d97b20.FACTURA 1.195441.pdf\",\"M\": \"\",\"N\": \"\",\"O\": \"\",\"Y\": \"Hola Pablo! 👋 \\n Espero que todo esté yendo bien. Quisiera recordarte que aún no hemos recibido el pago correspondiente a la factura N° 35 emitida el 22/05/25. \\n\\n📋 *Detalles de la factura:* \\n• Número: 35 \\n• Vencimiento: 26/05/25 \\n• Monto total: $485000. \\n\\n💼 *Cuenta a depositar:*Adjunto encontrarás la factura para tu referencia. \\n\\nSi ya has realizado el pago, por favor, ignora este mensaje. \\n\\nGracias por tu pronta atención a este asunto. \\n\\nAPSOL - Consultoría Empresarial\"}"</t>
  </si>
  <si>
    <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t>
  </si>
  <si>
    <t>"{\"phoneNumber\": \"3424770891\" ,\"K\": \"Facturación_Files_/f90fb623.FACTURA 1.161617.pdf\",\"M\": \"\",\"N\": \"\",\"O\": \"\",\"Y\": \"Hola Juan! 👋 \\nTe envío la factura correspondiente por la prestación de servicios durante el período 23/04/25 al 23/05/25. \\n\\n📋 *Detalles de la factura:* \\n• Número: 182 \\n• Fecha de Emisión: 28/05/25 \\n• Fecha de Vencimiento: 09/06/25 \\n• Monto Total: $ 998000.\\n  \\n\\n💼 *Cuenta para el depósito:*• CUIT: 20331228797 \\n• Titular: PATRIARCA ADRIAN CARLOS \\n• CBU: 110491630049195615179 \\n• Alias: apsol.consultora \\n• Banco: Banco Nación 🏦\\nTe agradecería si me confirmás la recepción y me avisás una fecha estimada de pago. 😊 \\n\\nDesde ya, muchas gracias!\"}"</t>
  </si>
  <si>
    <t>https://drive.google.com/file/d/1uh-DY18v0gGnDNDGtgyQcfZP0G4F6ION/view?usp=drive_link</t>
  </si>
  <si>
    <t>f90fb623.FACTURA 1.161617.pdf</t>
  </si>
  <si>
    <t>https://api.textmebot.com/send.php?recipient=+5493424770891&amp;apikey=xoF6EUkK31se&amp;text=Hola%20Juan!%20%F0%9F%91%8B%20%0ATe%20env%C3%ADo%20la%20factura%20correspondiente%20por%20la%20prestaci%C3%B3n%20de%20servicios%20durante%20el%20per%C3%ADodo%2023%2F04%2F25%20al%2023%2F05%2F25.%20%0A%0A%F0%9F%93%8B%20*Detalles%20de%20la%20factura%3A*%20%0A%E2%80%A2%20N%C3%BAmero%3A%20182%20%0A%E2%80%A2%20Fecha%20de%20Emisi%C3%B3n%3A%2028%2F05%2F25%20%0A%E2%80%A2%20Fecha%20de%20Vencimiento%3A%2009%2F06%2F25%20%0A%E2%80%A2%20Monto%20Total%3A%20%24%20998000.%0A%20%20%0A%0A%F0%9F%92%BC%20*Cuenta%20para%20el%20dep%C3%B3sito%3A*%E2%80%A2%20CUIT%3A%2020331228797%20%0A%E2%80%A2%20Titular%3A%20PATRIARCA%20ADRIAN%20CARLOS%20%0A%E2%80%A2%20CBU%3A%20110491630049195615179%20%0A%E2%80%A2%20Alias%3A%20apsol.consultora%20%0A%E2%80%A2%20Banco%3A%20Banco%20Naci%C3%B3n%20%F0%9F%8F%A6%0ATe%20agradecer%C3%ADa%20si%20me%20confirm%C3%A1s%20la%20recepci%C3%B3n%20y%20me%20avis%C3%A1s%20una%20fecha%20estimada%20de%20pago.%20%F0%9F%98%8A%20%0A%0ADesde%20ya%2C%20muchas%20gracias!</t>
  </si>
  <si>
    <t>"{\"phoneNumber\": \"3492527138\" ,\"K\": \"Facturación_Images/090781fe.FACTURA 1.165318.png\",\"M\": \"\",\"N\": \"\",\"O\": \"\",\"Y\": \"Hola Gastón! 👋 \\nTe envío la factura correspondiente por la prestación de servicios durante el período 22/04/25 al 22/05/25. \\n\\n📋 *Detalles de la factura:* \\n• Número: - \\n• Fecha de Emisión: 28/05/25 \\n• Fecha de Vencimiento: 05/06/25 \\n• Monto Total: $ 549000.\\n  \\n\\n💼 *Cuenta para el depósito:*Te agradecería si me confirmás la recepción y me avisás una fecha estimada de pago. 😊 \\n\\nDesde ya, muchas gracias!\"}"</t>
  </si>
  <si>
    <t>090781fe.FACTURA 1.165318.png</t>
  </si>
  <si>
    <t>https://api.textmebot.com/send.php?recipient=+5493492527138&amp;apikey=xoF6EUkK31se&amp;text=Hola%20Gast%C3%B3n!%20%F0%9F%91%8B%20%0ATe%20env%C3%ADo%20la%20factura%20correspondiente%20por%20la%20prestaci%C3%B3n%20de%20servicios%20durante%20el%20per%C3%ADodo%2022%2F04%2F25%20al%2022%2F05%2F25.%20%0A%0A%F0%9F%93%8B%20*Detalles%20de%20la%20factura%3A*%20%0A%E2%80%A2%20N%C3%BAmero%3A%20-%20%0A%E2%80%A2%20Fecha%20de%20Emisi%C3%B3n%3A%2028%2F05%2F25%20%0A%E2%80%A2%20Fecha%20de%20Vencimiento%3A%2005%2F06%2F25%20%0A%E2%80%A2%20Monto%20Total%3A%20%24%20549000.%0A%20%20%0A%0A%F0%9F%92%BC%20*Cuenta%20para%20el%20dep%C3%B3sito%3A*Te%20agradecer%C3%ADa%20si%20me%20confirm%C3%A1s%20la%20recepci%C3%B3n%20y%20me%20avis%C3%A1s%20una%20fecha%20estimada%20de%20pago.%20%F0%9F%98%8A%20%0A%0ADesde%20ya%2C%20muchas%20gracias!</t>
  </si>
  <si>
    <t>"{\"phoneNumber\": \"1164872810\" ,\"K\": \"Facturación_Images/01e76cba.FACTURA 1.192928.jpg\",\"M\": \"\",\"N\": \"\",\"O\": \"\",\"Y\": \"Hola Andrea! 👋 \\n Espero que todo esté yendo bien. Quisiera recordarte que aún no hemos recibido el pago correspondiente a la factura N° - emitida el 15/05/25. \\n\\n📋 *Detalles de la factura:* \\n• Número: - \\n• Vencimiento: 21/05/25 \\n• Monto total: $423. \\n\\n💼 *Cuenta a depositar:*• Moneda: USDT \\n• Wallet address: TC5fTBZgcAKAFvKUwB1JSfsKWjktkNA4Sj \\n• Red: Tron - TRX - TRC20 \\nAdjunto encontrarás la factura para tu referencia. \\n\\nSi ya has realizado el pago, por favor, ignora este mensaje. \\n\\nGracias por tu pronta atención a este asunto. \\n\\nAPSOL - Consultoría Empresarial\"}"</t>
  </si>
  <si>
    <t>https://api.textmebot.com/send.php?recipient=+5491164872810&amp;apikey=xoF6EUkK31se&amp;text=Hola%20Andrea!%20%F0%9F%91%8B%20%0A%20Espero%20que%20todo%20est%C3%A9%20yendo%20bien.%20Quisiera%20recordarte%20que%20a%C3%BAn%20no%20hemos%20recibido%20el%20pago%20correspondiente%20a%20la%20factura%20N%C2%B0%20-%20emitida%20el%2015%2F05%2F25.%20%0A%0A%F0%9F%93%8B%20*Detalles%20de%20la%20factura%3A*%20%0A%E2%80%A2%20N%C3%BAmero%3A%20-%20%0A%E2%80%A2%20Vencimiento%3A%2021%2F05%2F25%20%0A%E2%80%A2%20Monto%20total%3A%20%24423.%20%0A%0A%F0%9F%92%BC%20*Cuenta%20a%20depositar%3A*%E2%80%A2%20Moneda%3A%20USDT%20%0A%E2%80%A2%20Wallet%20address%3A%20TC5fTBZgcAKAFvKUwB1JSfsKWjktkNA4Sj%20%0A%E2%80%A2%20Red%3A%20Tron%20-%20TRX%20-%20TRC20%20%0AAdjunto%20encontrar%C3%A1s%20la%20factura%20para%20tu%20referencia.%20%0A%0ASi%20ya%20has%20realizado%20el%20pago%2C%20por%20favor%2C%20ignora%20este%20mensaje.%20%0A%0AGracias%20por%20tu%20pronta%20atenci%C3%B3n%20a%20este%20asunto.%20%0A%0AAPSOL%20-%20Consultor%C3%ADa%20Empresarial</t>
  </si>
  <si>
    <t>"{\"phoneNumber\": \"3425295451\" ,\"K\": \"Facturación_Files_/a054255d.FACTURA 1.123721.pdf\",\"M\": \"\",\"N\": \"\",\"O\": \"\",\"Y\": \"Hola Gonzalo! 👋 \\nTe envío la factura correspondiente por la prestación de servicios durante el período 28/04/25 al 28/05/25. \\n\\n📋 *Detalles de la factura:* \\n• Número: 183 \\n• Fecha de Emisión: 09/06/25 \\n• Fecha de Vencimiento: 18/06/25 \\n• Monto Total: $ 654000.\\n  \\n\\n💼 *Cuenta para el depósito:*• CUIT: 20331228797 \\n• Titular: PATRIARCA ADRIAN CARLOS \\n• CBU: 110491630049195615179 \\n• Alias: apsol.consultora \\n• Banco: Banco Nación 🏦\\nTe agradecería si me confirmás la recepción y me avisás una fecha estimada de pago. 😊 \\n\\nDesde ya, muchas gracias!\"}"</t>
  </si>
  <si>
    <t>https://drive.google.com/file/d/1BfNP3hrQDv_aaaA5qFXV5noFRYmODdLq/view?usp=drive_link</t>
  </si>
  <si>
    <t>a054255d.FACTURA 1.123721.pdf</t>
  </si>
  <si>
    <t>https://api.textmebot.com/send.php?recipient=+5493425295451&amp;apikey=xoF6EUkK31se&amp;text=Hola%20Gonzalo!%20%F0%9F%91%8B%20%0ATe%20env%C3%ADo%20la%20factura%20correspondiente%20por%20la%20prestaci%C3%B3n%20de%20servicios%20durante%20el%20per%C3%ADodo%2028%2F04%2F25%20al%2028%2F05%2F25.%20%0A%0A%F0%9F%93%8B%20*Detalles%20de%20la%20factura%3A*%20%0A%E2%80%A2%20N%C3%BAmero%3A%20183%20%0A%E2%80%A2%20Fecha%20de%20Emisi%C3%B3n%3A%2009%2F06%2F25%20%0A%E2%80%A2%20Fecha%20de%20Vencimiento%3A%2018%2F06%2F25%20%0A%E2%80%A2%20Monto%20Total%3A%20%24%20654000.%0A%20%20%0A%0A%F0%9F%92%BC%20*Cuenta%20para%20el%20dep%C3%B3sito%3A*%E2%80%A2%20CUIT%3A%2020331228797%20%0A%E2%80%A2%20Titular%3A%20PATRIARCA%20ADRIAN%20CARLOS%20%0A%E2%80%A2%20CBU%3A%20110491630049195615179%20%0A%E2%80%A2%20Alias%3A%20apsol.consultora%20%0A%E2%80%A2%20Banco%3A%20Banco%20Naci%C3%B3n%20%F0%9F%8F%A6%0ATe%20agradecer%C3%ADa%20si%20me%20confirm%C3%A1s%20la%20recepci%C3%B3n%20y%20me%20avis%C3%A1s%20una%20fecha%20estimada%20de%20pago.%20%F0%9F%98%8A%20%0A%0ADesde%20ya%2C%20muchas%20gracias!</t>
  </si>
  <si>
    <t>"{\"phoneNumber\": \"3425225459\" ,\"K\": \"Facturación_Files_/4ca61917.FACTURA 1.125251.pdf\",\"M\": \"\",\"N\": \"\",\"O\": \"\",\"Y\": \"Hola Ignacio! 👋 \\nTe envío la factura correspondiente por la prestación de servicios durante el período 04/05/25 al 04/06/25. \\n\\n📋 *Detalles de la factura:* \\n• Número: 36 \\n• Fecha de Emisión: 09/06/25 \\n• Fecha de Vencimiento: 16/06/25 \\n• Monto Total: $ 1364000.\\n  \\n\\n💼 *Cuenta para el depósito:*• CUIT: 20305727785 \\n• Titular: SEBASTIAN GASTON WOLF \\n• CBU: 1430001713033201820014 \\n• Alias: apsol.consultoria \\n• Banco: BRUBANK 🏦\\nTe agradecería si me confirmás la recepción y me avisás una fecha estimada de pago. 😊 \\n\\nDesde ya, muchas gracias!\"}"</t>
  </si>
  <si>
    <t>https://drive.google.com/file/d/1J7tU3MjZ9iQujbmrgpKp4yAKGVXD_UHQ/view?usp=drive_link</t>
  </si>
  <si>
    <t>4ca61917.FACTURA 1.125251.pdf</t>
  </si>
  <si>
    <t>https://api.textmebot.com/send.php?recipient=+5493425225459&amp;apikey=xoF6EUkK31se&amp;text=Hola%20Ignacio!%20%F0%9F%91%8B%20%0ATe%20env%C3%ADo%20la%20factura%20correspondiente%20por%20la%20prestaci%C3%B3n%20de%20servicios%20durante%20el%20per%C3%ADodo%2004%2F05%2F25%20al%2004%2F06%2F25.%20%0A%0A%F0%9F%93%8B%20*Detalles%20de%20la%20factura%3A*%20%0A%E2%80%A2%20N%C3%BAmero%3A%2036%20%0A%E2%80%A2%20Fecha%20de%20Emisi%C3%B3n%3A%2009%2F06%2F25%20%0A%E2%80%A2%20Fecha%20de%20Vencimiento%3A%2016%2F06%2F25%20%0A%E2%80%A2%20Monto%20Total%3A%20%24%201364000.%0A%20%20%0A%0A%F0%9F%92%BC%20*Cuenta%20para%20el%20dep%C3%B3sito%3A*%E2%80%A2%20CUIT%3A%2020305727785%20%0A%E2%80%A2%20Titular%3A%20SEBASTIAN%20GASTON%20WOLF%20%0A%E2%80%A2%20CBU%3A%201430001713033201820014%20%0A%E2%80%A2%20Alias%3A%20apsol.consultoria%20%0A%E2%80%A2%20Banco%3A%20BRUBANK%20%F0%9F%8F%A6%0ATe%20agradecer%C3%ADa%20si%20me%20confirm%C3%A1s%20la%20recepci%C3%B3n%20y%20me%20avis%C3%A1s%20una%20fecha%20estimada%20de%20pago.%20%F0%9F%98%8A%20%0A%0ADesde%20ya%2C%20muchas%20gracias!</t>
  </si>
  <si>
    <t>"{\"phoneNumber\": \"3521639222\" ,\"K\": \"Facturación_Files_/52a6976a.FACTURA 1.125645.pdf\",\"M\": \"\",\"N\": \"\",\"O\": \"\",\"Y\": \"Hola Alan! 👋 \\nTe envío la factura correspondiente por la prestación de servicios durante el período 07/05/25 al 07/06/25. \\n\\n📋 *Detalles de la factura:* \\n• Número: 37 \\n• Fecha de Emisión: 09/06/25 \\n• Fecha de Vencimiento: 16/06/25 \\n• Monto Total: $ 622000.\\n  \\n\\n💼 *Cuenta para el depósito:*• CUIT: 20305727785 \\n• Titular: SEBASTIAN GASTON WOLF \\n• CBU: 1430001713033201820014 \\n• Alias: apsol.consultoria \\n• Banco: BRUBANK 🏦\\nTe agradecería si me confirmás la recepción y me avisás una fecha estimada de pago. 😊 \\n\\nDesde ya, muchas gracias!\"}"</t>
  </si>
  <si>
    <t>https://drive.google.com/file/d/1Ybk945HK3k5kzaQPflungnD4jRSvd4NK/view?usp=drive_link</t>
  </si>
  <si>
    <t>52a6976a.FACTURA 1.125645.pdf</t>
  </si>
  <si>
    <t>https://api.textmebot.com/send.php?recipient=+5493521639222&amp;apikey=xoF6EUkK31se&amp;text=Hola%20Alan!%20%F0%9F%91%8B%20%0ATe%20env%C3%ADo%20la%20factura%20correspondiente%20por%20la%20prestaci%C3%B3n%20de%20servicios%20durante%20el%20per%C3%ADodo%2007%2F05%2F25%20al%2007%2F06%2F25.%20%0A%0A%F0%9F%93%8B%20*Detalles%20de%20la%20factura%3A*%20%0A%E2%80%A2%20N%C3%BAmero%3A%2037%20%0A%E2%80%A2%20Fecha%20de%20Emisi%C3%B3n%3A%2009%2F06%2F25%20%0A%E2%80%A2%20Fecha%20de%20Vencimiento%3A%2016%2F06%2F25%20%0A%E2%80%A2%20Monto%20Total%3A%20%24%20622000.%0A%20%20%0A%0A%F0%9F%92%BC%20*Cuenta%20para%20el%20dep%C3%B3sito%3A*%E2%80%A2%20CUIT%3A%2020305727785%20%0A%E2%80%A2%20Titular%3A%20SEBASTIAN%20GASTON%20WOLF%20%0A%E2%80%A2%20CBU%3A%201430001713033201820014%20%0A%E2%80%A2%20Alias%3A%20apsol.consultoria%20%0A%E2%80%A2%20Banco%3A%20BRUBANK%20%F0%9F%8F%A6%0ATe%20agradecer%C3%ADa%20si%20me%20confirm%C3%A1s%20la%20recepci%C3%B3n%20y%20me%20avis%C3%A1s%20una%20fecha%20estimada%20de%20pago.%20%F0%9F%98%8A%20%0A%0ADesde%20ya%2C%20muchas%20gracias!</t>
  </si>
  <si>
    <t>"{\"phoneNumber\": \"3425389073\" ,\"K\": \"Facturación_Files_/eb49e8d8.FACTURA 1.163558.pdf\",\"M\": \"\",\"N\": \"\",\"O\": \"\",\"Y\": \"Hola Martin! 👋 \\nTe envío la factura correspondiente por la prestación de servicios durante el período 06/05/25 al 06/06/25. \\n\\n📋 *Detalles de la factura:* \\n• Número: 38 \\n• Fecha de Emisión: 09/06/25 \\n• Fecha de Vencimiento: 18/06/25 \\n• Monto Total: $ 592000.\\n  \\n\\n💼 *Cuenta para el depósito:*• CUIT: 20305727785 \\n• Titular: SEBASTIAN GASTON WOLF \\n• CBU: 1430001713033201820014 \\n• Alias: apsol.consultoria \\n• Banco: BRUBANK 🏦\\nTe agradecería si me confirmás la recepción y me avisás una fecha estimada de pago. 😊 \\n\\nDesde ya, muchas gracias!\"}"</t>
  </si>
  <si>
    <t>https://drive.google.com/file/d/1yxcEQ-xDZkfGCojJOmURpwFXmWgdNOim/view?usp=drive_link</t>
  </si>
  <si>
    <t>eb49e8d8.FACTURA 1.163558.pdf</t>
  </si>
  <si>
    <t>https://api.textmebot.com/send.php?recipient=+5493425389073&amp;apikey=xoF6EUkK31se&amp;text=Hola%20Martin!%20%F0%9F%91%8B%20%0ATe%20env%C3%ADo%20la%20factura%20correspondiente%20por%20la%20prestaci%C3%B3n%20de%20servicios%20durante%20el%20per%C3%ADodo%2006%2F05%2F25%20al%2006%2F06%2F25.%20%0A%0A%F0%9F%93%8B%20*Detalles%20de%20la%20factura%3A*%20%0A%E2%80%A2%20N%C3%BAmero%3A%2038%20%0A%E2%80%A2%20Fecha%20de%20Emisi%C3%B3n%3A%2009%2F06%2F25%20%0A%E2%80%A2%20Fecha%20de%20Vencimiento%3A%2018%2F06%2F25%20%0A%E2%80%A2%20Monto%20Total%3A%20%24%20592000.%0A%20%20%0A%0A%F0%9F%92%BC%20*Cuenta%20para%20el%20dep%C3%B3sito%3A*%E2%80%A2%20CUIT%3A%2020305727785%20%0A%E2%80%A2%20Titular%3A%20SEBASTIAN%20GASTON%20WOLF%20%0A%E2%80%A2%20CBU%3A%201430001713033201820014%20%0A%E2%80%A2%20Alias%3A%20apsol.consultoria%20%0A%E2%80%A2%20Banco%3A%20BRUBANK%20%F0%9F%8F%A6%0ATe%20agradecer%C3%ADa%20si%20me%20confirm%C3%A1s%20la%20recepci%C3%B3n%20y%20me%20avis%C3%A1s%20una%20fecha%20estimada%20de%20pago.%20%F0%9F%98%8A%20%0A%0ADesde%20ya%2C%20muchas%20gracias!</t>
  </si>
  <si>
    <t>"{\"phoneNumber\": \"3755 65-2005\" ,\"K\": \"Facturación_Files_/0fb245d5.FACTURA 1.125448.pdf\",\"M\": \"Facturación_Files_/0fb245d5.FACTURA 2.125448.pdf\",\"N\": \"\",\"O\": \"Facturación_Files_/0fb245d5.DOCUMENTO.125448.pdf\",\"Y\": \"Hola Juan! 👋 \\nTe envío la factura correspondiente por la prestación de servicios durante el período 06/05/25 al 06/06/25. \\n\\n📋 *Detalles de la factura:* \\n• Número: 184 \\n• Fecha de Emisión: 10/06/25 \\n• Fecha de Vencimiento: 16/06/25 \\n• Monto Total: $ 700000.\\n  \\n\\n💼 *Cuenta para el depósito:*• CUIT: 20331228797 \\n• Titular: PATRIARCA ADRIAN CARLOS \\n• CBU: 110491630049195615179 \\n• Alias: apsol.consultora \\n• Banco: Banco Nación 🏦\\nTe agradecería si me confirmás la recepción y me avisás una fecha estimada de pago. 😊 \\n\\nDesde ya, muchas gracias!\"}"</t>
  </si>
  <si>
    <t>https://drive.google.com/file/d/1C8ORzbxUiGS1tWjhRfSAaDX7eNx3JbG0/view?usp=drive_link</t>
  </si>
  <si>
    <t>0fb245d5.FACTURA 1.125448.pdf</t>
  </si>
  <si>
    <t>https://drive.google.com/file/d/1pL98vUfC70sM7VI19bjMwGTh0jXxPDXz/view?usp=drive_link</t>
  </si>
  <si>
    <t>0fb245d5.FACTURA 2.125448.pdf</t>
  </si>
  <si>
    <t>https://drive.google.com/file/d/1UzSe1Zp_xgrIPoYlAZnLuRL2-tRsGSor/view?usp=drive_link</t>
  </si>
  <si>
    <t>0fb245d5.DOCUMENTO.125448.pdf</t>
  </si>
  <si>
    <t>https://api.textmebot.com/send.php?recipient=+5493755 65-2005&amp;apikey=xoF6EUkK31se&amp;text=Hola%20Juan!%20%F0%9F%91%8B%20%0ATe%20env%C3%ADo%20la%20factura%20correspondiente%20por%20la%20prestaci%C3%B3n%20de%20servicios%20durante%20el%20per%C3%ADodo%2006%2F05%2F25%20al%2006%2F06%2F25.%20%0A%0A%F0%9F%93%8B%20*Detalles%20de%20la%20factura%3A*%20%0A%E2%80%A2%20N%C3%BAmero%3A%20184%20%0A%E2%80%A2%20Fecha%20de%20Emisi%C3%B3n%3A%2010%2F06%2F25%20%0A%E2%80%A2%20Fecha%20de%20Vencimiento%3A%2016%2F06%2F25%20%0A%E2%80%A2%20Monto%20Total%3A%20%24%20700000.%0A%20%20%0A%0A%F0%9F%92%BC%20*Cuenta%20para%20el%20dep%C3%B3sito%3A*%E2%80%A2%20CUIT%3A%2020331228797%20%0A%E2%80%A2%20Titular%3A%20PATRIARCA%20ADRIAN%20CARLOS%20%0A%E2%80%A2%20CBU%3A%20110491630049195615179%20%0A%E2%80%A2%20Alias%3A%20apsol.consultora%20%0A%E2%80%A2%20Banco%3A%20Banco%20Naci%C3%B3n%20%F0%9F%8F%A6%0ATe%20agradecer%C3%ADa%20si%20me%20confirm%C3%A1s%20la%20recepci%C3%B3n%20y%20me%20avis%C3%A1s%20una%20fecha%20estimada%20de%20pago.%20%F0%9F%98%8A%20%0A%0ADesde%20ya%2C%20muchas%20gracias!</t>
  </si>
  <si>
    <t>"{\"phoneNumber\": \"3425225459\" ,\"K\": \"Facturación_Files_/4ca61917.FACTURA 1.125251.pdf\",\"M\": \"\",\"N\": \"\",\"O\": \"\",\"Y\": \"Hola Ignacio! 👋 \\n Espero que todo esté yendo bien. Quisiera recordarte que aún no hemos recibido el pago correspondiente a la factura N° 36 emitida el 09/06/25. \\n\\n📋 *Detalles de la factura:* \\n• Número: 36 \\n• Vencimiento: 16/06/25 \\n• Monto total: $1364000. \\n\\n💼 *Cuenta a depositar:*• CUIT: 20305727785 \\n• Titular: SEBASTIAN GASTON WOLF \\n• CBU: 1430001713033201820014 \\n• Alias: apsol.consultoria \\n• Banco: BRUBANK 🏦\\nAdjunto encontrarás la factura para tu referencia. \\n\\nSi ya has realizado el pago, por favor, ignora este mensaje. \\n\\nGracias por tu pronta atención a este asunto. \\n\\nAPSOL - Consultoría Empresarial\"}"</t>
  </si>
  <si>
    <t>https://api.textmebot.com/send.php?recipient=+5493425225459&amp;apikey=xoF6EUkK31se&amp;text=Hola%20Ignacio!%20%F0%9F%91%8B%20%0A%20Espero%20que%20todo%20est%C3%A9%20yendo%20bien.%20Quisiera%20recordarte%20que%20a%C3%BAn%20no%20hemos%20recibido%20el%20pago%20correspondiente%20a%20la%20factura%20N%C2%B0%2036%20emitida%20el%2009%2F06%2F25.%20%0A%0A%F0%9F%93%8B%20*Detalles%20de%20la%20factura%3A*%20%0A%E2%80%A2%20N%C3%BAmero%3A%2036%20%0A%E2%80%A2%20Vencimiento%3A%2016%2F06%2F25%20%0A%E2%80%A2%20Monto%20total%3A%20%241364000.%20%0A%0A%F0%9F%92%BC%20*Cuenta%20a%20depositar%3A*%E2%80%A2%20CUIT%3A%2020305727785%20%0A%E2%80%A2%20Titular%3A%20SEBASTIAN%20GASTON%20WOLF%20%0A%E2%80%A2%20CBU%3A%201430001713033201820014%20%0A%E2%80%A2%20Alias%3A%20apsol.consultoria%20%0A%E2%80%A2%20Banco%3A%20BRUBANK%20%F0%9F%8F%A6%0AAdjunto%20encontrar%C3%A1s%20la%20factura%20para%20tu%20referencia.%20%0A%0ASi%20ya%20has%20realizado%20el%20pago%2C%20por%20favor%2C%20ignora%20este%20mensaje.%20%0A%0AGracias%20por%20tu%20pronta%20atenci%C3%B3n%20a%20este%20asunto.%20%0A%0AAPSOL%20-%20Consultor%C3%ADa%20Empresarial</t>
  </si>
  <si>
    <t>"{\"phoneNumber\": \"3521639222\" ,\"K\": \"Facturación_Files_/52a6976a.FACTURA 1.125645.pdf\",\"M\": \"\",\"N\": \"\",\"O\": \"\",\"Y\": \"Hola Alan! 👋 \\n Espero que todo esté yendo bien. Quisiera recordarte que aún no hemos recibido el pago correspondiente a la factura N° 37 emitida el 09/06/25. \\n\\n📋 *Detalles de la factura:* \\n• Número: 37 \\n• Vencimiento: 16/06/25 \\n• Monto total: $622000. \\n\\n💼 *Cuenta a depositar:*• CUIT: 20305727785 \\n• Titular: SEBASTIAN GASTON WOLF \\n• CBU: 1430001713033201820014 \\n• Alias: apsol.consultoria \\n• Banco: BRUBANK 🏦\\nAdjunto encontrarás la factura para tu referencia. \\n\\nSi ya has realizado el pago, por favor, ignora este mensaje. \\n\\nGracias por tu pronta atención a este asunto. \\n\\nAPSOL - Consultoría Empresarial\"}"</t>
  </si>
  <si>
    <t>https://api.textmebot.com/send.php?recipient=+5493521639222&amp;apikey=xoF6EUkK31se&amp;text=Hola%20Alan!%20%F0%9F%91%8B%20%0A%20Espero%20que%20todo%20est%C3%A9%20yendo%20bien.%20Quisiera%20recordarte%20que%20a%C3%BAn%20no%20hemos%20recibido%20el%20pago%20correspondiente%20a%20la%20factura%20N%C2%B0%2037%20emitida%20el%2009%2F06%2F25.%20%0A%0A%F0%9F%93%8B%20*Detalles%20de%20la%20factura%3A*%20%0A%E2%80%A2%20N%C3%BAmero%3A%2037%20%0A%E2%80%A2%20Vencimiento%3A%2016%2F06%2F25%20%0A%E2%80%A2%20Monto%20total%3A%20%24622000.%20%0A%0A%F0%9F%92%BC%20*Cuenta%20a%20depositar%3A*%E2%80%A2%20CUIT%3A%2020305727785%20%0A%E2%80%A2%20Titular%3A%20SEBASTIAN%20GASTON%20WOLF%20%0A%E2%80%A2%20CBU%3A%201430001713033201820014%20%0A%E2%80%A2%20Alias%3A%20apsol.consultoria%20%0A%E2%80%A2%20Banco%3A%20BRUBANK%20%F0%9F%8F%A6%0AAdjunto%20encontrar%C3%A1s%20la%20factura%20para%20tu%20referencia.%20%0A%0ASi%20ya%20has%20realizado%20el%20pago%2C%20por%20favor%2C%20ignora%20este%20mensaje.%20%0A%0AGracias%20por%20tu%20pronta%20atenci%C3%B3n%20a%20este%20asunto.%20%0A%0AAPSOL%20-%20Consultor%C3%ADa%20Empresarial</t>
  </si>
  <si>
    <t>"{\"phoneNumber\": \"3755 65-2005\" ,\"K\": \"Facturación_Files_/0fb245d5.FACTURA 1.125448.pdf\",\"M\": \"Facturación_Files_/0fb245d5.FACTURA 2.125448.pdf\",\"N\": \"\",\"O\": \"Facturación_Files_/0fb245d5.DOCUMENTO.125448.pdf\",\"Y\": \"Hola Juan! 👋 \\n Espero que todo esté yendo bien. Quisiera recordarte que aún no hemos recibido el pago correspondiente a la factura N° 184 emitida el 10/06/25. \\n\\n📋 *Detalles de la factura:* \\n• Número: 184 \\n• Vencimiento: 16/06/25 \\n• Monto total: $700000. \\n\\n💼 *Cuenta a depositar:*• CUIT: 20331228797 \\n• Titular: PATRIARCA ADRIAN CARLOS \\n• CBU: 110491630049195615179 \\n• Alias: apsol.consultora \\n• Banco: Banco Nación 🏦\\nAdjunto encontrarás la factura para tu referencia. \\n\\nSi ya has realizado el pago, por favor, ignora este mensaje. \\n\\nGracias por tu pronta atención a este asunto. \\n\\nAPSOL - Consultoría Empresarial\"}"</t>
  </si>
  <si>
    <t>https://api.textmebot.com/send.php?recipient=+5493755 65-2005&amp;apikey=xoF6EUkK31se&amp;text=Hola%20Juan!%20%F0%9F%91%8B%20%0A%20Espero%20que%20todo%20est%C3%A9%20yendo%20bien.%20Quisiera%20recordarte%20que%20a%C3%BAn%20no%20hemos%20recibido%20el%20pago%20correspondiente%20a%20la%20factura%20N%C2%B0%20184%20emitida%20el%2010%2F06%2F25.%20%0A%0A%F0%9F%93%8B%20*Detalles%20de%20la%20factura%3A*%20%0A%E2%80%A2%20N%C3%BAmero%3A%20184%20%0A%E2%80%A2%20Vencimiento%3A%2016%2F06%2F25%20%0A%E2%80%A2%20Monto%20total%3A%20%24700000.%20%0A%0A%F0%9F%92%BC%20*Cuenta%20a%20depositar%3A*%E2%80%A2%20CUIT%3A%2020331228797%20%0A%E2%80%A2%20Titular%3A%20PATRIARCA%20ADRIAN%20CARLOS%20%0A%E2%80%A2%20CBU%3A%20110491630049195615179%20%0A%E2%80%A2%20Alias%3A%20apsol.consultora%20%0A%E2%80%A2%20Banco%3A%20Banco%20Naci%C3%B3n%20%F0%9F%8F%A6%0AAdjunto%20encontrar%C3%A1s%20la%20factura%20para%20tu%20referencia.%20%0A%0ASi%20ya%20has%20realizado%20el%20pago%2C%20por%20favor%2C%20ignora%20este%20mensaje.%20%0A%0AGracias%20por%20tu%20pronta%20atenci%C3%B3n%20a%20este%20asunto.%20%0A%0AAPSOL%20-%20Consultor%C3%ADa%20Empresarial</t>
  </si>
  <si>
    <t>"{\"phoneNumber\": \"3493661975\" ,\"K\": \"Facturación_Images/d868a4bf.FACTURA 1.140514.png\",\"M\": \"\",\"N\": \"\",\"O\": \"\",\"Y\": \"Hola Estefania! 👋 \\nTe envío la factura correspondiente por la prestación de servicios durante el período 11/05/25 al 11/06/25. \\n\\n📋 *Detalles de la factura:* \\n• Número: - \\n• Fecha de Emisión: 18/06/25 \\n• Fecha de Vencimiento: 30/06/25 \\n• Monto Total: $ 809000.\\n  \\n\\n💼 *Cuenta para el depósito:*• CUIT: 20331228797 \\n• Titular: PATRIARCA ADRIAN CARLOS \\n• CBU: 110491630049195615179 \\n• Alias: apsol.consultora \\n• Banco: Banco Nación 🏦\\nTe agradecería si me confirmás la recepción y me avisás una fecha estimada de pago. 😊 \\n\\nDesde ya, muchas gracias!\"}"</t>
  </si>
  <si>
    <t>d868a4bf.FACTURA 1.140514.png</t>
  </si>
  <si>
    <t>https://api.textmebot.com/send.php?recipient=+5493493661975&amp;apikey=xoF6EUkK31se&amp;text=Hola%20Estefania!%20%F0%9F%91%8B%20%0ATe%20env%C3%ADo%20la%20factura%20correspondiente%20por%20la%20prestaci%C3%B3n%20de%20servicios%20durante%20el%20per%C3%ADodo%2011%2F05%2F25%20al%2011%2F06%2F25.%20%0A%0A%F0%9F%93%8B%20*Detalles%20de%20la%20factura%3A*%20%0A%E2%80%A2%20N%C3%BAmero%3A%20-%20%0A%E2%80%A2%20Fecha%20de%20Emisi%C3%B3n%3A%2018%2F06%2F25%20%0A%E2%80%A2%20Fecha%20de%20Vencimiento%3A%2030%2F06%2F25%20%0A%E2%80%A2%20Monto%20Total%3A%20%24%20809000.%0A%20%20%0A%0A%F0%9F%92%BC%20*Cuenta%20para%20el%20dep%C3%B3sito%3A*%E2%80%A2%20CUIT%3A%2020331228797%20%0A%E2%80%A2%20Titular%3A%20PATRIARCA%20ADRIAN%20CARLOS%20%0A%E2%80%A2%20CBU%3A%20110491630049195615179%20%0A%E2%80%A2%20Alias%3A%20apsol.consultora%20%0A%E2%80%A2%20Banco%3A%20Banco%20Naci%C3%B3n%20%F0%9F%8F%A6%0ATe%20agradecer%C3%ADa%20si%20me%20confirm%C3%A1s%20la%20recepci%C3%B3n%20y%20me%20avis%C3%A1s%20una%20fecha%20estimada%20de%20pago.%20%F0%9F%98%8A%20%0A%0ADesde%20ya%2C%20muchas%20gracias!</t>
  </si>
  <si>
    <t>"{\"phoneNumber\": \"3425380483\" ,\"K\": \"Facturación_Files_/6026bc56.FACTURA 1.141321.pdf\",\"M\": \"\",\"N\": \"\",\"O\": \"\",\"Y\": \"Hola Marketing! 👋 \\nTe envío la factura correspondiente por la prestación de servicios durante el período 18/05/25 al 18/06/25. \\n\\n📋 *Detalles de la factura:* \\n• Número: 185 \\n• Fecha de Emisión: 18/06/25 \\n• Fecha de Vencimiento: 30/06/25 \\n• Monto Total: $ 378000.\\n  \\n\\n💼 *Cuenta para el depósito:*• CUIT: 20331228797 \\n• Titular: PATRIARCA ADRIAN CARLOS \\n• CBU: 110491630049195615179 \\n• Alias: apsol.consultora \\n• Banco: Banco Nación 🏦\\nTe agradecería si me confirmás la recepción y me avisás una fecha estimada de pago. 😊 \\n\\nDesde ya, muchas gracias!\"}"</t>
  </si>
  <si>
    <t>https://drive.google.com/file/d/1Ky52-YjE9ooCwt1v42GbP9_my724bb69/view?usp=drive_link</t>
  </si>
  <si>
    <t>6026bc56.FACTURA 1.141321.pdf</t>
  </si>
  <si>
    <t>https://api.textmebot.com/send.php?recipient=+5493425380483&amp;apikey=xoF6EUkK31se&amp;text=Hola%20Marketing!%20%F0%9F%91%8B%20%0ATe%20env%C3%ADo%20la%20factura%20correspondiente%20por%20la%20prestaci%C3%B3n%20de%20servicios%20durante%20el%20per%C3%ADodo%2018%2F05%2F25%20al%2018%2F06%2F25.%20%0A%0A%F0%9F%93%8B%20*Detalles%20de%20la%20factura%3A*%20%0A%E2%80%A2%20N%C3%BAmero%3A%20185%20%0A%E2%80%A2%20Fecha%20de%20Emisi%C3%B3n%3A%2018%2F06%2F25%20%0A%E2%80%A2%20Fecha%20de%20Vencimiento%3A%2030%2F06%2F25%20%0A%E2%80%A2%20Monto%20Total%3A%20%24%20378000.%0A%20%20%0A%0A%F0%9F%92%BC%20*Cuenta%20para%20el%20dep%C3%B3sito%3A*%E2%80%A2%20CUIT%3A%2020331228797%20%0A%E2%80%A2%20Titular%3A%20PATRIARCA%20ADRIAN%20CARLOS%20%0A%E2%80%A2%20CBU%3A%20110491630049195615179%20%0A%E2%80%A2%20Alias%3A%20apsol.consultora%20%0A%E2%80%A2%20Banco%3A%20Banco%20Naci%C3%B3n%20%F0%9F%8F%A6%0ATe%20agradecer%C3%ADa%20si%20me%20confirm%C3%A1s%20la%20recepci%C3%B3n%20y%20me%20avis%C3%A1s%20una%20fecha%20estimada%20de%20pago.%20%F0%9F%98%8A%20%0A%0ADesde%20ya%2C%20muchas%20gracias!</t>
  </si>
  <si>
    <t>"{\"phoneNumber\": \"3426293881\" ,\"K\": \"Facturación_Files_/753a0a10.FACTURA 1.181845.xlsx\",\"M\": \"\",\"N\": \"\",\"O\": \"\",\"Y\": \"Hola Adrian! 👋 \\nTe envío la factura correspondiente por la prestación de servicios durante el período 03/05/25 al 03/06/25. \\n\\n📋 *Detalles de la factura:* \\n• Número: 1 \\n• Fecha de Emisión: 19/06/25 \\n• Fecha de Vencimiento: 26/06/25 \\n• Monto Total: $ 277800.\\n  \\n\\n💼 *Cuenta para el depósito:*• Banco: Citibank 🏦\\n• Moneda: USD \\nTe agradecería si me confirmás la recepción y me avisás una fecha estimada de pago. 😊 \\n\\nDesde ya, muchas gracias!\"}"</t>
  </si>
  <si>
    <t>https://drive.google.com/file/d/1rX62sqWGvuXeQtCPqAz19EH-gus6FV61/view?usp=drive_link</t>
  </si>
  <si>
    <t>753a0a10.FACTURA 1.181845.xlsx</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</si>
  <si>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20%0A%E2%80%A2%20Fecha%20de%20Emisi%C3%B3n%3A%2019%2F06%2F25%20%0A%E2%80%A2%20Fecha%20de%20Vencimiento%3A%2026%2F06%2F25%20%0A%E2%80%A2%20Monto%20Total%3A%20%24%20277800.%0A%20%20%0A%0A%F0%9F%92%BC%20*Cuenta%20para%20el%20dep%C3%B3sito%3A*%E2%80%A2%20Banco%3A%20Citibank%20%F0%9F%8F%A6%0A%E2%80%A2%20Moneda%3A%20USD%20%0ATe%20agradecer%C3%ADa%20si%20me%20confirm%C3%A1s%20la%20recepci%C3%B3n%20y%20me%20avis%C3%A1s%20una%20fecha%20estimada%20de%20pago.%20%F0%9F%98%8A%20%0A%0ADesde%20ya%2C%20muchas%20gracias!</t>
  </si>
  <si>
    <t>"{\"phoneNumber\": \"3426293881\" ,\"K\": \"Facturación_Images/5cf9d298.FACTURA 1.211631.png\",\"M\": \"\",\"N\": \"\",\"O\": \"\",\"Y\": \"Hola Adrian! 👋 \\nTe envío la factura correspondiente por la prestación de servicios durante el período 03/05/25 al 03/06/25. \\n\\n📋 *Detalles de la factura:* \\n• Número: 1 \\n• Fecha de Emisión: 19/06/25 \\n• Fecha de Vencimiento: 26/06/25 \\n• Monto Total: $ 277800.\\n  \\n\\n💼 *Cuenta para el depósito:*• CUIT: 2033122879 \\n• Titular: Adrian Patriarca \\n• Alias: Efectivo \\n• Banco: Efectivo 🏦\\nTe agradecería si me confirmás la recepción y me avisás una fecha estimada de pago. 😊 \\n\\nDesde ya, muchas gracias!\"}"</t>
  </si>
  <si>
    <t>5cf9d298.FACTURA 1.211631.png</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</si>
  <si>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20%0A%E2%80%A2%20Fecha%20de%20Emisi%C3%B3n%3A%2019%2F06%2F25%20%0A%E2%80%A2%20Fecha%20de%20Vencimiento%3A%2026%2F06%2F25%20%0A%E2%80%A2%20Monto%20Total%3A%20%24%20277800.%0A%20%20%0A%0A%F0%9F%92%BC%20*Cuenta%20para%20el%20dep%C3%B3sito%3A*%E2%80%A2%20CUIT%3A%202033122879%20%0A%E2%80%A2%20Titular%3A%20Adrian%20Patriarca%20%0A%E2%80%A2%20Alias%3A%20Efectivo%20%0A%E2%80%A2%20Banco%3A%20Efectivo%20%F0%9F%8F%A6%0ATe%20agradecer%C3%ADa%20si%20me%20confirm%C3%A1s%20la%20recepci%C3%B3n%20y%20me%20avis%C3%A1s%20una%20fecha%20estimada%20de%20pago.%20%F0%9F%98%8A%20%0A%0ADesde%20ya%2C%20muchas%20gracias!</t>
  </si>
  <si>
    <t>"{\"phoneNumber\": \"3426293881\" ,\"K\": \"Facturación_Images/23016133.FACTURA 1.223614.png\",\"M\": \"\",\"N\": \"\",\"O\": \"\",\"Y\": \"Hola Adrian! 👋 \\nTe envío la factura correspondiente por la prestación de servicios durante el período 03/05/25 al 03/06/25. \\n\\n📋 *Detalles de la factura:* \\n• Número: 1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</si>
  <si>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23016133.FACTURA 1.223614.png</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</si>
  <si>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t>
  </si>
  <si>
    <t>"{\"phoneNumber\": \"3426293881\" ,\"K\": \"Facturación_Images/eade059d.FACTURA 1.224012.png\",\"M\": \"\",\"N\": \"\",\"O\": \"\",\"Y\": \"Hola Adrian! 👋 \\nTe envío la factura correspondiente por la prestación de servicios durante el período 03/05/25 al 03/06/25. \\n\\n📋 *Detalles de la factura:* \\n• Número: 23123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</si>
  <si>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eade059d.FACTURA 1.224012.png</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</si>
  <si>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2023123%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t>
  </si>
  <si>
    <t>"{\"phoneNumber\": \"3426293881\" ,\"K\": \"Facturación_Images/0e80e9bb.FACTURA 1.232001.png\",\"M\": \"\",\"N\": \"\",\"O\": \"\",\"Y\": \"Hola Adrian! 👋 \\nTe envío la factura correspondiente por la prestación de servicios durante el período 03/05/25 al 03/06/25. \\n\\n📋 *Detalles de la factura:* \\n• Número: 12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</si>
  <si>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0e80e9bb.FACTURA 1.232001.png</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</si>
  <si>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t>
  </si>
  <si>
    <t>"{\"phoneNumber\": \"3426293881\" ,\"K\": \"Facturación_Images/828cfeb3.FACTURA 1.232748.png\",\"M\": \"\",\"N\": \"\",\"O\": \"\",\"Y\": \"Hola Adrian! 👋 \\nTe envío la factura correspondiente por la prestación de servicios durante el período 03/05/25 al 03/06/25. \\n\\n📋 *Detalles de la factura:* \\n• Número: 12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</si>
  <si>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828cfeb3.FACTURA 1.232748.png</t>
  </si>
  <si>
    <t>"{\"phoneNumber\": \"3426293881\" ,\"K\": \"Facturación_Images/0434fe30.FACTURA 1.232924.jpg\",\"M\": \"\",\"N\": \"\",\"O\": \"\",\"Y\": \"Hola Adrian! 👋 \\nTe envío la factura correspondiente por la prestación de servicios durante el período 03/05/25 al 03/06/25. \\n\\n📋 *Detalles de la factura:* \\n• Número: 31231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</si>
  <si>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0434fe30.FACTURA 1.232924.jpg</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</si>
  <si>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2031231%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t>
  </si>
  <si>
    <t>"{\"phoneNumber\": \"3426293881\" ,\"K\": \"Facturación_Images/714fbbf6.FACTURA 1.233443.png\",\"M\": \"\",\"N\": \"\",\"O\": \"\",\"Y\": \"Hola Adrian! 👋 \\nTe envío la factura correspondiente por la prestación de servicios durante el período 03/05/25 al 03/06/25. \\n\\n📋 *Detalles de la factura:* \\n• Número: 1232131231321131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</si>
  <si>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714fbbf6.FACTURA 1.233443.png</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</si>
  <si>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201232131231321131%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t>
  </si>
  <si>
    <t>"{\"phoneNumber\": \"3426293881\" ,\"K\": \"Facturación_Images/08cd758b.FACTURA 1.235605.png\",\"M\": \"\",\"N\": \"\",\"O\": \"\",\"Y\": \"Hola Adrian! 👋 \\nTe envío la factura correspondiente por la prestación de servicios durante el período 03/05/25 al 03/06/25. \\n\\n📋 *Detalles de la factura:* \\n• Número: 1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</si>
  <si>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08cd758b.FACTURA 1.235605.png</t>
  </si>
  <si>
    <t>"{\"phoneNumber\": \"3426293881\" ,\"K\": \"Facturación_Images/0ea54971.FACTURA 1.000244.png\",\"M\": \"\",\"N\": \"\",\"O\": \"\",\"Y\": \"Hola Adrian! 👋 \\nTe envío la factura correspondiente por la prestación de servicios durante el período 03/05/25 al 03/06/25. \\n\\n📋 *Detalles de la factura:* \\n• Número: 123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</si>
  <si>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0ea54971.FACTURA 1.000244.png</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</si>
  <si>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20123%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t>
  </si>
  <si>
    <t>"{\"phoneNumber\": \"3426293881\" ,\"K\": \"Facturación_Images/c677f098.FACTURA 1.000737.png\",\"M\": \"\",\"N\": \"\",\"O\": \"\",\"Y\": \"Hola Adrian! 👋 \\nTe envío la factura correspondiente por la prestación de servicios durante el período 03/05/25 al 03/06/25. \\n\\n📋 *Detalles de la factura:* \\n• Número: 123 \\n• Fecha de Emisión: 19/06/25 \\n• Fecha de Vencimiento: 26/06/25 \\n• Monto Total: $ 277800.\\n  \\n\\n💼 *Cuenta para el depósito:*• Titular: Adrian Patriarca \\n• Banco: Citibank 🏦\\n• Moneda: USD \\nTe agradecería si me confirmás la recepción y me avisás una fecha estimada de pago. 😊 \\n\\nDesde ya, muchas gracias!\"}"</t>
  </si>
  <si>
    <t>c677f098.FACTURA 1.000737.png</t>
  </si>
  <si>
    <t>"{\"phoneNumber\": \"3426293881\" ,\"K\": \"Facturación_Images/c677f098.FACTURA 1.000737.png\",\"M\": \"\",\"N\": \"\",\"O\": \"\",\"Y\": \"Hola Adrian! 👋 \\n Espero que todo esté yendo bien. Quisiera recordarte que aún no hemos recibido el pago correspondiente a la factura N° 123 emitida el 19/06/25. \\n\\n📋 *Detalles de la factura:* \\n• Número: 123 \\n• Vencimiento: 26/06/25 \\n• Monto total: $277800. \\n\\n💼 *Cuenta a depositar:*- Titular: Adrian Patriarca\\n- Banco: Citibank\\n- Moneda: USD\\n- Dirección del Banco: 111 Wall Street New York, NY 10043 USA\\n- Número de enrutamiento de ABA: 31100209\\n- Código SWIFT: CITIUS33\\n- Número de cuenta: 70580840001795095\\nAdjunto encontrarás la factura para tu referencia. \\n\\nSi ya has realizado el pago, por favor, ignora este mensaje. \\n\\nGracias por tu pronta atención a este asunto. \\n\\nAPSOL - Consultoría Empresarial\"}"</t>
  </si>
  <si>
    <t>https://api.textmebot.com/send.php?recipient=+5493426293881&amp;apikey=xoF6EUkK31se&amp;text=Hola%20Adrian!%20%F0%9F%91%8B%20%0A%20Espero%20que%20todo%20est%C3%A9%20yendo%20bien.%20Quisiera%20recordarte%20que%20a%C3%BAn%20no%20hemos%20recibido%20el%20pago%20correspondiente%20a%20la%20factura%20N%C2%B0%20123%20emitida%20el%2019%2F06%2F25.%20%0A%0A%F0%9F%93%8B%20*Detalles%20de%20la%20factura%3A*%20%0A%E2%80%A2%20N%C3%BAmero%3A%20123%20%0A%E2%80%A2%20Vencimiento%3A%2026%2F06%2F25%20%0A%E2%80%A2%20Monto%20total%3A%20%24277800.%20%0A%0A%F0%9F%92%BC%20*Cuenta%20a%20depositar%3A*-%20Titular%3A%20Adrian%20Patriarca%0A-%20Banco%3A%20Citibank%0A-%20Moneda%3A%20USD%0A-%20Direcci%C3%B3n%20del%20Banco%3A%20111%20Wall%20Street%20New%20York%2C%20NY%2010043%20USA%0A-%20N%C3%BAmero%20de%20enrutamiento%20de%20ABA%3A%2031100209%0A-%20C%C3%B3digo%20SWIFT%3A%20CITIUS33%0A-%20N%C3%BAmero%20de%20cuenta%3A%2070580840001795095%0AAdjunto%20encontrar%C3%A1s%20la%20factura%20para%20tu%20referencia.%20%0A%0ASi%20ya%20has%20realizado%20el%20pago%2C%20por%20favor%2C%20ignora%20este%20mensaje.%20%0A%0AGracias%20por%20tu%20pronta%20atenci%C3%B3n%20a%20este%20asunto.%20%0A%0AAPSOL%20-%20Consultor%C3%ADa%20Empresarial</t>
  </si>
  <si>
    <t>"{\"phoneNumber\": \"3426293881\" ,\"K\": \"Facturación_Images/c677f098.FACTURA 1.000737.png\",\"M\": \"\",\"N\": \"\",\"O\": \"https://www.appsheet.com/template/gettablefileurl?appName=Rv05-Apsol-5668714-25-06-15-2&amp;tableName=Facturaci%C3%B3n&amp;fileName=ApsolAPP%2FInvoice%2FApsol_4.pdf&amp;appVersion=1.000064&amp;signature=de00beda99654b0909a230bb3a6ecd4992034f05cdf600a25db4a72f136ad3ba8f62420ce468a47c05d5876ffe7638bf\",\"Y\": \"Hola Adrian! 👋 \\n Espero que todo esté yendo bien. Quisiera recordarte que aún no hemos recibido el pago correspondiente a la factura N° 123 emitida el 19/06/25. \\n\\n📋 *Detalles de la factura:* \\n• Número: 123 \\n• Vencimiento: 26/06/25 \\n• Monto total: $277800. \\n\\n💼 *Cuenta a depositar:*- Titular: Adrian Patriarca\\n- Banco: Citibank\\n- Moneda: USD\\n- Dirección del Banco: 111 Wall Street New York, NY 10043 USA\\n- Número de enrutamiento de ABA: 31100209\\n- Código SWIFT: CITIUS33\\n- Número de cuenta: 70580840001795095\\nAdjunto encontrarás la factura para tu referencia. \\n\\nSi ya has realizado el pago, por favor, ignora este mensaje. \\n\\nGracias por tu pronta atención a este asunto. \\n\\nAPSOL - Consultoría Empresarial\"}"</t>
  </si>
  <si>
    <t>gettablefileurl?appName=Rv05-Apsol-5668714-25-06-15-2&amp;tableName=Facturaci%C3%B3n&amp;fileName=ApsolAPP%2FInvoice%2FApsol_4.pdf&amp;appVersion=1.000064&amp;signature=de00beda99654b0909a230bb3a6ecd4992034f05cdf600a25db4a72f136ad3ba8f62420ce468a47c05d5876ffe7638bf</t>
  </si>
  <si>
    <t>"{\"phoneNumber\": \"3426293881\" ,\"K\": \"Facturación_Files_/df8e170a.FACTURA 1.173927.pdf\",\"M\": \"\",\"N\": \"\",\"O\": \"https://www.appsheet.com/template/gettablefileurl?appName=Rv05-Apsol-5668714-25-06-15-2&amp;tableName=Facturaci%C3%B3n&amp;fileName=ApsolAPP%2FInvoice%2FApsol_4.pdf&amp;appVersion=1.000064&amp;signature=de00beda99654b0909a230bb3a6ecd4992034f05cdf600a25db4a72f136ad3ba8f62420ce468a47c05d5876ffe7638bf\",\"Y\": \"Hola Adrian! 👋 \\n Espero que todo esté yendo bien. Quisiera recordarte que aún no hemos recibido el pago correspondiente a la factura N° 123 emitida el 19/06/25. \\n\\n📋 *Detalles de la factura:* \\n• Número: 123 \\n• Vencimiento: 26/06/25 \\n• Monto total: $277800. \\n\\n💼 *Cuenta a depositar:*- Titular: Adrian Patriarca\\n- Banco: Citibank\\n- Moneda: USD\\n- Dirección del Banco: 111 Wall Street New York, NY 10043 USA\\n- Número de enrutamiento de ABA: 31100209\\n- Código SWIFT: CITIUS33\\n- Número de cuenta: 70580840001795095\\nAdjunto encontrarás la factura para tu referencia. \\n\\nSi ya has realizado el pago, por favor, ignora este mensaje. \\n\\nGracias por tu pronta atención a este asunto. \\n\\nAPSOL - Consultoría Empresarial\"}"</t>
  </si>
  <si>
    <t>"{\"phoneNumber\": \"3426293881\" ,\"K\": \"Facturación_Files_/df8e170a.FACTURA 1.173927.pdf\",\"M\": \"\",\"N\": \"\",\"O\": \"https://www.appsheet.com/template/gettablefileurl?appName=Rv05-Apsol-5668714-25-06-15-2&amp;tableName=Facturaci%C3%B3n&amp;fileName=ApsolAPP%2FInvoice%2FApsol_4.pdf&amp;appVersion=1.000065&amp;signature=afda4dee5cad8642741705040c776d625312e1c3c3917a8ad688833890482f2833c694a20b5e0f5df8eb6e267ff0b38c\",\"Y\": \"Hola Adrian! 👋 \\n Espero que todo esté yendo bien. Quisiera recordarte que aún no hemos recibido el pago correspondiente a la factura N° 123 emitida el 19/06/25. \\n\\n📋 *Detalles de la factura:* \\n• Número: 123 \\n• Vencimiento: 26/06/25 \\n• Monto total: $277800. \\n\\n💼 *Cuenta a depositar:*- Titular: Adrian Patriarca\\n- Banco: Citibank\\n- Moneda: USD\\n- Dirección del Banco: 111 Wall Street New York, NY 10043 USA\\n- Número de enrutamiento de ABA: 31100209\\n- Código SWIFT: CITIUS33\\n- Número de cuenta: 70580840001795095\\nAdjunto encontrarás la factura para tu referencia. \\n\\nSi ya has realizado el pago, por favor, ignora este mensaje. \\n\\nGracias por tu pronta atención a este asunto. \\n\\nAPSOL - Consultoría Empresarial\"}"</t>
  </si>
  <si>
    <t>gettablefileurl?appName=Rv05-Apsol-5668714-25-06-15-2&amp;tableName=Facturaci%C3%B3n&amp;fileName=ApsolAPP%2FInvoice%2FApsol_4.pdf&amp;appVersion=1.000065&amp;signature=afda4dee5cad8642741705040c776d625312e1c3c3917a8ad688833890482f2833c694a20b5e0f5df8eb6e267ff0b38c</t>
  </si>
  <si>
    <t>"{\"phoneNumber\": \"3426293881\" ,\"K\": \"Facturación_Files_/df8e170a.FACTURA 1.173927.pdf\",\"M\": \"\",\"N\": \"\",\"O\": \"ApsolAPP/Invoice/Apsol_4.pdf\",\"Y\": \"Hola Adrian! 👋 \\n Espero que todo esté yendo bien. Quisiera recordarte que aún no hemos recibido el pago correspondiente a la factura N° 123 emitida el 19/06/25. \\n\\n📋 *Detalles de la factura:* \\n• Número: 123 \\n• Vencimiento: 26/06/25 \\n• Monto total: $277800. \\n\\n💼 *Cuenta a depositar:*- Titular: Adrian Patriarca\\n- Banco: Citibank\\n- Moneda: USD\\n- Dirección del Banco: 111 Wall Street New York, NY 10043 USA\\n- Número de enrutamiento de ABA: 31100209\\n- Código SWIFT: CITIUS33\\n- Número de cuenta: 70580840001795095\\nAdjunto encontrarás la factura para tu referencia. \\n\\nSi ya has realizado el pago, por favor, ignora este mensaje. \\n\\nGracias por tu pronta atención a este asunto. \\n\\nAPSOL - Consultoría Empresarial\"}"</t>
  </si>
  <si>
    <t>Apsol_4.pdf</t>
  </si>
  <si>
    <t>"{\"phoneNumber\": \"3426293881\" ,\"K\": \"Facturación_Files_/df8e170a.FACTURA 1.173927.pdf\",\"M\": \"\",\"N\": \"ApsolAPP/Invoice/Apsol_4.pdf\",\"O\": \"ApsolAPP/Invoice/Apsol_4.pdf\",\"Y\": \"Hola Adrian! 👋 \\n Espero que todo esté yendo bien. Quisiera recordarte que aún no hemos recibido el pago correspondiente a la factura N° 123 emitida el 19/06/25. \\n\\n📋 *Detalles de la factura:* \\n• Número: 123 \\n• Vencimiento: 26/06/25 \\n• Monto total: $277800. \\n\\n💼 *Cuenta a depositar:*- Titular: Adrian Patriarca\\n- Banco: Citibank\\n- Moneda: USD\\n- Dirección del Banco: 111 Wall Street New York, NY 10043 USA\\n- Número de enrutamiento de ABA: 31100209\\n- Código SWIFT: CITIUS33\\n- Número de cuenta: 70580840001795095\\nAdjunto encontrarás la factura para tu referencia. \\n\\nSi ya has realizado el pago, por favor, ignora este mensaje. \\n\\nGracias por tu pronta atención a este asunto. \\n\\nAPSOL - Consultoría Empresarial\"}"</t>
  </si>
  <si>
    <t>"{\"phoneNumber\": \"3426293881\" ,\"K\": \"Facturación_Files_/244d5fe3.FACTURA 1.011626.pdf\",\"M\": \"\",\"N\": \"\",\"O\": \"\",\"Y\": \"Hola Adrian! 👋 \\nTe envío la factura correspondiente por la prestación de servicios durante el período 03/05/25 al 03/06/25. \\n\\n📋 *Detalles de la factura:* \\n• Número: 321 \\n• Fecha de Emisión: 19/06/25 \\n• Fecha de Vencimiento: 26/06/25 \\n• Monto Total: $ 277800.\\n  \\n\\n💼 *Cuenta para el depósito:*- Titular: Adrian Patriarca\\n- Banco: Citibank\\n- Moneda: USD\\n- Dirección del Banco: 111 Wall Street New York, NY 10043 USA\\n- Número de enrutamiento de ABA: 31100209\\n- Código SWIFT: CITIUS33\\n- Número de cuenta: 70580840001795095\\nTe agradecería si me confirmás la recepción y me avisás una fecha estimada de pago. 😊 \\n\\nDesde ya, muchas gracias!\"}"</t>
  </si>
  <si>
    <t>https://drive.google.com/file/d/17EOLoNxfZuSyVYEICwyq-hcEdy-J7Qa-/view?usp=drive_link</t>
  </si>
  <si>
    <t>244d5fe3.FACTURA 1.011626.pdf</t>
  </si>
  <si>
    <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20321%20%0A%E2%80%A2%20Fecha%20de%20Emisi%C3%B3n%3A%2019%2F06%2F25%20%0A%E2%80%A2%20Fecha%20de%20Vencimiento%3A%2026%2F06%2F25%20%0A%E2%80%A2%20Monto%20Total%3A%20%24%20277800.%0A%20%20%0A%0A%F0%9F%92%BC%20*Cuenta%20para%20el%20dep%C3%B3sito%3A*-%20Titular%3A%20Adrian%20Patriarca%0A-%20Banco%3A%20Citibank%0A-%20Moneda%3A%20USD%0A-%20Direcci%C3%B3n%20del%20Banco%3A%20111%20Wall%20Street%20New%20York%2C%20NY%2010043%20USA%0A-%20N%C3%BAmero%20de%20enrutamiento%20de%20ABA%3A%2031100209%0A-%20C%C3%B3digo%20SWIFT%3A%20CITIUS33%0A-%20N%C3%BAmero%20de%20cuenta%3A%2070580840001795095%0ATe%20agradecer%C3%ADa%20si%20me%20confirm%C3%A1s%20la%20recepci%C3%B3n%20y%20me%20avis%C3%A1s%20una%20fecha%20estimada%20de%20pago.%20%F0%9F%98%8A%20%0A%0ADesde%20ya%2C%20muchas%20gracias!</t>
  </si>
  <si>
    <t>ID factura</t>
  </si>
  <si>
    <t>Fecha factura</t>
  </si>
  <si>
    <t>Nro de Factura</t>
  </si>
  <si>
    <t>Factura</t>
  </si>
  <si>
    <t>Fecha de Pago</t>
  </si>
  <si>
    <t>Comprobante de pago</t>
  </si>
  <si>
    <t>ca9230ff</t>
  </si>
  <si>
    <t>Facturas Colaboradores_Files_/ca9230ff.Factura.231229.pdf</t>
  </si>
  <si>
    <t>Facturas Colaboradores_Files_/ca9230ff.Comprobante de pago.140103.pdf</t>
  </si>
  <si>
    <t>7371f210</t>
  </si>
  <si>
    <t>Facturas Colaboradores_Files_/7371f210.Factura.183246.pdf</t>
  </si>
  <si>
    <t>f5224f54</t>
  </si>
  <si>
    <t>Facturas Colaboradores_Files_/f5224f54.Factura.132320.pdf</t>
  </si>
  <si>
    <t>Facturas Colaboradores_Files_/f5224f54.Comprobante de pago.182559.pdf</t>
  </si>
  <si>
    <t>e6f68fc5</t>
  </si>
  <si>
    <t>Facturas Colaboradores_Files_/e6f68fc5.Factura.175007.pdf</t>
  </si>
  <si>
    <t>Facturas Colaboradores_Files_/e6f68fc5.Comprobante de pago.200436.pdf</t>
  </si>
  <si>
    <t>b5d1f716</t>
  </si>
  <si>
    <t>Facturas Colaboradores_Files_/b5d1f716.Factura.171736.pdf</t>
  </si>
  <si>
    <t>ce84251d</t>
  </si>
  <si>
    <t>Facturas Colaboradores_Files_/ce84251d.Factura.200928.pdf</t>
  </si>
  <si>
    <t>Facturas Colaboradores_Files_/ce84251d.Comprobante de pago.201056.pdf</t>
  </si>
  <si>
    <t>1afcdfd0</t>
  </si>
  <si>
    <t>Facturas Colaboradores_Files_/1afcdfd0.Factura.233922.pdf</t>
  </si>
  <si>
    <t>Facturas Colaboradores_Files_/1afcdfd0.Comprobante de pago.124306.pdf</t>
  </si>
  <si>
    <t>cc154d20</t>
  </si>
  <si>
    <t>Facturas Colaboradores_Files_/cc154d20.Factura.160356.pdf</t>
  </si>
  <si>
    <t>Facturas Colaboradores_Files_/cc154d20.Comprobante de pago.150517.pdf</t>
  </si>
  <si>
    <t>b2b6c50d</t>
  </si>
  <si>
    <t>Facturas Colaboradores_Files_/b2b6c50d.Factura.111631.pdf</t>
  </si>
  <si>
    <t>Facturas Colaboradores_Files_/b2b6c50d.Comprobante de pago.150438.pdf</t>
  </si>
  <si>
    <t>9b456255</t>
  </si>
  <si>
    <t>Facturas Colaboradores_Files_/9b456255.Factura.150543.pdf</t>
  </si>
  <si>
    <t>Facturas Colaboradores_Files_/9b456255.Comprobante de pago.150555.pdf</t>
  </si>
  <si>
    <t>b2e3d434</t>
  </si>
  <si>
    <t>ae4e8472</t>
  </si>
  <si>
    <t>Facturas Colaboradores_Files_/ae4e8472.Factura.150609.pdf</t>
  </si>
  <si>
    <t>Facturas Colaboradores_Files_/ae4e8472.Comprobante de pago.150624.pdf</t>
  </si>
  <si>
    <t>39bfb147</t>
  </si>
  <si>
    <t>Facturas Colaboradores_Files_/39bfb147.Factura.110732.pdf</t>
  </si>
  <si>
    <t>Facturas Colaboradores_Images/39bfb147.Comprobante de pago.203227.jpg</t>
  </si>
  <si>
    <t>995223f8</t>
  </si>
  <si>
    <t>Facturas Colaboradores_Files_/995223f8.Factura.162445.pdf</t>
  </si>
  <si>
    <t>Facturas Colaboradores_Images/995223f8.Comprobante de pago.203603.jpg</t>
  </si>
  <si>
    <t>0ef693e5</t>
  </si>
  <si>
    <t>Facturas Colaboradores_Files_/0ef693e5.Factura.111258.pdf</t>
  </si>
  <si>
    <t>Facturas Colaboradores_Images/0ef693e5.Comprobante de pago.002526.jpg</t>
  </si>
  <si>
    <t>cc38d4fe</t>
  </si>
  <si>
    <t>Facturas Colaboradores_Files_/cc38d4fe.Factura.161358.pdf</t>
  </si>
  <si>
    <t>Facturas Colaboradores_Images/cc38d4fe.Comprobante de pago.011457.jpg</t>
  </si>
  <si>
    <t>336454b2</t>
  </si>
  <si>
    <t>Facturas Colaboradores_Files_/336454b2.Factura.111937.pdf</t>
  </si>
  <si>
    <t>Facturas Colaboradores_Images/336454b2.Comprobante de pago.222259.jpg</t>
  </si>
  <si>
    <t>5017e28b</t>
  </si>
  <si>
    <t>Facturas Colaboradores_Files_/5017e28b.Factura.162622.pdf</t>
  </si>
  <si>
    <t>Facturas Colaboradores_Images/5017e28b.Comprobante de pago.222023.jpg</t>
  </si>
  <si>
    <t>da8f53b3</t>
  </si>
  <si>
    <t>Facturas Colaboradores_Files_/da8f53b3.Factura.114706.pdf</t>
  </si>
  <si>
    <t>Facturas Colaboradores_Images/da8f53b3.Comprobante de pago.164925.jpg</t>
  </si>
  <si>
    <t>b78a4ab9</t>
  </si>
  <si>
    <t>Facturas Colaboradores_Files_/b78a4ab9.Factura.163842.pdf</t>
  </si>
  <si>
    <t>Facturas Colaboradores_Images/b78a4ab9.Comprobante de pago.165451.jpg</t>
  </si>
  <si>
    <t>af6ce7f5</t>
  </si>
  <si>
    <t>Facturas Colaboradores_Files_/af6ce7f5.Factura.110354.pdf</t>
  </si>
  <si>
    <t>Facturas Colaboradores_Images/af6ce7f5.Comprobante de pago.001126.jpg</t>
  </si>
  <si>
    <t>f927515a</t>
  </si>
  <si>
    <t>4f1c613b</t>
  </si>
  <si>
    <t>Facturas Colaboradores_Files_/4f1c613b.Factura.164039.pdf</t>
  </si>
  <si>
    <t>Facturas Colaboradores_Images/4f1c613b.Comprobante de pago.001502.jpg</t>
  </si>
  <si>
    <t>13018dd3</t>
  </si>
  <si>
    <t>Facturas Colaboradores_Files_/13018dd3.Factura.161449.pdf</t>
  </si>
  <si>
    <t>Facturas Colaboradores_Images/13018dd3.Comprobante de pago.154143.jpg</t>
  </si>
  <si>
    <t>77bee6d3</t>
  </si>
  <si>
    <t>Facturas Colaboradores_Files_/77bee6d3.Factura.112641.pdf</t>
  </si>
  <si>
    <t>Facturas Colaboradores_Images/77bee6d3.Comprobante de pago.121719.jpg</t>
  </si>
  <si>
    <t>138d608c</t>
  </si>
  <si>
    <t>Facturas Colaboradores_Files_/138d608c.Factura.113516.pdf</t>
  </si>
  <si>
    <t>Facturas Colaboradores_Images/138d608c.Comprobante de pago.121739.jpg</t>
  </si>
  <si>
    <t>d94a8067</t>
  </si>
  <si>
    <t>Facturas Colaboradores_Files_/d94a8067.Factura.153634.pdf</t>
  </si>
  <si>
    <t>Facturas Colaboradores_Images/d94a8067.Comprobante de pago.174936.jpg</t>
  </si>
  <si>
    <t>cb976b49</t>
  </si>
  <si>
    <t>Facturas Colaboradores_Files_/cb976b49.Factura.110559.pdf</t>
  </si>
  <si>
    <t>Facturas Colaboradores_Images/cb976b49.Comprobante de pago.180728.jpg</t>
  </si>
  <si>
    <t>8cbd5e74</t>
  </si>
  <si>
    <t>Facturas Colaboradores_Files_/8cbd5e74.Factura.160935.pdf</t>
  </si>
  <si>
    <t>Facturas Colaboradores_Images/8cbd5e74.Comprobante de pago.181040.jpg</t>
  </si>
  <si>
    <t>aa6c3375</t>
  </si>
  <si>
    <t>Facturas Colaboradores_Files_/aa6c3375.Factura.174542.pdf</t>
  </si>
  <si>
    <t>Facturas Colaboradores_Images/aa6c3375.Comprobante de pago.180645.jpg</t>
  </si>
  <si>
    <t>2514abd4</t>
  </si>
  <si>
    <t>Facturas Colaboradores_Files_/2514abd4.Factura.115744.pdf</t>
  </si>
  <si>
    <t>Facturas Colaboradores_Images/2514abd4.Comprobante de pago.164454.jpg</t>
  </si>
  <si>
    <t>3241d931</t>
  </si>
  <si>
    <t>Facturas Colaboradores_Files_/3241d931.Factura.154242.pdf</t>
  </si>
  <si>
    <t>Facturas Colaboradores_Images/3241d931.Comprobante de pago.183928.jpg</t>
  </si>
  <si>
    <t>75b56fae</t>
  </si>
  <si>
    <t>Facturas Colaboradores_Files_/75b56fae.Factura.103250.pdf</t>
  </si>
  <si>
    <t>Facturas Colaboradores_Images/75b56fae.Comprobante de pago.171416.jpg</t>
  </si>
  <si>
    <t>923ba3bd</t>
  </si>
  <si>
    <t>Facturas Colaboradores_Files_/923ba3bd.Factura.111102.pdf</t>
  </si>
  <si>
    <t>Facturas Colaboradores_Images/923ba3bd.Comprobante de pago.134403.jpg</t>
  </si>
  <si>
    <t>1fe455c3</t>
  </si>
  <si>
    <t>Facturas Colaboradores_Files_/1fe455c3.Factura.162801.pdf</t>
  </si>
  <si>
    <t>Facturas Colaboradores_Images/1fe455c3.Comprobante de pago.175630.jpg</t>
  </si>
  <si>
    <t>1b0e27d9</t>
  </si>
  <si>
    <t>Facturas Colaboradores_Files_/1b0e27d9.Factura.144259.pdf</t>
  </si>
  <si>
    <t>Facturas Colaboradores_Images/1b0e27d9.Comprobante de pago.145125.jpg</t>
  </si>
  <si>
    <t>300f8a99</t>
  </si>
  <si>
    <t>Facturas Colaboradores_Files_/300f8a99.Factura.192000.pdf</t>
  </si>
  <si>
    <t>Facturas Colaboradores_Images/300f8a99.Comprobante de pago.202025.jpg</t>
  </si>
  <si>
    <t>33e366ed</t>
  </si>
  <si>
    <t>Facturas Colaboradores_Files_/33e366ed.Factura.132803.pdf</t>
  </si>
  <si>
    <t>Facturas Colaboradores_Images/33e366ed.Comprobante de pago.133304.jpg</t>
  </si>
  <si>
    <t>8e6d0c88</t>
  </si>
  <si>
    <t>Facturas Colaboradores_Files_/8e6d0c88.Factura.110310.pdf</t>
  </si>
  <si>
    <t>Facturas Colaboradores_Images/8e6d0c88.Comprobante de pago.152459.jpg</t>
  </si>
  <si>
    <t>73f3f59f</t>
  </si>
  <si>
    <t>Facturas Colaboradores_Files_/73f3f59f.Factura.185955.pdf</t>
  </si>
  <si>
    <t>Facturas Colaboradores_Images/73f3f59f.Comprobante de pago.222201.jpg</t>
  </si>
  <si>
    <t>6515a87d</t>
  </si>
  <si>
    <t>Facturas Colaboradores_Files_/6515a87d.Factura.110851.pdf</t>
  </si>
  <si>
    <t>Facturas Colaboradores_Images/6515a87d.Comprobante de pago.185937.jpg</t>
  </si>
  <si>
    <t>b2582964</t>
  </si>
  <si>
    <t>204045026200110000100000001</t>
  </si>
  <si>
    <t>Facturas Colaboradores_Files_/b2582964.Factura.110258.pdf</t>
  </si>
  <si>
    <t>Facturas Colaboradores_Images/b2582964.Comprobante de pago.161102.jpg</t>
  </si>
  <si>
    <t>ea292a2f</t>
  </si>
  <si>
    <t>Facturas Colaboradores_Files_/ea292a2f.Factura.164934.pdf</t>
  </si>
  <si>
    <t>Facturas Colaboradores_Images/ea292a2f.Comprobante de pago.184313.jpg</t>
  </si>
  <si>
    <t>10cc2a6a</t>
  </si>
  <si>
    <t>Facturas Colaboradores_Files_/10cc2a6a.Factura.171500.pdf</t>
  </si>
  <si>
    <t>Facturas Colaboradores_Images/10cc2a6a.Comprobante de pago.184512.jpg</t>
  </si>
  <si>
    <t>08724cb8</t>
  </si>
  <si>
    <t>Facturas Colaboradores_Files_/08724cb8.Factura.204324.pdf</t>
  </si>
  <si>
    <t>Facturas Colaboradores_Files_/08724cb8.Comprobante de pago.191102.pdf</t>
  </si>
  <si>
    <t>0bb1f702</t>
  </si>
  <si>
    <t>Facturas Colaboradores_Files_/0bb1f702.Factura.111142.pdf</t>
  </si>
  <si>
    <t>Facturas Colaboradores_Files_/0bb1f702.Comprobante de pago.175946.pdf</t>
  </si>
  <si>
    <t>Id contrato</t>
  </si>
  <si>
    <t>Tipo de contrato</t>
  </si>
  <si>
    <t>Fecha Fin</t>
  </si>
  <si>
    <t>Días libres por mes de trabajo</t>
  </si>
  <si>
    <t>Tipo de honorarios</t>
  </si>
  <si>
    <t>Honorarios</t>
  </si>
  <si>
    <t>Adjunto</t>
  </si>
  <si>
    <t>Adjunto 2</t>
  </si>
  <si>
    <t>4383ddc2</t>
  </si>
  <si>
    <t>$/mensuales</t>
  </si>
  <si>
    <t>Contrato Colaboradores_Files_/4383ddc2.Adjunto.005034.pdf</t>
  </si>
  <si>
    <t>7f1a0f44</t>
  </si>
  <si>
    <t>Consultor Independiente</t>
  </si>
  <si>
    <t>0120bea1</t>
  </si>
  <si>
    <t>015fa560</t>
  </si>
  <si>
    <t>Contrato Colaboradores_Files_/015fa560.Adjunto.180150.docx</t>
  </si>
  <si>
    <t>Contrato Colaboradores_Files_/015fa560.Adjunto 2.180150.docx</t>
  </si>
  <si>
    <t>08b1ae25</t>
  </si>
  <si>
    <t>Contrato Colaboradores_Files_/08b1ae25.Adjunto.185052.pdf</t>
  </si>
  <si>
    <t>Contrato Colaboradores_Files_/08b1ae25.Adjunto 2.185052.pdf</t>
  </si>
  <si>
    <t>104b473f</t>
  </si>
  <si>
    <t>d7417233</t>
  </si>
  <si>
    <t>Contrato Colaboradores_Files_/d7417233.Adjunto.214554.pdf</t>
  </si>
  <si>
    <t>Contrato Colaboradores_Files_/d7417233.Adjunto 2.214554.pdf</t>
  </si>
  <si>
    <t>274b4263</t>
  </si>
  <si>
    <t>Contrato Colaboradores_Files_/274b4263.Adjunto.170311.pdf</t>
  </si>
  <si>
    <t>Contrato Colaboradores_Files_/274b4263.Adjunto 2.170311.pdf</t>
  </si>
  <si>
    <t>c1c89039</t>
  </si>
  <si>
    <t>Contrato Colaboradores_Files_/c1c89039.Adjunto.165410.pdf</t>
  </si>
  <si>
    <t>4e96b575</t>
  </si>
  <si>
    <t>Contrato Colaboradores_Files_/4e96b575.Adjunto.130652.pdf</t>
  </si>
  <si>
    <t>Contrato Colaboradores_Files_/4e96b575.Adjunto 2.130652.pdf</t>
  </si>
  <si>
    <t>ea14b345</t>
  </si>
  <si>
    <t>Contrato Colaboradores_Files_/ea14b345.Adjunto.123806.pdf</t>
  </si>
  <si>
    <t>Contrato Colaboradores_Files_/ea14b345.Adjunto 2.123806.pdf</t>
  </si>
  <si>
    <t>d255d622</t>
  </si>
  <si>
    <t>Contrato Colaboradores_Files_/d255d622.Adjunto.164904.pdf</t>
  </si>
  <si>
    <t>Contrato Colaboradores_Files_/d255d622.Adjunto 2.164904.pdf</t>
  </si>
  <si>
    <t>b357a2d9</t>
  </si>
  <si>
    <t>Contrato Colaboradores_Files_/b357a2d9.Adjunto.165028.pdf</t>
  </si>
  <si>
    <t>Contrato Colaboradores_Files_/b357a2d9.Adjunto 2.165028.pdf</t>
  </si>
  <si>
    <t>abaa0d14</t>
  </si>
  <si>
    <t>Contrato Colaboradores_Files_/abaa0d14.Adjunto.165718.pdf</t>
  </si>
  <si>
    <t>Contrato Colaboradores_Files_/abaa0d14.Adjunto 2.165718.pdf</t>
  </si>
  <si>
    <t>1949ad63</t>
  </si>
  <si>
    <t>Contrato Colaboradores_Files_/1949ad63.Adjunto.222329.pdf</t>
  </si>
  <si>
    <t>Contrato Colaboradores_Files_/1949ad63.Adjunto 2.222329.pdf</t>
  </si>
  <si>
    <t>4fc67473</t>
  </si>
  <si>
    <t>Contrato Colaboradores_Files_/4fc67473.Adjunto.190110.pdf</t>
  </si>
  <si>
    <t>Contrato Colaboradores_Files_/4fc67473.Adjunto 2.190110.pdf</t>
  </si>
  <si>
    <t>452b56d6</t>
  </si>
  <si>
    <t>Contrato Colaboradores_Files_/452b56d6.Adjunto.184702.pdf</t>
  </si>
  <si>
    <t>Contrato Colaboradores_Files_/452b56d6.Adjunto 2.184702.pdf</t>
  </si>
  <si>
    <t>Id_prospectos</t>
  </si>
  <si>
    <t>Nombre Prospecto</t>
  </si>
  <si>
    <t>Contacto</t>
  </si>
  <si>
    <t>Fecha proxima tarea</t>
  </si>
  <si>
    <t>Canal de contacto</t>
  </si>
  <si>
    <t>Servicios requeridos</t>
  </si>
  <si>
    <t>Presupuesto</t>
  </si>
  <si>
    <t>Necesidad</t>
  </si>
  <si>
    <t>Proxima tarea</t>
  </si>
  <si>
    <t>Fecha ultimo cambio de estado</t>
  </si>
  <si>
    <t>Estado repetido</t>
  </si>
  <si>
    <t>Inicio de servicio</t>
  </si>
  <si>
    <t>Proxima factura</t>
  </si>
  <si>
    <t>Cadena de e-mails</t>
  </si>
  <si>
    <t>Inicio de secuencia</t>
  </si>
  <si>
    <t>N° Ultimo e-mail</t>
  </si>
  <si>
    <t>Tipo de secuencia</t>
  </si>
  <si>
    <t>Hs mensuales</t>
  </si>
  <si>
    <t>Mensualidad vigente actual</t>
  </si>
  <si>
    <t>Moneda de Cobro</t>
  </si>
  <si>
    <t>Indice a tomar</t>
  </si>
  <si>
    <t>Base</t>
  </si>
  <si>
    <t>Ultima actualización tarifa</t>
  </si>
  <si>
    <t>Frecuencia de actualización</t>
  </si>
  <si>
    <t>Días entre Reuniones</t>
  </si>
  <si>
    <t>Conocido</t>
  </si>
  <si>
    <t>Transformación Digital</t>
  </si>
  <si>
    <t>***</t>
  </si>
  <si>
    <t>**</t>
  </si>
  <si>
    <t>05/19/2025 18:35:40</t>
  </si>
  <si>
    <t>Desactivado</t>
  </si>
  <si>
    <t>987100</t>
  </si>
  <si>
    <t>Pesos</t>
  </si>
  <si>
    <t>DG</t>
  </si>
  <si>
    <t>Profesionalización de Pymes , Transformación Digital</t>
  </si>
  <si>
    <t>02/11/2025 16:44:48</t>
  </si>
  <si>
    <t>541000</t>
  </si>
  <si>
    <t>UVA</t>
  </si>
  <si>
    <t>e898aae0</t>
  </si>
  <si>
    <t>Servicios Continuos Amipack</t>
  </si>
  <si>
    <t>Servicio continuado Amipack</t>
  </si>
  <si>
    <t>Otras soluciones puntuales</t>
  </si>
  <si>
    <t>10/16/2025 08:56:51</t>
  </si>
  <si>
    <t>596000</t>
  </si>
  <si>
    <t>06/29/2025 14:47:52</t>
  </si>
  <si>
    <t>770000</t>
  </si>
  <si>
    <t>Prospectos_Files_/b93d825d.Adjuntos.230335.pdf</t>
  </si>
  <si>
    <t>05/08/2025 16:27:41</t>
  </si>
  <si>
    <t>496000</t>
  </si>
  <si>
    <t>4d66b689</t>
  </si>
  <si>
    <t>Tablero PBI</t>
  </si>
  <si>
    <t>96d873b9</t>
  </si>
  <si>
    <t>Facebook</t>
  </si>
  <si>
    <t>Implementación Power Bi</t>
  </si>
  <si>
    <t>2/8/2024 9:31:04 AM</t>
  </si>
  <si>
    <t>Transformación</t>
  </si>
  <si>
    <t>72995513</t>
  </si>
  <si>
    <t>Aplicación + Tablero Norte</t>
  </si>
  <si>
    <t>Implementación Power Bi , Aplicaciones</t>
  </si>
  <si>
    <t>ed2d9129</t>
  </si>
  <si>
    <t>Digitalización de partes de producción</t>
  </si>
  <si>
    <t>9978fb7a</t>
  </si>
  <si>
    <t>Nueva funcionalidad Partes de Producción</t>
  </si>
  <si>
    <t>Aplicaciones , Implementación Power Bi</t>
  </si>
  <si>
    <t>efef12de</t>
  </si>
  <si>
    <t>Integración de datos</t>
  </si>
  <si>
    <t>ed72ba99</t>
  </si>
  <si>
    <t>Chileno</t>
  </si>
  <si>
    <t>4cfdfa12</t>
  </si>
  <si>
    <t>2/8/2024 9:29:13 AM</t>
  </si>
  <si>
    <t>61a9e004</t>
  </si>
  <si>
    <t>f4b0fad1</t>
  </si>
  <si>
    <t>01f0e669</t>
  </si>
  <si>
    <t>Pintureria</t>
  </si>
  <si>
    <t>92bc1848</t>
  </si>
  <si>
    <t>Recomendación</t>
  </si>
  <si>
    <t>2/8/2024 9:28:50 AM</t>
  </si>
  <si>
    <t>15a42ecb</t>
  </si>
  <si>
    <t>Arquitecto</t>
  </si>
  <si>
    <t>0576f541</t>
  </si>
  <si>
    <t>cedad693</t>
  </si>
  <si>
    <t>Javier Taixido</t>
  </si>
  <si>
    <t>92446658</t>
  </si>
  <si>
    <t>Transformación Digital , Profesionalización de Pymes</t>
  </si>
  <si>
    <t>9/4/2023 11:12:46 PM</t>
  </si>
  <si>
    <t>Profesionalización</t>
  </si>
  <si>
    <t>64c36f1e</t>
  </si>
  <si>
    <t>Adm Global</t>
  </si>
  <si>
    <t>53ec9f2c</t>
  </si>
  <si>
    <t>*</t>
  </si>
  <si>
    <t>8/30/2023 11:24:20 AM</t>
  </si>
  <si>
    <t>8aa048fa</t>
  </si>
  <si>
    <t>Tata</t>
  </si>
  <si>
    <t>63b496c2</t>
  </si>
  <si>
    <t>Transformación Digital , Implementación Power Bi , Aplicaciones</t>
  </si>
  <si>
    <t>Prospectos_Files_/8aa048fa.Adjuntos.004204.pdf</t>
  </si>
  <si>
    <t>10/11/2023 2:42:24 PM</t>
  </si>
  <si>
    <t>b91b31c3</t>
  </si>
  <si>
    <t>RR Proyecto 2</t>
  </si>
  <si>
    <t>Otras soluciones puntuales , Implementación Power Bi</t>
  </si>
  <si>
    <t>Prospectos_Files_/b91b31c3.Adjuntos.160251.pdf</t>
  </si>
  <si>
    <t>10/9/2023 9:31:34 AM</t>
  </si>
  <si>
    <t>406426cb</t>
  </si>
  <si>
    <t>Distribuidor de Miel</t>
  </si>
  <si>
    <t>a4d3f483</t>
  </si>
  <si>
    <t>Whatsapp</t>
  </si>
  <si>
    <t>Transformación Digital , Profesionalización de Pymes , Aplicaciones , Implementación Power Bi</t>
  </si>
  <si>
    <t>Prospectos_Files_/406426cb.Adjuntos.004357.pdf</t>
  </si>
  <si>
    <t>5/2/2024 5:16:34 PM</t>
  </si>
  <si>
    <t>2cc240f0</t>
  </si>
  <si>
    <t>10c67885</t>
  </si>
  <si>
    <t>Prospectos_Files_/2cc240f0.Adjuntos.212831.pdf</t>
  </si>
  <si>
    <t>1/23/2024 4:43:46 PM</t>
  </si>
  <si>
    <t>Nation Marketing</t>
  </si>
  <si>
    <t>Prospectos_Files_/af066eff.Adjuntos.160554.pdf</t>
  </si>
  <si>
    <t>11/11/2024 15:17:00</t>
  </si>
  <si>
    <t>369000</t>
  </si>
  <si>
    <t>508be766</t>
  </si>
  <si>
    <t>Leandro Tossoni</t>
  </si>
  <si>
    <t>e1ac2ddd</t>
  </si>
  <si>
    <t>LinkedIn</t>
  </si>
  <si>
    <t>Prospectos_Files_/508be766.Adjuntos.193946.pdf</t>
  </si>
  <si>
    <t>12/21/2023 5:25:18 PM</t>
  </si>
  <si>
    <t>9c27ba31</t>
  </si>
  <si>
    <t>Almacen de idiomas</t>
  </si>
  <si>
    <t>8a227f93</t>
  </si>
  <si>
    <t>11/21/2023 1:47:08 PM</t>
  </si>
  <si>
    <t>646ee37d</t>
  </si>
  <si>
    <t>App distribuidora</t>
  </si>
  <si>
    <t>862f2e1d</t>
  </si>
  <si>
    <t>Google</t>
  </si>
  <si>
    <t>Aplicaciones</t>
  </si>
  <si>
    <t>Prospectos_Files_/646ee37d.Adjuntos.113643.pdf</t>
  </si>
  <si>
    <t>2da consulta presupuesto</t>
  </si>
  <si>
    <t>2/6/2024 12:10:40 PM</t>
  </si>
  <si>
    <t>Prospectos_Files_/12de1ffb.Adjuntos.194203.pdf</t>
  </si>
  <si>
    <t>08/28/2024 22:58:23</t>
  </si>
  <si>
    <t>24620610</t>
  </si>
  <si>
    <t>Panadería La espiga</t>
  </si>
  <si>
    <t>e731c7e2</t>
  </si>
  <si>
    <t>Profesionalización de Pymes</t>
  </si>
  <si>
    <t>Prospectos_Files_/24620610.Adjuntos.214144.pdf</t>
  </si>
  <si>
    <t>3/5/2024 1:20:45 PM</t>
  </si>
  <si>
    <t>bbe0be2b</t>
  </si>
  <si>
    <t>Maricré - Mayorista alimenticio</t>
  </si>
  <si>
    <t>c421614e</t>
  </si>
  <si>
    <t>Prospectos_Files_/bbe0be2b.Adjuntos.184451.pdf</t>
  </si>
  <si>
    <t>Ultimátum</t>
  </si>
  <si>
    <t>3/21/2024 2:04:19 PM</t>
  </si>
  <si>
    <t>f9da1233</t>
  </si>
  <si>
    <t>Supermercado Gluten Free</t>
  </si>
  <si>
    <t>ba668504</t>
  </si>
  <si>
    <t>Prospectos_Files_/f9da1233.Adjuntos.121930.pdf</t>
  </si>
  <si>
    <t>4/15/2024 8:55:44 AM</t>
  </si>
  <si>
    <t>d1f8211f</t>
  </si>
  <si>
    <t>Escuela</t>
  </si>
  <si>
    <t>663be23a</t>
  </si>
  <si>
    <t>Prospectos_Files_/d1f8211f.Adjuntos.114042.pdf</t>
  </si>
  <si>
    <t>3/28/2024 2:12:21 PM</t>
  </si>
  <si>
    <t>1499c631</t>
  </si>
  <si>
    <t>App para empresa de Turismo</t>
  </si>
  <si>
    <t>5f54241d</t>
  </si>
  <si>
    <t>Prospectos_Files_/1499c631.Adjuntos.143359.pdf</t>
  </si>
  <si>
    <t>03/26/2024 12:09:45</t>
  </si>
  <si>
    <t>5367bb24</t>
  </si>
  <si>
    <t>Decidido por power bi</t>
  </si>
  <si>
    <t>482c8b8a</t>
  </si>
  <si>
    <t>Implementación Power Bi , Transformación Digital</t>
  </si>
  <si>
    <t>E-mail Marketing</t>
  </si>
  <si>
    <t>Profesionalización de Pymes , Implementación Power Bi</t>
  </si>
  <si>
    <t>Prospectos_Files_/949d69ed.Adjuntos.184405.pdf</t>
  </si>
  <si>
    <t>03/02/2026 10:36:59</t>
  </si>
  <si>
    <t>d0c39c82</t>
  </si>
  <si>
    <t>A todo color</t>
  </si>
  <si>
    <t>Prospectos_Files_/d0c39c82.Adjuntos.131335.pdf</t>
  </si>
  <si>
    <t>5/24/2024 11:25:41 AM</t>
  </si>
  <si>
    <t>986b8752</t>
  </si>
  <si>
    <t>Cotar</t>
  </si>
  <si>
    <t>2c5ca915</t>
  </si>
  <si>
    <t>5/18/2024 8:22:50 PM</t>
  </si>
  <si>
    <t>735c8ed1</t>
  </si>
  <si>
    <t>Verisue Consultoría Power Bi</t>
  </si>
  <si>
    <t>b329ae99</t>
  </si>
  <si>
    <t>5/2/2024 9:32:24 AM</t>
  </si>
  <si>
    <t>5a548b0a</t>
  </si>
  <si>
    <t>Work and travel</t>
  </si>
  <si>
    <t>4d6a122e</t>
  </si>
  <si>
    <t>Prospectos_Files_/5a548b0a.Adjuntos.115447.pdf</t>
  </si>
  <si>
    <t>5/9/2024 4:40:47 PM</t>
  </si>
  <si>
    <t>Proyecto Nueva Sucursal DG</t>
  </si>
  <si>
    <t>Prospectos_Files_/a6ee0d69.Adjuntos.115650.pdf</t>
  </si>
  <si>
    <t>1ra consulta presupuesto</t>
  </si>
  <si>
    <t>01/31/2025 18:01:33</t>
  </si>
  <si>
    <t>Insuga Gonzalo</t>
  </si>
  <si>
    <t>09/22/2025 19:59:41</t>
  </si>
  <si>
    <t>Prospectos_Files_/7bb1ba36.Adjuntos.181904.pdf</t>
  </si>
  <si>
    <t>07/22/2025 14:46:48</t>
  </si>
  <si>
    <t>493000</t>
  </si>
  <si>
    <t>3f88e2ee</t>
  </si>
  <si>
    <t>496a3bfb</t>
  </si>
  <si>
    <t>Prospectos_Files_/3f88e2ee.Adjuntos.140206.pdf</t>
  </si>
  <si>
    <t>07/01/2024 14:00:10</t>
  </si>
  <si>
    <t>513718c3</t>
  </si>
  <si>
    <t>acc0d25c</t>
  </si>
  <si>
    <t>Transformación Digital , Implementación Power Bi</t>
  </si>
  <si>
    <t>Prospectos_Files_/513718c3.Adjuntos.141135.pdf</t>
  </si>
  <si>
    <t>531c0a52</t>
  </si>
  <si>
    <t>Mecanizados industria del petroleo</t>
  </si>
  <si>
    <t>7f799756</t>
  </si>
  <si>
    <t>08/07/2024 09:56:23</t>
  </si>
  <si>
    <t>761cd7da</t>
  </si>
  <si>
    <t>Distribuidora de alimentos</t>
  </si>
  <si>
    <t>f0ac00fc</t>
  </si>
  <si>
    <t>Prospectos_Files_/761cd7da.Adjuntos.160155.G Distribuidora - Profesionalización y transformación digital de PyMEs.pdf</t>
  </si>
  <si>
    <t>09/19/2024 09:28:55</t>
  </si>
  <si>
    <t>App A todo Color</t>
  </si>
  <si>
    <t>Prospectos_Files_/1e17ed13.Adjuntos.162333.pdf</t>
  </si>
  <si>
    <t>06/09/2025 10:22:03</t>
  </si>
  <si>
    <t>49b91e65</t>
  </si>
  <si>
    <t>Ruedas RAR</t>
  </si>
  <si>
    <t>128008fa</t>
  </si>
  <si>
    <t>Prospectos_Files_/49b91e65.Adjuntos.215147.pdf</t>
  </si>
  <si>
    <t>08/19/2024 19:50:22</t>
  </si>
  <si>
    <t>Prospectos_Files_/26a88f6a.Adjuntos.223948.pdf</t>
  </si>
  <si>
    <t>04/04/2025 15:55:31</t>
  </si>
  <si>
    <t>300000</t>
  </si>
  <si>
    <t>12/06/2024 16:52:39</t>
  </si>
  <si>
    <t>Refri 2da parte App</t>
  </si>
  <si>
    <t>01/28/2025 17:17:51</t>
  </si>
  <si>
    <t>340000</t>
  </si>
  <si>
    <t>98d8047f</t>
  </si>
  <si>
    <t>d256dcda</t>
  </si>
  <si>
    <t>Prospectos_Files_/98d8047f.Adjuntos.200018.pdf</t>
  </si>
  <si>
    <t>10/31/2024 19:46:58</t>
  </si>
  <si>
    <t>Mantenimiento Activos Nation Marketing</t>
  </si>
  <si>
    <t>Aplicaciones , Otras soluciones puntuales</t>
  </si>
  <si>
    <t>Prospectos_Files_/bfb97300.Adjuntos.181844.pdf</t>
  </si>
  <si>
    <t>09/03/2025 18:13:15</t>
  </si>
  <si>
    <t>2adada22</t>
  </si>
  <si>
    <t>435b53c5</t>
  </si>
  <si>
    <t>Prospectos_Files_/2adada22.Adjuntos.163557.pdf</t>
  </si>
  <si>
    <t>01/08/2025 11:09:18</t>
  </si>
  <si>
    <t>b84051a9</t>
  </si>
  <si>
    <t>Nation Marketing 3</t>
  </si>
  <si>
    <t>01/10/2025 09:10:21</t>
  </si>
  <si>
    <t>4f93a8c5</t>
  </si>
  <si>
    <t>Hector Cañadas - App Producción</t>
  </si>
  <si>
    <t>dab7ab01</t>
  </si>
  <si>
    <t>Aplicaciones , Transformación Digital</t>
  </si>
  <si>
    <t>01/08/2025 21:06:46</t>
  </si>
  <si>
    <t>Tablero de control Cubiertas Natión MKT</t>
  </si>
  <si>
    <t>03/18/2025 15:22:26</t>
  </si>
  <si>
    <t>APSOL - Proyectos Internos</t>
  </si>
  <si>
    <t>02/07/2025 11:41:36</t>
  </si>
  <si>
    <t>DG 2025</t>
  </si>
  <si>
    <t>Transformación Digital , Implementación Power Bi , Profesionalización de Pymes</t>
  </si>
  <si>
    <t>01/06/2026 16:43:07</t>
  </si>
  <si>
    <t>cf0de0c4</t>
  </si>
  <si>
    <t>Vasquez SRL</t>
  </si>
  <si>
    <t>15bafbca</t>
  </si>
  <si>
    <t>Prospectos_Files_/cf0de0c4.Adjuntos.145645.docx</t>
  </si>
  <si>
    <t>03/26/2025 17:29:42</t>
  </si>
  <si>
    <t>a62eb6a1</t>
  </si>
  <si>
    <t>fe078071</t>
  </si>
  <si>
    <t>Prospectos_Files_/a62eb6a1.Adjuntos.165140.pdf</t>
  </si>
  <si>
    <t>04/03/2025 11:44:18</t>
  </si>
  <si>
    <t>bac72ff3</t>
  </si>
  <si>
    <t>Integración ERP - PURATOS</t>
  </si>
  <si>
    <t>b7e8dfa8</t>
  </si>
  <si>
    <t>04/18/2025 10:27:52</t>
  </si>
  <si>
    <t>3aa9c444</t>
  </si>
  <si>
    <t>Municipalidad De Rawson</t>
  </si>
  <si>
    <t>4bf07c42</t>
  </si>
  <si>
    <t>Transformación Digital , Aplicaciones , Otras soluciones puntuales</t>
  </si>
  <si>
    <t>04/24/2025 01:35:33</t>
  </si>
  <si>
    <t>Natión Marketing 2025</t>
  </si>
  <si>
    <t>09/03/2025 18:09:44</t>
  </si>
  <si>
    <t>ca393add</t>
  </si>
  <si>
    <t>e3245a3f</t>
  </si>
  <si>
    <t>04/29/2025 10:15:31</t>
  </si>
  <si>
    <t>c1d59cb3</t>
  </si>
  <si>
    <t>Amipack 2025</t>
  </si>
  <si>
    <t>Transformación Digital , Profesionalización de Pymes , Implementación Power Bi</t>
  </si>
  <si>
    <t>04/21/2025 14:44:06</t>
  </si>
  <si>
    <t>OntheRoad Viajes</t>
  </si>
  <si>
    <t>03/19/2026 14:04:32</t>
  </si>
  <si>
    <t>Dolar</t>
  </si>
  <si>
    <t>Dólar</t>
  </si>
  <si>
    <t>45b8b890</t>
  </si>
  <si>
    <t>Nossar empresa de transporte</t>
  </si>
  <si>
    <t>d7bbbb22</t>
  </si>
  <si>
    <t>Transformación Digital , Aplicaciones , Implementación Power Bi</t>
  </si>
  <si>
    <t>04/24/2025 01:36:20</t>
  </si>
  <si>
    <t>b885c41a</t>
  </si>
  <si>
    <t>Frigorifico Riosma</t>
  </si>
  <si>
    <t>36ad0381</t>
  </si>
  <si>
    <t>04/23/2025 13:24:41</t>
  </si>
  <si>
    <t>11/13/2025 10:00:08</t>
  </si>
  <si>
    <t>7c7aad4f</t>
  </si>
  <si>
    <t>Aceite Vegetal del llano</t>
  </si>
  <si>
    <t>ce540b0a</t>
  </si>
  <si>
    <t>05/19/2025 13:19:46</t>
  </si>
  <si>
    <t>08/20/2025 10:53:13</t>
  </si>
  <si>
    <t>Asistente Laboratorio</t>
  </si>
  <si>
    <t>02/24/2026 16:56:23</t>
  </si>
  <si>
    <t>a767493e</t>
  </si>
  <si>
    <t>HL 2025</t>
  </si>
  <si>
    <t>b254f945</t>
  </si>
  <si>
    <t>Hiper Limpieza 2025</t>
  </si>
  <si>
    <t>06/09/2025 14:39:34</t>
  </si>
  <si>
    <t>Asistentes Virtuales</t>
  </si>
  <si>
    <t>06/25/2025 13:04:04</t>
  </si>
  <si>
    <t>Norte 2025</t>
  </si>
  <si>
    <t>05/19/2025 18:28:25</t>
  </si>
  <si>
    <t>51bf90ab</t>
  </si>
  <si>
    <t>Logistica Chilena</t>
  </si>
  <si>
    <t>6bd9c5c6</t>
  </si>
  <si>
    <t>Instagram</t>
  </si>
  <si>
    <t>06/09/2025 13:02:52</t>
  </si>
  <si>
    <t>a2c8559d</t>
  </si>
  <si>
    <t>Insuga Producción + Compras</t>
  </si>
  <si>
    <t>25bc6aac</t>
  </si>
  <si>
    <t>Aplicaciones , Implementación Power Bi , Transformación Digital</t>
  </si>
  <si>
    <t>Prospectos_Files_/a2c8559d.Adjuntos.123807.pdf</t>
  </si>
  <si>
    <t>06/11/2025 10:18:03</t>
  </si>
  <si>
    <t>Prospectos_Files_/8defa075.Adjuntos.160536.pdf</t>
  </si>
  <si>
    <t>07/02/2025 15:56:12</t>
  </si>
  <si>
    <t>34f0b730</t>
  </si>
  <si>
    <t>Asistente Personal</t>
  </si>
  <si>
    <t>Prospectos_Files_/34f0b730.Adjuntos.163010.pdf</t>
  </si>
  <si>
    <t>07/31/2025 08:48:01</t>
  </si>
  <si>
    <t>ATC 2025</t>
  </si>
  <si>
    <t>Transformación Digital , Asistentes Virtuales , Implementación Power Bi , Aplicaciones</t>
  </si>
  <si>
    <t>07/01/2025 15:37:50</t>
  </si>
  <si>
    <t>Refri 2025</t>
  </si>
  <si>
    <t>07/08/2025 16:41:20</t>
  </si>
  <si>
    <t>aaeb3477</t>
  </si>
  <si>
    <t>c5f7de92</t>
  </si>
  <si>
    <t>Prospectos_Files_/aaeb3477.Adjuntos.124346.pdf</t>
  </si>
  <si>
    <t>08/06/2025 09:19:40</t>
  </si>
  <si>
    <t>Mantenimiento Nation PostVenta</t>
  </si>
  <si>
    <t>07/14/2025 12:00:31</t>
  </si>
  <si>
    <t>HQ 2025</t>
  </si>
  <si>
    <t>01/14/2026 12:25:10</t>
  </si>
  <si>
    <t>7c2d6ebb</t>
  </si>
  <si>
    <t>afacd6cf</t>
  </si>
  <si>
    <t>Asistentes Virtuales , Implementación Power Bi , Transformación Digital , Aplicaciones</t>
  </si>
  <si>
    <t>10/22/2025 16:55:38</t>
  </si>
  <si>
    <t>5d600653</t>
  </si>
  <si>
    <t>LaMotofeca</t>
  </si>
  <si>
    <t>e5e8c1b9</t>
  </si>
  <si>
    <t>Transformación Digital , Asistentes Virtuales</t>
  </si>
  <si>
    <t>08/01/2025 20:32:55</t>
  </si>
  <si>
    <t>1720257f</t>
  </si>
  <si>
    <t>8415d712</t>
  </si>
  <si>
    <t>08/25/2025 10:28:36</t>
  </si>
  <si>
    <t>62eac0c5</t>
  </si>
  <si>
    <t>4c1e8466</t>
  </si>
  <si>
    <t>08/28/2025 19:31:45</t>
  </si>
  <si>
    <t>e9eeb72d</t>
  </si>
  <si>
    <t>8888e3f3</t>
  </si>
  <si>
    <t>Asistentes Virtuales , Implementación Power Bi , Aplicaciones</t>
  </si>
  <si>
    <t>08/29/2025 09:06:50</t>
  </si>
  <si>
    <t>01/19/2026 12:24:20</t>
  </si>
  <si>
    <t>7ea4b04d</t>
  </si>
  <si>
    <t>Guiller - Edu</t>
  </si>
  <si>
    <t>b65f31b5</t>
  </si>
  <si>
    <t>Transformación Digital , Asistentes Virtuales , Implementación Power Bi</t>
  </si>
  <si>
    <t>09/15/2025 10:55:24</t>
  </si>
  <si>
    <t>7d946b2e</t>
  </si>
  <si>
    <t>GAMA</t>
  </si>
  <si>
    <t>5712b7b8</t>
  </si>
  <si>
    <t>IA</t>
  </si>
  <si>
    <t>10/22/2025 16:57:50</t>
  </si>
  <si>
    <t>e08b3d21</t>
  </si>
  <si>
    <t>Taller Autos</t>
  </si>
  <si>
    <t>f52d1c16</t>
  </si>
  <si>
    <t>Transformación Digital , Aplicaciones</t>
  </si>
  <si>
    <t>10/01/2025 08:55:01</t>
  </si>
  <si>
    <t>Prospectos_Files_/559adcf6.Adjuntos.171842.pdf</t>
  </si>
  <si>
    <t>09/15/2025 12:21:44</t>
  </si>
  <si>
    <t>54e34fe9</t>
  </si>
  <si>
    <t>f91dcbaf</t>
  </si>
  <si>
    <t>Implementación Power Bi , Transformación Digital , Profesionalización de Pymes</t>
  </si>
  <si>
    <t>09/08/2025 15:38:43</t>
  </si>
  <si>
    <t>Insuga 2025</t>
  </si>
  <si>
    <t>Prospectos_Files_/90478da9.Adjuntos.113423.pdf</t>
  </si>
  <si>
    <t>09/22/2025 20:04:00</t>
  </si>
  <si>
    <t>de13edbd</t>
  </si>
  <si>
    <t>d73debf6</t>
  </si>
  <si>
    <t>Asistentes Virtuales , Transformación Digital</t>
  </si>
  <si>
    <t>10/01/2025 09:07:00</t>
  </si>
  <si>
    <t>02/03/2026 16:33:54</t>
  </si>
  <si>
    <t>7c08878e</t>
  </si>
  <si>
    <t>7791fa61</t>
  </si>
  <si>
    <t>10/20/2025 12:37:02</t>
  </si>
  <si>
    <t>b8fc9593</t>
  </si>
  <si>
    <t>Carlos (Hoteles)</t>
  </si>
  <si>
    <t>d02733e3</t>
  </si>
  <si>
    <t>11/10/2025 16:07:24</t>
  </si>
  <si>
    <t>7f1470fc</t>
  </si>
  <si>
    <t>Conflicto entre hermanos</t>
  </si>
  <si>
    <t>e7979ce2</t>
  </si>
  <si>
    <t>Prospectos_Files_/7f1470fc.Adjuntos.192045.pdf</t>
  </si>
  <si>
    <t>2/21/2024 7:47:08 PM</t>
  </si>
  <si>
    <t>dfe884cb</t>
  </si>
  <si>
    <t>CRM ChatWoot</t>
  </si>
  <si>
    <t>12/26/2025 13:29:55</t>
  </si>
  <si>
    <t>c7b988ba</t>
  </si>
  <si>
    <t>Transformación Digital , Otras soluciones puntuales , Asistentes Virtuales</t>
  </si>
  <si>
    <t>Prospectos_Files_/681b8aa1.Adjuntos.173453.pdf</t>
  </si>
  <si>
    <t>01/19/2026 13:17:10</t>
  </si>
  <si>
    <t>cc64a525</t>
  </si>
  <si>
    <t>b27022fb</t>
  </si>
  <si>
    <t>Prospectos_Files_/cc64a525.Adjuntos.195810.pdf</t>
  </si>
  <si>
    <t>12/15/2025 14:24:27</t>
  </si>
  <si>
    <t>66d55fa5</t>
  </si>
  <si>
    <t>4d8e02a7</t>
  </si>
  <si>
    <t>11/17/2025 12:42:25</t>
  </si>
  <si>
    <t>98cae4d1</t>
  </si>
  <si>
    <t>Empresa de transporte COOQUITRANS</t>
  </si>
  <si>
    <t>0d570355</t>
  </si>
  <si>
    <t>11/18/2025 10:16:18</t>
  </si>
  <si>
    <t>25c837ee</t>
  </si>
  <si>
    <t>cac0f613</t>
  </si>
  <si>
    <t>Otras soluciones puntuales , Transformación Digital</t>
  </si>
  <si>
    <t>11/19/2025 08:59:51</t>
  </si>
  <si>
    <t>3134b37f</t>
  </si>
  <si>
    <t>La Golonicería</t>
  </si>
  <si>
    <t>6f203d21</t>
  </si>
  <si>
    <t>eae68570</t>
  </si>
  <si>
    <t>41177137</t>
  </si>
  <si>
    <t>Prospectos_Files_/eae68570.Adjuntos.171908.pdf</t>
  </si>
  <si>
    <t>11/26/2025 14:19:26</t>
  </si>
  <si>
    <t>b539fc93</t>
  </si>
  <si>
    <t>Automatización de cobranzas</t>
  </si>
  <si>
    <t>ec9aab79</t>
  </si>
  <si>
    <t>Prospectos_Files_/b539fc93.Adjuntos.163043.pdf</t>
  </si>
  <si>
    <t xml:space="preserve">Contactar </t>
  </si>
  <si>
    <t>12/09/2025 13:30:53</t>
  </si>
  <si>
    <t>1994340f</t>
  </si>
  <si>
    <t>Tenis Club Argentino</t>
  </si>
  <si>
    <t>18d09fcb</t>
  </si>
  <si>
    <t>Otras soluciones puntuales , Asistentes Virtuales</t>
  </si>
  <si>
    <t>Prospectos_Files_/1994340f.Adjuntos.205806.pdf</t>
  </si>
  <si>
    <t>12/22/2025 17:58:18</t>
  </si>
  <si>
    <t>DG 2026</t>
  </si>
  <si>
    <t>Implementación Power Bi , Transformación Digital , Otras soluciones puntuales</t>
  </si>
  <si>
    <t>Prospectos_Files_/36bc8eb7.Adjuntos.194010.pdf</t>
  </si>
  <si>
    <t>01/06/2026 16:16:20</t>
  </si>
  <si>
    <t>1ef2f415</t>
  </si>
  <si>
    <t>Mantenimiento</t>
  </si>
  <si>
    <t>Transformación Digital , Asistentes Virtuales , Profesionalización de Pymes , Implementación Power Bi , Aplicaciones , Otras soluciones puntuales</t>
  </si>
  <si>
    <t>01/07/2026 16:23:27</t>
  </si>
  <si>
    <t>MD (Futbol y Agencia)</t>
  </si>
  <si>
    <t>Transformación Digital , Aplicaciones , Profesionalización de Pymes</t>
  </si>
  <si>
    <t>02/04/2026 18:50:09</t>
  </si>
  <si>
    <t>ISAA 2026</t>
  </si>
  <si>
    <t>02/03/2026 16:35:50</t>
  </si>
  <si>
    <t>Insuga Chaco</t>
  </si>
  <si>
    <t>Prospectos_Files_/030ba187.Adjuntos.163214.pdf</t>
  </si>
  <si>
    <t>02/12/2026 10:33:15</t>
  </si>
  <si>
    <t>Mantenimiento HQ</t>
  </si>
  <si>
    <t>Prospectos_Files_/b6c00731.Adjuntos.160746.pdf</t>
  </si>
  <si>
    <t>02/13/2026 13:09:19</t>
  </si>
  <si>
    <t>Mantenimiento BOT Laboratorio</t>
  </si>
  <si>
    <t>Prospectos_Files_/645c84b0.Adjuntos.202500.pdf</t>
  </si>
  <si>
    <t>02/24/2026 17:26:44</t>
  </si>
  <si>
    <t>d27f5d16</t>
  </si>
  <si>
    <t>d4ffe829</t>
  </si>
  <si>
    <t>03/02/2026 11:28:56</t>
  </si>
  <si>
    <t>207f3aa5</t>
  </si>
  <si>
    <t>Mantenimiento Activos On The Road Viajes</t>
  </si>
  <si>
    <t>Prospectos_Files_/207f3aa5.Adjuntos.170544.pdf</t>
  </si>
  <si>
    <t>03/19/2026 14:07:16</t>
  </si>
  <si>
    <t>30cd03a1</t>
  </si>
  <si>
    <t>6e8758f2</t>
  </si>
  <si>
    <t>Transformación Digital , Asistentes Virtuales , Aplicaciones</t>
  </si>
  <si>
    <t>Prospectos_Files_/30cd03a1.Adjuntos.142318.pdf</t>
  </si>
  <si>
    <t>04/10/2026 16:18:41</t>
  </si>
  <si>
    <t>Personal</t>
  </si>
  <si>
    <t>Empresas</t>
  </si>
  <si>
    <t>Adrian Patriarca , Felipe Duarte</t>
  </si>
  <si>
    <t>Numero de cuenta</t>
  </si>
  <si>
    <t>Nombre Interno Cuenta</t>
  </si>
  <si>
    <t>Moneda</t>
  </si>
  <si>
    <t>Tipo de Cuenta</t>
  </si>
  <si>
    <t>Cbu</t>
  </si>
  <si>
    <t>Cuit</t>
  </si>
  <si>
    <t>Alias</t>
  </si>
  <si>
    <t>Titular</t>
  </si>
  <si>
    <t>Banco</t>
  </si>
  <si>
    <t>Razon Social emisión</t>
  </si>
  <si>
    <t>Red</t>
  </si>
  <si>
    <t>Wallet address</t>
  </si>
  <si>
    <t>Dirección del Banco</t>
  </si>
  <si>
    <t>Número de enrutamiento de ABA</t>
  </si>
  <si>
    <t>Código SWIFT</t>
  </si>
  <si>
    <t>Número de cuenta</t>
  </si>
  <si>
    <t>BNA - Adrian</t>
  </si>
  <si>
    <t>Transferencia Local</t>
  </si>
  <si>
    <t>0110491630049195615179</t>
  </si>
  <si>
    <t>apsol.consultora</t>
  </si>
  <si>
    <t>PATRIARCA ADRIAN CARLOS</t>
  </si>
  <si>
    <t>Banco Nación</t>
  </si>
  <si>
    <t>ADRIAN CARLOS PATRIARCA</t>
  </si>
  <si>
    <t>Por favor asegurate de verificar correctamente los datos antes de realizar la transferencia.
APSOL no se hace responsable por errores en la carga de CBU o alias</t>
  </si>
  <si>
    <t>Brubak - Sebastian</t>
  </si>
  <si>
    <t>1430001713033201820014</t>
  </si>
  <si>
    <t>apsol.consultoria</t>
  </si>
  <si>
    <t>SEBASTIAN GASTON WOLF</t>
  </si>
  <si>
    <t>BRUBANK</t>
  </si>
  <si>
    <t>Ualá - Adrian</t>
  </si>
  <si>
    <t>3840200500000014889338</t>
  </si>
  <si>
    <t>HABRE.JAGUAR.ENTERES</t>
  </si>
  <si>
    <t>Adrian Carlos Patriarca</t>
  </si>
  <si>
    <t>Wilobank S.A.U (Ualá)</t>
  </si>
  <si>
    <t>USDT (Tron - Trx - TRC-20)</t>
  </si>
  <si>
    <t>USDT</t>
  </si>
  <si>
    <t>Cripto</t>
  </si>
  <si>
    <t>- La red seleccionada debe ser exclusivamente TRON (TRC-20), también identificada como TRX.
- La selección incorrecta de la red puede implicar la pérdida total e irreversible de los fondos.
- APSOL no se hace responsable por errores en la red utilizada ni por el uso incorrecto de la dirección proporcionada.
- Todos los costos asociados a la transacción (comisiones de red, fees del exchange, etc.) corren a cargo del emisor.
- Una vez realizada la transferencia, por favor enviá el comprobante de pago correspondiente</t>
  </si>
  <si>
    <t>Tron - TRX - TRC20</t>
  </si>
  <si>
    <t>TC5fTBZgcAKAFvKUwB1JSfsKWjktkNA4Sj</t>
  </si>
  <si>
    <t>Payoneer</t>
  </si>
  <si>
    <t>USD</t>
  </si>
  <si>
    <t>Transferencia Internacional</t>
  </si>
  <si>
    <t>Citibank</t>
  </si>
  <si>
    <t>111 Wall Street New York, NY 10043 USA</t>
  </si>
  <si>
    <t>031100209</t>
  </si>
  <si>
    <t>CITIUS33</t>
  </si>
  <si>
    <t>70580840001795095</t>
  </si>
  <si>
    <t>Takenos</t>
  </si>
  <si>
    <t>Lead Bank</t>
  </si>
  <si>
    <t>1801 Main St, Kansas City, MO, 64108</t>
  </si>
  <si>
    <t>ID_Estado</t>
  </si>
  <si>
    <t>1A - Pendiente de contactar</t>
  </si>
  <si>
    <t>2A - Para presupuestar</t>
  </si>
  <si>
    <t>3A - Seguimiento</t>
  </si>
  <si>
    <t>4A - Ganado</t>
  </si>
  <si>
    <t>1H - Caido previo reunión</t>
  </si>
  <si>
    <t>2H - Caido en reunión</t>
  </si>
  <si>
    <t>3H - Caido luego del presupuesto</t>
  </si>
  <si>
    <t>6A - En producción</t>
  </si>
  <si>
    <t xml:space="preserve">5H - Finalizados </t>
  </si>
  <si>
    <t>5A - Congelado</t>
  </si>
  <si>
    <t>4H - No califica</t>
  </si>
  <si>
    <t>Hacer una vista de prospectos activos</t>
  </si>
  <si>
    <t>Hacer una vista de prospectos Historicos</t>
  </si>
  <si>
    <t>Ponerle un logo a los prospectos</t>
  </si>
  <si>
    <t>Enumerar los estados</t>
  </si>
  <si>
    <t>Mejorar la visual al abrir el prospecto Activos</t>
  </si>
  <si>
    <t>Mejorar la visual del detalle de observaciones</t>
  </si>
  <si>
    <t>Sacarle la hora a la fecha de observación</t>
  </si>
  <si>
    <t>Hacer mas simple el formulario de observaciones</t>
  </si>
  <si>
    <t>Hacer dos campos uno de capacidad de pago y otro de nivel de interes</t>
  </si>
  <si>
    <t>Hacer un campo de proxima tarea</t>
  </si>
  <si>
    <t>Hacer un alerta de tareas vencidas</t>
  </si>
  <si>
    <t>Que el campo fecha de proxima tarea se muestre solo si hay una tarea proxima para realizar</t>
  </si>
  <si>
    <t>Edición rapida para el estado</t>
  </si>
  <si>
    <t>Edición rapida para proxima tarea</t>
  </si>
  <si>
    <t>Que la proxima tarea se vea junto con la fehca de proxima tarea</t>
  </si>
  <si>
    <t>Poner colores en funcón al estado</t>
  </si>
  <si>
    <t>Que cuando haya un cambio de estado complete automaticamente una nueva fecha</t>
  </si>
  <si>
    <t>Que los estados tengan sus colores</t>
  </si>
  <si>
    <t>En el formulario del prospecto que la proxima tarea esté junto con la fecha de proxima tarea</t>
  </si>
  <si>
    <t>Arreglar todos los related</t>
  </si>
  <si>
    <t>Arreglar la vista de la info de un contacto</t>
  </si>
  <si>
    <t>Pasar a publisher</t>
  </si>
  <si>
    <t>Activar los avisos del CRM</t>
  </si>
  <si>
    <t>Facturación</t>
  </si>
  <si>
    <t>Poner logito a la "Facturación"</t>
  </si>
  <si>
    <t>Facturación vista principal</t>
  </si>
  <si>
    <t>Ordenar por estado y mejorar la vista en general</t>
  </si>
  <si>
    <t>Facturación Detalle</t>
  </si>
  <si>
    <t>Mejorar</t>
  </si>
  <si>
    <t>Formulario</t>
  </si>
  <si>
    <t>Solo si contacto 1 existe poner contacto 2</t>
  </si>
  <si>
    <t>Recordatorio El no se tiene que poder editar</t>
  </si>
  <si>
    <t>Ultima notificación no se tiene que poder editar y tiene que estar abajo</t>
  </si>
  <si>
    <t>Los estados con colores</t>
  </si>
  <si>
    <t xml:space="preserve"> </t>
  </si>
  <si>
    <t>Poner una acción que diga Pagado</t>
  </si>
  <si>
    <t>Establecer los campos obligatorios</t>
  </si>
  <si>
    <t>Automatización para gestionar facturas</t>
  </si>
  <si>
    <t>Automatización para el envio de e-mails</t>
  </si>
  <si>
    <t>Hacer la configuración final</t>
  </si>
  <si>
    <t>Automatizaciones</t>
  </si>
  <si>
    <t>e-mail de 1er contacto darle formato</t>
  </si>
  <si>
    <t>Agregar el campo Numero de factura</t>
  </si>
  <si>
    <t>e-mail recordatorio darle formato. Mejorarle el formato</t>
  </si>
  <si>
    <t>La ultima notificación no se está actualizando en los recordatorios</t>
  </si>
  <si>
    <t>El recordatorio no se está actualizando</t>
  </si>
  <si>
    <t>Agregar un campo Observaciones para poner lo que yo quiera</t>
  </si>
  <si>
    <t>Distinguir los adjuntos tipo Factura y agregar un adjunto del tipo documento</t>
  </si>
  <si>
    <t>Si el estado es pendiente que envie el recordatio sino no</t>
  </si>
  <si>
    <t>Ponerme a mi en copia oculta en todo</t>
  </si>
  <si>
    <t>Agregar proxima notificación. Si pongo en producción que estos sean campos obligatorios</t>
  </si>
  <si>
    <t>Inicio de servicio. Si pongo en producción que estos sean campos obligatorios</t>
  </si>
  <si>
    <t>Prospecto Vista</t>
  </si>
  <si>
    <t xml:space="preserve">Ponerle que se vea el inicio de servicio </t>
  </si>
  <si>
    <t>Cuando paso a "En producción" no me pregunta por los campos de fechas de pago</t>
  </si>
  <si>
    <t>CONCATENATE(DAY([Proxima factura]),"/",MONTH([Proxima factura]+30),"/",YEAR([Proxima factura]+30))</t>
  </si>
  <si>
    <t>Cuando establezco por primera vez el inicio de servicio no se establece la fecha de proxima factura</t>
  </si>
  <si>
    <t>que proxima tarea no se vea cuando está en producción</t>
  </si>
  <si>
    <t>A los prospectos que tengan la factura vencida Marcarlos con colo y agregar una columna virtual que diga Facturar/espera de cobro</t>
  </si>
  <si>
    <t>Cuando se cobre una factura ademas al apretar el boton que envie un mensaje de que la misma fue recibida</t>
  </si>
  <si>
    <t>Prospecto abajo de contacto 2</t>
  </si>
  <si>
    <t>Fecha de inicio de servicio abajo de prospecto</t>
  </si>
  <si>
    <t>Secuencia de e-mails</t>
  </si>
  <si>
    <t>Vista e-mails</t>
  </si>
  <si>
    <t>Definir la vista de e-mails</t>
  </si>
  <si>
    <t>Prospectos</t>
  </si>
  <si>
    <t>Hacer la acción de definición de si quiero o no generar la secuencia de cobro y el establecimiento del inicio de la secuencia</t>
  </si>
  <si>
    <t>Automatización</t>
  </si>
  <si>
    <t>Crear e-mail</t>
  </si>
  <si>
    <t>Que las vistas no se vean, a menos que haya iniciado sesión</t>
  </si>
  <si>
    <t>Establecer los horaro de los e-mails</t>
  </si>
  <si>
    <t>Que se pueda elegir que tipo de cadena va a tener cada prospecto</t>
  </si>
  <si>
    <t>Sacar la fecha de Creación del "Para completar" del prospecto</t>
  </si>
  <si>
    <t>Que el inicio de secuencia no se pueda editar, ya que se va a modificar cuando yo le ponga ponga la acción</t>
  </si>
  <si>
    <t>N° ultimo email reemplazar el display por "Empezar por el e-mail N°"</t>
  </si>
  <si>
    <t>Que se pueda ver el e-mail por el que va la secuencia desde la vista del prospecto</t>
  </si>
  <si>
    <t>Que se vea la secuencia que elegí</t>
  </si>
  <si>
    <t>Que cuando ponga Iniciar secuencia, me pida elegir cual es la secuencia que quiero enviar</t>
  </si>
  <si>
    <t>"Numero ultimo e-mail que solo se vea si le pongo "Activo" a la cadena de emails</t>
  </si>
  <si>
    <t>Poner como inicial Value el numero 0 en "N° ultimo email"</t>
  </si>
  <si>
    <t>Hacer 10 plantillas de e-mails</t>
  </si>
  <si>
    <t>Establecer la secuencia</t>
  </si>
  <si>
    <t>Poner desactivado a los que estan desactivados</t>
  </si>
  <si>
    <t>Id_email</t>
  </si>
  <si>
    <t>Nombre e-mail</t>
  </si>
  <si>
    <t>Días desde el inicio de la rutina</t>
  </si>
  <si>
    <t>Ruta documento</t>
  </si>
  <si>
    <t>Tipo secuencia</t>
  </si>
  <si>
    <t>email1</t>
  </si>
  <si>
    <t>E-mail día 0</t>
  </si>
  <si>
    <t>Email día 0 - Propuesta transformación digital</t>
  </si>
  <si>
    <t>https://docs.google.com/document/d/1_Ek2oPa_WRyLKHcquAY_rox70KeDvg-M7V0lGTNe1C8/edit</t>
  </si>
  <si>
    <t>Cadena emails_Files_/Transformación digital y mejora de procesos para Pymes.pdf</t>
  </si>
  <si>
    <t>email2</t>
  </si>
  <si>
    <t>Profesionalización email día 0</t>
  </si>
  <si>
    <t>https://docs.google.com/document/d/12hbjGH_DoHE6pxgFeYWAeSpWW8x0_qlgJ5WR_K2HSDw/edit</t>
  </si>
  <si>
    <t>Cadena emails_Files_/Profesionalización de PyMEs.pdf</t>
  </si>
  <si>
    <t>email3</t>
  </si>
  <si>
    <t>Importancia de un buen organigrama</t>
  </si>
  <si>
    <t>email que habla sobre la importancia de un buen organigrama</t>
  </si>
  <si>
    <t>https://docs.google.com/document/d/1xgmT43Fwx6z6leQeK-Qks3mqguINRCzQ-3aPlj5LW3g/edit</t>
  </si>
  <si>
    <t>email4</t>
  </si>
  <si>
    <t>Aplicación</t>
  </si>
  <si>
    <t>e-mail donde explico como una app personalizada que desarrollamos resolvió multiples cuestiones</t>
  </si>
  <si>
    <t>https://docs.google.com/document/d/1mabcfK1qLi7SSf2xojMdKUWDzbhZ_qpZQnQmyAGHw7I/edit</t>
  </si>
  <si>
    <t>email5</t>
  </si>
  <si>
    <t>Porque usar indicadores de gestión</t>
  </si>
  <si>
    <t>En este e-mail le digo a la gente porque es importante usar indicadores de gestión</t>
  </si>
  <si>
    <t>https://docs.google.com/document/d/1-7AINH_sc9ve3-vn9-IeYqXM9M1giS_uH-6v_Gr9f9E/edit</t>
  </si>
  <si>
    <t>Todo</t>
  </si>
  <si>
    <t>email6</t>
  </si>
  <si>
    <t>Desarrollo de Apss</t>
  </si>
  <si>
    <t>En este e-mail describo brevemente como es que desarrollamos apps</t>
  </si>
  <si>
    <t>https://docs.google.com/document/d/1bU0GYhgx9S_3RsHKdOtMxrg1uFSLhaWQXRWQ23_xK2k/edit</t>
  </si>
  <si>
    <t>email7</t>
  </si>
  <si>
    <t>Como acompañamos en el proceso de profesionalización</t>
  </si>
  <si>
    <t>En este e-mail explico como es que en APSOL acompañamos el proceso de profesionalización</t>
  </si>
  <si>
    <t>https://docs.google.com/document/d/1o5fWFQkCjvq10F7PO8ZpOVrdXHeeugFpLId_-4zGhrA/edit</t>
  </si>
  <si>
    <t>email8</t>
  </si>
  <si>
    <t>Por que los tableros de control automaticos</t>
  </si>
  <si>
    <t>En este e-mail explico por que es importante implementar tableros de control automaticos</t>
  </si>
  <si>
    <t>https://docs.google.com/document/d/1t2o5sy26Z7RB5M4WY2LfJPZdnX8lhYrnaJK7pf8KqmQ/edit</t>
  </si>
  <si>
    <t>email9</t>
  </si>
  <si>
    <t>E-mail Relacional</t>
  </si>
  <si>
    <t>Email donde pregunto cuales son los principales desafios de la empresa</t>
  </si>
  <si>
    <t>https://docs.google.com/document/d/1zf1NRNIIfJPwIHXsjQCdv-tGZLEdTPYTOO0V1tjpaWY/edit</t>
  </si>
  <si>
    <t>email10</t>
  </si>
  <si>
    <t>https://docs.google.com/document/d/184vJrNNpLfzdEyIlDjlDUp3sB4ZrGgUBQwPCxLh3xHM/edit</t>
  </si>
  <si>
    <t>Row ID</t>
  </si>
  <si>
    <t>Inicio</t>
  </si>
  <si>
    <t>Rango</t>
  </si>
  <si>
    <t>Fin</t>
  </si>
  <si>
    <t>Reunión Cliente</t>
  </si>
  <si>
    <t>Link reunión</t>
  </si>
  <si>
    <t>Comentarios Reunión</t>
  </si>
  <si>
    <t>Modificado por</t>
  </si>
  <si>
    <t>Herramienta utilizada</t>
  </si>
  <si>
    <t>Multiplicador</t>
  </si>
  <si>
    <t>Notas multiplicador</t>
  </si>
  <si>
    <t>0a543831</t>
  </si>
  <si>
    <t>A todo color App</t>
  </si>
  <si>
    <t>Adrian Patriarca - 09/23/2024 11:07:27</t>
  </si>
  <si>
    <t>Adrian Patriarca - 10/01/2024 12:38:38</t>
  </si>
  <si>
    <t>133f139f</t>
  </si>
  <si>
    <t>Capacitación 2 modulo 1</t>
  </si>
  <si>
    <t>Paola Yossen</t>
  </si>
  <si>
    <t>Paola Yossen - 09/23/2024 09:06:35</t>
  </si>
  <si>
    <t xml:space="preserve"> - 09/25/2024 10:16:37</t>
  </si>
  <si>
    <t>d62e7964</t>
  </si>
  <si>
    <t>Adrian Patriarca - 09/23/2024 11:07:01</t>
  </si>
  <si>
    <t>2a230512</t>
  </si>
  <si>
    <t>Feedback modulo 2 de procedimientos (8 procedimientos) - correcciones</t>
  </si>
  <si>
    <t>Paola Yossen - 09/23/2024 09:09:36</t>
  </si>
  <si>
    <t>Paola Yossen - 09/23/2024 10:00:38</t>
  </si>
  <si>
    <t>4c36c706</t>
  </si>
  <si>
    <t>Implementación App Chaco</t>
  </si>
  <si>
    <t>Felipe Duarte - 10/01/2024 17:35:20</t>
  </si>
  <si>
    <t>624accb5</t>
  </si>
  <si>
    <t>HQ</t>
  </si>
  <si>
    <t>Adrian Patriarca - 09/23/2024 11:06:34</t>
  </si>
  <si>
    <t>Adrian Patriarca - 10/01/2024 12:36:58</t>
  </si>
  <si>
    <t>6caa89f1</t>
  </si>
  <si>
    <t>5</t>
  </si>
  <si>
    <t>Varios</t>
  </si>
  <si>
    <t>Adrian Patriarca - 09/30/2024 16:35:30</t>
  </si>
  <si>
    <t>Adrian Patriarca - 10/01/2024 17:58:32</t>
  </si>
  <si>
    <t>f4a59f00</t>
  </si>
  <si>
    <t>Consultora</t>
  </si>
  <si>
    <t>Adrian Patriarca - 10/01/2024 17:59:09</t>
  </si>
  <si>
    <t>Adrian Patriarca - 10/01/2024 18:02:36</t>
  </si>
  <si>
    <t>76bab2ee</t>
  </si>
  <si>
    <t>Felipe Duarte - 09/30/2024 15:20:08</t>
  </si>
  <si>
    <t>61914405</t>
  </si>
  <si>
    <t>Terminar App Metalurgica HQ</t>
  </si>
  <si>
    <t>Adrian Patriarca - 09/23/2024 11:06:18</t>
  </si>
  <si>
    <t>Adrian Patriarca - 10/01/2024 12:36:52</t>
  </si>
  <si>
    <t>9495ee18</t>
  </si>
  <si>
    <t>Adrian Patriarca - 09/30/2024 16:36:58</t>
  </si>
  <si>
    <t>b77e4637</t>
  </si>
  <si>
    <t>Día Libre</t>
  </si>
  <si>
    <t>Garantias Sprint 1_Felipe</t>
  </si>
  <si>
    <t>Adrian Patriarca - 09/24/2024 13:38:31</t>
  </si>
  <si>
    <t>e4a4fed4</t>
  </si>
  <si>
    <t>Adrian Patriarca - 09/23/2024 11:40:38</t>
  </si>
  <si>
    <t>7cb822a2</t>
  </si>
  <si>
    <t>Adrian Patriarca - 09/23/2024 11:50:50</t>
  </si>
  <si>
    <t>940ece0e</t>
  </si>
  <si>
    <t>Adrian Patriarca - 09/23/2024 11:09:27</t>
  </si>
  <si>
    <t>Felipe Duarte - 09/27/2024 13:29:04</t>
  </si>
  <si>
    <t>5617e63d</t>
  </si>
  <si>
    <t>Reunión Hq</t>
  </si>
  <si>
    <t>Adrian Patriarca - 09/23/2024 11:38:10</t>
  </si>
  <si>
    <t>4aa53f1a</t>
  </si>
  <si>
    <t>Continuación Sprint 1 Actualización Tablero de control Producción</t>
  </si>
  <si>
    <t>Felipe Duarte - 09/27/2024 13:30:09</t>
  </si>
  <si>
    <t>43a6e1db</t>
  </si>
  <si>
    <t>Preparar Reunión Metalurgica HQ</t>
  </si>
  <si>
    <t>Adrian Patriarca - 09/23/2024 11:39:07</t>
  </si>
  <si>
    <t>bee779c1</t>
  </si>
  <si>
    <t>Adrian Patriarca - 09/23/2024 11:40:12</t>
  </si>
  <si>
    <t>d20bc88e</t>
  </si>
  <si>
    <t>app</t>
  </si>
  <si>
    <t>Adrian Patriarca - 09/24/2024 12:20:30</t>
  </si>
  <si>
    <t>Adrian Patriarca - 09/27/2024 13:54:43</t>
  </si>
  <si>
    <t>d4b96171</t>
  </si>
  <si>
    <t>Adrian Patriarca - 09/23/2024 11:50:12</t>
  </si>
  <si>
    <t>b53d3fa4</t>
  </si>
  <si>
    <t>Sprint 1 Actualización Tablero de control Producción</t>
  </si>
  <si>
    <t>Felipe Duarte - 09/26/2024 16:34:28</t>
  </si>
  <si>
    <t>dfb3ed3f</t>
  </si>
  <si>
    <t>Continuación presentación de Plan de acción</t>
  </si>
  <si>
    <t>Adrian Patriarca - 09/23/2024 11:33:00</t>
  </si>
  <si>
    <t>f5aaf97a</t>
  </si>
  <si>
    <t>Terminar con todo lo de Nation Marketing</t>
  </si>
  <si>
    <t>Felipe Duarte - 09/26/2024 16:34:04</t>
  </si>
  <si>
    <t>28ddd248</t>
  </si>
  <si>
    <t>App HQ Feedback</t>
  </si>
  <si>
    <t>Adrian Patriarca - 09/23/2024 10:58:09</t>
  </si>
  <si>
    <t>Adrian Patriarca - 09/27/2024 13:54:47</t>
  </si>
  <si>
    <t>86119972</t>
  </si>
  <si>
    <t>Adrian Patriarca - 09/23/2024 11:00:02</t>
  </si>
  <si>
    <t>edf91d13</t>
  </si>
  <si>
    <t>Desarrollo de procedimientos modulo 2</t>
  </si>
  <si>
    <t xml:space="preserve"> - 09/25/2024 10:19:42</t>
  </si>
  <si>
    <t>1a3cb0dd</t>
  </si>
  <si>
    <t>Reunión Idearte Mayorista</t>
  </si>
  <si>
    <t>Adrian Patriarca - 09/23/2024 11:41:55</t>
  </si>
  <si>
    <t>c79dc2df</t>
  </si>
  <si>
    <t>Adrian Patriarca - 09/25/2024 16:30:11</t>
  </si>
  <si>
    <t>72d33afa</t>
  </si>
  <si>
    <t>Tableros</t>
  </si>
  <si>
    <t>Adrian Patriarca - 09/23/2024 10:57:26</t>
  </si>
  <si>
    <t>Adrian Patriarca - 09/27/2024 13:54:51</t>
  </si>
  <si>
    <t>101ae0c1</t>
  </si>
  <si>
    <t>Adrian Patriarca - 09/23/2024 11:49:29</t>
  </si>
  <si>
    <t>Adrian Patriarca - 09/25/2024 14:44:00</t>
  </si>
  <si>
    <t>c891abbb</t>
  </si>
  <si>
    <t>Renata Morano - 09/25/2024 08:11:42</t>
  </si>
  <si>
    <t>Adrian Patriarca - 09/27/2024 13:54:55</t>
  </si>
  <si>
    <t>af7e64e0</t>
  </si>
  <si>
    <t>Reunión HL</t>
  </si>
  <si>
    <t>Adrian Patriarca - 09/23/2024 11:21:43</t>
  </si>
  <si>
    <t>Adrian Patriarca - 09/24/2024 13:23:44</t>
  </si>
  <si>
    <t>dbbeece2</t>
  </si>
  <si>
    <t>Paola Yossen - 09/23/2024 09:08:02</t>
  </si>
  <si>
    <t xml:space="preserve"> - 09/25/2024 10:16:16</t>
  </si>
  <si>
    <t>0d6e995c</t>
  </si>
  <si>
    <t>Poner en linea el tablero de control de Garntias</t>
  </si>
  <si>
    <t>Adrian Patriarca - 09/24/2024 16:06:12</t>
  </si>
  <si>
    <t>fb9ca526</t>
  </si>
  <si>
    <t>Hacer los siguientes srint respetando el orden
- Sprint 1_ Modificaciones modulo producción
- Sprint 1 Actualización Tablero de control Producción
- Sprint 2 Modulo RQI Mejoras
- Sprint 1 Modificación - Tableros de control RQI</t>
  </si>
  <si>
    <t>Adrian Patriarca - 09/23/2024 10:59:09</t>
  </si>
  <si>
    <t>Adrian Patriarca - 09/24/2024 15:32:13</t>
  </si>
  <si>
    <t>4eac7799</t>
  </si>
  <si>
    <t>Adrian Patriarca - 09/24/2024 15:41:21</t>
  </si>
  <si>
    <t>7c06f110</t>
  </si>
  <si>
    <t>Terminar App</t>
  </si>
  <si>
    <t>Adrian Patriarca - 09/23/2024 10:56:21</t>
  </si>
  <si>
    <t>Adrian Patriarca - 09/23/2024 10:56:04</t>
  </si>
  <si>
    <t>a651cef0</t>
  </si>
  <si>
    <t>Adrian Patriarca - 09/23/2024 10:59:51</t>
  </si>
  <si>
    <t>a650c9f7</t>
  </si>
  <si>
    <t>Sprint 1_ Modificaciones modulo producción</t>
  </si>
  <si>
    <t>Adrian Patriarca - 09/23/2024 10:58:58</t>
  </si>
  <si>
    <t>909bf1e3</t>
  </si>
  <si>
    <t>Armar Sprint de Amipack</t>
  </si>
  <si>
    <t>Adrian Patriarca - 09/23/2024 11:16:29</t>
  </si>
  <si>
    <t>Adrian Patriarca - 09/24/2024 15:40:56</t>
  </si>
  <si>
    <t>a7be3378</t>
  </si>
  <si>
    <t>Adrian Patriarca - 09/23/2024 11:14:38</t>
  </si>
  <si>
    <t>3ccc7331</t>
  </si>
  <si>
    <t>Adrian Patriarca - 09/23/2024 10:55:50</t>
  </si>
  <si>
    <t>7d606b1d</t>
  </si>
  <si>
    <t>Adrian Patriarca - 09/16/2024 17:57:23</t>
  </si>
  <si>
    <t>Felipe Duarte - 09/21/2024 09:01:31</t>
  </si>
  <si>
    <t>615d027a</t>
  </si>
  <si>
    <t>Continuación Sprint 1</t>
  </si>
  <si>
    <t>Felipe Duarte - 09/21/2024 09:01:16</t>
  </si>
  <si>
    <t>114cfd8c</t>
  </si>
  <si>
    <t>Presentación del plan de acción -  Reunión a Confirmar</t>
  </si>
  <si>
    <t>Adrian Patriarca - 09/16/2024 15:24:17</t>
  </si>
  <si>
    <t>Paola Yossen - 09/20/2024 17:02:15</t>
  </si>
  <si>
    <t>4577c36c</t>
  </si>
  <si>
    <t>Adrian Patriarca - 09/16/2024 17:54:20</t>
  </si>
  <si>
    <t>Felipe Duarte - 09/20/2024 13:24:44</t>
  </si>
  <si>
    <t>fde28e07</t>
  </si>
  <si>
    <t>2da reunión de diagnostico</t>
  </si>
  <si>
    <t>Adrian Patriarca - 09/19/2024 12:10:17</t>
  </si>
  <si>
    <t>Paola Yossen - 09/20/2024 17:02:06</t>
  </si>
  <si>
    <t>463c602d</t>
  </si>
  <si>
    <t>Adrian Patriarca - 09/16/2024 13:45:35</t>
  </si>
  <si>
    <t>29d0fdac</t>
  </si>
  <si>
    <t>Reunión Presentación App - A confirmar</t>
  </si>
  <si>
    <t>Adrian Patriarca - 09/16/2024 15:44:11</t>
  </si>
  <si>
    <t>Paola Yossen - 09/20/2024 10:17:54</t>
  </si>
  <si>
    <t>2fa19833</t>
  </si>
  <si>
    <t>Preparación Reunión</t>
  </si>
  <si>
    <t>Paola Yossen - 09/20/2024 10:17:49</t>
  </si>
  <si>
    <t>8bb6a23c</t>
  </si>
  <si>
    <t>Reunión</t>
  </si>
  <si>
    <t>Adrian Patriarca - 09/16/2024 15:36:35</t>
  </si>
  <si>
    <t>Adrian Patriarca - 09/18/2024 09:28:27</t>
  </si>
  <si>
    <t>29ab29ba</t>
  </si>
  <si>
    <t xml:space="preserve"> - 09/25/2024 10:22:58</t>
  </si>
  <si>
    <t>fe1a9255</t>
  </si>
  <si>
    <t>Reunión Adrián DG</t>
  </si>
  <si>
    <t xml:space="preserve"> - 09/25/2024 10:24:01</t>
  </si>
  <si>
    <t>8a70551a</t>
  </si>
  <si>
    <t>Felipe Duarte - 09/19/2024 15:58:35</t>
  </si>
  <si>
    <t>8d6a92f2</t>
  </si>
  <si>
    <t>Arreglar problema en App Nation. Hablar con Adrian</t>
  </si>
  <si>
    <t>Adrian Patriarca - 09/18/2024 15:47:58</t>
  </si>
  <si>
    <t>Felipe Duarte - 09/19/2024 15:58:31</t>
  </si>
  <si>
    <t>2e9d002a</t>
  </si>
  <si>
    <t>Adrian Patriarca - 09/16/2024 13:45:16</t>
  </si>
  <si>
    <t>0fa6a068</t>
  </si>
  <si>
    <t>Diagnostico y Plan de acción</t>
  </si>
  <si>
    <t>Adrian Patriarca - 09/19/2024 09:42:05</t>
  </si>
  <si>
    <t>Adrian Patriarca - 09/19/2024 17:05:22</t>
  </si>
  <si>
    <t>8c65f6c7</t>
  </si>
  <si>
    <t>Adrian Patriarca - 09/18/2024 17:09:17</t>
  </si>
  <si>
    <t>84905973</t>
  </si>
  <si>
    <t>Sprint 1 HQ</t>
  </si>
  <si>
    <t>Adrian Patriarca - 09/18/2024 09:29:27</t>
  </si>
  <si>
    <t>Adrian Patriarca - 09/18/2024 13:47:46</t>
  </si>
  <si>
    <t>cab3deb6</t>
  </si>
  <si>
    <t>Capacitación</t>
  </si>
  <si>
    <t>Adrian Patriarca - 09/13/2024 12:17:28</t>
  </si>
  <si>
    <t>46c90761</t>
  </si>
  <si>
    <t>Sprint 1_ Refri integral</t>
  </si>
  <si>
    <t>si</t>
  </si>
  <si>
    <t>Adrian Patriarca - 09/16/2024 17:53:09</t>
  </si>
  <si>
    <t>fd192b1b</t>
  </si>
  <si>
    <t>Sprint 1 refri</t>
  </si>
  <si>
    <t>Adrian Patriarca - 09/17/2024 20:02:38</t>
  </si>
  <si>
    <t>99545d90</t>
  </si>
  <si>
    <t>Reunión de presentación Módulo - Inventario</t>
  </si>
  <si>
    <t>Felipe Duarte - 09/16/2024 15:54:26</t>
  </si>
  <si>
    <t>df9202b1</t>
  </si>
  <si>
    <t>Adrian Patriarca - 09/16/2024 17:52:54</t>
  </si>
  <si>
    <t>5c481d51</t>
  </si>
  <si>
    <t>Norte</t>
  </si>
  <si>
    <t>Adrian Patriarca - 09/16/2024 15:17:49</t>
  </si>
  <si>
    <t>Adrian Patriarca - 09/17/2024 10:32:12</t>
  </si>
  <si>
    <t>7d48fa34</t>
  </si>
  <si>
    <t>Sprint de Refri</t>
  </si>
  <si>
    <t>Adrian Patriarca - 09/17/2024 10:32:36</t>
  </si>
  <si>
    <t>cd2ad0e3</t>
  </si>
  <si>
    <t>Adrian Patriarca - 09/13/2024 12:16:36</t>
  </si>
  <si>
    <t>44d490d3</t>
  </si>
  <si>
    <t>Sprint Nation</t>
  </si>
  <si>
    <t>Adrian Patriarca - 09/06/2024 14:20:48</t>
  </si>
  <si>
    <t>Felipe Duarte - 09/16/2024 17:29:16</t>
  </si>
  <si>
    <t>0c9c6623</t>
  </si>
  <si>
    <t>Sprint Refri</t>
  </si>
  <si>
    <t>Adrian Patriarca - 09/16/2024 15:17:27</t>
  </si>
  <si>
    <t>Adrian Patriarca - 09/16/2024 18:49:26</t>
  </si>
  <si>
    <t>31df4624</t>
  </si>
  <si>
    <t>Pruebas TAC</t>
  </si>
  <si>
    <t>Felipe Duarte - 09/16/2024 15:50:11</t>
  </si>
  <si>
    <t>Felipe Duarte - 09/16/2024 17:29:12</t>
  </si>
  <si>
    <t>f7bc399e</t>
  </si>
  <si>
    <t>Finalización del Sprint_2</t>
  </si>
  <si>
    <t>Felipe Duarte - 09/16/2024 15:49:51</t>
  </si>
  <si>
    <t>6973a7a9</t>
  </si>
  <si>
    <t>Organización de la semana</t>
  </si>
  <si>
    <t>Adrian Patriarca - 09/16/2024 15:15:43</t>
  </si>
  <si>
    <t>be38e33a</t>
  </si>
  <si>
    <t>Revisión TACs - Reunión con Juan</t>
  </si>
  <si>
    <t>Felipe Duarte - 09/16/2024 15:48:43</t>
  </si>
  <si>
    <t>0d97a412</t>
  </si>
  <si>
    <t>Reunión con Felipe y puesta a punto de la App</t>
  </si>
  <si>
    <t>Adrian Patriarca - 09/16/2024 15:14:52</t>
  </si>
  <si>
    <t>9cda2d12</t>
  </si>
  <si>
    <t>C</t>
  </si>
  <si>
    <t>Adrian Patriarca - 09/16/2024 15:14:23</t>
  </si>
  <si>
    <t>bb1e3ca3</t>
  </si>
  <si>
    <t>Adrian Patriarca - 09/13/2024 12:16:27</t>
  </si>
  <si>
    <t>7fc00ad9</t>
  </si>
  <si>
    <t>Sprint 2 Modulo Gestión de Inventarios</t>
  </si>
  <si>
    <t>Adrian Patriarca - 09/13/2024 14:15:39</t>
  </si>
  <si>
    <t>Felipe Duarte - 09/14/2024 14:01:52</t>
  </si>
  <si>
    <t>1bdfba8f</t>
  </si>
  <si>
    <t>Adrian Patriarca - 09/11/2024 13:53:58</t>
  </si>
  <si>
    <t>Adrian Patriarca - 09/11/2024 10:11:45</t>
  </si>
  <si>
    <t>77f99816</t>
  </si>
  <si>
    <t>Migración APP</t>
  </si>
  <si>
    <t>Felipe Duarte - 09/14/2024 14:02:19</t>
  </si>
  <si>
    <t>08634c73</t>
  </si>
  <si>
    <t>Primera Reunión Idearte Mayorista - Apsol</t>
  </si>
  <si>
    <t>Adrian Patriarca - 09/11/2024 13:49:01</t>
  </si>
  <si>
    <t>7b22661e</t>
  </si>
  <si>
    <t>Preparación reunión Idearte Mayorista</t>
  </si>
  <si>
    <t>Adrian Patriarca - 09/11/2024 13:53:07</t>
  </si>
  <si>
    <t>6725a37f</t>
  </si>
  <si>
    <t>Modulo TAC Sprint 9</t>
  </si>
  <si>
    <t>Felipe Duarte - 09/12/2024 13:33:47</t>
  </si>
  <si>
    <t>f70532c9</t>
  </si>
  <si>
    <t>Ver lo realizado por Felipe</t>
  </si>
  <si>
    <t>Adrian Patriarca - 09/10/2024 18:43:34</t>
  </si>
  <si>
    <t>Adrian Patriarca - 09/13/2024 14:16:11</t>
  </si>
  <si>
    <t>f3bccd12</t>
  </si>
  <si>
    <t>Capacitación en AppSheet</t>
  </si>
  <si>
    <t>Adrian Patriarca - 09/02/2024 10:02:36</t>
  </si>
  <si>
    <t>b0e16a59</t>
  </si>
  <si>
    <t>Reunión HQ</t>
  </si>
  <si>
    <t>Adrian Patriarca - 09/11/2024 13:46:27</t>
  </si>
  <si>
    <t>8c763b45</t>
  </si>
  <si>
    <t>Adrian Patriarca - 09/06/2024 14:19:57</t>
  </si>
  <si>
    <t>6d3251a2</t>
  </si>
  <si>
    <t>Implementación app</t>
  </si>
  <si>
    <t>Renata Morano - 09/13/2024 08:25:33</t>
  </si>
  <si>
    <t>e47df7f9</t>
  </si>
  <si>
    <t>Preparación Reunión HQ</t>
  </si>
  <si>
    <t>Adrian Patriarca - 09/11/2024 13:50:27</t>
  </si>
  <si>
    <t>c1d9b216</t>
  </si>
  <si>
    <t>Adrian Patriarca - 09/02/2024 10:02:28</t>
  </si>
  <si>
    <t>Renata Morano - 09/13/2024 08:24:30</t>
  </si>
  <si>
    <t>27580ec9</t>
  </si>
  <si>
    <t>Adrian Patriarca - 09/09/2024 09:56:25</t>
  </si>
  <si>
    <t>bac10192</t>
  </si>
  <si>
    <t>Adrian Patriarca - 09/11/2024 13:50:58</t>
  </si>
  <si>
    <t>cf682e30</t>
  </si>
  <si>
    <t>Adrian Patriarca - 09/10/2024 18:44:32</t>
  </si>
  <si>
    <t>Adrian Patriarca - 09/11/2024 13:53:40</t>
  </si>
  <si>
    <t>65b80c64</t>
  </si>
  <si>
    <t>Renata Morano - 09/11/2024 11:41:08</t>
  </si>
  <si>
    <t>a3d66532</t>
  </si>
  <si>
    <t>0.5</t>
  </si>
  <si>
    <t>Tablero</t>
  </si>
  <si>
    <t>Renata Morano - 09/11/2024 11:40:16</t>
  </si>
  <si>
    <t>b9c02596</t>
  </si>
  <si>
    <t>Puesta en marcha del tablero On-line</t>
  </si>
  <si>
    <t>Adrian Patriarca - 09/11/2024 12:23:41</t>
  </si>
  <si>
    <t>9418c0da</t>
  </si>
  <si>
    <t>Adrian Patriarca - 09/02/2024 10:02:20</t>
  </si>
  <si>
    <t>Renata Morano - 09/11/2024 11:40:22</t>
  </si>
  <si>
    <t>7b100019</t>
  </si>
  <si>
    <t>73d57a1c</t>
  </si>
  <si>
    <t>Terminar App Garantias</t>
  </si>
  <si>
    <t>Adrian Patriarca - 09/06/2024 14:18:44</t>
  </si>
  <si>
    <t>Felipe Duarte - 09/10/2024 16:29:08</t>
  </si>
  <si>
    <t>1698e91b</t>
  </si>
  <si>
    <t>Reunión Insuga</t>
  </si>
  <si>
    <t>Adrian Patriarca - 09/09/2024 09:56:14</t>
  </si>
  <si>
    <t>Adrian Patriarca - 09/10/2024 18:36:51</t>
  </si>
  <si>
    <t>f1915f05</t>
  </si>
  <si>
    <t>Tablero Garantias DG</t>
  </si>
  <si>
    <t>Adrian Patriarca - 09/02/2024 10:02:14</t>
  </si>
  <si>
    <t>Renata Morano - 09/10/2024 11:26:40</t>
  </si>
  <si>
    <t>9681bc16</t>
  </si>
  <si>
    <t>Adrian Patriarca - 09/10/2024 18:36:42</t>
  </si>
  <si>
    <t>be1a84e0</t>
  </si>
  <si>
    <t>Adrian Patriarca - 09/09/2024 19:20:05</t>
  </si>
  <si>
    <t>Renata Morano - 09/10/2024 11:26:34</t>
  </si>
  <si>
    <t>f3c4f928</t>
  </si>
  <si>
    <t>TERMINAR CON LA APP!!</t>
  </si>
  <si>
    <t>Adrian Patriarca - 09/09/2024 09:41:47</t>
  </si>
  <si>
    <t>Felipe Duarte - 09/09/2024 16:51:34</t>
  </si>
  <si>
    <t>5e3b8558</t>
  </si>
  <si>
    <t>Tablero HL + Actualizaciones vía API</t>
  </si>
  <si>
    <t>Adrian Patriarca - 09/10/2024 08:53:16</t>
  </si>
  <si>
    <t>51a445b5</t>
  </si>
  <si>
    <t>Adrian Patriarca - 09/09/2024 14:01:54</t>
  </si>
  <si>
    <t>561c0ce8</t>
  </si>
  <si>
    <t>Corregir App. Mantenimiento_Sprint 5</t>
  </si>
  <si>
    <t>Adrian Patriarca - 09/06/2024 18:12:12</t>
  </si>
  <si>
    <t>Felipe Duarte - 09/09/2024 16:51:21</t>
  </si>
  <si>
    <t>47969668</t>
  </si>
  <si>
    <t>Adrian Patriarca - 09/09/2024 14:02:13</t>
  </si>
  <si>
    <t>Adrian Patriarca - 09/09/2024 13:43:49</t>
  </si>
  <si>
    <t>f20acba5</t>
  </si>
  <si>
    <t>Sprint 9 y 10 Nation</t>
  </si>
  <si>
    <t>Adrian Patriarca - 09/09/2024 12:21:19</t>
  </si>
  <si>
    <t>1c13656b</t>
  </si>
  <si>
    <t>Adrian Patriarca - 09/09/2024 09:48:29</t>
  </si>
  <si>
    <t>Adrian Patriarca - 09/09/2024 11:48:07</t>
  </si>
  <si>
    <t>50aef04a</t>
  </si>
  <si>
    <t>Realicé el Sprint de corrección para Felipe. (Mantenimiento)</t>
  </si>
  <si>
    <t>d2e8ebb6</t>
  </si>
  <si>
    <t>Sprint</t>
  </si>
  <si>
    <t>Adrian Patriarca - 09/09/2024 09:55:39</t>
  </si>
  <si>
    <t>48f346be</t>
  </si>
  <si>
    <t>Adrian Patriarca - 09/03/2024 14:01:36</t>
  </si>
  <si>
    <t>Adrian Patriarca - 09/08/2024 13:22:51</t>
  </si>
  <si>
    <t>9a2ab2ee</t>
  </si>
  <si>
    <t>a</t>
  </si>
  <si>
    <t>Adrian Patriarca - 09/06/2024 17:54:47</t>
  </si>
  <si>
    <t>2819fa0e</t>
  </si>
  <si>
    <t>Continuación Sprint 2_ App HL_ Felipe</t>
  </si>
  <si>
    <t>Felipe Duarte - 09/06/2024 16:13:53</t>
  </si>
  <si>
    <t>cb3b1e1e</t>
  </si>
  <si>
    <t>3er reunión Agustina y Nicolas</t>
  </si>
  <si>
    <t>Adrian Patriarca - 08/29/2024 15:57:37</t>
  </si>
  <si>
    <t>Adrian Patriarca - 09/06/2024 15:33:28</t>
  </si>
  <si>
    <t>023ff45d</t>
  </si>
  <si>
    <t>Correcciones y video explicativo</t>
  </si>
  <si>
    <t>Felipe Duarte - 09/06/2024 16:12:29</t>
  </si>
  <si>
    <t>2342f602</t>
  </si>
  <si>
    <t>Adrian Patriarca - 09/03/2024 14:01:19</t>
  </si>
  <si>
    <t>Adrian Patriarca - 09/06/2024 09:41:47</t>
  </si>
  <si>
    <t>b78e3d65</t>
  </si>
  <si>
    <t>Armar Sprint de Refri</t>
  </si>
  <si>
    <t>Adrian Patriarca - 09/02/2024 17:26:39</t>
  </si>
  <si>
    <t>Adrian Patriarca - 09/06/2024 09:41:43</t>
  </si>
  <si>
    <t>2f2d05c8</t>
  </si>
  <si>
    <t>Tablero de automatización</t>
  </si>
  <si>
    <t>Adrian Patriarca - 09/02/2024 09:52:43</t>
  </si>
  <si>
    <t>Adrian Patriarca - 09/06/2024 17:47:13</t>
  </si>
  <si>
    <t>636e9a25</t>
  </si>
  <si>
    <t>Sprint 2_ App HL_ Felipe</t>
  </si>
  <si>
    <t>Adrian Patriarca - 09/02/2024 09:49:34</t>
  </si>
  <si>
    <t>Felipe Duarte - 09/05/2024 17:26:37</t>
  </si>
  <si>
    <t>1b646f92</t>
  </si>
  <si>
    <t>Adrian Patriarca - 09/03/2024 17:58:44</t>
  </si>
  <si>
    <t>c37f9c8c</t>
  </si>
  <si>
    <t>Reunión Nation</t>
  </si>
  <si>
    <t>Adrian Patriarca - 09/02/2024 12:57:12</t>
  </si>
  <si>
    <t>Adrian Patriarca - 09/02/2024 12:59:04</t>
  </si>
  <si>
    <t>ce60d3ea</t>
  </si>
  <si>
    <t>General_Sprint 1</t>
  </si>
  <si>
    <t>Felipe Duarte - 09/05/2024 13:51:42</t>
  </si>
  <si>
    <t>Felipe Duarte - 09/05/2024 17:26:29</t>
  </si>
  <si>
    <t>cd8e2047</t>
  </si>
  <si>
    <t>Adrian Patriarca - 09/02/2024 12:58:54</t>
  </si>
  <si>
    <t>Adrian Patriarca - 09/05/2024 17:02:44</t>
  </si>
  <si>
    <t>a8aadcbf</t>
  </si>
  <si>
    <t>Adrian Patriarca - 09/02/2024 09:34:43</t>
  </si>
  <si>
    <t>Adrian Patriarca - 09/05/2024 17:02:34</t>
  </si>
  <si>
    <t>4bc97fd9</t>
  </si>
  <si>
    <t>Sprint 2 Tablero de control</t>
  </si>
  <si>
    <t>Adrian Patriarca - 09/02/2024 09:53:37</t>
  </si>
  <si>
    <t>Adrian Patriarca - 09/06/2024 17:47:17</t>
  </si>
  <si>
    <t>e73e735c</t>
  </si>
  <si>
    <t>Adrian Patriarca - 09/03/2024 14:00:21</t>
  </si>
  <si>
    <t>Adrian Patriarca - 09/04/2024 18:14:18</t>
  </si>
  <si>
    <t>6a378aea</t>
  </si>
  <si>
    <t>Video explicativo - App "Trabajos de mantenimiento"</t>
  </si>
  <si>
    <t>Felipe Duarte - 09/05/2024 13:50:38</t>
  </si>
  <si>
    <t>19e6680f</t>
  </si>
  <si>
    <t>Reunión con ALAN</t>
  </si>
  <si>
    <t>Adrian Patriarca - 08/29/2024 11:21:05</t>
  </si>
  <si>
    <t>Adrian Patriarca - 09/02/2024 13:00:56</t>
  </si>
  <si>
    <t>68b965d1</t>
  </si>
  <si>
    <t>Consultas de Juan</t>
  </si>
  <si>
    <t>Felipe Duarte - 09/05/2024 13:50:46</t>
  </si>
  <si>
    <t>d8d3290a</t>
  </si>
  <si>
    <t>Preparación Reunión con Alan</t>
  </si>
  <si>
    <t>Adrian Patriarca - 08/29/2024 11:21:59</t>
  </si>
  <si>
    <t>Adrian Patriarca - 09/04/2024 12:24:05</t>
  </si>
  <si>
    <t>9b33713c</t>
  </si>
  <si>
    <t>Primera Reunión APP A todo color</t>
  </si>
  <si>
    <t>Adrian Patriarca - 09/02/2024 14:40:51</t>
  </si>
  <si>
    <t>Adrian Patriarca - 09/03/2024 13:59:11</t>
  </si>
  <si>
    <t>d71d5f25</t>
  </si>
  <si>
    <t>Renata Morano - 09/04/2024 10:16:32</t>
  </si>
  <si>
    <t>Adrian Patriarca - 09/06/2024 17:47:21</t>
  </si>
  <si>
    <t>d25fff03</t>
  </si>
  <si>
    <t>Adrian Patriarca - 09/02/2024 16:59:48</t>
  </si>
  <si>
    <t>Adrian Patriarca - 09/03/2024 20:34:16</t>
  </si>
  <si>
    <t>1779cf93</t>
  </si>
  <si>
    <t>Problemas de sincronización</t>
  </si>
  <si>
    <t>Felipe Duarte - 09/03/2024 17:49:01</t>
  </si>
  <si>
    <t>dc172f51</t>
  </si>
  <si>
    <t>- modificar tablero productivo aplicando ritmo con metro/min de papel
- separar las impresoras en RIG, ITC, MI6 e IBB
- dejar indicador de productividad pero el OEE que este atado al indicador de Ritmo
- RQI mantenimiento no ve en los informes el tema de los preventivos porque el origen no es una maquina sino que soy yo. Como se puede hacer para redireccionar el RQI o asignarle el tiempo a una maquina siendo que el ordigen no es una maquina
- RQI integracion del preventivo con el sistema de partes diarios (ver con emmanuel)</t>
  </si>
  <si>
    <t>Adrian Patriarca - 09/03/2024 11:11:35</t>
  </si>
  <si>
    <t>f26f8029</t>
  </si>
  <si>
    <t>Mantenimiento_Sprint 4</t>
  </si>
  <si>
    <t>Adrian Patriarca - 09/02/2024 09:44:33</t>
  </si>
  <si>
    <t>Felipe Duarte - 09/05/2024 13:51:21</t>
  </si>
  <si>
    <t>91a95ec5</t>
  </si>
  <si>
    <t>Adrian Patriarca - 09/02/2024 09:34:32</t>
  </si>
  <si>
    <t>Adrian Patriarca - 09/03/2024 09:40:43</t>
  </si>
  <si>
    <t>c1431de1</t>
  </si>
  <si>
    <t>Tablero Estadísticas</t>
  </si>
  <si>
    <t>Renata Morano - 09/03/2024 10:14:14</t>
  </si>
  <si>
    <t>f70d3732</t>
  </si>
  <si>
    <t>Hacer: Mantenimiento_Sprint 4, General_Sprint 1</t>
  </si>
  <si>
    <t>Adrian Patriarca - 09/02/2024 09:43:57</t>
  </si>
  <si>
    <t>Felipe Duarte - 09/02/2024 17:27:34</t>
  </si>
  <si>
    <t>59b4be3c</t>
  </si>
  <si>
    <t>TAC Nation - Migración de cuenta y puesta a punto.</t>
  </si>
  <si>
    <t>Felipe Duarte - 09/02/2024 17:29:13</t>
  </si>
  <si>
    <t>c37a41ee</t>
  </si>
  <si>
    <t>Adrian Patriarca - 08/29/2024 11:22:27</t>
  </si>
  <si>
    <t>Adrian Patriarca - 09/02/2024 17:22:06</t>
  </si>
  <si>
    <t>519dde34</t>
  </si>
  <si>
    <t>Tablero estadistica</t>
  </si>
  <si>
    <t>Adrian Patriarca - 09/02/2024 09:35:31</t>
  </si>
  <si>
    <t>13de9a59</t>
  </si>
  <si>
    <t>Adrian Patriarca - 08/28/2024 13:30:20</t>
  </si>
  <si>
    <t>Adrian Patriarca - 08/28/2024 13:25:04</t>
  </si>
  <si>
    <t>e5bf8f66</t>
  </si>
  <si>
    <t>Compra de API WhatsApp</t>
  </si>
  <si>
    <t>Adrian Patriarca - 08/29/2024 18:44:08</t>
  </si>
  <si>
    <t>15182025</t>
  </si>
  <si>
    <t>Adrian Patriarca - 08/30/2024 18:51:30</t>
  </si>
  <si>
    <t>Adrian Patriarca - 08/30/2024 21:43:14</t>
  </si>
  <si>
    <t>335023ec</t>
  </si>
  <si>
    <t>Adrian Patriarca - 08/30/2024 14:29:26</t>
  </si>
  <si>
    <t>12d84a70</t>
  </si>
  <si>
    <t>Sprint 1 Modulo Gestión de Inventarios</t>
  </si>
  <si>
    <t>Adrian Patriarca - 08/27/2024 09:47:45</t>
  </si>
  <si>
    <t>Felipe Duarte - 08/30/2024 18:33:11</t>
  </si>
  <si>
    <t>2adee0c1</t>
  </si>
  <si>
    <t>Adrian Patriarca - 08/28/2024 13:34:36</t>
  </si>
  <si>
    <t>Adrian Patriarca - 08/30/2024 14:29:08</t>
  </si>
  <si>
    <t>d10ec941</t>
  </si>
  <si>
    <t>Adrian Patriarca - 08/30/2024 11:28:36</t>
  </si>
  <si>
    <t>2b97637e</t>
  </si>
  <si>
    <t>Sprint 1_ Tablero de Control Estadistica Comerciales</t>
  </si>
  <si>
    <t>Adrian Patriarca - 08/26/2024 14:25:15</t>
  </si>
  <si>
    <t>Adrian Patriarca - 08/30/2024 14:24:23</t>
  </si>
  <si>
    <t>b0a7ff7d</t>
  </si>
  <si>
    <t>Adrian Patriarca - 08/28/2024 13:21:25</t>
  </si>
  <si>
    <t>Adrian Patriarca - 08/28/2024 14:26:37</t>
  </si>
  <si>
    <t>8328fb0d</t>
  </si>
  <si>
    <t>Acomodar los script de HL y Dar FeedBack de el tablero a Renata</t>
  </si>
  <si>
    <t>Adrian Patriarca - 08/28/2024 13:28:58</t>
  </si>
  <si>
    <t>Adrian Patriarca - 08/28/2024 14:26:34</t>
  </si>
  <si>
    <t>abc13e29</t>
  </si>
  <si>
    <t>Adrian Patriarca - 08/26/2024 13:33:44</t>
  </si>
  <si>
    <t>Adrian Patriarca - 08/26/2024 13:38:31</t>
  </si>
  <si>
    <t>6c8bb9eb</t>
  </si>
  <si>
    <t>Consultora cosas varias</t>
  </si>
  <si>
    <t>Adrian Patriarca - 08/29/2024 10:51:23</t>
  </si>
  <si>
    <t>c5946654</t>
  </si>
  <si>
    <t>Reunión con Cristian</t>
  </si>
  <si>
    <t>Adrian Patriarca - 08/29/2024 10:50:34</t>
  </si>
  <si>
    <t>cb5ae65d</t>
  </si>
  <si>
    <t>Reunión con renata</t>
  </si>
  <si>
    <t>Adrian Patriarca - 08/29/2024 10:47:43</t>
  </si>
  <si>
    <t>b7046028</t>
  </si>
  <si>
    <t>Adrian Patriarca - 08/26/2024 14:24:56</t>
  </si>
  <si>
    <t>Adrian Patriarca - 08/30/2024 14:24:45</t>
  </si>
  <si>
    <t>1f3304d3</t>
  </si>
  <si>
    <t>Sprint 3 Analisis de demanda</t>
  </si>
  <si>
    <t>Adrian Patriarca - 08/29/2024 09:41:13</t>
  </si>
  <si>
    <t>Adrian Patriarca - 08/30/2024 14:24:31</t>
  </si>
  <si>
    <t>70f081cb</t>
  </si>
  <si>
    <t>Segunda reunión de diagnostico</t>
  </si>
  <si>
    <t>Adrian Patriarca - 08/27/2024 10:01:30</t>
  </si>
  <si>
    <t>Adrian Patriarca - 08/28/2024 22:59:39</t>
  </si>
  <si>
    <t>79580eb9</t>
  </si>
  <si>
    <t>Adrian Patriarca - 08/28/2024 12:09:32</t>
  </si>
  <si>
    <t>Adrian Patriarca - 08/28/2024 14:47:46</t>
  </si>
  <si>
    <t>8bf67032</t>
  </si>
  <si>
    <t>Reunión para continuar con la ultima parte de la APP</t>
  </si>
  <si>
    <t>Adrian Patriarca - 08/28/2024 12:09:03</t>
  </si>
  <si>
    <t>9cfe4f2b</t>
  </si>
  <si>
    <t>Adrian Patriarca - 08/26/2024 14:21:04</t>
  </si>
  <si>
    <t>Adrian Patriarca - 08/30/2024 14:24:52</t>
  </si>
  <si>
    <t>e00eca8b</t>
  </si>
  <si>
    <t>Adrian Patriarca - 08/28/2024 12:09:57</t>
  </si>
  <si>
    <t>d09dbfc8</t>
  </si>
  <si>
    <t>Felipe Duarte - 08/29/2024 13:30:06</t>
  </si>
  <si>
    <t>Felipe Duarte - 08/29/2024 13:31:06</t>
  </si>
  <si>
    <t>4d09a861</t>
  </si>
  <si>
    <t>DG - Módulo de garantías</t>
  </si>
  <si>
    <t>Adrian Patriarca - 08/26/2024 13:37:29</t>
  </si>
  <si>
    <t>Felipe Duarte - 08/29/2024 13:29:07</t>
  </si>
  <si>
    <t>13bf3fd2</t>
  </si>
  <si>
    <t>Adrian Patriarca - 08/27/2024 09:52:54</t>
  </si>
  <si>
    <t>b98d9f43</t>
  </si>
  <si>
    <t>Adrian Patriarca - 08/26/2024 11:21:11</t>
  </si>
  <si>
    <t>d9ba573d</t>
  </si>
  <si>
    <t>Adrian Patriarca - 08/27/2024 09:53:15</t>
  </si>
  <si>
    <t>4f34a811</t>
  </si>
  <si>
    <t>www.apsol.com.ar</t>
  </si>
  <si>
    <t>esto es una prueba</t>
  </si>
  <si>
    <t>Adrian Patriarca - 08/26/2024 21:33:09</t>
  </si>
  <si>
    <t>Adrian Patriarca - 08/26/2024 21:46:26</t>
  </si>
  <si>
    <t>32057be0</t>
  </si>
  <si>
    <t>Adrian Patriarca - 08/26/2024 10:22:56</t>
  </si>
  <si>
    <t>24e3c57a</t>
  </si>
  <si>
    <t>c6f5b633</t>
  </si>
  <si>
    <t>Adrian Patriarca - 08/26/2024 10:22:29</t>
  </si>
  <si>
    <t>a9f2947d</t>
  </si>
  <si>
    <t>Adrian Patriarca - 08/26/2024 10:21:59</t>
  </si>
  <si>
    <t>95965a88</t>
  </si>
  <si>
    <t>Terminar el tablero de Garantías de DG</t>
  </si>
  <si>
    <t>Adrian Patriarca - 08/26/2024 10:56:49</t>
  </si>
  <si>
    <t>40f019cd</t>
  </si>
  <si>
    <t>01b4d2f8</t>
  </si>
  <si>
    <t>73236d50</t>
  </si>
  <si>
    <t>f8927a45</t>
  </si>
  <si>
    <t>Sprint 1 GARANTIA</t>
  </si>
  <si>
    <t>90d14896</t>
  </si>
  <si>
    <t>Reparación tablero NM</t>
  </si>
  <si>
    <t>deb0be90</t>
  </si>
  <si>
    <t>Preparar Reunión con Alan</t>
  </si>
  <si>
    <t>2d49554c</t>
  </si>
  <si>
    <t>Tablero Garantías DG</t>
  </si>
  <si>
    <t>d5233f0c</t>
  </si>
  <si>
    <t>Cosas Varias</t>
  </si>
  <si>
    <t>03c7d9db</t>
  </si>
  <si>
    <t>Sprint Agosto DG</t>
  </si>
  <si>
    <t>8b814c22</t>
  </si>
  <si>
    <t>Inicio de consultoría</t>
  </si>
  <si>
    <t>fb36b4c1</t>
  </si>
  <si>
    <t>3d961b23</t>
  </si>
  <si>
    <t>ec56c84d</t>
  </si>
  <si>
    <t>f975111e</t>
  </si>
  <si>
    <t>8ff3e3de</t>
  </si>
  <si>
    <t>Terminar el sprint para Felipe y Empezar a ver el tema de el flujo de caja + Reunión con Pablo</t>
  </si>
  <si>
    <t>b54d4eb7</t>
  </si>
  <si>
    <t>Reuniones</t>
  </si>
  <si>
    <t>b3fe75c8</t>
  </si>
  <si>
    <t>a7a44db4</t>
  </si>
  <si>
    <t>83d54e90</t>
  </si>
  <si>
    <t>Sprint_8</t>
  </si>
  <si>
    <t>6824bd2f</t>
  </si>
  <si>
    <t>Ayudarla a renata con el tablero</t>
  </si>
  <si>
    <t>421671fc</t>
  </si>
  <si>
    <t>37295ce9</t>
  </si>
  <si>
    <t>Reunión Para ver el nuevo modulo de la App</t>
  </si>
  <si>
    <t>31a63974</t>
  </si>
  <si>
    <t>Automatización de tableros de Control</t>
  </si>
  <si>
    <t>ec4c5311</t>
  </si>
  <si>
    <t>Terminar mi puta App</t>
  </si>
  <si>
    <t>eae756ac</t>
  </si>
  <si>
    <t>Terminar el sprint para Felipe y Empezar a ver el tema de el flujo de caja</t>
  </si>
  <si>
    <t>ce770732</t>
  </si>
  <si>
    <t>51f9e448</t>
  </si>
  <si>
    <t>Terminar con todas las pequeñas actividades</t>
  </si>
  <si>
    <t>d04a79d8</t>
  </si>
  <si>
    <t>31e49fac</t>
  </si>
  <si>
    <t>d28836e8</t>
  </si>
  <si>
    <t>Terminar con lo de HL</t>
  </si>
  <si>
    <t>93fbad8f</t>
  </si>
  <si>
    <t>Armar Cronograma y programar reuniones</t>
  </si>
  <si>
    <t>699612b4</t>
  </si>
  <si>
    <t>Ver Feedback App Natión y terminar con todo</t>
  </si>
  <si>
    <t>Adrian Patriarca - 08/26/2024 17:54:20</t>
  </si>
  <si>
    <t>5b91f088</t>
  </si>
  <si>
    <t>FeedBack Nation y Reunión con felipe</t>
  </si>
  <si>
    <t>075a7579</t>
  </si>
  <si>
    <t>HL</t>
  </si>
  <si>
    <t>4dbe4d0d</t>
  </si>
  <si>
    <t>7c33a708</t>
  </si>
  <si>
    <t>PowerBi</t>
  </si>
  <si>
    <t>6d118a3b</t>
  </si>
  <si>
    <t>5b031510</t>
  </si>
  <si>
    <t>c740906f</t>
  </si>
  <si>
    <t>8150fc4e</t>
  </si>
  <si>
    <t>0cf16ddb</t>
  </si>
  <si>
    <t>170c32d3</t>
  </si>
  <si>
    <t>e8147c78</t>
  </si>
  <si>
    <t>Actualización tableros</t>
  </si>
  <si>
    <t>3c094967</t>
  </si>
  <si>
    <t>a874e60a</t>
  </si>
  <si>
    <t>f122fb60</t>
  </si>
  <si>
    <t>Capacitación actualización HL</t>
  </si>
  <si>
    <t>7e30db88</t>
  </si>
  <si>
    <t>b8f22197</t>
  </si>
  <si>
    <t>238e055a</t>
  </si>
  <si>
    <t>Nation</t>
  </si>
  <si>
    <t>ddedcbb0</t>
  </si>
  <si>
    <t>601a76af</t>
  </si>
  <si>
    <t>552d1cd4</t>
  </si>
  <si>
    <t>HQ- https://teams.live.com/meet/9313771036029?p=v9H5Kd7aYwMVYvUrri</t>
  </si>
  <si>
    <t>a4aee4e3</t>
  </si>
  <si>
    <t>7ac12ef8</t>
  </si>
  <si>
    <t>09643b62</t>
  </si>
  <si>
    <t>b6e9c8be</t>
  </si>
  <si>
    <t>ff1eded9</t>
  </si>
  <si>
    <t>1ab4cb9c</t>
  </si>
  <si>
    <t>d184a8ec</t>
  </si>
  <si>
    <t>e325eb3d</t>
  </si>
  <si>
    <t>e33408d5</t>
  </si>
  <si>
    <t>ee9e60b4</t>
  </si>
  <si>
    <t>e0bd2580</t>
  </si>
  <si>
    <t>f94903f1</t>
  </si>
  <si>
    <t>3b8b3a89</t>
  </si>
  <si>
    <t>d5725bad</t>
  </si>
  <si>
    <t>526d0dac</t>
  </si>
  <si>
    <t>384158c8</t>
  </si>
  <si>
    <t>Adrian Patriarca - 08/26/2024 09:29:43</t>
  </si>
  <si>
    <t>Adrian Patriarca - 08/26/2024 09:28:19</t>
  </si>
  <si>
    <t>420c75f0</t>
  </si>
  <si>
    <t>Nat</t>
  </si>
  <si>
    <t>5b30e7a7</t>
  </si>
  <si>
    <t>N-M</t>
  </si>
  <si>
    <t>5f44c83c</t>
  </si>
  <si>
    <t>a1ae6c93</t>
  </si>
  <si>
    <t>fb2c6d19</t>
  </si>
  <si>
    <t>a4731e64</t>
  </si>
  <si>
    <t>Adrian Patriarca - 08/26/2024 09:29:13</t>
  </si>
  <si>
    <t>e78232af</t>
  </si>
  <si>
    <t>c2d85709</t>
  </si>
  <si>
    <t>Adrian Patriarca - 08/26/2024 09:29:00</t>
  </si>
  <si>
    <t>26f7ba48</t>
  </si>
  <si>
    <t>79b71f0f</t>
  </si>
  <si>
    <t>Adrian Patriarca - 08/26/2024 09:28:40</t>
  </si>
  <si>
    <t>4d01a1f1</t>
  </si>
  <si>
    <t>5a66ecb4</t>
  </si>
  <si>
    <t>Adrian Patriarca - 08/26/2024 09:27:59</t>
  </si>
  <si>
    <t>8c7a1376</t>
  </si>
  <si>
    <t>e5ed1cd6</t>
  </si>
  <si>
    <t>de70c4b7</t>
  </si>
  <si>
    <t>b679b9b9</t>
  </si>
  <si>
    <t>a2f8ec93</t>
  </si>
  <si>
    <t>46cf312c</t>
  </si>
  <si>
    <t>da166270</t>
  </si>
  <si>
    <t>ec3ac658</t>
  </si>
  <si>
    <t>Adrian Patriarca - 08/26/2024 09:27:37</t>
  </si>
  <si>
    <t>Adrian Patriarca - 08/26/2024 09:20:25</t>
  </si>
  <si>
    <t>42d3620a</t>
  </si>
  <si>
    <t>b2f308e2</t>
  </si>
  <si>
    <t>09c604f7</t>
  </si>
  <si>
    <t>037f0c20</t>
  </si>
  <si>
    <t>594c24a2</t>
  </si>
  <si>
    <t>Adrian Patriarca - 08/26/2024 09:27:22</t>
  </si>
  <si>
    <t>171232d7</t>
  </si>
  <si>
    <t>Adrian Patriarca - 08/26/2024 09:27:13</t>
  </si>
  <si>
    <t>f1c5e9ff</t>
  </si>
  <si>
    <t>4afd49b9</t>
  </si>
  <si>
    <t>63facdc8</t>
  </si>
  <si>
    <t>Adrian Patriarca - 08/26/2024 09:27:03</t>
  </si>
  <si>
    <t>e15f4aec</t>
  </si>
  <si>
    <t>8acaa25b</t>
  </si>
  <si>
    <t>e9eca8fe</t>
  </si>
  <si>
    <t>c67004c6</t>
  </si>
  <si>
    <t>8a04da76</t>
  </si>
  <si>
    <t>Adrian Patriarca - 08/26/2024 09:23:18</t>
  </si>
  <si>
    <t>Adrian Patriarca - 08/26/2024 09:26:52</t>
  </si>
  <si>
    <t>4508cb86</t>
  </si>
  <si>
    <t>391bcb23</t>
  </si>
  <si>
    <t>Adrian Patriarca - 08/26/2024 09:23:03</t>
  </si>
  <si>
    <t>e2e696ce</t>
  </si>
  <si>
    <t>d82e6b59</t>
  </si>
  <si>
    <t>31ffa201</t>
  </si>
  <si>
    <t>Adrian Patriarca - 08/26/2024 09:22:43</t>
  </si>
  <si>
    <t>f6e7707f</t>
  </si>
  <si>
    <t>ab3bbae5</t>
  </si>
  <si>
    <t>fc63df0c</t>
  </si>
  <si>
    <t>7b3a6840</t>
  </si>
  <si>
    <t>RI</t>
  </si>
  <si>
    <t>b0db5b05</t>
  </si>
  <si>
    <t>Adrian Patriarca - 08/26/2024 09:22:07</t>
  </si>
  <si>
    <t>df8981ba</t>
  </si>
  <si>
    <t>6be1a3c7</t>
  </si>
  <si>
    <t>d28f192c</t>
  </si>
  <si>
    <t>Adrian Patriarca - 08/26/2024 09:21:59</t>
  </si>
  <si>
    <t>c8027c75</t>
  </si>
  <si>
    <t>616bfe74</t>
  </si>
  <si>
    <t>8bcd8749</t>
  </si>
  <si>
    <t>0623c55c</t>
  </si>
  <si>
    <t>1ff576d8</t>
  </si>
  <si>
    <t>Adrian Patriarca - 08/26/2024 09:21:34</t>
  </si>
  <si>
    <t>19c7330a</t>
  </si>
  <si>
    <t>633942d3</t>
  </si>
  <si>
    <t>0d5adc6d</t>
  </si>
  <si>
    <t>0fcb183b</t>
  </si>
  <si>
    <t>Adrian Patriarca - 08/26/2024 09:21:28</t>
  </si>
  <si>
    <t>6e6908a5</t>
  </si>
  <si>
    <t>Adrian Patriarca - 08/26/2024 09:21:22</t>
  </si>
  <si>
    <t>e2d0b68f</t>
  </si>
  <si>
    <t>c268dfab</t>
  </si>
  <si>
    <t>dacd9b51</t>
  </si>
  <si>
    <t>Adrian Patriarca - 08/26/2024 09:21:10</t>
  </si>
  <si>
    <t>0f6ce7a3</t>
  </si>
  <si>
    <t>f190efe6</t>
  </si>
  <si>
    <t>e603fbca</t>
  </si>
  <si>
    <t>c7556f2b</t>
  </si>
  <si>
    <t>a28acbdb</t>
  </si>
  <si>
    <t>Adrian Patriarca - 08/26/2024 09:19:25</t>
  </si>
  <si>
    <t>c6933d86</t>
  </si>
  <si>
    <t>Adrian Patriarca - 08/26/2024 09:19:07</t>
  </si>
  <si>
    <t>Adrian Patriarca - 08/26/2024 09:08:18</t>
  </si>
  <si>
    <t>0a5a4cc3</t>
  </si>
  <si>
    <t>2615dc47</t>
  </si>
  <si>
    <t>Adrian Patriarca - 08/26/2024 09:18:55</t>
  </si>
  <si>
    <t>9e7c09f9</t>
  </si>
  <si>
    <t>cbebf357</t>
  </si>
  <si>
    <t>Adrian Patriarca - 08/26/2024 09:18:33</t>
  </si>
  <si>
    <t>ef657bc9</t>
  </si>
  <si>
    <t>c347f2b6</t>
  </si>
  <si>
    <t>6219bd48</t>
  </si>
  <si>
    <t>Adrian Patriarca - 08/26/2024 09:17:40</t>
  </si>
  <si>
    <t>758d7483</t>
  </si>
  <si>
    <t>Adrian Patriarca - 08/26/2024 09:17:19</t>
  </si>
  <si>
    <t>9ba0f1ac</t>
  </si>
  <si>
    <t>e092674e</t>
  </si>
  <si>
    <t>Adrian Patriarca - 08/26/2024 09:17:03</t>
  </si>
  <si>
    <t>5cf717c2</t>
  </si>
  <si>
    <t>8161f303</t>
  </si>
  <si>
    <t>Adrian Patriarca - 08/26/2024 09:16:25</t>
  </si>
  <si>
    <t>3d8f58f9</t>
  </si>
  <si>
    <t>fb15dd4f</t>
  </si>
  <si>
    <t>fb7e0634</t>
  </si>
  <si>
    <t>Adrian Patriarca - 08/26/2024 09:16:14</t>
  </si>
  <si>
    <t>84cda02f</t>
  </si>
  <si>
    <t>fc2a5066</t>
  </si>
  <si>
    <t>Adrian Patriarca - 08/26/2024 09:10:07</t>
  </si>
  <si>
    <t>Adrian Patriarca - 08/26/2024 09:16:03</t>
  </si>
  <si>
    <t>6eeb7ad8</t>
  </si>
  <si>
    <t>7d809920</t>
  </si>
  <si>
    <t>Adrian Patriarca - 08/26/2024 09:15:39</t>
  </si>
  <si>
    <t>b9ce82b8</t>
  </si>
  <si>
    <t>884fa82a</t>
  </si>
  <si>
    <t>f96725fa</t>
  </si>
  <si>
    <t>90e2aff5</t>
  </si>
  <si>
    <t>05934ea7</t>
  </si>
  <si>
    <t>a56d65f5</t>
  </si>
  <si>
    <t>A</t>
  </si>
  <si>
    <t>7e91e4ce</t>
  </si>
  <si>
    <t>Adrian Patriarca - 08/26/2024 09:10:00</t>
  </si>
  <si>
    <t>f79ae16e</t>
  </si>
  <si>
    <t>b840e054</t>
  </si>
  <si>
    <t>Adrian Patriarca - 08/26/2024 09:09:50</t>
  </si>
  <si>
    <t>47225d40</t>
  </si>
  <si>
    <t>Adrian Patriarca - 08/26/2024 09:09:33</t>
  </si>
  <si>
    <t>981b412f</t>
  </si>
  <si>
    <t>1d308129</t>
  </si>
  <si>
    <t>23901fe3</t>
  </si>
  <si>
    <t>Adrian Patriarca - 08/26/2024 09:09:02</t>
  </si>
  <si>
    <t>fbe57a8a</t>
  </si>
  <si>
    <t>Adrian Patriarca - 08/26/2024 09:08:46</t>
  </si>
  <si>
    <t>46d5e74e</t>
  </si>
  <si>
    <t>b6eac675</t>
  </si>
  <si>
    <t>Adrian Patriarca - 08/26/2024 09:07:58</t>
  </si>
  <si>
    <t>f45f73a3</t>
  </si>
  <si>
    <t>e264eda2</t>
  </si>
  <si>
    <t>09d25ec7</t>
  </si>
  <si>
    <t>44f1d879</t>
  </si>
  <si>
    <t>Adrian Patriarca - 08/26/2024 09:07:44</t>
  </si>
  <si>
    <t>a0710e12</t>
  </si>
  <si>
    <t>Adrian Patriarca - 08/26/2024 09:07:33</t>
  </si>
  <si>
    <t>f2d3c03f</t>
  </si>
  <si>
    <t>eb0b8dd9</t>
  </si>
  <si>
    <t>12217a13</t>
  </si>
  <si>
    <t>Adrian Patriarca - 08/26/2024 09:06:16</t>
  </si>
  <si>
    <t>68a193eb</t>
  </si>
  <si>
    <t>3093105b</t>
  </si>
  <si>
    <t>54b6d5f3</t>
  </si>
  <si>
    <t>Adrian Patriarca - 08/26/2024 09:05:57</t>
  </si>
  <si>
    <t>89732ad6</t>
  </si>
  <si>
    <t>5fb61328</t>
  </si>
  <si>
    <t>9d7a6e96</t>
  </si>
  <si>
    <t>Adrian Patriarca - 08/26/2024 09:05:42</t>
  </si>
  <si>
    <t>2b460e1c</t>
  </si>
  <si>
    <t>2192c2c3</t>
  </si>
  <si>
    <t>d3f325bb</t>
  </si>
  <si>
    <t>3621bf09</t>
  </si>
  <si>
    <t>Adrian Patriarca - 08/26/2024 08:59:16</t>
  </si>
  <si>
    <t>31568aa7</t>
  </si>
  <si>
    <t>54dc6fea</t>
  </si>
  <si>
    <t>489e0e93</t>
  </si>
  <si>
    <t>a504e3fd</t>
  </si>
  <si>
    <t>281cc7ae</t>
  </si>
  <si>
    <t>692895aa</t>
  </si>
  <si>
    <t>60f2b115</t>
  </si>
  <si>
    <t>a0b35570</t>
  </si>
  <si>
    <t>0dd4e79c</t>
  </si>
  <si>
    <t>be83e891</t>
  </si>
  <si>
    <t>9cd9dfe1</t>
  </si>
  <si>
    <t>bcb6059c</t>
  </si>
  <si>
    <t>8d3ec8ad</t>
  </si>
  <si>
    <t>cd44e365</t>
  </si>
  <si>
    <t>88b6270c</t>
  </si>
  <si>
    <t>840ac2c7</t>
  </si>
  <si>
    <t>10d70029</t>
  </si>
  <si>
    <t>c4f50de8</t>
  </si>
  <si>
    <t>d9263563</t>
  </si>
  <si>
    <t>4544b261</t>
  </si>
  <si>
    <t>1e50c4e6</t>
  </si>
  <si>
    <t>11b3f220</t>
  </si>
  <si>
    <t>16521bfe</t>
  </si>
  <si>
    <t>0ca23394</t>
  </si>
  <si>
    <t>662497dc</t>
  </si>
  <si>
    <t>29424bc6</t>
  </si>
  <si>
    <t>5b5ad23c</t>
  </si>
  <si>
    <t>f45afd4f</t>
  </si>
  <si>
    <t>e250da34</t>
  </si>
  <si>
    <t>1ab96071</t>
  </si>
  <si>
    <t>f4a9d945</t>
  </si>
  <si>
    <t>b312f85f</t>
  </si>
  <si>
    <t>d3e25121</t>
  </si>
  <si>
    <t>4c50c66a</t>
  </si>
  <si>
    <t>7a82a2da</t>
  </si>
  <si>
    <t>dd7374f5</t>
  </si>
  <si>
    <t>52724a12</t>
  </si>
  <si>
    <t>eaeef086</t>
  </si>
  <si>
    <t>b6575658</t>
  </si>
  <si>
    <t>5216f49f</t>
  </si>
  <si>
    <t>4b15fef7</t>
  </si>
  <si>
    <t>7d72d8d6</t>
  </si>
  <si>
    <t>5a6ee09e</t>
  </si>
  <si>
    <t>21ba181c</t>
  </si>
  <si>
    <t>a0407464</t>
  </si>
  <si>
    <t>1024dca7</t>
  </si>
  <si>
    <t>a7e7b624</t>
  </si>
  <si>
    <t>21e22ed0</t>
  </si>
  <si>
    <t>3c399665</t>
  </si>
  <si>
    <t>8ca37696</t>
  </si>
  <si>
    <t>1a97c200</t>
  </si>
  <si>
    <t>43ebfd3b</t>
  </si>
  <si>
    <t>d087ce34</t>
  </si>
  <si>
    <t>5496c8f0</t>
  </si>
  <si>
    <t>a684f83e</t>
  </si>
  <si>
    <t>d4a1325d</t>
  </si>
  <si>
    <t>1977dba8</t>
  </si>
  <si>
    <t>f7d27fcb</t>
  </si>
  <si>
    <t>bc8c3415</t>
  </si>
  <si>
    <t>1600b77c</t>
  </si>
  <si>
    <t>cd4ee23b</t>
  </si>
  <si>
    <t>75cc2514</t>
  </si>
  <si>
    <t>633d643a</t>
  </si>
  <si>
    <t>0c4bcffe</t>
  </si>
  <si>
    <t>a1171043</t>
  </si>
  <si>
    <t>0890d399</t>
  </si>
  <si>
    <t>8f7e2a2b</t>
  </si>
  <si>
    <t>d5b0a2cc</t>
  </si>
  <si>
    <t>Adrian Patriarca - 12/31/2025 14:55:08</t>
  </si>
  <si>
    <t>c845c963</t>
  </si>
  <si>
    <t>Adrian Patriarca - 12/31/2025 14:55:03</t>
  </si>
  <si>
    <t>794a9dfd</t>
  </si>
  <si>
    <t>d589feb7</t>
  </si>
  <si>
    <t>f9dd4d62</t>
  </si>
  <si>
    <t>4ce87723</t>
  </si>
  <si>
    <t>782a27f3</t>
  </si>
  <si>
    <t>77674fc6</t>
  </si>
  <si>
    <t>b5959748</t>
  </si>
  <si>
    <t>26bfa0a2</t>
  </si>
  <si>
    <t>dca00b33</t>
  </si>
  <si>
    <t>cbf5b27f</t>
  </si>
  <si>
    <t>3921acd9</t>
  </si>
  <si>
    <t>5836a0ce</t>
  </si>
  <si>
    <t>196199bd</t>
  </si>
  <si>
    <t>bce658f2</t>
  </si>
  <si>
    <t>1852ea61</t>
  </si>
  <si>
    <t>839e1f27</t>
  </si>
  <si>
    <t>42a9a912</t>
  </si>
  <si>
    <t>df76428f</t>
  </si>
  <si>
    <t>ed5a85a8</t>
  </si>
  <si>
    <t>2ad14cd1</t>
  </si>
  <si>
    <t>fc686cb8</t>
  </si>
  <si>
    <t>e8222371</t>
  </si>
  <si>
    <t>7e87754c</t>
  </si>
  <si>
    <t>93bb4f8e</t>
  </si>
  <si>
    <t>6ad2141d</t>
  </si>
  <si>
    <t>a89c27b4</t>
  </si>
  <si>
    <t>fc694d12</t>
  </si>
  <si>
    <t>8ff606fd</t>
  </si>
  <si>
    <t>9bf4f1f3</t>
  </si>
  <si>
    <t>fb85a2e1</t>
  </si>
  <si>
    <t>Adrian Patriarca - 12/31/2025 14:55:29</t>
  </si>
  <si>
    <t>Adrian Patriarca - 12/31/2025 14:55:25</t>
  </si>
  <si>
    <t>c3b4b873</t>
  </si>
  <si>
    <t>2816414d</t>
  </si>
  <si>
    <t>Adrian Patriarca - 12/31/2025 14:55:18</t>
  </si>
  <si>
    <t>a06e85dd</t>
  </si>
  <si>
    <t>e07dfd7e</t>
  </si>
  <si>
    <t>c91f09b5</t>
  </si>
  <si>
    <t>8c8ef5f1</t>
  </si>
  <si>
    <t>bd4bc107</t>
  </si>
  <si>
    <t>ac9514ec</t>
  </si>
  <si>
    <t>1efba495</t>
  </si>
  <si>
    <t>fd0c68f8</t>
  </si>
  <si>
    <t>325aea21</t>
  </si>
  <si>
    <t>f6dfdee3</t>
  </si>
  <si>
    <t>7e2c25cf</t>
  </si>
  <si>
    <t>736c89b2</t>
  </si>
  <si>
    <t>f8885fc4</t>
  </si>
  <si>
    <t>e299d207</t>
  </si>
  <si>
    <t>f7e228f3</t>
  </si>
  <si>
    <t>b84b5901</t>
  </si>
  <si>
    <t>d0ffaf7c</t>
  </si>
  <si>
    <t>dee2058b</t>
  </si>
  <si>
    <t>dba72767</t>
  </si>
  <si>
    <t>90658ccd</t>
  </si>
  <si>
    <t>5af483e8</t>
  </si>
  <si>
    <t>86572c44</t>
  </si>
  <si>
    <t>f9c09101</t>
  </si>
  <si>
    <t>1f0905fb</t>
  </si>
  <si>
    <t>8602d287</t>
  </si>
  <si>
    <t>64c9e7ba</t>
  </si>
  <si>
    <t>814ac903</t>
  </si>
  <si>
    <t>18f3d26a</t>
  </si>
  <si>
    <t>2a2b0ea1</t>
  </si>
  <si>
    <t>6b0cb903</t>
  </si>
  <si>
    <t>f2a6660c</t>
  </si>
  <si>
    <t>ece61ab3</t>
  </si>
  <si>
    <r>
      <rPr>
        <rFont val="&quot;Google Sans&quot;, Roboto, sans-serif"/>
        <color rgb="FF1F1F1F"/>
        <sz val="9.0"/>
      </rPr>
      <t>Felipe Duarte</t>
    </r>
  </si>
  <si>
    <t>86b6f227</t>
  </si>
  <si>
    <t>750c16b7</t>
  </si>
  <si>
    <t>ae878d05</t>
  </si>
  <si>
    <t>48e8c865</t>
  </si>
  <si>
    <t>5badc9d4</t>
  </si>
  <si>
    <t>b123b402</t>
  </si>
  <si>
    <r>
      <rPr>
        <rFont val="&quot;Google Sans&quot;, Roboto, sans-serif"/>
        <color rgb="FF1F1F1F"/>
        <sz val="9.0"/>
      </rPr>
      <t>Felipe Duarte</t>
    </r>
  </si>
  <si>
    <t>4ce5bb1b</t>
  </si>
  <si>
    <r>
      <rPr>
        <rFont val="&quot;Google Sans&quot;, Roboto, sans-serif"/>
        <color rgb="FF1F1F1F"/>
        <sz val="9.0"/>
      </rPr>
      <t>Felipe Duarte</t>
    </r>
  </si>
  <si>
    <t>ac7eef28</t>
  </si>
  <si>
    <r>
      <rPr>
        <rFont val="&quot;Google Sans&quot;, Roboto, sans-serif"/>
        <color rgb="FF1F1F1F"/>
        <sz val="9.0"/>
      </rPr>
      <t>Felipe Duarte</t>
    </r>
  </si>
  <si>
    <t>940cce86</t>
  </si>
  <si>
    <r>
      <rPr>
        <rFont val="&quot;Google Sans&quot;, Roboto, sans-serif"/>
        <color rgb="FF1F1F1F"/>
        <sz val="9.0"/>
      </rPr>
      <t>Felipe Duarte</t>
    </r>
  </si>
  <si>
    <t>62e091f7</t>
  </si>
  <si>
    <r>
      <rPr>
        <rFont val="&quot;Google Sans&quot;, Roboto, sans-serif"/>
        <color rgb="FF1F1F1F"/>
        <sz val="9.0"/>
      </rPr>
      <t>Felipe Duarte</t>
    </r>
  </si>
  <si>
    <t>b90ab906</t>
  </si>
  <si>
    <r>
      <rPr>
        <rFont val="&quot;Google Sans&quot;, Roboto, sans-serif"/>
        <color rgb="FF1F1F1F"/>
        <sz val="9.0"/>
      </rPr>
      <t>Felipe Duarte</t>
    </r>
  </si>
  <si>
    <t>fd1298b1</t>
  </si>
  <si>
    <t>ccd71edd</t>
  </si>
  <si>
    <t>864a49f1</t>
  </si>
  <si>
    <t>c6cc9394</t>
  </si>
  <si>
    <t>Ajuste Inicial</t>
  </si>
  <si>
    <t>4db9dd54</t>
  </si>
  <si>
    <t>ajuste</t>
  </si>
  <si>
    <t>7e9ec453</t>
  </si>
  <si>
    <t>Ajuste</t>
  </si>
  <si>
    <t>4c6259d9</t>
  </si>
  <si>
    <t>b108c790</t>
  </si>
  <si>
    <t>19abe2a1</t>
  </si>
  <si>
    <t>a25ad595</t>
  </si>
  <si>
    <t xml:space="preserve">Equivalente en costos de licencias </t>
  </si>
  <si>
    <t>95e00b1d</t>
  </si>
  <si>
    <t>40a132cb</t>
  </si>
  <si>
    <t>665924a9</t>
  </si>
  <si>
    <t>0da3b079</t>
  </si>
  <si>
    <t>2a7fd1b5</t>
  </si>
  <si>
    <t>d0ee3f41</t>
  </si>
  <si>
    <t>b09e507c</t>
  </si>
  <si>
    <t>fd39e24a</t>
  </si>
  <si>
    <t>d5b752e4</t>
  </si>
  <si>
    <t>e687c1cf</t>
  </si>
  <si>
    <t>6ed5c8c4</t>
  </si>
  <si>
    <t>7cd968bd</t>
  </si>
  <si>
    <t>161506ff</t>
  </si>
  <si>
    <t>db5d57f9</t>
  </si>
  <si>
    <t>c77d12e2</t>
  </si>
  <si>
    <t>3436180d</t>
  </si>
  <si>
    <t>99e211cd</t>
  </si>
  <si>
    <t>ed36abcc</t>
  </si>
  <si>
    <t>2ceead19</t>
  </si>
  <si>
    <t>3a1d73a7</t>
  </si>
  <si>
    <t>d5685757</t>
  </si>
  <si>
    <t>737c5dac</t>
  </si>
  <si>
    <t>1289d418</t>
  </si>
  <si>
    <t>8e1e8c54</t>
  </si>
  <si>
    <t>7210576b</t>
  </si>
  <si>
    <t>caf526f0</t>
  </si>
  <si>
    <t>d26dd886</t>
  </si>
  <si>
    <t>c25f9645</t>
  </si>
  <si>
    <t>c00e9a35</t>
  </si>
  <si>
    <t>3c7dbafa</t>
  </si>
  <si>
    <t>010a4183</t>
  </si>
  <si>
    <t>b5831f49</t>
  </si>
  <si>
    <t>dcc52ac2</t>
  </si>
  <si>
    <t>c3db08ee</t>
  </si>
  <si>
    <t>1677fb73</t>
  </si>
  <si>
    <t>8b149eb9</t>
  </si>
  <si>
    <t>4b00ee65</t>
  </si>
  <si>
    <t>357e37a7</t>
  </si>
  <si>
    <t>0962360b</t>
  </si>
  <si>
    <t>c86243fd</t>
  </si>
  <si>
    <t>ad113728</t>
  </si>
  <si>
    <t>b373bf80</t>
  </si>
  <si>
    <t>bacb6f95</t>
  </si>
  <si>
    <t>76fa9587</t>
  </si>
  <si>
    <t>a0bfd3ee</t>
  </si>
  <si>
    <t>Libre</t>
  </si>
  <si>
    <t>16bf54e6</t>
  </si>
  <si>
    <t>85cfa82b</t>
  </si>
  <si>
    <t>1bb6ad83</t>
  </si>
  <si>
    <t>6af63e13</t>
  </si>
  <si>
    <t>0c133b4b</t>
  </si>
  <si>
    <t>1ccf8bf3</t>
  </si>
  <si>
    <t>e9a60d77</t>
  </si>
  <si>
    <t>159ba984</t>
  </si>
  <si>
    <t>b17976e8</t>
  </si>
  <si>
    <t>dc510fad</t>
  </si>
  <si>
    <t>cfe06179</t>
  </si>
  <si>
    <t>5462c3f3</t>
  </si>
  <si>
    <t>c1328978</t>
  </si>
  <si>
    <t>Veterinaria Arlekyn</t>
  </si>
  <si>
    <t>890f712c</t>
  </si>
  <si>
    <t>528a90a8</t>
  </si>
  <si>
    <t>d7190a4d</t>
  </si>
  <si>
    <t>a4e8c709</t>
  </si>
  <si>
    <t>44330ac4</t>
  </si>
  <si>
    <t>cb2fe659</t>
  </si>
  <si>
    <t>aeb410a8</t>
  </si>
  <si>
    <t>2e9496f3</t>
  </si>
  <si>
    <t>19bb056e</t>
  </si>
  <si>
    <t>281c70d0</t>
  </si>
  <si>
    <t>9bff1a7f</t>
  </si>
  <si>
    <t>c08ad81c</t>
  </si>
  <si>
    <t>a35b015b</t>
  </si>
  <si>
    <t>f9b4183e</t>
  </si>
  <si>
    <t>3fef5f37</t>
  </si>
  <si>
    <t>08cd8262</t>
  </si>
  <si>
    <t>f195a707</t>
  </si>
  <si>
    <t>810624d0</t>
  </si>
  <si>
    <t>2645463c</t>
  </si>
  <si>
    <t>cf2e8be6</t>
  </si>
  <si>
    <t>b5f4802e</t>
  </si>
  <si>
    <t>f3cfe7ae</t>
  </si>
  <si>
    <t>35605b95</t>
  </si>
  <si>
    <t>2a7f1e63</t>
  </si>
  <si>
    <t>a6ca2a81</t>
  </si>
  <si>
    <t>ea5c93b4</t>
  </si>
  <si>
    <t>fe734679</t>
  </si>
  <si>
    <t>5d85ee79</t>
  </si>
  <si>
    <t>278dd4db</t>
  </si>
  <si>
    <t>e77c9d93</t>
  </si>
  <si>
    <t>0cfed1d5</t>
  </si>
  <si>
    <t>d1ef048f</t>
  </si>
  <si>
    <t>66d4b359</t>
  </si>
  <si>
    <t>eaeb9913</t>
  </si>
  <si>
    <t>bf8e1f0f</t>
  </si>
  <si>
    <t>3d89a955</t>
  </si>
  <si>
    <t>4841f52a</t>
  </si>
  <si>
    <t>8c8c232a</t>
  </si>
  <si>
    <t>3c00c882</t>
  </si>
  <si>
    <t>12f02836</t>
  </si>
  <si>
    <t>c9a8b5c0</t>
  </si>
  <si>
    <t>bcf54723</t>
  </si>
  <si>
    <t>f1a5a2ff</t>
  </si>
  <si>
    <t>b8ba6e3b</t>
  </si>
  <si>
    <t>083698f7</t>
  </si>
  <si>
    <t>5fcf4a4c</t>
  </si>
  <si>
    <t>d836f2fa</t>
  </si>
  <si>
    <t>b4cf160d</t>
  </si>
  <si>
    <t>24af7e5c</t>
  </si>
  <si>
    <t>4ea0c792</t>
  </si>
  <si>
    <t>e5ba17ac</t>
  </si>
  <si>
    <t>d3c4a74b</t>
  </si>
  <si>
    <t>7b2956d2</t>
  </si>
  <si>
    <t>22d9a06d</t>
  </si>
  <si>
    <t>2f53c45f</t>
  </si>
  <si>
    <t>c05b1b5c</t>
  </si>
  <si>
    <t>f7218e1e</t>
  </si>
  <si>
    <t>60fb498f</t>
  </si>
  <si>
    <t>76d03de7</t>
  </si>
  <si>
    <t>9a0e3a22</t>
  </si>
  <si>
    <t>3618585f</t>
  </si>
  <si>
    <t>920a9645</t>
  </si>
  <si>
    <t>e017e470</t>
  </si>
  <si>
    <t>b35d3eb5</t>
  </si>
  <si>
    <t>616f9f91</t>
  </si>
  <si>
    <t>f7ff3656</t>
  </si>
  <si>
    <t>f94d9e6b</t>
  </si>
  <si>
    <t>C- https://teams.live.com/meet/9313771036029?p=v9H5Kd7aYwMVYvUrri</t>
  </si>
  <si>
    <t>5e51351c</t>
  </si>
  <si>
    <t>4e9113c3</t>
  </si>
  <si>
    <t>e414da6d</t>
  </si>
  <si>
    <t>76cf58ba</t>
  </si>
  <si>
    <t>a08f1ae6</t>
  </si>
  <si>
    <t>4f706d68</t>
  </si>
  <si>
    <t>81f090db</t>
  </si>
  <si>
    <t>499156cc</t>
  </si>
  <si>
    <t>f34efb08</t>
  </si>
  <si>
    <t>VARIOS</t>
  </si>
  <si>
    <t>Adrian Patriarca - 10/01/2024 18:04:28</t>
  </si>
  <si>
    <t>fad675d4</t>
  </si>
  <si>
    <t>n</t>
  </si>
  <si>
    <t>Adrian Patriarca - 10/01/2024 18:05:27</t>
  </si>
  <si>
    <t>Adrian Patriarca - 10/03/2024 09:57:13</t>
  </si>
  <si>
    <t>deed98c7</t>
  </si>
  <si>
    <t>Revisión del diseño con renata</t>
  </si>
  <si>
    <t>Adrian Patriarca - 10/01/2024 18:12:39</t>
  </si>
  <si>
    <t>Adrian Patriarca - 10/02/2024 11:18:25</t>
  </si>
  <si>
    <t>21f0c7c1</t>
  </si>
  <si>
    <t>Terminar con el Sprint 2 de Natión Markeing</t>
  </si>
  <si>
    <t>Adrian Patriarca - 10/01/2024 18:15:34</t>
  </si>
  <si>
    <t>Felipe Duarte - 10/03/2024 13:31:01</t>
  </si>
  <si>
    <t>3d8bdf08</t>
  </si>
  <si>
    <t>Ver bien el tema de Garantias que hizo Felipe y armarle bien los sprint</t>
  </si>
  <si>
    <t>Adrian Patriarca - 10/02/2024 11:18:49</t>
  </si>
  <si>
    <t>838100d3</t>
  </si>
  <si>
    <t>Adrian Patriarca - 10/01/2024 18:24:52</t>
  </si>
  <si>
    <t>79eb6a71</t>
  </si>
  <si>
    <t>Hablar con cristian Y arreglarle el tablero</t>
  </si>
  <si>
    <t>Felipe Duarte - 10/03/2024 13:30:35</t>
  </si>
  <si>
    <t>8f7cc02b</t>
  </si>
  <si>
    <t>Modulo Garantias</t>
  </si>
  <si>
    <t>Adrian Patriarca - 10/01/2024 18:30:44</t>
  </si>
  <si>
    <t>d0011486</t>
  </si>
  <si>
    <t>Revisar que es lo que falta del sprint 9 y terminar sprint 10</t>
  </si>
  <si>
    <t>Adrian Patriarca - 10/01/2024 18:31:15</t>
  </si>
  <si>
    <t>Adrian Patriarca - 10/04/2024 17:13:52</t>
  </si>
  <si>
    <t>cdf9f14f</t>
  </si>
  <si>
    <t>Relevamiento</t>
  </si>
  <si>
    <t>Adrian Patriarca - 10/01/2024 18:35:49</t>
  </si>
  <si>
    <t>Adrian Patriarca - 10/02/2024 11:19:46</t>
  </si>
  <si>
    <t>d8868684</t>
  </si>
  <si>
    <t>plan de acción</t>
  </si>
  <si>
    <t>Adrian Patriarca - 10/02/2024 11:20:18</t>
  </si>
  <si>
    <t>eec5c2b9</t>
  </si>
  <si>
    <t>varios</t>
  </si>
  <si>
    <t>Adrian Patriarca - 10/01/2024 18:38:45</t>
  </si>
  <si>
    <t>5291f2c4</t>
  </si>
  <si>
    <t>Sofia Leiva</t>
  </si>
  <si>
    <t>Adrian Patriarca - 10/01/2024 23:26:56</t>
  </si>
  <si>
    <t>b72e1f15</t>
  </si>
  <si>
    <t>Reunión Alan. Para mostrar Evolución de la app entre otras cuestiones</t>
  </si>
  <si>
    <t>Adrian Patriarca - 10/02/2024 11:22:55</t>
  </si>
  <si>
    <t>Adrian Patriarca - 10/02/2024 17:50:10</t>
  </si>
  <si>
    <t>c4c15a3d</t>
  </si>
  <si>
    <t>Sprint App HQ y preparación de la reunión</t>
  </si>
  <si>
    <t>Adrian Patriarca - 10/02/2024 11:26:17</t>
  </si>
  <si>
    <t>6b1d2375</t>
  </si>
  <si>
    <t>Preparación Drumont Pet-Shop</t>
  </si>
  <si>
    <t>Adrian Patriarca - 10/03/2024 20:50:34</t>
  </si>
  <si>
    <t>310bafd8</t>
  </si>
  <si>
    <t>Adrian Patriarca - 10/02/2024 17:50:39</t>
  </si>
  <si>
    <t>303a8fcc</t>
  </si>
  <si>
    <t>Adrian Patriarca - 10/03/2024 09:57:37</t>
  </si>
  <si>
    <t>03bb89c5</t>
  </si>
  <si>
    <t>Sprint 10</t>
  </si>
  <si>
    <t>Adrian Patriarca - 10/04/2024 17:14:26</t>
  </si>
  <si>
    <t>ae128c4a</t>
  </si>
  <si>
    <t>App a todo color</t>
  </si>
  <si>
    <t>Renata Morano - 10/07/2024 09:37:14</t>
  </si>
  <si>
    <t>26134556</t>
  </si>
  <si>
    <t>Capacitación 2 Modulo 1</t>
  </si>
  <si>
    <t>Paola Yossen - 10/07/2024 09:46:29</t>
  </si>
  <si>
    <t>Paola Yossen - 10/07/2024 09:49:40</t>
  </si>
  <si>
    <t>7321adea</t>
  </si>
  <si>
    <t>Paola Yossen - 10/07/2024 09:56:42</t>
  </si>
  <si>
    <t>c5af9acc</t>
  </si>
  <si>
    <t>Paola Yossen - 10/07/2024 09:58:52</t>
  </si>
  <si>
    <t>5c4943a2</t>
  </si>
  <si>
    <t>Feedback de módulo 2</t>
  </si>
  <si>
    <t>Paola Yossen - 10/07/2024 10:01:00</t>
  </si>
  <si>
    <t>873d7e83</t>
  </si>
  <si>
    <t>Entrega procedimientos segunda parte módulo 2</t>
  </si>
  <si>
    <t>Paola Yossen - 10/07/2024 10:04:45</t>
  </si>
  <si>
    <t>00d809f0</t>
  </si>
  <si>
    <t>Adrian Patriarca - 10/07/2024 16:43:23</t>
  </si>
  <si>
    <t>51897374</t>
  </si>
  <si>
    <t>Adrian Patriarca - 10/07/2024 16:54:29</t>
  </si>
  <si>
    <t>Renata Morano - 10/09/2024 11:36:49</t>
  </si>
  <si>
    <t>e0c518b0</t>
  </si>
  <si>
    <t>Sprint 1 App A todo Color</t>
  </si>
  <si>
    <t>Adrian Patriarca - 10/07/2024 16:54:37</t>
  </si>
  <si>
    <t>Adrian Patriarca - 10/09/2024 20:01:06</t>
  </si>
  <si>
    <t>3006da95</t>
  </si>
  <si>
    <t>Adrian Patriarca - 10/07/2024 16:55:41</t>
  </si>
  <si>
    <t>Adrian Patriarca - 10/07/2024 16:55:52</t>
  </si>
  <si>
    <t>003fc767</t>
  </si>
  <si>
    <t>NORTE</t>
  </si>
  <si>
    <t>Adrian Patriarca - 10/07/2024 16:57:40</t>
  </si>
  <si>
    <t>aa12bded</t>
  </si>
  <si>
    <t>Adrian Patriarca - 10/07/2024 16:57:49</t>
  </si>
  <si>
    <t>Adrian Patriarca - 10/10/2024 12:55:41</t>
  </si>
  <si>
    <t>1a3d42d9</t>
  </si>
  <si>
    <t>Reunión App Nation</t>
  </si>
  <si>
    <t>Adrian Patriarca - 10/07/2024 17:21:17</t>
  </si>
  <si>
    <t>Adrian Patriarca - 10/07/2024 18:30:48</t>
  </si>
  <si>
    <t>46b5e0cc</t>
  </si>
  <si>
    <t>Adrian Patriarca - 10/09/2024 08:43:13</t>
  </si>
  <si>
    <t>c2389d71</t>
  </si>
  <si>
    <t>Adrian Patriarca - 10/07/2024 18:25:42</t>
  </si>
  <si>
    <t>1f5c4620</t>
  </si>
  <si>
    <t>Reunión seguimiento</t>
  </si>
  <si>
    <t>Adrian Patriarca - 10/08/2024 09:03:45</t>
  </si>
  <si>
    <t>59227252</t>
  </si>
  <si>
    <t>Preparación de la reunión con Drumond</t>
  </si>
  <si>
    <t>Adrian Patriarca - 10/08/2024 09:04:29</t>
  </si>
  <si>
    <t>eae98b8d</t>
  </si>
  <si>
    <t>Reunión con Romina Nation</t>
  </si>
  <si>
    <t>Adrian Patriarca - 10/09/2024 09:15:20</t>
  </si>
  <si>
    <t>f66e3843</t>
  </si>
  <si>
    <t>Cambios solicitados por Vale y Martin 08/10</t>
  </si>
  <si>
    <t>Felipe Duarte - 10/08/2024 16:08:17</t>
  </si>
  <si>
    <t>4bcc0390</t>
  </si>
  <si>
    <t>Reunión de avances con Cristian</t>
  </si>
  <si>
    <t>Felipe Duarte - 10/08/2024 16:08:46</t>
  </si>
  <si>
    <t>Felipe Duarte - 10/08/2024 17:24:39</t>
  </si>
  <si>
    <t>1d7f0708</t>
  </si>
  <si>
    <t>Finalización Sprint 10</t>
  </si>
  <si>
    <t>Felipe Duarte - 10/08/2024 16:09:25</t>
  </si>
  <si>
    <t>Felipe Duarte - 10/08/2024 17:24:30</t>
  </si>
  <si>
    <t>af40bdce</t>
  </si>
  <si>
    <t>App drumont</t>
  </si>
  <si>
    <t>Adrian Patriarca - 10/09/2024 08:44:19</t>
  </si>
  <si>
    <t>Adrian Patriarca - 10/09/2024 09:15:15</t>
  </si>
  <si>
    <t>8165546f</t>
  </si>
  <si>
    <t>Reunión Tablero de control Combustible, Tablero de Recorridos estadística, Implementación modulo de facturas.</t>
  </si>
  <si>
    <t>Adrian Patriarca - 10/09/2024 10:26:29</t>
  </si>
  <si>
    <t>4b9de137</t>
  </si>
  <si>
    <t>Adrian Patriarca - 10/09/2024 15:06:13</t>
  </si>
  <si>
    <t>50ebfc02</t>
  </si>
  <si>
    <t>Sprint A todo Color</t>
  </si>
  <si>
    <t>Adrian Patriarca - 10/09/2024 16:33:19</t>
  </si>
  <si>
    <t>Renata Morano - 10/15/2024 12:05:14</t>
  </si>
  <si>
    <t>9775f0b1</t>
  </si>
  <si>
    <t>Armado de Sprint</t>
  </si>
  <si>
    <t>Adrian Patriarca - 10/09/2024 16:35:04</t>
  </si>
  <si>
    <t>Adrian Patriarca - 10/09/2024 17:22:30</t>
  </si>
  <si>
    <t>52d1f94d</t>
  </si>
  <si>
    <t>Reunión con Nacho.
Cambios en el tablero.
Correción de saldos.</t>
  </si>
  <si>
    <t>Adrian Patriarca - 10/09/2024 16:41:30</t>
  </si>
  <si>
    <t>Felipe Duarte - 10/10/2024 16:59:32</t>
  </si>
  <si>
    <t>5d48dc72</t>
  </si>
  <si>
    <t>Script 3_ App HL</t>
  </si>
  <si>
    <t>Adrian Patriarca - 10/09/2024 16:42:36</t>
  </si>
  <si>
    <t>Felipe Duarte - 10/10/2024 16:58:42</t>
  </si>
  <si>
    <t>2ef770d8</t>
  </si>
  <si>
    <t>Hacer los siguientes srint respetando el orden
- Sprint 1 Actualización Tablero de control Producción (Ver si está completo)
-  Sprint 2A Adaptación a nueva maquina APP
- Sprint 2 Modulo RQI Mejoras
- Sprint 1 Modificación - Tableros de control RQI</t>
  </si>
  <si>
    <t>Adrian Patriarca - 10/09/2024 16:43:29</t>
  </si>
  <si>
    <t>Adrian Patriarca - 10/14/2024 11:03:16</t>
  </si>
  <si>
    <t>a7265449</t>
  </si>
  <si>
    <t>Hacer los siguientes srint respetando el orden
- Sprint 1 Actualización Tablero de control Producción (Ver si está completo)
- Sprint 2 Modulo RQI Mejoras
- Sprint 1 Modificación - Tableros de control RQI</t>
  </si>
  <si>
    <t>Adrian Patriarca - 10/09/2024 16:46:08</t>
  </si>
  <si>
    <t>Adrian Patriarca - 10/14/2024 10:15:42</t>
  </si>
  <si>
    <t>64926f39</t>
  </si>
  <si>
    <t>Modulo TAC Sprint 11 - Notificaciones y otros</t>
  </si>
  <si>
    <t>Adrian Patriarca - 10/09/2024 16:47:45</t>
  </si>
  <si>
    <t>Felipe Duarte - 10/22/2024 15:34:17</t>
  </si>
  <si>
    <t>d3fd8b68</t>
  </si>
  <si>
    <t>Adrian Patriarca - 10/09/2024 16:47:57</t>
  </si>
  <si>
    <t>Felipe Duarte - 10/22/2024 15:35:17</t>
  </si>
  <si>
    <t>1ebc3970</t>
  </si>
  <si>
    <t>Sprint 4 Modulo Gestión de Inventarios y Modificaciones</t>
  </si>
  <si>
    <t>Adrian Patriarca - 10/09/2024 16:49:13</t>
  </si>
  <si>
    <t>Felipe Duarte - 10/25/2024 16:37:17</t>
  </si>
  <si>
    <t>70cfa152</t>
  </si>
  <si>
    <t>Adrian Patriarca - 10/10/2024 13:32:47</t>
  </si>
  <si>
    <t>e098c718</t>
  </si>
  <si>
    <t>Sprint 4_ Modulo Pedidos</t>
  </si>
  <si>
    <t>Adrian Patriarca - 10/09/2024 16:50:26</t>
  </si>
  <si>
    <t>Renata Morano - 10/16/2024 11:09:49</t>
  </si>
  <si>
    <t>41080443</t>
  </si>
  <si>
    <t>Sprint Norte</t>
  </si>
  <si>
    <t>Renata Morano - 10/18/2024 09:06:04</t>
  </si>
  <si>
    <t>dd64742a</t>
  </si>
  <si>
    <t>Adrian Patriarca - 10/09/2024 17:22:52</t>
  </si>
  <si>
    <t>2b8f5beb</t>
  </si>
  <si>
    <t>Script HL + Tablero HL</t>
  </si>
  <si>
    <t>Adrian Patriarca - 10/09/2024 23:19:56</t>
  </si>
  <si>
    <t>df9c4c3b</t>
  </si>
  <si>
    <t>Adrian Patriarca - 10/10/2024 12:56:01</t>
  </si>
  <si>
    <t>c2db1e80</t>
  </si>
  <si>
    <t>Sprint NMKT</t>
  </si>
  <si>
    <t>Adrian Patriarca - 10/10/2024 18:18:23</t>
  </si>
  <si>
    <t>e1a43aee</t>
  </si>
  <si>
    <t>Realización del Sprint de HQ</t>
  </si>
  <si>
    <t>Adrian Patriarca - 10/10/2024 18:19:15</t>
  </si>
  <si>
    <t>cc67b8aa</t>
  </si>
  <si>
    <t>App</t>
  </si>
  <si>
    <t>Renata Morano - 10/14/2024 12:15:14</t>
  </si>
  <si>
    <t>fa98e266</t>
  </si>
  <si>
    <t>Renata Morano - 10/14/2024 12:15:34</t>
  </si>
  <si>
    <t>0826801c</t>
  </si>
  <si>
    <t>Felipe Duarte - 10/14/2024 12:34:42</t>
  </si>
  <si>
    <t>1b7baa36</t>
  </si>
  <si>
    <t>Día libre</t>
  </si>
  <si>
    <t>Felipe Duarte - 10/14/2024 12:35:04</t>
  </si>
  <si>
    <t>ebdff685</t>
  </si>
  <si>
    <t>Corrección por feedback y Armado de PPT</t>
  </si>
  <si>
    <t>Paola Yossen - 10/14/2024 20:13:55</t>
  </si>
  <si>
    <t>Paola Yossen - 10/14/2024 20:24:21</t>
  </si>
  <si>
    <t>a57fbf6d</t>
  </si>
  <si>
    <t>Capacitación 3 modulo 2</t>
  </si>
  <si>
    <t>Paola Yossen - 10/14/2024 20:15:08</t>
  </si>
  <si>
    <t>6186ba32</t>
  </si>
  <si>
    <t>Corrección de procedimientos</t>
  </si>
  <si>
    <t>Paola Yossen - 10/14/2024 20:19:38</t>
  </si>
  <si>
    <t>3fbfd013</t>
  </si>
  <si>
    <t>Generación video app</t>
  </si>
  <si>
    <t>Renata Morano - 10/15/2024 12:05:47</t>
  </si>
  <si>
    <t>d971d807</t>
  </si>
  <si>
    <t>reunión</t>
  </si>
  <si>
    <t>Renata Morano - 10/16/2024 11:10:03</t>
  </si>
  <si>
    <t>948e2a2d</t>
  </si>
  <si>
    <t>Video instructivo</t>
  </si>
  <si>
    <t>Renata Morano - 10/16/2024 11:10:25</t>
  </si>
  <si>
    <t>746f0d1a</t>
  </si>
  <si>
    <t>Adrian Patriarca - 10/16/2024 14:54:40</t>
  </si>
  <si>
    <t>Adrian Patriarca - 12/31/2025 14:54:39</t>
  </si>
  <si>
    <t>6708dce6</t>
  </si>
  <si>
    <t>Adrian Patriarca - 10/16/2024 14:54:57</t>
  </si>
  <si>
    <t>Adrian Patriarca - 12/31/2025 14:54:43</t>
  </si>
  <si>
    <t>f2292eb7</t>
  </si>
  <si>
    <t>Adrian Patriarca - 10/16/2024 14:55:18</t>
  </si>
  <si>
    <t>Adrian Patriarca - 12/31/2025 14:54:47</t>
  </si>
  <si>
    <t>4f612bc4</t>
  </si>
  <si>
    <t>Adrian Patriarca - 10/16/2024 14:55:56</t>
  </si>
  <si>
    <t>Adrian Patriarca - 10/17/2024 14:11:55</t>
  </si>
  <si>
    <t>d3c48a97</t>
  </si>
  <si>
    <t>Adrian Patriarca - 10/16/2024 14:56:23</t>
  </si>
  <si>
    <t>688afd52</t>
  </si>
  <si>
    <t>A definir</t>
  </si>
  <si>
    <t>Adrian Patriarca - 10/16/2024 14:58:01</t>
  </si>
  <si>
    <t>34b8edbc</t>
  </si>
  <si>
    <t>Adrian Patriarca - 10/16/2024 16:02:20</t>
  </si>
  <si>
    <t>89c3130b</t>
  </si>
  <si>
    <t>Ultima reunión de Diagnostico</t>
  </si>
  <si>
    <t>Adrian Patriarca - 10/17/2024 09:04:13</t>
  </si>
  <si>
    <t>af22e14e</t>
  </si>
  <si>
    <t>Adrian Patriarca - 10/17/2024 10:08:16</t>
  </si>
  <si>
    <t>Adrian Patriarca - 10/17/2024 14:12:02</t>
  </si>
  <si>
    <t>9160aec5</t>
  </si>
  <si>
    <t>Renata Morano - 10/18/2024 09:07:09</t>
  </si>
  <si>
    <t>7c826f5e</t>
  </si>
  <si>
    <t>Reunión para mostrar la app y acomodar lo charlado</t>
  </si>
  <si>
    <t>Renata Morano - 10/18/2024 09:08:01</t>
  </si>
  <si>
    <t>Renata Morano - 10/18/2024 11:53:50</t>
  </si>
  <si>
    <t>a93026c9</t>
  </si>
  <si>
    <t>Hacer los sprint en el siguiente orden:
- Sprint 3_ Tablero de control estadística Recorridos
- Sprint 1 Modulo Herramientas compartidas</t>
  </si>
  <si>
    <t>Adrian Patriarca - 10/18/2024 10:49:16</t>
  </si>
  <si>
    <t>Renata Morano - 10/21/2024 12:13:02</t>
  </si>
  <si>
    <t>548cc7d2</t>
  </si>
  <si>
    <t>- Sprint 3_ Tablero de control estadística Recorridos
-</t>
  </si>
  <si>
    <t>Adrian Patriarca - 10/18/2024 10:49:30</t>
  </si>
  <si>
    <t>Renata Morano - 10/22/2024 14:17:21</t>
  </si>
  <si>
    <t>39805761</t>
  </si>
  <si>
    <t>NOR</t>
  </si>
  <si>
    <t>Adrian Patriarca - 10/18/2024 10:49:38</t>
  </si>
  <si>
    <t>Renata Morano - 10/22/2024 09:13:11</t>
  </si>
  <si>
    <t>5cc328ca</t>
  </si>
  <si>
    <t>Adrian Patriarca - 10/18/2024 10:49:46</t>
  </si>
  <si>
    <t>Renata Morano - 10/24/2024 08:48:14</t>
  </si>
  <si>
    <t>2333b28f</t>
  </si>
  <si>
    <t>Adrian Patriarca - 10/18/2024 10:49:54</t>
  </si>
  <si>
    <t>Renata Morano - 10/25/2024 09:24:36</t>
  </si>
  <si>
    <t>9b325575</t>
  </si>
  <si>
    <t>Preparar bases de datos y correciones</t>
  </si>
  <si>
    <t>Renata Morano - 10/18/2024 11:54:34</t>
  </si>
  <si>
    <t>b411f52d</t>
  </si>
  <si>
    <t>Tablero recorridos</t>
  </si>
  <si>
    <t>Renata Morano - 10/18/2024 11:55:05</t>
  </si>
  <si>
    <t>ad20e880</t>
  </si>
  <si>
    <t>Adrian Patriarca - 10/19/2024 13:10:49</t>
  </si>
  <si>
    <t>1d3bc347</t>
  </si>
  <si>
    <t>Correcciones APP</t>
  </si>
  <si>
    <t>Renata Morano - 10/21/2024 10:15:57</t>
  </si>
  <si>
    <t>Renata Morano - 10/21/2024 12:12:50</t>
  </si>
  <si>
    <t>db64a1a7</t>
  </si>
  <si>
    <t>Adrian Patriarca - 10/21/2024 11:03:10</t>
  </si>
  <si>
    <t>5e1534bd</t>
  </si>
  <si>
    <t>Nor</t>
  </si>
  <si>
    <t>Adrian Patriarca - 10/21/2024 11:09:26</t>
  </si>
  <si>
    <t>Adrian Patriarca - 10/23/2024 09:11:59</t>
  </si>
  <si>
    <t>2ae4249b</t>
  </si>
  <si>
    <t>Adrian Patriarca - 10/21/2024 11:09:39</t>
  </si>
  <si>
    <t>Adrian Patriarca - 10/24/2024 11:18:14</t>
  </si>
  <si>
    <t>38c4bfd6</t>
  </si>
  <si>
    <t>Explicación</t>
  </si>
  <si>
    <t>Felipe Duarte - 10/24/2024 15:03:52</t>
  </si>
  <si>
    <t>d4228a16</t>
  </si>
  <si>
    <t>Adrian Patriarca - 10/21/2024 11:13:41</t>
  </si>
  <si>
    <t>Adrian Patriarca - 10/21/2024 11:21:37</t>
  </si>
  <si>
    <t>84577c07</t>
  </si>
  <si>
    <t>Conexión Final ADMGlobal</t>
  </si>
  <si>
    <t>Adrian Patriarca - 10/21/2024 11:22:08</t>
  </si>
  <si>
    <t>Adrian Patriarca - 10/21/2024 16:25:21</t>
  </si>
  <si>
    <t>2251da1a</t>
  </si>
  <si>
    <t>Adrian Patriarca - 10/21/2024 16:26:08</t>
  </si>
  <si>
    <t>49d080bd</t>
  </si>
  <si>
    <t>Adrian Patriarca - 10/21/2024 16:26:49</t>
  </si>
  <si>
    <t>Adrian Patriarca - 10/21/2024 18:20:48</t>
  </si>
  <si>
    <t>5e40e3eb</t>
  </si>
  <si>
    <t>Reunión de venta</t>
  </si>
  <si>
    <t>Adrian Patriarca - 10/25/2024 19:27:12</t>
  </si>
  <si>
    <t>0120f4df</t>
  </si>
  <si>
    <t>Emails y permisos</t>
  </si>
  <si>
    <t>Felipe Duarte - 10/22/2024 15:34:47</t>
  </si>
  <si>
    <t>5001cd02</t>
  </si>
  <si>
    <t>Adrian Patriarca - 10/23/2024 09:12:41</t>
  </si>
  <si>
    <t>051957ab</t>
  </si>
  <si>
    <t>Capacitación Marcelo</t>
  </si>
  <si>
    <t>Adrian Patriarca - 10/23/2024 09:13:14</t>
  </si>
  <si>
    <t>794a5786</t>
  </si>
  <si>
    <t>Armado de Servidor</t>
  </si>
  <si>
    <t>Adrian Patriarca - 10/23/2024 09:13:50</t>
  </si>
  <si>
    <t>52df6bd9</t>
  </si>
  <si>
    <t>Gestión</t>
  </si>
  <si>
    <t>Adrian Patriarca - 10/23/2024 10:59:11</t>
  </si>
  <si>
    <t>Adrian Patriarca - 10/23/2024 13:00:20</t>
  </si>
  <si>
    <t>3f79fe30</t>
  </si>
  <si>
    <t>Reunión de Equipo</t>
  </si>
  <si>
    <t>Adrian Patriarca - 10/23/2024 11:11:27</t>
  </si>
  <si>
    <t>36207a77</t>
  </si>
  <si>
    <t>Arreglo de App</t>
  </si>
  <si>
    <t>Adrian Patriarca - 10/23/2024 13:00:39</t>
  </si>
  <si>
    <t>622c6946</t>
  </si>
  <si>
    <t>Reunión con Pablo</t>
  </si>
  <si>
    <t>Adrian Patriarca - 10/23/2024 13:02:57</t>
  </si>
  <si>
    <t>Adrian Patriarca - 10/24/2024 14:56:32</t>
  </si>
  <si>
    <t>3f0d198d</t>
  </si>
  <si>
    <t>Puesta en Linea Tablero HQ y Otros</t>
  </si>
  <si>
    <t>Adrian Patriarca - 10/23/2024 13:31:14</t>
  </si>
  <si>
    <t>00d45c80</t>
  </si>
  <si>
    <t>Revisión tableros Nacho</t>
  </si>
  <si>
    <t>Felipe Duarte - 10/23/2024 20:00:12</t>
  </si>
  <si>
    <t>0ec7b771</t>
  </si>
  <si>
    <t>Revisión App Cristian</t>
  </si>
  <si>
    <t>Felipe Duarte - 10/23/2024 20:00:57</t>
  </si>
  <si>
    <t>7b18f205</t>
  </si>
  <si>
    <t>Implementación APP</t>
  </si>
  <si>
    <t>Renata Morano - 10/24/2024 08:48:33</t>
  </si>
  <si>
    <t>81765b65</t>
  </si>
  <si>
    <t>Reunión con Pedro</t>
  </si>
  <si>
    <t>Adrian Patriarca - 10/24/2024 09:07:59</t>
  </si>
  <si>
    <t>Adrian Patriarca - 10/24/2024 09:31:33</t>
  </si>
  <si>
    <t>0866d6a9</t>
  </si>
  <si>
    <t>Reunión Amipack</t>
  </si>
  <si>
    <t>Adrian Patriarca - 10/24/2024 11:18:05</t>
  </si>
  <si>
    <t>Adrian Patriarca - 10/24/2024 14:56:40</t>
  </si>
  <si>
    <t>b8ef3d08</t>
  </si>
  <si>
    <t>Sprint 11</t>
  </si>
  <si>
    <t>Felipe Duarte - 10/24/2024 17:29:00</t>
  </si>
  <si>
    <t>d9c30036</t>
  </si>
  <si>
    <t>Arreglar tablero de control HQ, Poner los datos en la hoja de google drive de la app la hoja se llama "Historicos Sistemas"</t>
  </si>
  <si>
    <t>Renata Morano - 10/25/2024 09:24:23</t>
  </si>
  <si>
    <t>7564914a</t>
  </si>
  <si>
    <t>Modulo herramientas compartidas</t>
  </si>
  <si>
    <t>Renata Morano - 10/25/2024 09:24:59</t>
  </si>
  <si>
    <t>5145c977</t>
  </si>
  <si>
    <t>Adrian Patriarca - 10/25/2024 11:01:26</t>
  </si>
  <si>
    <t>57500d44</t>
  </si>
  <si>
    <t>Renata Morano - 10/25/2024 11:18:31</t>
  </si>
  <si>
    <t>fa2017a1</t>
  </si>
  <si>
    <t>Felipe Duarte - 10/25/2024 13:35:33</t>
  </si>
  <si>
    <t>Felipe Duarte - 10/25/2024 16:37:12</t>
  </si>
  <si>
    <t>492de73d</t>
  </si>
  <si>
    <t>Adrian Patriarca - 10/25/2024 19:27:35</t>
  </si>
  <si>
    <t>c7bfb871</t>
  </si>
  <si>
    <t>Mejoras APP</t>
  </si>
  <si>
    <t>Renata Morano - 10/28/2024 08:11:02</t>
  </si>
  <si>
    <t>c5970c4d</t>
  </si>
  <si>
    <t>Adrian Patriarca - 10/28/2024 09:09:50</t>
  </si>
  <si>
    <t>Adrian Patriarca - 10/31/2024 11:47:30</t>
  </si>
  <si>
    <t>c65ab74b</t>
  </si>
  <si>
    <t>Adrian Patriarca - 10/28/2024 09:13:06</t>
  </si>
  <si>
    <t>eff41e75</t>
  </si>
  <si>
    <t>Adrian Patriarca - 10/28/2024 09:14:30</t>
  </si>
  <si>
    <t>Felipe Duarte - 10/28/2024 17:33:06</t>
  </si>
  <si>
    <t>a284fa98</t>
  </si>
  <si>
    <t>Adrian Patriarca - 10/28/2024 09:15:40</t>
  </si>
  <si>
    <t>92e8545e</t>
  </si>
  <si>
    <t>Sprint 1 - Control de despacho</t>
  </si>
  <si>
    <t>Adrian Patriarca - 10/28/2024 09:15:49</t>
  </si>
  <si>
    <t>Felipe Duarte - 10/31/2024 14:42:26</t>
  </si>
  <si>
    <t>8a07b956</t>
  </si>
  <si>
    <t>Corrección Módulo Mantenimiento</t>
  </si>
  <si>
    <t>Adrian Patriarca - 10/28/2024 09:16:47</t>
  </si>
  <si>
    <t>Felipe Duarte - 10/30/2024 16:18:30</t>
  </si>
  <si>
    <t>60231c07</t>
  </si>
  <si>
    <t>Retoques</t>
  </si>
  <si>
    <t>Adrian Patriarca - 10/28/2024 09:19:16</t>
  </si>
  <si>
    <t>Renata Morano - 10/28/2024 12:31:04</t>
  </si>
  <si>
    <t>d2e0dfae</t>
  </si>
  <si>
    <t>- Sprint 4_ Tablero de control estadística Recorridos
- Sprint 2 Modulo Herramientas compartidas</t>
  </si>
  <si>
    <t>Adrian Patriarca - 10/28/2024 09:22:08</t>
  </si>
  <si>
    <t>Renata Morano - 10/29/2024 13:33:52</t>
  </si>
  <si>
    <t>b4de9bc8</t>
  </si>
  <si>
    <t>Armado de Base de datos para Rodrigo</t>
  </si>
  <si>
    <t>Adrian Patriarca - 10/28/2024 11:43:20</t>
  </si>
  <si>
    <t>1650b2cc</t>
  </si>
  <si>
    <t>Adrian Patriarca - 10/28/2024 11:43:33</t>
  </si>
  <si>
    <t>f34f5d46</t>
  </si>
  <si>
    <t>Armado de Sprint para Renata</t>
  </si>
  <si>
    <t>Adrian Patriarca - 10/28/2024 11:44:08</t>
  </si>
  <si>
    <t>Adrian Patriarca - 10/28/2024 13:45:22</t>
  </si>
  <si>
    <t>213ac0c6</t>
  </si>
  <si>
    <t>Renata Morano - 10/28/2024 12:31:34</t>
  </si>
  <si>
    <t>98877617</t>
  </si>
  <si>
    <t>Renata Morano - 10/28/2024 12:31:47</t>
  </si>
  <si>
    <t>f9398970</t>
  </si>
  <si>
    <t>Adrian Patriarca - 10/28/2024 14:45:11</t>
  </si>
  <si>
    <t>Adrian Patriarca - 10/28/2024 17:03:43</t>
  </si>
  <si>
    <t>ee17122a</t>
  </si>
  <si>
    <t>Armado Sprint DG</t>
  </si>
  <si>
    <t>Adrian Patriarca - 10/28/2024 14:45:50</t>
  </si>
  <si>
    <t>Adrian Patriarca - 10/28/2024 17:03:48</t>
  </si>
  <si>
    <t>309902dd</t>
  </si>
  <si>
    <t>Adrian Patriarca - 10/28/2024 14:46:36</t>
  </si>
  <si>
    <t>Adrian Patriarca - 10/30/2024 12:51:12</t>
  </si>
  <si>
    <t>389e310a</t>
  </si>
  <si>
    <t>Consulta Juan</t>
  </si>
  <si>
    <t>Felipe Duarte - 10/28/2024 17:33:39</t>
  </si>
  <si>
    <t>3c6e5f88</t>
  </si>
  <si>
    <t>Tablero Stock</t>
  </si>
  <si>
    <t>Felipe Duarte - 10/28/2024 17:34:03</t>
  </si>
  <si>
    <t>53a45e44</t>
  </si>
  <si>
    <t>Renata Morano - 10/29/2024 10:10:34</t>
  </si>
  <si>
    <t>Renata Morano - 10/29/2024 13:34:06</t>
  </si>
  <si>
    <t>ab636941</t>
  </si>
  <si>
    <t>Reunión Drumond</t>
  </si>
  <si>
    <t>Adrian Patriarca - 10/29/2024 11:37:55</t>
  </si>
  <si>
    <t>67d19923</t>
  </si>
  <si>
    <t>Presentación de Diagnostico y plan de acción</t>
  </si>
  <si>
    <t>Adrian Patriarca - 10/29/2024 11:51:59</t>
  </si>
  <si>
    <t>d10b2bdc</t>
  </si>
  <si>
    <t>Sprint DG</t>
  </si>
  <si>
    <t>Adrian Patriarca - 10/29/2024 18:36:36</t>
  </si>
  <si>
    <t>d699eac4</t>
  </si>
  <si>
    <t>Modulo herramientas</t>
  </si>
  <si>
    <t>Renata Morano - 10/30/2024 14:01:04</t>
  </si>
  <si>
    <t>db253630</t>
  </si>
  <si>
    <t>Renata Morano - 11/01/2024 11:08:54</t>
  </si>
  <si>
    <t>6ce37034</t>
  </si>
  <si>
    <t>Notificaciones Garantías</t>
  </si>
  <si>
    <t>Adrian Patriarca - 10/30/2024 12:18:02</t>
  </si>
  <si>
    <t>Felipe Duarte - 11/01/2024 13:35:19</t>
  </si>
  <si>
    <t>3d05cc60</t>
  </si>
  <si>
    <t>Adrian Patriarca - 10/30/2024 12:51:44</t>
  </si>
  <si>
    <t>debc4886</t>
  </si>
  <si>
    <t>Configuración servidor</t>
  </si>
  <si>
    <t>Adrian Patriarca - 10/30/2024 12:53:59</t>
  </si>
  <si>
    <t>52d82058</t>
  </si>
  <si>
    <t>Remitos - Pedido Juan</t>
  </si>
  <si>
    <t>Felipe Duarte - 10/30/2024 16:18:57</t>
  </si>
  <si>
    <t>548c1299</t>
  </si>
  <si>
    <t>Adrian Patriarca - 10/30/2024 18:22:22</t>
  </si>
  <si>
    <t>Adrian Patriarca - 11/01/2024 09:23:47</t>
  </si>
  <si>
    <t>7c8f7eaa</t>
  </si>
  <si>
    <t>Adrian Patriarca - 10/30/2024 18:48:21</t>
  </si>
  <si>
    <t>Adrian Patriarca - 10/31/2024 11:47:24</t>
  </si>
  <si>
    <t>3bbdd7d6</t>
  </si>
  <si>
    <t>App modulo herramientas compartidas</t>
  </si>
  <si>
    <t>Renata Morano - 10/31/2024 13:00:01</t>
  </si>
  <si>
    <t>Renata Morano - 10/31/2024 13:09:02</t>
  </si>
  <si>
    <t>62bcac2f</t>
  </si>
  <si>
    <t>Mejoras app (poder editar pedidos)</t>
  </si>
  <si>
    <t>Renata Morano - 10/31/2024 13:09:43</t>
  </si>
  <si>
    <t>62dc5aea</t>
  </si>
  <si>
    <t>Reunión con Nacho</t>
  </si>
  <si>
    <t>Felipe Duarte - 10/31/2024 14:41:48</t>
  </si>
  <si>
    <t>cb06613a</t>
  </si>
  <si>
    <t>Revisión "Remitos"</t>
  </si>
  <si>
    <t>Felipe Duarte - 10/31/2024 14:42:55</t>
  </si>
  <si>
    <t>c35f1f14</t>
  </si>
  <si>
    <t>Felipe Duarte - 10/31/2024 14:43:21</t>
  </si>
  <si>
    <t>a803b4a0</t>
  </si>
  <si>
    <t>Renata Morano - 11/01/2024 08:16:03</t>
  </si>
  <si>
    <t>Renata Morano - 11/01/2024 10:07:08</t>
  </si>
  <si>
    <t>63ce1532</t>
  </si>
  <si>
    <t>Adrian Patriarca - 11/01/2024 09:24:06</t>
  </si>
  <si>
    <t>19ad808f</t>
  </si>
  <si>
    <t>Renata Morano - 11/04/2024 12:21:43</t>
  </si>
  <si>
    <t>ebf73239</t>
  </si>
  <si>
    <t>Revisión App (productos y precios)</t>
  </si>
  <si>
    <t>Felipe Duarte - 11/04/2024 13:36:10</t>
  </si>
  <si>
    <t>d67d1c1e</t>
  </si>
  <si>
    <t>- Poner a punto el tablero de Abastecimiento (hasta que Cristian y Gustavo no den el Ok, no pasar a otra cosa). Escribirle a cristian, porque hicieron un inventario
Sprint 1 Modificación - Tableros de control RQI</t>
  </si>
  <si>
    <t>Adrian Patriarca - 11/04/2024 14:51:50</t>
  </si>
  <si>
    <t>e6939ad3</t>
  </si>
  <si>
    <t>- Poner a punto el tablero de Abastecimiento (hasta que Cristian y Gustavo no den el Ok, no pasar a otra cosa). Escribirle a cristian, porque hicieron un inventario
- Sprint 1 Modificación - Tableros de control RQI</t>
  </si>
  <si>
    <t>Felipe Duarte - 11/07/2024 15:39:36</t>
  </si>
  <si>
    <t>36d9845c</t>
  </si>
  <si>
    <t>Felipe Duarte - 11/07/2024 15:38:50</t>
  </si>
  <si>
    <t>9f835016</t>
  </si>
  <si>
    <t>Ajuste stock</t>
  </si>
  <si>
    <t>Felipe Duarte - 11/09/2024 09:00:35</t>
  </si>
  <si>
    <t>f95e8710</t>
  </si>
  <si>
    <t>- Lo que pidió Nacho en Reunión
- Sprint 1 - Control de despacho
- FeedBack Garantía</t>
  </si>
  <si>
    <t>Adrian Patriarca - 11/04/2024 14:57:12</t>
  </si>
  <si>
    <t>Adrian Patriarca - 11/04/2024 14:53:59</t>
  </si>
  <si>
    <t>1e6fde22</t>
  </si>
  <si>
    <t>Terminar planteo app</t>
  </si>
  <si>
    <t>Adrian Patriarca - 11/05/2024 09:48:52</t>
  </si>
  <si>
    <t>Renata Morano - 11/05/2024 12:07:54</t>
  </si>
  <si>
    <t>31ba1b71</t>
  </si>
  <si>
    <t>Hacer solicitudes de Alan</t>
  </si>
  <si>
    <t>Adrian Patriarca - 11/05/2024 09:50:52</t>
  </si>
  <si>
    <t>3951a62c</t>
  </si>
  <si>
    <t>Adaptación App a la base de datos</t>
  </si>
  <si>
    <t>Adrian Patriarca - 11/05/2024 12:27:28</t>
  </si>
  <si>
    <t>Renata Morano - 11/08/2024 10:48:00</t>
  </si>
  <si>
    <t>409a0f6f</t>
  </si>
  <si>
    <t>Flujo de caja Drumond</t>
  </si>
  <si>
    <t>Adrian Patriarca - 11/05/2024 14:47:11</t>
  </si>
  <si>
    <t>f6952c49</t>
  </si>
  <si>
    <t>Adrian Patriarca - 11/05/2024 15:14:49</t>
  </si>
  <si>
    <t>6c484b87</t>
  </si>
  <si>
    <t>Configuración Servidor</t>
  </si>
  <si>
    <t>Adrian Patriarca - 11/05/2024 15:16:28</t>
  </si>
  <si>
    <t>ee5545ee</t>
  </si>
  <si>
    <t>Adrian Patriarca - 11/05/2024 15:17:09</t>
  </si>
  <si>
    <t>c32f4ca4</t>
  </si>
  <si>
    <t>Adrian Patriarca - 11/05/2024 15:17:31</t>
  </si>
  <si>
    <t>Adrian Patriarca - 11/07/2024 12:27:30</t>
  </si>
  <si>
    <t>bf9c663e</t>
  </si>
  <si>
    <t>Alienación proyecto</t>
  </si>
  <si>
    <t>Adrian Patriarca - 11/05/2024 15:21:53</t>
  </si>
  <si>
    <t>5d258abb</t>
  </si>
  <si>
    <t>Adrian Patriarca - 11/06/2024 09:21:16</t>
  </si>
  <si>
    <t>Adrian Patriarca - 11/07/2024 09:06:24</t>
  </si>
  <si>
    <t>d4ca7c4d</t>
  </si>
  <si>
    <t>Adrian Patriarca - 11/06/2024 10:18:36</t>
  </si>
  <si>
    <t>792851cc</t>
  </si>
  <si>
    <t>Reunión Natión Postventa</t>
  </si>
  <si>
    <t>Adrian Patriarca - 11/06/2024 10:56:02</t>
  </si>
  <si>
    <t>Adrian Patriarca - 11/07/2024 15:49:28</t>
  </si>
  <si>
    <t>292384c7</t>
  </si>
  <si>
    <t>Adrian Patriarca - 11/06/2024 13:38:36</t>
  </si>
  <si>
    <t>Adrian Patriarca - 11/07/2024 19:34:21</t>
  </si>
  <si>
    <t>94a3558a</t>
  </si>
  <si>
    <t>Base de datos de productos</t>
  </si>
  <si>
    <t>Felipe Duarte - 11/07/2024 15:40:03</t>
  </si>
  <si>
    <t>10308761</t>
  </si>
  <si>
    <t>Continuación de presentación Plan de acción</t>
  </si>
  <si>
    <t>Adrian Patriarca - 11/07/2024 15:45:43</t>
  </si>
  <si>
    <t>Adrian Patriarca - 11/09/2024 10:59:12</t>
  </si>
  <si>
    <t>34759817</t>
  </si>
  <si>
    <t>Adrian Patriarca - 11/07/2024 15:49:34</t>
  </si>
  <si>
    <t>99c66b56</t>
  </si>
  <si>
    <t>MODELAR PROCESO DE VENTA</t>
  </si>
  <si>
    <t>Adrian Patriarca - 11/07/2024 19:02:50</t>
  </si>
  <si>
    <t>Adrian Patriarca - 11/14/2024 09:54:55</t>
  </si>
  <si>
    <t>1a63b180</t>
  </si>
  <si>
    <t>Adrian Patriarca - 11/08/2024 09:57:07</t>
  </si>
  <si>
    <t>25302a40</t>
  </si>
  <si>
    <t>Adaptación BD</t>
  </si>
  <si>
    <t>Adrian Patriarca - 11/08/2024 10:27:51</t>
  </si>
  <si>
    <t>Adrian Patriarca - 11/08/2024 14:02:35</t>
  </si>
  <si>
    <t>f235c1da</t>
  </si>
  <si>
    <t>Stock y mejoras APP</t>
  </si>
  <si>
    <t>Renata Morano - 11/08/2024 10:48:37</t>
  </si>
  <si>
    <t>9ecbe472</t>
  </si>
  <si>
    <t>Adrian Patriarca - 11/08/2024 14:02:53</t>
  </si>
  <si>
    <t>Adrian Patriarca - 11/09/2024 10:59:08</t>
  </si>
  <si>
    <t>4c02d7a3</t>
  </si>
  <si>
    <t>Adrian Patriarca - 11/08/2024 16:02:45</t>
  </si>
  <si>
    <t>0847f62b</t>
  </si>
  <si>
    <t>Renata Morano - 11/13/2024 09:14:44</t>
  </si>
  <si>
    <t>6da10fce</t>
  </si>
  <si>
    <t>Sprint 1 App</t>
  </si>
  <si>
    <t>Adrian Patriarca - 11/08/2024 16:02:55</t>
  </si>
  <si>
    <t>Renata Morano - 11/12/2024 08:22:58</t>
  </si>
  <si>
    <t>935faa4b</t>
  </si>
  <si>
    <t>Terminar lo de Idearte</t>
  </si>
  <si>
    <t>Adrian Patriarca - 11/09/2024 10:58:31</t>
  </si>
  <si>
    <t>Adrian Patriarca - 11/09/2024 10:59:22</t>
  </si>
  <si>
    <t>b54d3ed1</t>
  </si>
  <si>
    <t>Finalización del Diagnostico y plan de acción Idearte</t>
  </si>
  <si>
    <t>Adrian Patriarca - 11/11/2024 09:30:22</t>
  </si>
  <si>
    <t>b226b43f</t>
  </si>
  <si>
    <t>Adrian Patriarca - 11/11/2024 10:23:57</t>
  </si>
  <si>
    <t>c7fe909d</t>
  </si>
  <si>
    <t>Cierre de prospecto</t>
  </si>
  <si>
    <t>Adrian Patriarca - 11/11/2024 10:24:30</t>
  </si>
  <si>
    <t>Adrian Patriarca - 11/11/2024 11:20:41</t>
  </si>
  <si>
    <t>d3d4b0e8</t>
  </si>
  <si>
    <t>Adrian Patriarca - 11/11/2024 11:52:25</t>
  </si>
  <si>
    <t>8fae9445</t>
  </si>
  <si>
    <t>Adrian Patriarca - 11/11/2024 11:52:50</t>
  </si>
  <si>
    <t>Adrian Patriarca - 11/12/2024 10:49:52</t>
  </si>
  <si>
    <t>8bf21f9a</t>
  </si>
  <si>
    <t>- Juntarte con Nacho
- Terminar todas las descripciones del tablero
- Pedirle a Guillermo La base de datos que se necesita</t>
  </si>
  <si>
    <t>Adrian Patriarca - 11/11/2024 13:43:27</t>
  </si>
  <si>
    <t>Felipe Duarte - 11/11/2024 15:56:52</t>
  </si>
  <si>
    <t>e2a134e5</t>
  </si>
  <si>
    <t>Modulo TAC Sprint 12 -</t>
  </si>
  <si>
    <t>Adrian Patriarca - 11/11/2024 13:44:25</t>
  </si>
  <si>
    <t>Felipe Duarte - 11/16/2024 09:01:08</t>
  </si>
  <si>
    <t>ed04ade2</t>
  </si>
  <si>
    <t>- Grabar un video de como se hacen los ajustes
- Hacer Descripción de los indicadores y Describir brevemente como hacer ajustes
- Reunirse con Cristian a mostrarles esto</t>
  </si>
  <si>
    <t>Adrian Patriarca - 11/11/2024 13:46:44</t>
  </si>
  <si>
    <t>Felipe Duarte - 11/11/2024 15:56:56</t>
  </si>
  <si>
    <t>381de836</t>
  </si>
  <si>
    <t>Adrian Patriarca - 11/11/2024 13:49:39</t>
  </si>
  <si>
    <t>aa7209bd</t>
  </si>
  <si>
    <t>Adrian Patriarca - 11/11/2024 15:22:28</t>
  </si>
  <si>
    <t>259c2ced</t>
  </si>
  <si>
    <t>Reunión A todo Color</t>
  </si>
  <si>
    <t>Adrian Patriarca - 11/11/2024 17:41:41</t>
  </si>
  <si>
    <t>Adrian Patriarca - 11/14/2024 09:55:06</t>
  </si>
  <si>
    <t>341a61dc</t>
  </si>
  <si>
    <t>Realización Sprint 1</t>
  </si>
  <si>
    <t>Adrian Patriarca - 11/12/2024 12:10:01</t>
  </si>
  <si>
    <t>81786999</t>
  </si>
  <si>
    <t>Adrian Patriarca - 11/12/2024 12:10:34</t>
  </si>
  <si>
    <t>7f871418</t>
  </si>
  <si>
    <t>Adrian Patriarca - 11/12/2024 12:11:01</t>
  </si>
  <si>
    <t>Adrian Patriarca - 11/14/2024 10:11:07</t>
  </si>
  <si>
    <t>74e8c331</t>
  </si>
  <si>
    <t>Renata Morano - 11/13/2024 09:14:49</t>
  </si>
  <si>
    <t>7ec4c0ba</t>
  </si>
  <si>
    <t>Adrian Patriarca - 11/12/2024 12:16:35</t>
  </si>
  <si>
    <t>Renata Morano - 11/14/2024 12:21:25</t>
  </si>
  <si>
    <t>58ef30a7</t>
  </si>
  <si>
    <t>Arreglos</t>
  </si>
  <si>
    <t>Adrian Patriarca - 11/12/2024 12:16:43</t>
  </si>
  <si>
    <t>Renata Morano - 11/15/2024 10:40:35</t>
  </si>
  <si>
    <t>14185720</t>
  </si>
  <si>
    <t>Presentación tablero stock</t>
  </si>
  <si>
    <t>Felipe Duarte - 11/12/2024 13:34:10</t>
  </si>
  <si>
    <t>Felipe Duarte - 11/12/2024 15:40:03</t>
  </si>
  <si>
    <t>634ecda9</t>
  </si>
  <si>
    <t>Adrian Patriarca - 11/12/2024 17:29:10</t>
  </si>
  <si>
    <t>05d3d1a3</t>
  </si>
  <si>
    <t>Adrian Patriarca - 11/12/2024 17:30:29</t>
  </si>
  <si>
    <t>9204762d</t>
  </si>
  <si>
    <t>Adrian Patriarca - 11/12/2024 17:30:54</t>
  </si>
  <si>
    <t>418566cb</t>
  </si>
  <si>
    <t>Adrian Patriarca - 11/12/2024 17:52:48</t>
  </si>
  <si>
    <t>be0c70c7</t>
  </si>
  <si>
    <t>Paola Yossen - 11/12/2024 18:27:32</t>
  </si>
  <si>
    <t>ac0a0a03</t>
  </si>
  <si>
    <t>Paola Yossen - 11/12/2024 18:29:15</t>
  </si>
  <si>
    <t>62a5e936</t>
  </si>
  <si>
    <t>Paola Yossen - 11/12/2024 18:30:03</t>
  </si>
  <si>
    <t>0b47bf64</t>
  </si>
  <si>
    <t>Feedback modulo 3 de procedimientos - correcciones</t>
  </si>
  <si>
    <t>Paola Yossen - 11/12/2024 18:33:04</t>
  </si>
  <si>
    <t>4e04fb7c</t>
  </si>
  <si>
    <t>Feedback modulo 3 de procedimientos correcciones</t>
  </si>
  <si>
    <t>Paola Yossen - 11/12/2024 18:35:11</t>
  </si>
  <si>
    <t>64624f84</t>
  </si>
  <si>
    <t>Feedback modulo 3 de procedimientos  - correcciones</t>
  </si>
  <si>
    <t>Paola Yossen - 11/12/2024 18:36:12</t>
  </si>
  <si>
    <t>8576f951</t>
  </si>
  <si>
    <t>Paola Yossen - 11/12/2024 18:39:01</t>
  </si>
  <si>
    <t>3ae4f7f9</t>
  </si>
  <si>
    <t>Paola Yossen - 11/12/2024 18:40:36</t>
  </si>
  <si>
    <t>bd01dadf</t>
  </si>
  <si>
    <t>Armado Cap mod2. Cap 4</t>
  </si>
  <si>
    <t>Paola Yossen - 11/12/2024 18:45:00</t>
  </si>
  <si>
    <t>71d22638</t>
  </si>
  <si>
    <t>Listado y cronograma de capacitaciones (brindadas y complementarias)</t>
  </si>
  <si>
    <t>Paola Yossen - 11/12/2024 18:48:44</t>
  </si>
  <si>
    <t>2650a924</t>
  </si>
  <si>
    <t>Adrian Patriarca - 11/14/2024 09:58:45</t>
  </si>
  <si>
    <t>Adrian Patriarca - 11/15/2024 14:39:44</t>
  </si>
  <si>
    <t>eba42579</t>
  </si>
  <si>
    <t>Reunión Refri</t>
  </si>
  <si>
    <t>Adrian Patriarca - 11/14/2024 10:00:47</t>
  </si>
  <si>
    <t>Adrian Patriarca - 11/20/2024 08:56:47</t>
  </si>
  <si>
    <t>eddcc0ac</t>
  </si>
  <si>
    <t>Adrian Patriarca - 11/14/2024 10:11:32</t>
  </si>
  <si>
    <t>babda021</t>
  </si>
  <si>
    <t>Subir base de datos a la app</t>
  </si>
  <si>
    <t>Renata Morano - 11/15/2024 10:39:05</t>
  </si>
  <si>
    <t>Renata Morano - 11/15/2024 10:40:27</t>
  </si>
  <si>
    <t>23921d10</t>
  </si>
  <si>
    <t>APP</t>
  </si>
  <si>
    <t>Renata Morano - 11/19/2024 08:49:08</t>
  </si>
  <si>
    <t>4caa6e84</t>
  </si>
  <si>
    <t>Adrian Patriarca - 11/19/2024 10:00:14</t>
  </si>
  <si>
    <t>52a84f93</t>
  </si>
  <si>
    <t>Adrian Patriarca - 11/19/2024 10:00:29</t>
  </si>
  <si>
    <t>bc50d45a</t>
  </si>
  <si>
    <t>Reunión revisión tablero - Consignaciones</t>
  </si>
  <si>
    <t>Felipe Duarte - 11/19/2024 16:10:49</t>
  </si>
  <si>
    <t>a75d114f</t>
  </si>
  <si>
    <t>Continuación Sprint_12</t>
  </si>
  <si>
    <t>Felipe Duarte - 11/19/2024 16:11:55</t>
  </si>
  <si>
    <t>76a4dce7</t>
  </si>
  <si>
    <t>Felipe Duarte - 11/19/2024 16:12:12</t>
  </si>
  <si>
    <t>5344cf27</t>
  </si>
  <si>
    <t>Adrian Patriarca - 11/20/2024 08:28:31</t>
  </si>
  <si>
    <t>21e2eb80</t>
  </si>
  <si>
    <t>Adrian Patriarca - 11/20/2024 08:54:33</t>
  </si>
  <si>
    <t>e9dcef24</t>
  </si>
  <si>
    <t>App Consultora</t>
  </si>
  <si>
    <t>Adrian Patriarca - 11/20/2024 08:59:58</t>
  </si>
  <si>
    <t>Adrian Patriarca - 11/21/2024 08:09:36</t>
  </si>
  <si>
    <t>692f53ee</t>
  </si>
  <si>
    <t>Adrian Patriarca - 11/20/2024 09:01:25</t>
  </si>
  <si>
    <t>Adrian Patriarca - 11/21/2024 17:55:39</t>
  </si>
  <si>
    <t>93dffd6d</t>
  </si>
  <si>
    <t>Adrian Patriarca - 11/20/2024 09:02:20</t>
  </si>
  <si>
    <t>Adrian Patriarca - 11/21/2024 10:17:09</t>
  </si>
  <si>
    <t>982a2d65</t>
  </si>
  <si>
    <t>Adrian Patriarca - 11/20/2024 09:05:11</t>
  </si>
  <si>
    <t>d5f1395f</t>
  </si>
  <si>
    <t>Correciones de Pedidos históricos y viajes vigentes</t>
  </si>
  <si>
    <t>Adrian Patriarca - 11/20/2024 09:08:53</t>
  </si>
  <si>
    <t>Adrian Patriarca - 11/21/2024 10:30:09</t>
  </si>
  <si>
    <t>15216ab8</t>
  </si>
  <si>
    <t>Adrian Patriarca - 11/20/2024 09:09:05</t>
  </si>
  <si>
    <t>3dc4c8f9</t>
  </si>
  <si>
    <t>Adrian Patriarca - 11/20/2024 09:10:25</t>
  </si>
  <si>
    <t>288d9782</t>
  </si>
  <si>
    <t>Adrian Patriarca - 11/20/2024 09:10:35</t>
  </si>
  <si>
    <t>d5213da2</t>
  </si>
  <si>
    <t>Adrian Patriarca - 11/20/2024 09:10:44</t>
  </si>
  <si>
    <t>08b504c0</t>
  </si>
  <si>
    <t>Adrian Patriarca - 11/20/2024 09:10:56</t>
  </si>
  <si>
    <t>e42a936a</t>
  </si>
  <si>
    <t>Adrian Patriarca - 11/20/2024 09:11:05</t>
  </si>
  <si>
    <t>fadd5d98</t>
  </si>
  <si>
    <t>Adrian Patriarca - 11/20/2024 09:50:17</t>
  </si>
  <si>
    <t>8dd1a627</t>
  </si>
  <si>
    <t>Adrian Patriarca - 11/20/2024 16:25:39</t>
  </si>
  <si>
    <t>b02592f3</t>
  </si>
  <si>
    <t>Implementación Script</t>
  </si>
  <si>
    <t>Adrian Patriarca - 11/20/2024 16:26:03</t>
  </si>
  <si>
    <t>1cacce00</t>
  </si>
  <si>
    <t>Inventario app</t>
  </si>
  <si>
    <t>Adrian Patriarca - 11/21/2024 08:10:23</t>
  </si>
  <si>
    <t>3c45581f</t>
  </si>
  <si>
    <t>Sprint App Consultora</t>
  </si>
  <si>
    <t>Adrian Patriarca - 11/21/2024 09:21:30</t>
  </si>
  <si>
    <t>5ad41ee8</t>
  </si>
  <si>
    <t>Reunión con Daniela</t>
  </si>
  <si>
    <t>Adrian Patriarca - 11/21/2024 09:23:23</t>
  </si>
  <si>
    <t>c4e9114c</t>
  </si>
  <si>
    <t>Adrian Patriarca - 11/21/2024 10:16:58</t>
  </si>
  <si>
    <t>887c29db</t>
  </si>
  <si>
    <t>Adrian Patriarca - 11/21/2024 17:54:52</t>
  </si>
  <si>
    <t>6f5e6a50</t>
  </si>
  <si>
    <t>Reunión con felipe</t>
  </si>
  <si>
    <t>Adrian Patriarca - 11/23/2024 11:10:27</t>
  </si>
  <si>
    <t>Adrian Patriarca - 11/26/2024 09:14:22</t>
  </si>
  <si>
    <t>5078920b</t>
  </si>
  <si>
    <t>Hicimos una revisión de la app</t>
  </si>
  <si>
    <t>Adrian Patriarca - 11/25/2024 09:16:23</t>
  </si>
  <si>
    <t>66b59290</t>
  </si>
  <si>
    <t>App consultora y otros</t>
  </si>
  <si>
    <t>Adrian Patriarca - 11/25/2024 11:11:47</t>
  </si>
  <si>
    <t>61e03ce5</t>
  </si>
  <si>
    <t>Cosas de la Auditoría</t>
  </si>
  <si>
    <t>Adrian Patriarca - 11/25/2024 11:12:31</t>
  </si>
  <si>
    <t>Adrian Patriarca - 11/25/2024 13:14:03</t>
  </si>
  <si>
    <t>ca44fd0e</t>
  </si>
  <si>
    <t>Preparación Auditoría</t>
  </si>
  <si>
    <t>Adrian Patriarca - 11/25/2024 12:39:32</t>
  </si>
  <si>
    <t>Adrian Patriarca - 11/27/2024 09:09:32</t>
  </si>
  <si>
    <t>241441df</t>
  </si>
  <si>
    <t>Auditoría</t>
  </si>
  <si>
    <t>Adrian Patriarca - 11/25/2024 12:40:29</t>
  </si>
  <si>
    <t>Adrian Patriarca - 11/28/2024 09:08:19</t>
  </si>
  <si>
    <t>c2cdafa4</t>
  </si>
  <si>
    <t>Adrian Patriarca - 11/25/2024 12:41:47</t>
  </si>
  <si>
    <t>Felipe Duarte - 11/26/2024 13:39:56</t>
  </si>
  <si>
    <t>7b145ba3</t>
  </si>
  <si>
    <t>Adrian Patriarca - 11/25/2024 12:43:48</t>
  </si>
  <si>
    <t>Felipe Duarte - 11/26/2024 13:40:01</t>
  </si>
  <si>
    <t>b0e81d72</t>
  </si>
  <si>
    <t>Adrian Patriarca - 11/25/2024 12:49:50</t>
  </si>
  <si>
    <t>Adrian Patriarca - 11/25/2024 12:47:24</t>
  </si>
  <si>
    <t>b0e81d7b</t>
  </si>
  <si>
    <t>89cdc6a7</t>
  </si>
  <si>
    <t>App consultora</t>
  </si>
  <si>
    <t>Adrian Patriarca - 11/25/2024 12:52:50</t>
  </si>
  <si>
    <t>7729ffe9</t>
  </si>
  <si>
    <t>Adrian Patriarca - 11/26/2024 09:14:26</t>
  </si>
  <si>
    <t>8d21144d</t>
  </si>
  <si>
    <t>Adrian Patriarca - 11/26/2024 09:15:11</t>
  </si>
  <si>
    <t>b056aa5f</t>
  </si>
  <si>
    <t>Adrian Patriarca - 11/26/2024 09:15:32</t>
  </si>
  <si>
    <t>Adrian Patriarca - 11/26/2024 11:56:38</t>
  </si>
  <si>
    <t>67f37fd4</t>
  </si>
  <si>
    <t>Reunión con Emanuel Mantenimiento</t>
  </si>
  <si>
    <t>Adrian Patriarca - 11/26/2024 10:04:49</t>
  </si>
  <si>
    <t>87556dbe</t>
  </si>
  <si>
    <t>Correcciones Refri</t>
  </si>
  <si>
    <t>Adrian Patriarca - 11/27/2024 09:23:29</t>
  </si>
  <si>
    <t>Adrian Patriarca - 11/27/2024 09:28:13</t>
  </si>
  <si>
    <t>7d6a3aac</t>
  </si>
  <si>
    <t>Adrian Patriarca - 11/27/2024 09:24:26</t>
  </si>
  <si>
    <t>Adrian Patriarca - 11/27/2024 09:28:19</t>
  </si>
  <si>
    <t>d2c9f7b7</t>
  </si>
  <si>
    <t>Adrian Patriarca - 11/27/2024 09:24:50</t>
  </si>
  <si>
    <t>Adrian Patriarca - 11/27/2024 09:23:43</t>
  </si>
  <si>
    <t>94133d65</t>
  </si>
  <si>
    <t>Adrian Patriarca - 11/27/2024 09:29:58</t>
  </si>
  <si>
    <t>Felipe Duarte - 12/03/2024 14:03:20</t>
  </si>
  <si>
    <t>e07dc4c3</t>
  </si>
  <si>
    <t>Adrian Patriarca - 11/27/2024 09:30:38</t>
  </si>
  <si>
    <t>Felipe Duarte - 12/05/2024 14:31:46</t>
  </si>
  <si>
    <t>ddd13fd1</t>
  </si>
  <si>
    <t>Adrian Patriarca - 11/27/2024 09:31:35</t>
  </si>
  <si>
    <t>Adrian Patriarca - 11/28/2024 13:40:28</t>
  </si>
  <si>
    <t>9809b4ac</t>
  </si>
  <si>
    <t>Adrian Patriarca - 11/27/2024 12:31:14</t>
  </si>
  <si>
    <t>5cce0175</t>
  </si>
  <si>
    <t>Vi como hacer la presentación de turnos</t>
  </si>
  <si>
    <t>Adrian Patriarca - 11/27/2024 12:31:54</t>
  </si>
  <si>
    <t>1d797aee</t>
  </si>
  <si>
    <t>Adrian Patriarca - 11/28/2024 09:08:34</t>
  </si>
  <si>
    <t>a2d2e38d</t>
  </si>
  <si>
    <t>Adrian Patriarca - 11/28/2024 09:08:49</t>
  </si>
  <si>
    <t>bb5e645e</t>
  </si>
  <si>
    <t>Revisión App</t>
  </si>
  <si>
    <t>Adrian Patriarca - 11/28/2024 09:11:12</t>
  </si>
  <si>
    <t>Adrian Patriarca - 12/04/2024 14:31:18</t>
  </si>
  <si>
    <t>6d41ef98</t>
  </si>
  <si>
    <t>Adrian Patriarca - 11/28/2024 12:15:27</t>
  </si>
  <si>
    <t>6d93bcae</t>
  </si>
  <si>
    <t>Termine la muestra de las diapositivas</t>
  </si>
  <si>
    <t>Adrian Patriarca - 11/28/2024 12:15:57</t>
  </si>
  <si>
    <t>4372704a</t>
  </si>
  <si>
    <t>Reunión con Nation</t>
  </si>
  <si>
    <t>Adrian Patriarca - 11/28/2024 13:40:49</t>
  </si>
  <si>
    <t>c447f454</t>
  </si>
  <si>
    <t>Adrian Patriarca - 11/28/2024 15:07:06</t>
  </si>
  <si>
    <t>50453af6</t>
  </si>
  <si>
    <t>Adrian Patriarca - 11/28/2024 15:07:37</t>
  </si>
  <si>
    <t>ea40217f</t>
  </si>
  <si>
    <t>App APSOL</t>
  </si>
  <si>
    <t>Adrian Patriarca - 11/29/2024 17:51:54</t>
  </si>
  <si>
    <t>ca8dfaed</t>
  </si>
  <si>
    <t>Adrian Patriarca - 12/01/2024 19:41:50</t>
  </si>
  <si>
    <t>49ef19c5</t>
  </si>
  <si>
    <t>Adrian Patriarca - 12/01/2024 19:42:27</t>
  </si>
  <si>
    <t>b9a5bbcc</t>
  </si>
  <si>
    <t>Adrian Patriarca - 12/01/2024 19:42:55</t>
  </si>
  <si>
    <t>1e45b264</t>
  </si>
  <si>
    <t>Sofi</t>
  </si>
  <si>
    <t>Adrian Patriarca - 12/01/2024 21:56:05</t>
  </si>
  <si>
    <t>04d69788</t>
  </si>
  <si>
    <t>Inicie el modulo de visitas</t>
  </si>
  <si>
    <t>Adrian Patriarca - 12/02/2024 10:20:48</t>
  </si>
  <si>
    <t>a94e0e53</t>
  </si>
  <si>
    <t>Adrian Patriarca - 12/02/2024 10:21:07</t>
  </si>
  <si>
    <t>ac81b4b6</t>
  </si>
  <si>
    <t>Adrian Patriarca - 12/02/2024 13:50:05</t>
  </si>
  <si>
    <t>Adrian Patriarca - 12/02/2024 13:51:59</t>
  </si>
  <si>
    <t>a30492dc</t>
  </si>
  <si>
    <t>App insuga</t>
  </si>
  <si>
    <t>Adrian Patriarca - 12/04/2024 13:18:16</t>
  </si>
  <si>
    <t>409cb196</t>
  </si>
  <si>
    <t>App A todo color</t>
  </si>
  <si>
    <t>Adrian Patriarca - 12/02/2024 13:51:41</t>
  </si>
  <si>
    <t>Adrian Patriarca - 12/02/2024 13:50:20</t>
  </si>
  <si>
    <t>34c14360</t>
  </si>
  <si>
    <t>Adrian Patriarca - 12/02/2024 13:51:51</t>
  </si>
  <si>
    <t>Renata Morano - 12/09/2024 13:08:01</t>
  </si>
  <si>
    <t>8157c29a</t>
  </si>
  <si>
    <t>Adrian Patriarca - 12/02/2024 13:53:48</t>
  </si>
  <si>
    <t>61850948</t>
  </si>
  <si>
    <t>Sprints pendientes DG</t>
  </si>
  <si>
    <t>Adrian Patriarca - 12/02/2024 13:54:54</t>
  </si>
  <si>
    <t>Felipe Duarte - 12/07/2024 09:06:41</t>
  </si>
  <si>
    <t>132b7c0b</t>
  </si>
  <si>
    <t>Adrian Patriarca - 12/02/2024 13:55:52</t>
  </si>
  <si>
    <t>Adrian Patriarca - 12/05/2024 13:57:50</t>
  </si>
  <si>
    <t>4004484d</t>
  </si>
  <si>
    <t>Preparación Reunión HL</t>
  </si>
  <si>
    <t>Adrian Patriarca - 12/02/2024 13:56:32</t>
  </si>
  <si>
    <t>4ebad69c</t>
  </si>
  <si>
    <t>Adrian Patriarca - 12/02/2024 14:09:10</t>
  </si>
  <si>
    <t>aac35f57</t>
  </si>
  <si>
    <t>Adrian Patriarca - 12/02/2024 14:12:50</t>
  </si>
  <si>
    <t>9b2b85c6</t>
  </si>
  <si>
    <t>Sprint Insuga</t>
  </si>
  <si>
    <t>Adrian Patriarca - 12/02/2024 14:18:55</t>
  </si>
  <si>
    <t>ca313536</t>
  </si>
  <si>
    <t>Posible reunión con DG</t>
  </si>
  <si>
    <t>Adrian Patriarca - 12/02/2024 14:21:47</t>
  </si>
  <si>
    <t>Adrian Patriarca - 12/06/2024 16:04:52</t>
  </si>
  <si>
    <t>c254e35f</t>
  </si>
  <si>
    <t>Renata Morano - 12/03/2024 08:05:32</t>
  </si>
  <si>
    <t>eeb51d86</t>
  </si>
  <si>
    <t>Reunión Sprint Insuga</t>
  </si>
  <si>
    <t>Adrian Patriarca - 12/03/2024 12:16:53</t>
  </si>
  <si>
    <t>Adrian Patriarca - 12/06/2024 16:03:25</t>
  </si>
  <si>
    <t>0130b1b5</t>
  </si>
  <si>
    <t>Adrian Patriarca - 12/04/2024 14:32:32</t>
  </si>
  <si>
    <t>52ad3386</t>
  </si>
  <si>
    <t>Sprint 4</t>
  </si>
  <si>
    <t>Renata Morano - 12/05/2024 13:06:44</t>
  </si>
  <si>
    <t>08e75ed1</t>
  </si>
  <si>
    <t>Ticket</t>
  </si>
  <si>
    <t>Renata Morano - 12/06/2024 13:08:11</t>
  </si>
  <si>
    <t>b2a9d4a1</t>
  </si>
  <si>
    <t>Adrian Patriarca - 12/06/2024 15:22:49</t>
  </si>
  <si>
    <t>20529d4e</t>
  </si>
  <si>
    <t>Adrian Patriarca - 12/06/2024 15:23:32</t>
  </si>
  <si>
    <t>333d1426</t>
  </si>
  <si>
    <t>Adrian Patriarca - 12/06/2024 15:24:36</t>
  </si>
  <si>
    <t>ea06d9ff</t>
  </si>
  <si>
    <t>Resolver problemas de sincronización Power Bi</t>
  </si>
  <si>
    <t>Adrian Patriarca - 12/06/2024 15:27:00</t>
  </si>
  <si>
    <t>af6523a6</t>
  </si>
  <si>
    <t>Problemas de sincronización tableros DG</t>
  </si>
  <si>
    <t>Adrian Patriarca - 12/06/2024 15:28:23</t>
  </si>
  <si>
    <t>597e94c2</t>
  </si>
  <si>
    <t>Resolver Problemas de sincronización Norte</t>
  </si>
  <si>
    <t>Adrian Patriarca - 12/06/2024 15:29:07</t>
  </si>
  <si>
    <t>bdd0d3f1</t>
  </si>
  <si>
    <t>Investigación problemas de sincronización consultora</t>
  </si>
  <si>
    <t>Adrian Patriarca - 12/06/2024 15:29:51</t>
  </si>
  <si>
    <t>d1eebabb</t>
  </si>
  <si>
    <t>Adrian Patriarca - 12/06/2024 16:03:21</t>
  </si>
  <si>
    <t>793bce86</t>
  </si>
  <si>
    <t>Adrian Patriarca - 12/06/2024 16:03:46</t>
  </si>
  <si>
    <t>027defbf</t>
  </si>
  <si>
    <t>Adrian Patriarca - 12/06/2024 16:04:48</t>
  </si>
  <si>
    <t>a0c5bdec</t>
  </si>
  <si>
    <t>Instalación Internet</t>
  </si>
  <si>
    <t>Adrian Patriarca - 12/06/2024 16:05:16</t>
  </si>
  <si>
    <t>8f80e8b3</t>
  </si>
  <si>
    <t>Reunión renata por ATC</t>
  </si>
  <si>
    <t>Adrian Patriarca - 12/06/2024 16:05:59</t>
  </si>
  <si>
    <t>e832dd8b</t>
  </si>
  <si>
    <t>Reunión Felipe por DG</t>
  </si>
  <si>
    <t>Adrian Patriarca - 12/06/2024 16:06:22</t>
  </si>
  <si>
    <t>d6b520fb</t>
  </si>
  <si>
    <t>Adrian Patriarca - 12/06/2024 16:14:12</t>
  </si>
  <si>
    <t>7dab016f</t>
  </si>
  <si>
    <t>Adrian Patriarca - 12/06/2024 16:14:37</t>
  </si>
  <si>
    <t>50674c57</t>
  </si>
  <si>
    <t>Preventivo - Videos de funcionamiento</t>
  </si>
  <si>
    <t>Adrian Patriarca - 12/06/2024 16:17:51</t>
  </si>
  <si>
    <t>Felipe Duarte - 12/10/2024 16:43:03</t>
  </si>
  <si>
    <t>403e0b7d</t>
  </si>
  <si>
    <t>Adrian Patriarca - 12/06/2024 16:18:27</t>
  </si>
  <si>
    <t>fa8c3f7e</t>
  </si>
  <si>
    <t>Adrian Patriarca - 12/11/2024 16:59:36</t>
  </si>
  <si>
    <t>8dca613c</t>
  </si>
  <si>
    <t>ATC</t>
  </si>
  <si>
    <t>Adrian Patriarca - 12/06/2024 16:22:40</t>
  </si>
  <si>
    <t>db498854</t>
  </si>
  <si>
    <t>Adrian Patriarca - 12/06/2024 16:29:04</t>
  </si>
  <si>
    <t>Adrian Patriarca - 12/06/2024 16:28:21</t>
  </si>
  <si>
    <t>0fbdb8eb</t>
  </si>
  <si>
    <t>Adrian Patriarca - 12/06/2024 16:57:51</t>
  </si>
  <si>
    <t>8e9fdfdf</t>
  </si>
  <si>
    <t>Reunión avances Proyecto DG</t>
  </si>
  <si>
    <t>Adrian Patriarca - 12/07/2024 11:17:05</t>
  </si>
  <si>
    <t>8fc18209</t>
  </si>
  <si>
    <t>Adrian Patriarca - 12/09/2024 09:56:53</t>
  </si>
  <si>
    <t>Felipe Duarte - 12/09/2024 18:34:25</t>
  </si>
  <si>
    <t>fe7d0edc</t>
  </si>
  <si>
    <t>Adrian Patriarca - 12/09/2024 13:07:15</t>
  </si>
  <si>
    <t>Renata Morano - 12/11/2024 09:51:01</t>
  </si>
  <si>
    <t>c1a891ea</t>
  </si>
  <si>
    <t>Reunión con Renata</t>
  </si>
  <si>
    <t>Adrian Patriarca - 12/09/2024 14:13:05</t>
  </si>
  <si>
    <t>1d6ce756</t>
  </si>
  <si>
    <t>Reunión con Felipe</t>
  </si>
  <si>
    <t>Adrian Patriarca - 12/09/2024 14:13:30</t>
  </si>
  <si>
    <t>Adrian Patriarca - 12/09/2024 19:36:51</t>
  </si>
  <si>
    <t>958799ab</t>
  </si>
  <si>
    <t>Adaptación tableros NMKT</t>
  </si>
  <si>
    <t>Adrian Patriarca - 12/09/2024 16:40:25</t>
  </si>
  <si>
    <t>Adrian Patriarca - 12/09/2024 19:37:09</t>
  </si>
  <si>
    <t>77669fda</t>
  </si>
  <si>
    <t>Reunión con Alan</t>
  </si>
  <si>
    <t>Adrian Patriarca - 12/09/2024 18:14:31</t>
  </si>
  <si>
    <t>Adrian Patriarca - 12/12/2024 15:46:38</t>
  </si>
  <si>
    <t>00b8961d</t>
  </si>
  <si>
    <t>Adrian Patriarca - 12/09/2024 18:15:44</t>
  </si>
  <si>
    <t>d96837a7</t>
  </si>
  <si>
    <t>Adrian Patriarca - 12/09/2024 18:16:01</t>
  </si>
  <si>
    <t>Adrian Patriarca - 12/14/2024 10:04:15</t>
  </si>
  <si>
    <t>dc850d27</t>
  </si>
  <si>
    <t>Adrian Patriarca - 12/09/2024 19:36:15</t>
  </si>
  <si>
    <t>38609e2a</t>
  </si>
  <si>
    <t>Adrian Patriarca - 12/09/2024 19:36:29</t>
  </si>
  <si>
    <t>dabcce9b</t>
  </si>
  <si>
    <t>Adrian Patriarca - 12/09/2024 19:37:18</t>
  </si>
  <si>
    <t>20548494</t>
  </si>
  <si>
    <t>Adrian Patriarca - 12/10/2024 16:31:57</t>
  </si>
  <si>
    <t>bf8dbfba</t>
  </si>
  <si>
    <t>Revisión App Refri</t>
  </si>
  <si>
    <t>Adrian Patriarca - 12/11/2024 09:37:13</t>
  </si>
  <si>
    <t>Adrian Patriarca - 12/16/2024 12:10:18</t>
  </si>
  <si>
    <t>006d9585</t>
  </si>
  <si>
    <t>Sprint Mantenimiento Amipack</t>
  </si>
  <si>
    <t>Adrian Patriarca - 12/11/2024 16:06:35</t>
  </si>
  <si>
    <t>Adrian Patriarca - 12/11/2024 16:59:56</t>
  </si>
  <si>
    <t>09ad69e6</t>
  </si>
  <si>
    <t>Reunión Pola</t>
  </si>
  <si>
    <t>Adrian Patriarca - 12/11/2024 17:50:45</t>
  </si>
  <si>
    <t>Adrian Patriarca - 01/03/2025 09:47:52</t>
  </si>
  <si>
    <t>bf481f0f</t>
  </si>
  <si>
    <t>Adrian Patriarca - 12/12/2024 10:06:36</t>
  </si>
  <si>
    <t>e25cdffc</t>
  </si>
  <si>
    <t>Seguir con la app de Mantenimiento Edilicio</t>
  </si>
  <si>
    <t>Adrian Patriarca - 12/12/2024 13:08:00</t>
  </si>
  <si>
    <t>Adrian Patriarca - 12/12/2024 15:46:43</t>
  </si>
  <si>
    <t>fad50664</t>
  </si>
  <si>
    <t>Instalar Servidor</t>
  </si>
  <si>
    <t>Adrian Patriarca - 12/12/2024 13:09:46</t>
  </si>
  <si>
    <t>Adrian Patriarca - 12/12/2024 15:47:17</t>
  </si>
  <si>
    <t>18ef78c5</t>
  </si>
  <si>
    <t>Adrian Patriarca - 12/12/2024 15:47:29</t>
  </si>
  <si>
    <t>8f7ee26f</t>
  </si>
  <si>
    <t>Reunión script campañas</t>
  </si>
  <si>
    <t>Felipe Duarte - 12/12/2024 17:49:50</t>
  </si>
  <si>
    <t>Felipe Duarte - 12/16/2024 15:42:41</t>
  </si>
  <si>
    <t>eb07bdac</t>
  </si>
  <si>
    <t>Renata Morano - 12/13/2024 08:07:21</t>
  </si>
  <si>
    <t>361a3fc0</t>
  </si>
  <si>
    <t>otros</t>
  </si>
  <si>
    <t>CORTE DE LUZ</t>
  </si>
  <si>
    <t>Renata Morano - 12/13/2024 08:07:54</t>
  </si>
  <si>
    <t>f2afcff9</t>
  </si>
  <si>
    <t>Renata Morano - 12/13/2024 08:08:33</t>
  </si>
  <si>
    <t>559f21ef</t>
  </si>
  <si>
    <t>Renata Morano - 12/13/2024 08:08:46</t>
  </si>
  <si>
    <t>fe6f5f9f</t>
  </si>
  <si>
    <t>Reunión Gonzalo</t>
  </si>
  <si>
    <t>Adrian Patriarca - 12/13/2024 10:34:14</t>
  </si>
  <si>
    <t>21f515c4</t>
  </si>
  <si>
    <t>Reunión con Renata para hacer sprint</t>
  </si>
  <si>
    <t>Adrian Patriarca - 12/13/2024 10:34:57</t>
  </si>
  <si>
    <t>e889b107</t>
  </si>
  <si>
    <t>Adrian Patriarca - 12/13/2024 12:07:10</t>
  </si>
  <si>
    <t>Adrian Patriarca - 12/13/2024 12:08:23</t>
  </si>
  <si>
    <t>24845a50</t>
  </si>
  <si>
    <t>Adrian Patriarca - 12/13/2024 12:09:07</t>
  </si>
  <si>
    <t>8db2af6f</t>
  </si>
  <si>
    <t>Adrian Patriarca - 12/13/2024 12:09:36</t>
  </si>
  <si>
    <t>Renata Morano - 12/17/2024 12:26:04</t>
  </si>
  <si>
    <t>21c6393c</t>
  </si>
  <si>
    <t>Adrian Patriarca - 12/20/2024 09:28:53</t>
  </si>
  <si>
    <t>cb36ff31</t>
  </si>
  <si>
    <t>App HL</t>
  </si>
  <si>
    <t>Adrian Patriarca - 12/13/2024 12:19:10</t>
  </si>
  <si>
    <t>Felipe Duarte - 12/16/2024 15:41:26</t>
  </si>
  <si>
    <t>c7ce6763</t>
  </si>
  <si>
    <t>Adrian Patriarca - 12/13/2024 12:19:21</t>
  </si>
  <si>
    <t>032ce765</t>
  </si>
  <si>
    <t>Adrian Patriarca - 12/13/2024 12:22:22</t>
  </si>
  <si>
    <t>91e331a0</t>
  </si>
  <si>
    <t>Adrian Patriarca - 12/13/2024 12:22:44</t>
  </si>
  <si>
    <t>e60bc9b3</t>
  </si>
  <si>
    <t>Subir indicadores</t>
  </si>
  <si>
    <t>Adrian Patriarca - 12/13/2024 12:25:34</t>
  </si>
  <si>
    <t>3b32572f</t>
  </si>
  <si>
    <t>Adrian Patriarca - 12/13/2024 16:20:31</t>
  </si>
  <si>
    <t>78b6ce60</t>
  </si>
  <si>
    <t>Revisión de entregable de procedimientos finales y cronograma de capacitaciones</t>
  </si>
  <si>
    <t>Paola Yossen - 12/13/2024 18:47:20</t>
  </si>
  <si>
    <t>0099d0ef</t>
  </si>
  <si>
    <t>Paola Yossen - 12/13/2024 18:53:13</t>
  </si>
  <si>
    <t>ccb78a59</t>
  </si>
  <si>
    <t>Reunión Adrian</t>
  </si>
  <si>
    <t>Paola Yossen - 12/13/2024 18:54:27</t>
  </si>
  <si>
    <t>063dd589</t>
  </si>
  <si>
    <t>Normas de seguridad</t>
  </si>
  <si>
    <t>Paola Yossen - 12/13/2024 18:55:30</t>
  </si>
  <si>
    <t>2567b7a0</t>
  </si>
  <si>
    <t>Paola Yossen - 12/13/2024 18:57:20</t>
  </si>
  <si>
    <t>fdce2b67</t>
  </si>
  <si>
    <t>Armado capacitación Modulo 3 cap 6</t>
  </si>
  <si>
    <t>Paola Yossen - 12/13/2024 18:59:18</t>
  </si>
  <si>
    <t>70dc91ca</t>
  </si>
  <si>
    <t>Armado capacitación Modulo 3. cap 5</t>
  </si>
  <si>
    <t>Paola Yossen - 12/13/2024 18:59:56</t>
  </si>
  <si>
    <t>0166d2e7</t>
  </si>
  <si>
    <t>Armado capacitación Modulo 2. Cap 4</t>
  </si>
  <si>
    <t>Paola Yossen - 12/13/2024 19:02:47</t>
  </si>
  <si>
    <t>1a54bc67</t>
  </si>
  <si>
    <t>Armado capacitación Modulo 2. Cap4</t>
  </si>
  <si>
    <t>Paola Yossen - 12/13/2024 19:05:01</t>
  </si>
  <si>
    <t>f13bcd90</t>
  </si>
  <si>
    <t>Armado y revisión final cap  4 y 5</t>
  </si>
  <si>
    <t>Paola Yossen - 12/13/2024 19:07:36</t>
  </si>
  <si>
    <t>52e95d7f</t>
  </si>
  <si>
    <t>Adrian Patriarca - 12/16/2024 10:05:07</t>
  </si>
  <si>
    <t>113e9aa8</t>
  </si>
  <si>
    <t>Video de funcionamiento Solicitud OK</t>
  </si>
  <si>
    <t>Felipe Duarte - 12/16/2024 15:43:08</t>
  </si>
  <si>
    <t>Felipe Duarte - 12/16/2024 15:43:32</t>
  </si>
  <si>
    <t>bcdb94a8</t>
  </si>
  <si>
    <t>Adrian Patriarca - 12/17/2024 12:05:43</t>
  </si>
  <si>
    <t>9561ae5f</t>
  </si>
  <si>
    <t>Adrian Patriarca - 12/17/2024 12:06:19</t>
  </si>
  <si>
    <t>5b998be2</t>
  </si>
  <si>
    <t>Adrian Patriarca - 12/17/2024 12:08:04</t>
  </si>
  <si>
    <t>4a3803da</t>
  </si>
  <si>
    <t>Adrian Patriarca - 12/17/2024 12:08:54</t>
  </si>
  <si>
    <t>bd4e3403</t>
  </si>
  <si>
    <t>Adrian Patriarca - 12/17/2024 12:15:26</t>
  </si>
  <si>
    <t>e7aabf0d</t>
  </si>
  <si>
    <t>Adrian Patriarca - 12/17/2024 12:21:14</t>
  </si>
  <si>
    <t>29828536</t>
  </si>
  <si>
    <t>Implementación modulo herramientas compartidas</t>
  </si>
  <si>
    <t>Renata Morano - 12/17/2024 12:27:09</t>
  </si>
  <si>
    <t>15612793</t>
  </si>
  <si>
    <t>Adrian Patriarca - 12/17/2024 12:37:53</t>
  </si>
  <si>
    <t>423cf61e</t>
  </si>
  <si>
    <t>Reunión Renata</t>
  </si>
  <si>
    <t>Adrian Patriarca - 12/17/2024 12:39:31</t>
  </si>
  <si>
    <t>85ee8a2f</t>
  </si>
  <si>
    <t>Adrian Patriarca - 12/17/2024 12:41:56</t>
  </si>
  <si>
    <t>d7a28903</t>
  </si>
  <si>
    <t>Adrian Patriarca - 12/17/2024 12:42:39</t>
  </si>
  <si>
    <t>9014d068</t>
  </si>
  <si>
    <t>Adrian Patriarca - 12/17/2024 12:43:57</t>
  </si>
  <si>
    <t>Adrian Patriarca - 12/18/2024 09:09:33</t>
  </si>
  <si>
    <t>68c1629b</t>
  </si>
  <si>
    <t>Poner a punto el Servidor</t>
  </si>
  <si>
    <t>Adrian Patriarca - 12/17/2024 12:53:54</t>
  </si>
  <si>
    <t>7c501d32</t>
  </si>
  <si>
    <t>Adrian Patriarca - 12/17/2024 12:56:00</t>
  </si>
  <si>
    <t>16d678e6</t>
  </si>
  <si>
    <t>Adrian Patriarca - 12/17/2024 12:56:18</t>
  </si>
  <si>
    <t>ce54be9e</t>
  </si>
  <si>
    <t>Adrian Patriarca - 12/17/2024 12:56:35</t>
  </si>
  <si>
    <t>b8b73ef8</t>
  </si>
  <si>
    <t>Adrian Patriarca - 12/17/2024 13:24:28</t>
  </si>
  <si>
    <t>ab2bd07a</t>
  </si>
  <si>
    <t>Felipe Duarte - 12/17/2024 14:33:10</t>
  </si>
  <si>
    <t>27ced608</t>
  </si>
  <si>
    <t>Adrian Patriarca - 12/18/2024 09:08:56</t>
  </si>
  <si>
    <t>Renata Morano - 12/18/2024 10:32:41</t>
  </si>
  <si>
    <t>73e05e3b</t>
  </si>
  <si>
    <t>Adrian Patriarca - 12/18/2024 09:09:07</t>
  </si>
  <si>
    <t>Adrian Patriarca - 12/19/2024 11:42:26</t>
  </si>
  <si>
    <t>73b8f438</t>
  </si>
  <si>
    <t>Preparar Drumond</t>
  </si>
  <si>
    <t>Adrian Patriarca - 12/18/2024 09:10:36</t>
  </si>
  <si>
    <t>70a776e8</t>
  </si>
  <si>
    <t>Adrian Patriarca - 12/18/2024 09:13:10</t>
  </si>
  <si>
    <t>Adrian Patriarca - 12/19/2024 12:04:47</t>
  </si>
  <si>
    <t>9ae9f657</t>
  </si>
  <si>
    <t>El norte</t>
  </si>
  <si>
    <t>Renata Morano - 12/18/2024 10:33:09</t>
  </si>
  <si>
    <t>208b6a98</t>
  </si>
  <si>
    <t>Campañas HL</t>
  </si>
  <si>
    <t>Felipe Duarte - 12/18/2024 13:31:25</t>
  </si>
  <si>
    <t>Felipe Duarte - 12/18/2024 15:28:07</t>
  </si>
  <si>
    <t>6663e70c</t>
  </si>
  <si>
    <t>Sprint Norte Renata</t>
  </si>
  <si>
    <t>Adrian Patriarca - 12/19/2024 12:05:19</t>
  </si>
  <si>
    <t>47bc16de</t>
  </si>
  <si>
    <t>Reunión Felipe. Sprint</t>
  </si>
  <si>
    <t>Adrian Patriarca - 12/20/2024 09:30:46</t>
  </si>
  <si>
    <t>a432ea67</t>
  </si>
  <si>
    <t>Ultimos Avances</t>
  </si>
  <si>
    <t>Adrian Patriarca - 12/20/2024 09:46:05</t>
  </si>
  <si>
    <t>Adrian Patriarca - 12/23/2024 14:44:12</t>
  </si>
  <si>
    <t>91cbbaf3</t>
  </si>
  <si>
    <t>Adrian Patriarca - 12/23/2024 08:28:15</t>
  </si>
  <si>
    <t>Renata Morano - 12/23/2024 11:31:56</t>
  </si>
  <si>
    <t>632850f6</t>
  </si>
  <si>
    <t>Adrian Patriarca - 12/23/2024 08:28:28</t>
  </si>
  <si>
    <t>Renata Morano - 12/24/2024 08:10:44</t>
  </si>
  <si>
    <t>907af9b0</t>
  </si>
  <si>
    <t>Adrian Patriarca - 12/23/2024 08:28:41</t>
  </si>
  <si>
    <t>Renata Morano - 12/26/2024 09:33:57</t>
  </si>
  <si>
    <t>ca866218</t>
  </si>
  <si>
    <t>Adrian Patriarca - 12/23/2024 08:29:46</t>
  </si>
  <si>
    <t>Renata Morano - 12/27/2024 12:48:07</t>
  </si>
  <si>
    <t>ad9cf30b</t>
  </si>
  <si>
    <t>Adrian Patriarca - 12/23/2024 08:33:28</t>
  </si>
  <si>
    <t>Adrian Patriarca - 12/24/2024 12:46:50</t>
  </si>
  <si>
    <t>b3f2b02e</t>
  </si>
  <si>
    <t>Adrian Patriarca - 12/23/2024 08:34:02</t>
  </si>
  <si>
    <t>Adrian Patriarca - 12/26/2024 10:21:40</t>
  </si>
  <si>
    <t>4843ca7d</t>
  </si>
  <si>
    <t>DG Ordenes de Despacho y Vencimientos</t>
  </si>
  <si>
    <t>Adrian Patriarca - 12/23/2024 08:40:08</t>
  </si>
  <si>
    <t>Felipe Duarte - 12/24/2024 08:21:02</t>
  </si>
  <si>
    <t>915932db</t>
  </si>
  <si>
    <t>Adrian Patriarca - 12/23/2024 09:02:58</t>
  </si>
  <si>
    <t>Felipe Duarte - 12/26/2024 16:31:37</t>
  </si>
  <si>
    <t>ee1f868c</t>
  </si>
  <si>
    <t>Adrian Patriarca - 12/23/2024 09:03:43</t>
  </si>
  <si>
    <t>1741abe7</t>
  </si>
  <si>
    <t>Sprint 3 - Varios</t>
  </si>
  <si>
    <t>Adrian Patriarca - 12/23/2024 09:04:58</t>
  </si>
  <si>
    <t>Felipe Duarte - 12/27/2024 14:58:55</t>
  </si>
  <si>
    <t>cd4bbc09</t>
  </si>
  <si>
    <t>Drumond Finalización</t>
  </si>
  <si>
    <t>Adrian Patriarca - 12/23/2024 09:06:13</t>
  </si>
  <si>
    <t>Adrian Patriarca - 12/23/2024 18:55:00</t>
  </si>
  <si>
    <t>6dab27c4</t>
  </si>
  <si>
    <t>Reunión de Finalización</t>
  </si>
  <si>
    <t>Adrian Patriarca - 12/23/2024 09:08:09</t>
  </si>
  <si>
    <t>Adrian Patriarca - 12/28/2024 14:50:34</t>
  </si>
  <si>
    <t>e5377e67</t>
  </si>
  <si>
    <t>Adaptación Base de datos</t>
  </si>
  <si>
    <t>Adrian Patriarca - 12/23/2024 11:27:41</t>
  </si>
  <si>
    <t>Adrian Patriarca - 12/23/2024 13:43:36</t>
  </si>
  <si>
    <t>b25de2ef</t>
  </si>
  <si>
    <t>Tickets herramientas</t>
  </si>
  <si>
    <t>Renata Morano - 12/23/2024 11:32:53</t>
  </si>
  <si>
    <t>9e6b6b5b</t>
  </si>
  <si>
    <t>Renata Morano - 12/23/2024 11:33:16</t>
  </si>
  <si>
    <t>959b8a70</t>
  </si>
  <si>
    <t>Tablero laboral</t>
  </si>
  <si>
    <t>Renata Morano - 12/23/2024 11:33:34</t>
  </si>
  <si>
    <t>80d93cd9</t>
  </si>
  <si>
    <t>Adrian Patriarca - 12/23/2024 13:44:15</t>
  </si>
  <si>
    <t>Adrian Patriarca - 12/23/2024 14:44:20</t>
  </si>
  <si>
    <t>40b71ed5</t>
  </si>
  <si>
    <t>Api de WhatsApp</t>
  </si>
  <si>
    <t>Adrian Patriarca - 12/24/2024 09:19:22</t>
  </si>
  <si>
    <t>795898ac</t>
  </si>
  <si>
    <t>Feriado</t>
  </si>
  <si>
    <t>Adrian Patriarca - 12/24/2024 09:20:30</t>
  </si>
  <si>
    <t>96bd177b</t>
  </si>
  <si>
    <t>Tablero Stock - Problema Gustavo</t>
  </si>
  <si>
    <t>Felipe Duarte - 12/26/2024 13:51:15</t>
  </si>
  <si>
    <t>c0ee28e6</t>
  </si>
  <si>
    <t>Adrian Patriarca - 12/26/2024 21:03:10</t>
  </si>
  <si>
    <t>48818163</t>
  </si>
  <si>
    <t>Mejoras app, videos</t>
  </si>
  <si>
    <t>Renata Morano - 12/27/2024 12:48:34</t>
  </si>
  <si>
    <t>549cda71</t>
  </si>
  <si>
    <t>Preparación ultima Jornada</t>
  </si>
  <si>
    <t>Adrian Patriarca - 12/28/2024 14:50:25</t>
  </si>
  <si>
    <t>949bb5c5</t>
  </si>
  <si>
    <t>Adrian Patriarca - 12/28/2024 14:51:50</t>
  </si>
  <si>
    <t>7fcede41</t>
  </si>
  <si>
    <t>Adrian Patriarca - 12/28/2024 14:52:59</t>
  </si>
  <si>
    <t>24885ec4</t>
  </si>
  <si>
    <t>Adrian Patriarca - 12/28/2024 14:53:21</t>
  </si>
  <si>
    <t>c78eb594</t>
  </si>
  <si>
    <t>Adrian Patriarca - 12/30/2024 08:33:57</t>
  </si>
  <si>
    <t>Adrian Patriarca - 12/30/2024 16:28:01</t>
  </si>
  <si>
    <t>a453590c</t>
  </si>
  <si>
    <t>Adrian Patriarca - 12/30/2024 08:34:25</t>
  </si>
  <si>
    <t>Adrian Patriarca - 12/30/2024 16:27:55</t>
  </si>
  <si>
    <t>1bbcabb5</t>
  </si>
  <si>
    <t>Adrian Patriarca - 12/30/2024 09:45:21</t>
  </si>
  <si>
    <t>a9039c5a</t>
  </si>
  <si>
    <t>Adrian Patriarca - 12/30/2024 09:45:41</t>
  </si>
  <si>
    <t>e3ed5bbd</t>
  </si>
  <si>
    <t>Adrian Patriarca - 12/30/2024 09:45:56</t>
  </si>
  <si>
    <t>567b956e</t>
  </si>
  <si>
    <t>Adrian Patriarca - 12/30/2024 09:46:07</t>
  </si>
  <si>
    <t>ba908ffe</t>
  </si>
  <si>
    <t>Adrian Patriarca - 12/30/2024 16:26:54</t>
  </si>
  <si>
    <t>b1ec02be</t>
  </si>
  <si>
    <t>Amipack 
Ticket - C0059</t>
  </si>
  <si>
    <t>Adrian Patriarca - 12/30/2024 16:28:38</t>
  </si>
  <si>
    <t>Felipe Duarte - 01/03/2025 14:44:10</t>
  </si>
  <si>
    <t>92fe5f27</t>
  </si>
  <si>
    <t>Sprint Renata</t>
  </si>
  <si>
    <t>Adrian Patriarca - 12/30/2024 16:35:43</t>
  </si>
  <si>
    <t>7d99305f</t>
  </si>
  <si>
    <t>Adrian Patriarca - 12/30/2024 16:37:56</t>
  </si>
  <si>
    <t>Adrian Patriarca - 12/31/2024 12:08:36</t>
  </si>
  <si>
    <t>17956523</t>
  </si>
  <si>
    <t>Adrian Patriarca - 12/30/2024 16:38:12</t>
  </si>
  <si>
    <t>Adrian Patriarca - 01/02/2025 14:47:25</t>
  </si>
  <si>
    <t>dcf1005c</t>
  </si>
  <si>
    <t>Adrian Patriarca - 01/02/2025 14:56:09</t>
  </si>
  <si>
    <t>e7c31142</t>
  </si>
  <si>
    <t>Adrian Patriarca - 01/03/2025 09:46:06</t>
  </si>
  <si>
    <t>d0668120</t>
  </si>
  <si>
    <t>Adrian Patriarca - 01/03/2025 09:47:30</t>
  </si>
  <si>
    <t>4bb59a20</t>
  </si>
  <si>
    <t>Armado de video instructivo mas arreglo de app</t>
  </si>
  <si>
    <t>Adrian Patriarca - 01/03/2025 09:53:00</t>
  </si>
  <si>
    <t>Adrian Patriarca - 01/03/2025 13:23:34</t>
  </si>
  <si>
    <t>5bc7eb43</t>
  </si>
  <si>
    <t>Adrian Patriarca - 01/03/2025 13:24:19</t>
  </si>
  <si>
    <t>a3af3b84</t>
  </si>
  <si>
    <t>Pasar las cosas que me faltaron pasarle</t>
  </si>
  <si>
    <t>Adrian Patriarca - 01/03/2025 13:24:55</t>
  </si>
  <si>
    <t>Adrian Patriarca - 01/08/2025 20:40:20</t>
  </si>
  <si>
    <t>e25c9387</t>
  </si>
  <si>
    <t>Ticket C0061
Ticket C0060</t>
  </si>
  <si>
    <t>Felipe Duarte - 01/03/2025 13:37:06</t>
  </si>
  <si>
    <t>Felipe Duarte - 01/03/2025 14:43:43</t>
  </si>
  <si>
    <t>8b4581cb</t>
  </si>
  <si>
    <t>Día libre sofi</t>
  </si>
  <si>
    <t>Adrian Patriarca - 01/05/2025 17:53:00</t>
  </si>
  <si>
    <t>91bbcf30</t>
  </si>
  <si>
    <t>Ayuda a Maira</t>
  </si>
  <si>
    <t>Adrian Patriarca - 01/06/2025 13:19:03</t>
  </si>
  <si>
    <t>5d5dd2b3</t>
  </si>
  <si>
    <t>Pedido - Video Cristian</t>
  </si>
  <si>
    <t>Felipe Duarte - 01/06/2025 13:51:04</t>
  </si>
  <si>
    <t>65079cfc</t>
  </si>
  <si>
    <t>Reunión tablero producción</t>
  </si>
  <si>
    <t>Felipe Duarte - 01/06/2025 14:01:05</t>
  </si>
  <si>
    <t>Felipe Duarte - 01/07/2025 14:03:47</t>
  </si>
  <si>
    <t>3203dab7</t>
  </si>
  <si>
    <t>Adrian Patriarca - 01/06/2025 14:20:35</t>
  </si>
  <si>
    <t>Adrian Patriarca - 12/31/2025 14:53:11</t>
  </si>
  <si>
    <t>5d77f4e6</t>
  </si>
  <si>
    <t>Adrian Patriarca - 01/06/2025 14:22:03</t>
  </si>
  <si>
    <t>Adrian Patriarca - 12/31/2025 14:53:15</t>
  </si>
  <si>
    <t>28c35d16</t>
  </si>
  <si>
    <t>Adrian Patriarca - 01/06/2025 14:22:13</t>
  </si>
  <si>
    <t>Adrian Patriarca - 12/31/2025 14:53:22</t>
  </si>
  <si>
    <t>3fdb2670</t>
  </si>
  <si>
    <t>Adrian Patriarca - 01/06/2025 14:22:28</t>
  </si>
  <si>
    <t>Adrian Patriarca - 12/31/2025 14:53:28</t>
  </si>
  <si>
    <t>fd8d3a8a</t>
  </si>
  <si>
    <t>Adrian Patriarca - 01/06/2025 14:22:40</t>
  </si>
  <si>
    <t>Adrian Patriarca - 12/31/2025 14:53:31</t>
  </si>
  <si>
    <t>76b27230</t>
  </si>
  <si>
    <t>Adrian Patriarca - 01/06/2025 14:22:48</t>
  </si>
  <si>
    <t>Adrian Patriarca - 12/31/2025 14:53:36</t>
  </si>
  <si>
    <t>cf62c6b5</t>
  </si>
  <si>
    <t>Adrian Patriarca - 01/06/2025 14:22:56</t>
  </si>
  <si>
    <t>Adrian Patriarca - 12/31/2025 14:53:40</t>
  </si>
  <si>
    <t>f08231ff</t>
  </si>
  <si>
    <t>Adrian Patriarca - 01/06/2025 14:23:05</t>
  </si>
  <si>
    <t>Adrian Patriarca - 12/31/2025 14:53:44</t>
  </si>
  <si>
    <t>cf27e1d0</t>
  </si>
  <si>
    <t>Observaciones Cristian - Tablero de Producción</t>
  </si>
  <si>
    <t>Felipe Duarte - 01/06/2025 15:23:35</t>
  </si>
  <si>
    <t>Felipe Duarte - 01/08/2025 14:22:08</t>
  </si>
  <si>
    <t>be189183</t>
  </si>
  <si>
    <t>Reunión para ver nuevos proyectos</t>
  </si>
  <si>
    <t>Adrian Patriarca - 01/07/2025 11:40:50</t>
  </si>
  <si>
    <t>Adrian Patriarca - 01/08/2025 20:35:44</t>
  </si>
  <si>
    <t>f8a3d655</t>
  </si>
  <si>
    <t>Notificaciones APP</t>
  </si>
  <si>
    <t>Renata Morano - 01/07/2025 12:18:45</t>
  </si>
  <si>
    <t>Renata Morano - 01/14/2025 13:05:04</t>
  </si>
  <si>
    <t>35ef297e</t>
  </si>
  <si>
    <t>Adrian Patriarca - 01/07/2025 15:29:26</t>
  </si>
  <si>
    <t>0a1ecfa6</t>
  </si>
  <si>
    <t>Adrian Patriarca - 01/07/2025 15:29:39</t>
  </si>
  <si>
    <t>Felipe Duarte - 01/09/2025 13:47:47</t>
  </si>
  <si>
    <t>ee94f977</t>
  </si>
  <si>
    <t>Adrian Patriarca - 01/07/2025 15:29:53</t>
  </si>
  <si>
    <t>Felipe Duarte - 01/10/2025 14:50:42</t>
  </si>
  <si>
    <t>07d33692</t>
  </si>
  <si>
    <t>Adrian Patriarca - 01/07/2025 15:30:41</t>
  </si>
  <si>
    <t>Felipe Duarte - 01/13/2025 17:58:58</t>
  </si>
  <si>
    <t>3cd0f693</t>
  </si>
  <si>
    <t>Armado de Sprints</t>
  </si>
  <si>
    <t>Adrian Patriarca - 01/07/2025 15:30:51</t>
  </si>
  <si>
    <t>Felipe Duarte - 01/14/2025 18:15:11</t>
  </si>
  <si>
    <t>79e2f923</t>
  </si>
  <si>
    <t>Adrian Patriarca - 01/07/2025 15:31:19</t>
  </si>
  <si>
    <t>0331ba02</t>
  </si>
  <si>
    <t>Adrian Patriarca - 01/07/2025 15:32:32</t>
  </si>
  <si>
    <t>Adrian Patriarca - 01/14/2025 18:11:50</t>
  </si>
  <si>
    <t>bfb9ef14</t>
  </si>
  <si>
    <t>Pedido Nacho (ver proyectos futuros)</t>
  </si>
  <si>
    <t>Adrian Patriarca - 01/07/2025 15:33:01</t>
  </si>
  <si>
    <t>Felipe Duarte - 01/21/2025 14:29:43</t>
  </si>
  <si>
    <t>419b79f3</t>
  </si>
  <si>
    <t>Renata Morano - 01/09/2025 08:01:39</t>
  </si>
  <si>
    <t>e954c9a8</t>
  </si>
  <si>
    <t>Adrian Patriarca - 01/07/2025 15:35:28</t>
  </si>
  <si>
    <t>Adrian Patriarca - 01/07/2025 16:16:09</t>
  </si>
  <si>
    <t>1415e46b</t>
  </si>
  <si>
    <t>Adrian Patriarca - 01/07/2025 15:37:07</t>
  </si>
  <si>
    <t>Adrian Patriarca - 01/07/2025 16:16:15</t>
  </si>
  <si>
    <t>96646990</t>
  </si>
  <si>
    <t>Adrian Patriarca - 01/07/2025 15:37:31</t>
  </si>
  <si>
    <t>Adrian Patriarca - 01/10/2025 14:17:17</t>
  </si>
  <si>
    <t>4ad9410d</t>
  </si>
  <si>
    <t>Adrian Patriarca - 01/07/2025 15:37:44</t>
  </si>
  <si>
    <t>Renata Morano - 01/14/2025 14:15:55</t>
  </si>
  <si>
    <t>92e46e70</t>
  </si>
  <si>
    <t>Adrian Patriarca - 01/07/2025 15:37:58</t>
  </si>
  <si>
    <t>Renata Morano - 01/15/2025 13:21:53</t>
  </si>
  <si>
    <t>7a23969e</t>
  </si>
  <si>
    <t>Reunión Perspectivas 2024</t>
  </si>
  <si>
    <t>Felipe Duarte - 01/08/2025 14:22:44</t>
  </si>
  <si>
    <t>dd6091a1</t>
  </si>
  <si>
    <t>Adrian Patriarca - 01/08/2025 20:36:38</t>
  </si>
  <si>
    <t>586e50ec</t>
  </si>
  <si>
    <t>Sprint HQ</t>
  </si>
  <si>
    <t>Adrian Patriarca - 01/08/2025 20:37:11</t>
  </si>
  <si>
    <t>Adrian Patriarca - 01/08/2025 20:49:03</t>
  </si>
  <si>
    <t>eea04482</t>
  </si>
  <si>
    <t>Adrian Patriarca - 01/08/2025 20:41:51</t>
  </si>
  <si>
    <t>46be4e69</t>
  </si>
  <si>
    <t>Adrian Patriarca - 01/08/2025 20:43:23</t>
  </si>
  <si>
    <t>44dc28dc</t>
  </si>
  <si>
    <t>Cons</t>
  </si>
  <si>
    <t>Adrian Patriarca - 01/08/2025 20:44:16</t>
  </si>
  <si>
    <t>777da0b4</t>
  </si>
  <si>
    <t>Adrian Patriarca - 01/08/2025 20:45:54</t>
  </si>
  <si>
    <t>b9fa5bff</t>
  </si>
  <si>
    <t>Adrian Patriarca - 01/08/2025 20:47:06</t>
  </si>
  <si>
    <t>de2c20aa</t>
  </si>
  <si>
    <t>Adrian Patriarca - 01/08/2025 20:47:25</t>
  </si>
  <si>
    <t>Adrian Patriarca - 01/08/2025 20:47:42</t>
  </si>
  <si>
    <t>8bc28603</t>
  </si>
  <si>
    <t>Adrian Patriarca - 01/08/2025 20:48:12</t>
  </si>
  <si>
    <t>Adrian Patriarca - 01/09/2025 12:26:45</t>
  </si>
  <si>
    <t>f242e877</t>
  </si>
  <si>
    <t>Adrian Patriarca - 01/08/2025 20:49:31</t>
  </si>
  <si>
    <t>3d7eb3c8</t>
  </si>
  <si>
    <t>Adrian Patriarca - 01/08/2025 20:50:20</t>
  </si>
  <si>
    <t>428a130c</t>
  </si>
  <si>
    <t>Adrian Patriarca - 01/08/2025 20:51:10</t>
  </si>
  <si>
    <t>619d9021</t>
  </si>
  <si>
    <t>Reunión de equipo</t>
  </si>
  <si>
    <t>Renata Morano - 01/09/2025 08:02:25</t>
  </si>
  <si>
    <t>3d3e5d1f</t>
  </si>
  <si>
    <t>Reunión con Natión para ver nuevos cambios en la app</t>
  </si>
  <si>
    <t>Adrian Patriarca - 01/09/2025 12:12:44</t>
  </si>
  <si>
    <t>adafe322</t>
  </si>
  <si>
    <t>Ticket DG</t>
  </si>
  <si>
    <t>Felipe Duarte - 01/09/2025 13:38:14</t>
  </si>
  <si>
    <t>ac370294</t>
  </si>
  <si>
    <t>Felipe Duarte - 01/09/2025 13:48:29</t>
  </si>
  <si>
    <t>77e9c5e6</t>
  </si>
  <si>
    <t>Actualización API HQ</t>
  </si>
  <si>
    <t>Adrian Patriarca - 01/09/2025 16:34:42</t>
  </si>
  <si>
    <t>Adrian Patriarca - 01/09/2025 16:35:10</t>
  </si>
  <si>
    <t>09fa012e</t>
  </si>
  <si>
    <t>Adrian Patriarca - 01/10/2025 09:30:24</t>
  </si>
  <si>
    <t>Adrian Patriarca - 01/13/2025 09:36:39</t>
  </si>
  <si>
    <t>de86dffa</t>
  </si>
  <si>
    <t>Adrian Patriarca - 01/10/2025 14:17:10</t>
  </si>
  <si>
    <t>Adrian Patriarca - 01/07/2025 16:16:20</t>
  </si>
  <si>
    <t>c2d576f7</t>
  </si>
  <si>
    <t>Ticket C0066 Nation MKT</t>
  </si>
  <si>
    <t>Felipe Duarte - 01/10/2025 14:51:49</t>
  </si>
  <si>
    <t>9871253d</t>
  </si>
  <si>
    <t>Tablero abastecimiento</t>
  </si>
  <si>
    <t>Felipe Duarte - 01/15/2025 13:59:31</t>
  </si>
  <si>
    <t>2cc83640</t>
  </si>
  <si>
    <t>Adrian Patriarca - 01/13/2025 15:46:13</t>
  </si>
  <si>
    <t>006e68a7</t>
  </si>
  <si>
    <t>Finalización Sprint</t>
  </si>
  <si>
    <t>Felipe Duarte - 01/13/2025 17:59:29</t>
  </si>
  <si>
    <t>3e513d4f</t>
  </si>
  <si>
    <t>Arreglo Tablero HL</t>
  </si>
  <si>
    <t>Adrian Patriarca - 01/13/2025 18:17:30</t>
  </si>
  <si>
    <t>9eb5ea0b</t>
  </si>
  <si>
    <t>Sprint 8 - Videos</t>
  </si>
  <si>
    <t>Renata Morano - 01/14/2025 10:32:55</t>
  </si>
  <si>
    <t>46bac4d2</t>
  </si>
  <si>
    <t>Adrian Patriarca - 01/14/2025 11:44:34</t>
  </si>
  <si>
    <t>81e003e3</t>
  </si>
  <si>
    <t>Adrian Patriarca - 01/14/2025 11:45:21</t>
  </si>
  <si>
    <t>Renata Morano - 01/20/2025 12:51:28</t>
  </si>
  <si>
    <t>d91f5aaf</t>
  </si>
  <si>
    <t>Imagenes turneros</t>
  </si>
  <si>
    <t>Adrian Patriarca - 01/14/2025 11:45:32</t>
  </si>
  <si>
    <t>Renata Morano - 01/21/2025 09:54:44</t>
  </si>
  <si>
    <t>2e7ce18d</t>
  </si>
  <si>
    <t>Adrian Patriarca - 01/14/2025 11:46:13</t>
  </si>
  <si>
    <t>Renata Morano - 01/24/2025 13:02:44</t>
  </si>
  <si>
    <t>fac01caf</t>
  </si>
  <si>
    <t>Cotizador</t>
  </si>
  <si>
    <t>Adrian Patriarca - 01/14/2025 12:03:41</t>
  </si>
  <si>
    <t>d89c968b</t>
  </si>
  <si>
    <t>Adrian Patriarca - 01/14/2025 12:04:15</t>
  </si>
  <si>
    <t>638af165</t>
  </si>
  <si>
    <t>Adrian Patriarca - 01/14/2025 12:04:30</t>
  </si>
  <si>
    <t>a8e4d208</t>
  </si>
  <si>
    <t>Adrian Patriarca - 01/14/2025 12:04:51</t>
  </si>
  <si>
    <t>76cad11a</t>
  </si>
  <si>
    <t>Ticket con pedido de Giuliano</t>
  </si>
  <si>
    <t>Felipe Duarte - 01/14/2025 13:51:25</t>
  </si>
  <si>
    <t>57cfa8f2</t>
  </si>
  <si>
    <t>Renata Morano - 01/14/2025 14:14:28</t>
  </si>
  <si>
    <t>Renata Morano - 01/14/2025 14:14:54</t>
  </si>
  <si>
    <t>51314818</t>
  </si>
  <si>
    <t>Renata Morano - 01/14/2025 14:15:14</t>
  </si>
  <si>
    <t>4a7ecb1d</t>
  </si>
  <si>
    <t>Renata Morano - 01/14/2025 14:15:39</t>
  </si>
  <si>
    <t>99f0aa35</t>
  </si>
  <si>
    <t>Alan, notificaciones, videos, etc</t>
  </si>
  <si>
    <t>Renata Morano - 01/14/2025 14:16:29</t>
  </si>
  <si>
    <t>fe878ca7</t>
  </si>
  <si>
    <t>Paola Yossen - 01/14/2025 15:55:08</t>
  </si>
  <si>
    <t>8388c287</t>
  </si>
  <si>
    <t>Layout</t>
  </si>
  <si>
    <t>Paola Yossen - 01/14/2025 15:56:01</t>
  </si>
  <si>
    <t>7da6f6d1</t>
  </si>
  <si>
    <t>Capacitación 4 modulo II</t>
  </si>
  <si>
    <t>Paola Yossen - 01/14/2025 15:57:03</t>
  </si>
  <si>
    <t>66c18178</t>
  </si>
  <si>
    <t>Legales</t>
  </si>
  <si>
    <t>Paola Yossen - 01/14/2025 15:58:22</t>
  </si>
  <si>
    <t>da9022d3</t>
  </si>
  <si>
    <t>Paola Yossen - 01/14/2025 15:59:24</t>
  </si>
  <si>
    <t>802667ba</t>
  </si>
  <si>
    <t>Legales - Habilitaciones municipales</t>
  </si>
  <si>
    <t>Paola Yossen - 01/14/2025 16:01:26</t>
  </si>
  <si>
    <t>0d06c630</t>
  </si>
  <si>
    <t>Feedback reunion con Adrian</t>
  </si>
  <si>
    <t>Paola Yossen - 01/14/2025 16:03:01</t>
  </si>
  <si>
    <t>ccd16cf7</t>
  </si>
  <si>
    <t>Paola Yossen - 01/14/2025 16:03:41</t>
  </si>
  <si>
    <t>6f492c7b</t>
  </si>
  <si>
    <t>Armado presentación final</t>
  </si>
  <si>
    <t>Paola Yossen - 01/14/2025 16:05:57</t>
  </si>
  <si>
    <t>44a6ecbe</t>
  </si>
  <si>
    <t>presentación final Propuestas de mejoras</t>
  </si>
  <si>
    <t>Paola Yossen - 01/14/2025 16:07:33</t>
  </si>
  <si>
    <t>c1d62d3d</t>
  </si>
  <si>
    <t>Adrian Patriarca - 01/14/2025 18:12:10</t>
  </si>
  <si>
    <t>Felipe Duarte - 01/21/2025 14:29:49</t>
  </si>
  <si>
    <t>bd11bd8b</t>
  </si>
  <si>
    <t>Adrian Patriarca - 01/14/2025 18:13:13</t>
  </si>
  <si>
    <t>720f3cd3</t>
  </si>
  <si>
    <t>Adrian Patriarca - 01/14/2025 18:13:24</t>
  </si>
  <si>
    <t>Felipe Duarte - 01/24/2025 13:32:12</t>
  </si>
  <si>
    <t>34156c04</t>
  </si>
  <si>
    <t>Vacaciones Sofi</t>
  </si>
  <si>
    <t>Adrian Patriarca - 01/14/2025 19:31:24</t>
  </si>
  <si>
    <t>50472190</t>
  </si>
  <si>
    <t>Adrian Patriarca - 01/14/2025 19:31:35</t>
  </si>
  <si>
    <t>ff64ef64</t>
  </si>
  <si>
    <t>Adrian Patriarca - 01/14/2025 19:31:45</t>
  </si>
  <si>
    <t>9fdf8937</t>
  </si>
  <si>
    <t>Adrian Patriarca - 01/14/2025 19:31:57</t>
  </si>
  <si>
    <t>784cce4b</t>
  </si>
  <si>
    <t>Adrian Patriarca - 01/14/2025 19:32:07</t>
  </si>
  <si>
    <t>d61c9dbe</t>
  </si>
  <si>
    <t>Adrian Patriarca - 01/14/2025 19:32:20</t>
  </si>
  <si>
    <t>e44e6f2a</t>
  </si>
  <si>
    <t>Presentación Proyecto Nueva Sucursal</t>
  </si>
  <si>
    <t>Adrian Patriarca - 01/14/2025 21:34:09</t>
  </si>
  <si>
    <t>4091c4f1</t>
  </si>
  <si>
    <t>Sprint Amipack</t>
  </si>
  <si>
    <t>Adrian Patriarca - 01/14/2025 21:34:49</t>
  </si>
  <si>
    <t>e5f54ab5</t>
  </si>
  <si>
    <t>Adrian Patriarca - 01/14/2025 21:35:04</t>
  </si>
  <si>
    <t>dd024a50</t>
  </si>
  <si>
    <t>Sprint HL</t>
  </si>
  <si>
    <t>Adrian Patriarca - 01/14/2025 21:35:27</t>
  </si>
  <si>
    <t>5d363ada</t>
  </si>
  <si>
    <t>Análisis de posibles mejoras y mail</t>
  </si>
  <si>
    <t>Renata Morano - 01/15/2025 13:22:25</t>
  </si>
  <si>
    <t>8e1a2b84</t>
  </si>
  <si>
    <t>Pedido Gonzalo</t>
  </si>
  <si>
    <t>Felipe Duarte - 01/15/2025 15:17:52</t>
  </si>
  <si>
    <t>Felipe Duarte - 01/15/2025 17:37:46</t>
  </si>
  <si>
    <t>b97dcaf9</t>
  </si>
  <si>
    <t>Continuar sprint</t>
  </si>
  <si>
    <t>Felipe Duarte - 01/17/2025 15:26:54</t>
  </si>
  <si>
    <t>Felipe Duarte - 01/20/2025 17:23:39</t>
  </si>
  <si>
    <t>2f62ba18</t>
  </si>
  <si>
    <t>Felipe Duarte - 01/17/2025 15:27:37</t>
  </si>
  <si>
    <t>Felipe Duarte - 01/23/2025 13:44:33</t>
  </si>
  <si>
    <t>813f98c7</t>
  </si>
  <si>
    <t>Sprint, ticket</t>
  </si>
  <si>
    <t>Renata Morano - 01/21/2025 09:55:17</t>
  </si>
  <si>
    <t>Renata Morano - 01/21/2025 12:46:34</t>
  </si>
  <si>
    <t>3beee0c1</t>
  </si>
  <si>
    <t>Renata Morano - 01/21/2025 12:47:04</t>
  </si>
  <si>
    <t>a497b58e</t>
  </si>
  <si>
    <t>Renata Morano - 01/21/2025 12:47:18</t>
  </si>
  <si>
    <t>f7db9bfd</t>
  </si>
  <si>
    <t>Felipe Duarte - 01/23/2025 13:45:06</t>
  </si>
  <si>
    <t>Felipe Duarte - 01/24/2025 13:32:16</t>
  </si>
  <si>
    <t>2623d482</t>
  </si>
  <si>
    <t>Adrian Patriarca - 01/23/2025 14:47:39</t>
  </si>
  <si>
    <t>0ef91ddc</t>
  </si>
  <si>
    <t>Adrian Patriarca - 01/23/2025 14:47:58</t>
  </si>
  <si>
    <t>bdb0c5cd</t>
  </si>
  <si>
    <t>Reunión Melisa</t>
  </si>
  <si>
    <t>Renata Morano - 01/24/2025 09:51:19</t>
  </si>
  <si>
    <t>Renata Morano - 01/28/2025 11:33:56</t>
  </si>
  <si>
    <t>9bde528e</t>
  </si>
  <si>
    <t>Reunión Alan</t>
  </si>
  <si>
    <t>Renata Morano - 01/24/2025 09:52:25</t>
  </si>
  <si>
    <t>Renata Morano - 01/30/2025 12:41:35</t>
  </si>
  <si>
    <t>f5e07c2a</t>
  </si>
  <si>
    <t>Sprint ATC</t>
  </si>
  <si>
    <t>Renata Morano - 01/24/2025 13:02:24</t>
  </si>
  <si>
    <t>Renata Morano - 01/24/2025 13:02:48</t>
  </si>
  <si>
    <t>1e956b5f</t>
  </si>
  <si>
    <t>Renata Morano - 01/27/2025 09:14:53</t>
  </si>
  <si>
    <t>5fa790f7</t>
  </si>
  <si>
    <t>Felipe Duarte - 01/27/2025 14:18:47</t>
  </si>
  <si>
    <t>e72d6c04</t>
  </si>
  <si>
    <t>Renata Morano - 01/28/2025 08:15:53</t>
  </si>
  <si>
    <t>6e874e84</t>
  </si>
  <si>
    <t>Tickets</t>
  </si>
  <si>
    <t>Renata Morano - 01/28/2025 08:16:18</t>
  </si>
  <si>
    <t>Renata Morano - 01/28/2025 08:24:04</t>
  </si>
  <si>
    <t>ce067e8e</t>
  </si>
  <si>
    <t>Renata Morano - 01/28/2025 11:36:12</t>
  </si>
  <si>
    <t>95a35170</t>
  </si>
  <si>
    <t>Renata Morano - 01/28/2025 13:11:00</t>
  </si>
  <si>
    <t>21d3a719</t>
  </si>
  <si>
    <t>Reunión implementación</t>
  </si>
  <si>
    <t>Renata Morano - 01/28/2025 13:16:30</t>
  </si>
  <si>
    <t>Renata Morano - 01/30/2025 12:42:03</t>
  </si>
  <si>
    <t>f68e91b1</t>
  </si>
  <si>
    <t>Adrian Patriarca - 01/28/2025 13:41:28</t>
  </si>
  <si>
    <t>Felipe Duarte - 01/28/2025 17:25:13</t>
  </si>
  <si>
    <t>4e0c017f</t>
  </si>
  <si>
    <t>Adrian Patriarca - 01/28/2025 13:41:44</t>
  </si>
  <si>
    <t>bfab2bb2</t>
  </si>
  <si>
    <t>Adrian Patriarca - 01/28/2025 16:34:17</t>
  </si>
  <si>
    <t>896de81a</t>
  </si>
  <si>
    <t>Adrian Patriarca - 01/28/2025 16:34:49</t>
  </si>
  <si>
    <t>1bd1f7a7</t>
  </si>
  <si>
    <t>Sprint Revisión rapida</t>
  </si>
  <si>
    <t>Adrian Patriarca - 01/28/2025 16:35:27</t>
  </si>
  <si>
    <t>eac1af87</t>
  </si>
  <si>
    <t>Adrian Patriarca - 01/28/2025 16:36:04</t>
  </si>
  <si>
    <t>2db8e37c</t>
  </si>
  <si>
    <t>Adrian Patriarca - 01/28/2025 16:36:51</t>
  </si>
  <si>
    <t>Felipe Duarte - 01/30/2025 15:58:21</t>
  </si>
  <si>
    <t>e11192fd</t>
  </si>
  <si>
    <t>Adrian Patriarca - 01/28/2025 16:37:00</t>
  </si>
  <si>
    <t>Felipe Duarte - 01/31/2025 15:46:48</t>
  </si>
  <si>
    <t>9018c355</t>
  </si>
  <si>
    <t>Compensación Vacaciones</t>
  </si>
  <si>
    <t>Adrian Patriarca - 01/28/2025 16:41:05</t>
  </si>
  <si>
    <t>645c45cf</t>
  </si>
  <si>
    <t>Ajustes tablero neumáticos</t>
  </si>
  <si>
    <t>Felipe Duarte - 01/28/2025 17:25:40</t>
  </si>
  <si>
    <t>103ce430</t>
  </si>
  <si>
    <t>Prueba de usuario</t>
  </si>
  <si>
    <t>Adrian Patriarca - 01/29/2025 08:48:39</t>
  </si>
  <si>
    <t>Renata Morano - 01/29/2025 10:12:58</t>
  </si>
  <si>
    <t>cb605c10</t>
  </si>
  <si>
    <t>Seguridad Vial / Laboral</t>
  </si>
  <si>
    <t>Adrian Patriarca - 01/29/2025 08:49:13</t>
  </si>
  <si>
    <t>Renata Morano - 01/29/2025 10:13:03</t>
  </si>
  <si>
    <t>d4e6f21d</t>
  </si>
  <si>
    <t>Adrian Patriarca - 01/29/2025 08:50:50</t>
  </si>
  <si>
    <t>Renata Morano - 01/30/2025 12:41:29</t>
  </si>
  <si>
    <t>5d034ca5</t>
  </si>
  <si>
    <t>Adrian Patriarca - 01/29/2025 08:52:04</t>
  </si>
  <si>
    <t>f9a5d9b3</t>
  </si>
  <si>
    <t>Terminar pantallas</t>
  </si>
  <si>
    <t>Adrian Patriarca - 01/29/2025 08:54:29</t>
  </si>
  <si>
    <t>Renata Morano - 01/31/2025 12:50:38</t>
  </si>
  <si>
    <t>264a275e</t>
  </si>
  <si>
    <t>Adrian Patriarca - 01/29/2025 10:22:52</t>
  </si>
  <si>
    <t>8657908f</t>
  </si>
  <si>
    <t>Base de datos Insuga</t>
  </si>
  <si>
    <t>Adrian Patriarca - 01/29/2025 10:23:23</t>
  </si>
  <si>
    <t>a4bfd5bf</t>
  </si>
  <si>
    <t>Consulta</t>
  </si>
  <si>
    <t>Adrian Patriarca - 01/29/2025 13:57:48</t>
  </si>
  <si>
    <t>0dc71a6d</t>
  </si>
  <si>
    <t>Reunión Hiper Limpieza</t>
  </si>
  <si>
    <t>Adrian Patriarca - 01/29/2025 14:28:11</t>
  </si>
  <si>
    <t>Adrian Patriarca - 01/30/2025 16:14:57</t>
  </si>
  <si>
    <t>c3bef984</t>
  </si>
  <si>
    <t>Subir tablero a la web, programarlo, coordinar reunión y crear usuarios a la pagina</t>
  </si>
  <si>
    <t>Adrian Patriarca - 01/30/2025 10:49:55</t>
  </si>
  <si>
    <t>Adrian Patriarca - 01/30/2025 10:50:14</t>
  </si>
  <si>
    <t>683c13ab</t>
  </si>
  <si>
    <t>Infracciones</t>
  </si>
  <si>
    <t>Renata Morano - 01/30/2025 12:42:35</t>
  </si>
  <si>
    <t>e3dc44f3</t>
  </si>
  <si>
    <t>Reunión Cristian - Tablero tiempo estándar</t>
  </si>
  <si>
    <t>Felipe Duarte - 01/30/2025 14:56:21</t>
  </si>
  <si>
    <t>625615c5</t>
  </si>
  <si>
    <t>Sprint y Tickets pendientes</t>
  </si>
  <si>
    <t>Felipe Duarte - 01/30/2025 15:59:08</t>
  </si>
  <si>
    <t>4124c1a9</t>
  </si>
  <si>
    <t>Reunión para ver Nuevos proyectos y los que estan en curso</t>
  </si>
  <si>
    <t>Adrian Patriarca - 01/30/2025 16:52:45</t>
  </si>
  <si>
    <t>39b13e90</t>
  </si>
  <si>
    <t>Laboral e Infracciones</t>
  </si>
  <si>
    <t>Renata Morano - 01/31/2025 12:48:54</t>
  </si>
  <si>
    <t>Renata Morano - 01/31/2025 12:50:42</t>
  </si>
  <si>
    <t>e3bf32e4</t>
  </si>
  <si>
    <t>Felipe Duarte - 01/31/2025 15:47:15</t>
  </si>
  <si>
    <t>b855f34a</t>
  </si>
  <si>
    <t>Tickets y etiquetas</t>
  </si>
  <si>
    <t>Felipe Duarte - 01/31/2025 15:47:31</t>
  </si>
  <si>
    <t>9f2dbb2b</t>
  </si>
  <si>
    <t>Licencia Apssheet Publisher pro por 6 meses</t>
  </si>
  <si>
    <t>Adrian Patriarca - 01/31/2025 18:00:25</t>
  </si>
  <si>
    <t>47aa4001</t>
  </si>
  <si>
    <t>Adrian Patriarca - 01/31/2025 18:12:39</t>
  </si>
  <si>
    <t>bbb763ee</t>
  </si>
  <si>
    <t>Appsheet Licencia Starter</t>
  </si>
  <si>
    <t>Adrian Patriarca - 01/31/2025 18:14:44</t>
  </si>
  <si>
    <t>7c59b688</t>
  </si>
  <si>
    <t>Licencia Appsheet Starter</t>
  </si>
  <si>
    <t>Adrian Patriarca - 01/31/2025 18:16:01</t>
  </si>
  <si>
    <t>eeac26d1</t>
  </si>
  <si>
    <t>Adrian Patriarca - 02/03/2025 12:10:56</t>
  </si>
  <si>
    <t>Renata Morano - 02/05/2025 08:48:23</t>
  </si>
  <si>
    <t>56f6d453</t>
  </si>
  <si>
    <t>Terminar la app y grabar los videos</t>
  </si>
  <si>
    <t>Adrian Patriarca - 02/03/2025 12:13:35</t>
  </si>
  <si>
    <t>Renata Morano - 02/05/2025 13:39:20</t>
  </si>
  <si>
    <t>95d48281</t>
  </si>
  <si>
    <t>Terminar las pantallas y Presentarlas</t>
  </si>
  <si>
    <t>Adrian Patriarca - 02/03/2025 12:13:44</t>
  </si>
  <si>
    <t>Renata Morano - 02/06/2025 08:23:55</t>
  </si>
  <si>
    <t>73c6bc10</t>
  </si>
  <si>
    <t>nat</t>
  </si>
  <si>
    <t>Adrian Patriarca - 02/03/2025 12:45:29</t>
  </si>
  <si>
    <t>Adrian Patriarca - 02/06/2025 13:04:52</t>
  </si>
  <si>
    <t>92609894</t>
  </si>
  <si>
    <t>Felipe Duarte - 02/03/2025 15:01:07</t>
  </si>
  <si>
    <t>52673c76</t>
  </si>
  <si>
    <t>Sprint 6 HL</t>
  </si>
  <si>
    <t>Adrian Patriarca - 02/03/2025 15:57:15</t>
  </si>
  <si>
    <t>Felipe Duarte - 02/03/2025 17:30:11</t>
  </si>
  <si>
    <t>d0f71f7a</t>
  </si>
  <si>
    <t>Reunión con Mayra</t>
  </si>
  <si>
    <t>Felipe Duarte - 02/05/2025 13:29:38</t>
  </si>
  <si>
    <t>10a3d2a8</t>
  </si>
  <si>
    <t>Visita DG</t>
  </si>
  <si>
    <t>Adrian Patriarca - 02/03/2025 16:00:11</t>
  </si>
  <si>
    <t>Felipe Duarte - 02/06/2025 15:13:06</t>
  </si>
  <si>
    <t>1d36a217</t>
  </si>
  <si>
    <t>Resumen reunión DG</t>
  </si>
  <si>
    <t>Adrian Patriarca - 02/03/2025 16:00:28</t>
  </si>
  <si>
    <t>Felipe Duarte - 02/07/2025 16:13:04</t>
  </si>
  <si>
    <t>70288d87</t>
  </si>
  <si>
    <t>Comunicación con Juan por turneros</t>
  </si>
  <si>
    <t>Renata Morano - 02/05/2025 08:49:02</t>
  </si>
  <si>
    <t>3f86e088</t>
  </si>
  <si>
    <t>Miro datos bd y funcionamiento pantallas. Comunicación con Juan</t>
  </si>
  <si>
    <t>Renata Morano - 02/05/2025 08:50:15</t>
  </si>
  <si>
    <t>d844756c</t>
  </si>
  <si>
    <t>Adrian Patriarca - 02/05/2025 10:24:44</t>
  </si>
  <si>
    <t>813c519a</t>
  </si>
  <si>
    <t>Poner en linea el nuevo tablero de control</t>
  </si>
  <si>
    <t>Adrian Patriarca - 02/05/2025 11:24:08</t>
  </si>
  <si>
    <t>Adrian Patriarca - 02/05/2025 11:58:04</t>
  </si>
  <si>
    <t>df379802</t>
  </si>
  <si>
    <t>cons</t>
  </si>
  <si>
    <t>Adrian Patriarca - 02/05/2025 12:09:43</t>
  </si>
  <si>
    <t>98b8e5a6</t>
  </si>
  <si>
    <t>Adrian Patriarca - 02/05/2025 12:10:40</t>
  </si>
  <si>
    <t>0258ce57</t>
  </si>
  <si>
    <t>Adrian Patriarca - 02/05/2025 12:11:37</t>
  </si>
  <si>
    <t>0258ce58</t>
  </si>
  <si>
    <t>0258ce59</t>
  </si>
  <si>
    <t>0258ce60</t>
  </si>
  <si>
    <t>0258ce61</t>
  </si>
  <si>
    <t>4ac33285</t>
  </si>
  <si>
    <t>Adrian Patriarca - 02/05/2025 12:26:57</t>
  </si>
  <si>
    <t>bbeea531</t>
  </si>
  <si>
    <t>Adrian Patriarca - 02/05/2025 12:27:27</t>
  </si>
  <si>
    <t>13e6fe93</t>
  </si>
  <si>
    <t>Adrian Patriarca - 02/05/2025 12:27:54</t>
  </si>
  <si>
    <t>3eb6c8be</t>
  </si>
  <si>
    <t>Tablero DG vendedores</t>
  </si>
  <si>
    <t>Felipe Duarte - 02/05/2025 13:30:12</t>
  </si>
  <si>
    <t>e893af28</t>
  </si>
  <si>
    <t>Tablero vendedores</t>
  </si>
  <si>
    <t>Felipe Duarte - 02/05/2025 13:30:31</t>
  </si>
  <si>
    <t>d3e29dd8</t>
  </si>
  <si>
    <t>Terminar Sprint 6</t>
  </si>
  <si>
    <t>Felipe Duarte - 02/05/2025 13:31:46</t>
  </si>
  <si>
    <t>Felipe Duarte - 02/06/2025 15:13:18</t>
  </si>
  <si>
    <t>f45db373</t>
  </si>
  <si>
    <t>Ajustes tablero vendedores</t>
  </si>
  <si>
    <t>Felipe Duarte - 02/05/2025 15:15:36</t>
  </si>
  <si>
    <t>c4b8cf66</t>
  </si>
  <si>
    <t>Renata Morano - 02/06/2025 08:24:26</t>
  </si>
  <si>
    <t>399f07d5</t>
  </si>
  <si>
    <t>Tickets Tablero</t>
  </si>
  <si>
    <t>Renata Morano - 02/06/2025 08:25:07</t>
  </si>
  <si>
    <t>3b814755</t>
  </si>
  <si>
    <t>Armado base de datos</t>
  </si>
  <si>
    <t>Adrian Patriarca - 02/06/2025 10:12:43</t>
  </si>
  <si>
    <t>Adrian Patriarca - 02/06/2025 14:03:00</t>
  </si>
  <si>
    <t>f6397d67</t>
  </si>
  <si>
    <t>Tablero neumáticos (mayorista)</t>
  </si>
  <si>
    <t>Felipe Duarte - 02/06/2025 15:14:02</t>
  </si>
  <si>
    <t>79f5da23</t>
  </si>
  <si>
    <t>Ultimo pedido Gonzalo</t>
  </si>
  <si>
    <t>Adrian Patriarca - 02/07/2025 11:56:50</t>
  </si>
  <si>
    <t>Felipe Duarte - 02/11/2025 13:30:41</t>
  </si>
  <si>
    <t>cedbe3dd</t>
  </si>
  <si>
    <t>Tickets pendientes Nation</t>
  </si>
  <si>
    <t>Felipe Duarte - 02/07/2025 16:13:44</t>
  </si>
  <si>
    <t>Felipe Duarte - 02/07/2025 17:55:53</t>
  </si>
  <si>
    <t>c8bd5235</t>
  </si>
  <si>
    <t>Felipe Duarte - 02/07/2025 17:56:31</t>
  </si>
  <si>
    <t>Adrian Patriarca - 11/10/2025 11:49:48</t>
  </si>
  <si>
    <t>117e4e5f</t>
  </si>
  <si>
    <t>Turneros</t>
  </si>
  <si>
    <t>Renata Morano - 02/10/2025 13:49:58</t>
  </si>
  <si>
    <t>188124f1</t>
  </si>
  <si>
    <t>Adrian Patriarca - 02/10/2025 14:05:41</t>
  </si>
  <si>
    <t>Adrian Patriarca - 02/11/2025 16:17:14</t>
  </si>
  <si>
    <t>f7c543d9</t>
  </si>
  <si>
    <t>Adrian Patriarca - 02/10/2025 14:06:04</t>
  </si>
  <si>
    <t>Adrian Patriarca - 02/11/2025 16:21:38</t>
  </si>
  <si>
    <t>f0bdb2ad</t>
  </si>
  <si>
    <t>Adrian Patriarca - 02/10/2025 14:06:47</t>
  </si>
  <si>
    <t>Adrian Patriarca - 02/11/2025 16:22:37</t>
  </si>
  <si>
    <t>367c3346</t>
  </si>
  <si>
    <t>Adrian Patriarca - 02/10/2025 16:27:58</t>
  </si>
  <si>
    <t>7d068b7d</t>
  </si>
  <si>
    <t>Adrian Patriarca - 02/10/2025 16:29:19</t>
  </si>
  <si>
    <t>Renata Morano - 02/12/2025 13:12:36</t>
  </si>
  <si>
    <t>84b83e29</t>
  </si>
  <si>
    <t>Adrian Patriarca - 02/10/2025 16:29:26</t>
  </si>
  <si>
    <t>7b6f3762</t>
  </si>
  <si>
    <t>Proyectos Internos</t>
  </si>
  <si>
    <t>Renata Morano - 02/17/2025 12:58:36</t>
  </si>
  <si>
    <t>b7d78a55</t>
  </si>
  <si>
    <t>Adrian Patriarca - 02/11/2025 09:22:12</t>
  </si>
  <si>
    <t>Adrian Patriarca - 02/11/2025 11:04:10</t>
  </si>
  <si>
    <t>9507cca2</t>
  </si>
  <si>
    <t>Revisión tablero abastecimiento</t>
  </si>
  <si>
    <t>Felipe Duarte - 02/11/2025 13:31:32</t>
  </si>
  <si>
    <t>c7e06c0e</t>
  </si>
  <si>
    <t>Ajustes tablero abastecimiento</t>
  </si>
  <si>
    <t>Felipe Duarte - 02/11/2025 13:32:23</t>
  </si>
  <si>
    <t>11b7ef0d</t>
  </si>
  <si>
    <t>Reunión con Pedro - Modificaciones App</t>
  </si>
  <si>
    <t>Felipe Duarte - 02/11/2025 15:13:32</t>
  </si>
  <si>
    <t>Adrian Patriarca - 02/11/2025 16:22:48</t>
  </si>
  <si>
    <t>0eff230c</t>
  </si>
  <si>
    <t>Lo visto en la ultima reunión con Cristian. Armar Sprint</t>
  </si>
  <si>
    <t>Adrian Patriarca - 02/11/2025 15:43:10</t>
  </si>
  <si>
    <t>4f7af023</t>
  </si>
  <si>
    <t>Adrian Patriarca - 02/11/2025 15:43:23</t>
  </si>
  <si>
    <t>87072a5f</t>
  </si>
  <si>
    <t>Licencias App</t>
  </si>
  <si>
    <t>Adrian Patriarca - 02/11/2025 16:55:59</t>
  </si>
  <si>
    <t>e3dd7ba6</t>
  </si>
  <si>
    <t>Renata Morano - 02/12/2025 12:19:29</t>
  </si>
  <si>
    <t>Renata Morano - 02/12/2025 13:12:32</t>
  </si>
  <si>
    <t>0fee35bc</t>
  </si>
  <si>
    <t>Pantallas Natión</t>
  </si>
  <si>
    <t>Adrian Patriarca - 02/12/2025 12:34:13</t>
  </si>
  <si>
    <t>Adrian Patriarca - 02/12/2025 12:53:27</t>
  </si>
  <si>
    <t>86af45a0</t>
  </si>
  <si>
    <t>Adrian Patriarca - 02/13/2025 09:40:26</t>
  </si>
  <si>
    <t>f8f73902</t>
  </si>
  <si>
    <t>Adrian Patriarca - 02/13/2025 14:18:07</t>
  </si>
  <si>
    <t>3cb3575a</t>
  </si>
  <si>
    <t>Reunión para ver estadisticas comerciales con tato y Raul</t>
  </si>
  <si>
    <t>Adrian Patriarca - 02/14/2025 12:02:45</t>
  </si>
  <si>
    <t>f030661a</t>
  </si>
  <si>
    <t>Video Map Scraper</t>
  </si>
  <si>
    <t>Adrian Patriarca - 02/14/2025 12:03:14</t>
  </si>
  <si>
    <t>6ec63b76</t>
  </si>
  <si>
    <t>Reunión para ver proyectos Actuales y Futuros</t>
  </si>
  <si>
    <t>Adrian Patriarca - 02/14/2025 12:05:10</t>
  </si>
  <si>
    <t>0b3734d2</t>
  </si>
  <si>
    <t>Reunión para ver avances de proyectos</t>
  </si>
  <si>
    <t>Adrian Patriarca - 02/14/2025 13:03:39</t>
  </si>
  <si>
    <t>e6fefc8e</t>
  </si>
  <si>
    <t>App y Tablero</t>
  </si>
  <si>
    <t xml:space="preserve"> - 02/19/2025 11:17:45</t>
  </si>
  <si>
    <t>3d99550f</t>
  </si>
  <si>
    <t>App y tablero</t>
  </si>
  <si>
    <t>Adrian Patriarca - 02/17/2025 13:33:06</t>
  </si>
  <si>
    <t xml:space="preserve"> - 02/19/2025 11:18:05</t>
  </si>
  <si>
    <t>81982ef0</t>
  </si>
  <si>
    <t>Adrian Patriarca - 02/17/2025 13:33:18</t>
  </si>
  <si>
    <t xml:space="preserve"> - 02/20/2025 13:02:41</t>
  </si>
  <si>
    <t>3043890a</t>
  </si>
  <si>
    <t>Adrian Patriarca - 02/17/2025 13:33:27</t>
  </si>
  <si>
    <t xml:space="preserve"> - 02/20/2025 13:03:11</t>
  </si>
  <si>
    <t>1e3144b4</t>
  </si>
  <si>
    <t>Video Garantías</t>
  </si>
  <si>
    <t>Adrian Patriarca - 02/17/2025 13:38:26</t>
  </si>
  <si>
    <t>Felipe Duarte - 02/19/2025 15:38:12</t>
  </si>
  <si>
    <t>f85151b5</t>
  </si>
  <si>
    <t>Tickets pendientes</t>
  </si>
  <si>
    <t>Adrian Patriarca - 02/17/2025 13:38:34</t>
  </si>
  <si>
    <t>Felipe Duarte - 02/20/2025 13:35:46</t>
  </si>
  <si>
    <t>8720f925</t>
  </si>
  <si>
    <t>Adrian Patriarca - 02/17/2025 17:49:05</t>
  </si>
  <si>
    <t>Adrian Patriarca - 02/20/2025 16:34:29</t>
  </si>
  <si>
    <t>3e96ee91</t>
  </si>
  <si>
    <t>Proyectos internos</t>
  </si>
  <si>
    <t xml:space="preserve"> - 02/19/2025 11:18:28</t>
  </si>
  <si>
    <t>15c33fee</t>
  </si>
  <si>
    <t>Finalización tablero</t>
  </si>
  <si>
    <t>Felipe Duarte - 02/19/2025 15:38:36</t>
  </si>
  <si>
    <t>b5d1836c</t>
  </si>
  <si>
    <t>Continuación Sprint</t>
  </si>
  <si>
    <t>Felipe Duarte - 02/19/2025 15:39:04</t>
  </si>
  <si>
    <t>af7193d8</t>
  </si>
  <si>
    <t>Reunión Gustavo</t>
  </si>
  <si>
    <t>Adrian Patriarca - 02/20/2025 10:48:19</t>
  </si>
  <si>
    <t>2ab17cdb</t>
  </si>
  <si>
    <t xml:space="preserve"> - 02/20/2025 13:03:00</t>
  </si>
  <si>
    <t>18774f03</t>
  </si>
  <si>
    <t>Reunión con Cristian revisión tablero producción</t>
  </si>
  <si>
    <t>Felipe Duarte - 02/20/2025 13:36:24</t>
  </si>
  <si>
    <t>6a01368f</t>
  </si>
  <si>
    <t>Armar Sprint</t>
  </si>
  <si>
    <t>Felipe Duarte - 02/20/2025 13:36:51</t>
  </si>
  <si>
    <t>Felipe Duarte - 02/20/2025 17:37:34</t>
  </si>
  <si>
    <t>523e2cfa</t>
  </si>
  <si>
    <t>Adrian Patriarca - 02/20/2025 16:34:46</t>
  </si>
  <si>
    <t>5c35d001</t>
  </si>
  <si>
    <t>Tablero de control Neumaticos - Marketing</t>
  </si>
  <si>
    <t>Comentarios Gonzalo</t>
  </si>
  <si>
    <t>Felipe Duarte - 02/20/2025 17:38:02</t>
  </si>
  <si>
    <t>41dfd56a</t>
  </si>
  <si>
    <t>Arreglo de Tableros</t>
  </si>
  <si>
    <t>Adrian Patriarca - 02/21/2025 11:32:05</t>
  </si>
  <si>
    <t>fcd96c43</t>
  </si>
  <si>
    <t>Post - Web</t>
  </si>
  <si>
    <t>Adrian Patriarca - 02/21/2025 21:33:46</t>
  </si>
  <si>
    <t>Renata Morano - 02/24/2025 12:07:51</t>
  </si>
  <si>
    <t>37739da0</t>
  </si>
  <si>
    <t>Adrian Patriarca - 02/21/2025 21:33:56</t>
  </si>
  <si>
    <t>Renata Morano - 02/25/2025 11:30:37</t>
  </si>
  <si>
    <t>da068af9</t>
  </si>
  <si>
    <t>Adrian Patriarca - 02/21/2025 21:34:09</t>
  </si>
  <si>
    <t>Adrian Patriarca - 02/25/2025 12:59:40</t>
  </si>
  <si>
    <t>74116405</t>
  </si>
  <si>
    <t>Renata Morano - 02/25/2025 11:31:26</t>
  </si>
  <si>
    <t>0da8552a</t>
  </si>
  <si>
    <t>Adrian Patriarca - 02/25/2025 13:00:13</t>
  </si>
  <si>
    <t>3dd90f30</t>
  </si>
  <si>
    <t>Adrian Patriarca - 02/25/2025 13:01:14</t>
  </si>
  <si>
    <t>102a9898</t>
  </si>
  <si>
    <t>Adrian Patriarca - 02/25/2025 13:01:38</t>
  </si>
  <si>
    <t>77255705</t>
  </si>
  <si>
    <t>Adrian Patriarca - 02/25/2025 13:41:03</t>
  </si>
  <si>
    <t>51853643</t>
  </si>
  <si>
    <t>Natión Sprint 15</t>
  </si>
  <si>
    <t>Adrian Patriarca - 02/25/2025 13:54:56</t>
  </si>
  <si>
    <t>afb0f33e</t>
  </si>
  <si>
    <t>Adrian Patriarca - 02/25/2025 13:55:04</t>
  </si>
  <si>
    <t>abab8382</t>
  </si>
  <si>
    <t>Adrian Patriarca - 02/25/2025 14:01:39</t>
  </si>
  <si>
    <t>Felipe Duarte - 02/27/2025 18:00:37</t>
  </si>
  <si>
    <t>cccdba68</t>
  </si>
  <si>
    <t>nor</t>
  </si>
  <si>
    <t>Adrian Patriarca - 02/26/2025 12:39:59</t>
  </si>
  <si>
    <t>7496e3cd</t>
  </si>
  <si>
    <t>Felipe Duarte - 02/27/2025 18:00:54</t>
  </si>
  <si>
    <t>f36410ae</t>
  </si>
  <si>
    <t>Adrian Patriarca - 02/28/2025 14:59:29</t>
  </si>
  <si>
    <t>dcb2ab09</t>
  </si>
  <si>
    <t>web apps</t>
  </si>
  <si>
    <t>Renata Morano - 03/05/2025 13:09:27</t>
  </si>
  <si>
    <t>6bb1067c</t>
  </si>
  <si>
    <t>Renata Morano - 03/05/2025 13:09:57</t>
  </si>
  <si>
    <t>Renata Morano - 03/06/2025 12:55:56</t>
  </si>
  <si>
    <t>c0cc3659</t>
  </si>
  <si>
    <t>Adrian Patriarca - 03/05/2025 13:39:42</t>
  </si>
  <si>
    <t>4b557dcf</t>
  </si>
  <si>
    <t>Adrian Patriarca - 03/05/2025 13:40:08</t>
  </si>
  <si>
    <t>Renata Morano - 03/07/2025 11:59:37</t>
  </si>
  <si>
    <t>a7129d91</t>
  </si>
  <si>
    <t>Adrian Patriarca - 03/05/2025 13:40:40</t>
  </si>
  <si>
    <t>Renata Morano - 03/10/2025 10:20:32</t>
  </si>
  <si>
    <t>bc0cf5f7</t>
  </si>
  <si>
    <t>Adrian Patriarca - 03/05/2025 13:40:58</t>
  </si>
  <si>
    <t>Adrian Patriarca - 03/05/2025 13:40:20</t>
  </si>
  <si>
    <t>79d73fc6</t>
  </si>
  <si>
    <t>Sprint 9</t>
  </si>
  <si>
    <t>Adrian Patriarca - 03/05/2025 13:41:18</t>
  </si>
  <si>
    <t>Renata Morano - 03/12/2025 08:01:43</t>
  </si>
  <si>
    <t>6560c792</t>
  </si>
  <si>
    <t>Adrian Patriarca - 03/05/2025 13:41:42</t>
  </si>
  <si>
    <t>Renata Morano - 03/13/2025 10:51:46</t>
  </si>
  <si>
    <t>f067cbd5</t>
  </si>
  <si>
    <t>Adrian Patriarca - 03/05/2025 13:42:05</t>
  </si>
  <si>
    <t>Renata Morano - 03/14/2025 12:03:03</t>
  </si>
  <si>
    <t>fd06dd37</t>
  </si>
  <si>
    <t>Natión Terminar Sprint</t>
  </si>
  <si>
    <t>Adrian Patriarca - 03/05/2025 13:46:59</t>
  </si>
  <si>
    <t>Felipe Duarte - 03/05/2025 17:12:41</t>
  </si>
  <si>
    <t>ae5f52b0</t>
  </si>
  <si>
    <t>Reunión con Pedro - Garantías</t>
  </si>
  <si>
    <t>Felipe Duarte - 03/05/2025 13:53:33</t>
  </si>
  <si>
    <t>30a6c6c0</t>
  </si>
  <si>
    <t>Felipe Duarte - 03/06/2025 13:55:19</t>
  </si>
  <si>
    <t>0bc51567</t>
  </si>
  <si>
    <t>Observaciones Gonzalo</t>
  </si>
  <si>
    <t>Felipe Duarte - 03/07/2025 13:31:22</t>
  </si>
  <si>
    <t>15cc713e</t>
  </si>
  <si>
    <t>Revisar el Sprint de DG (con Adrian) y Preparar Reunión con Pedro</t>
  </si>
  <si>
    <t>Adrian Patriarca - 03/05/2025 13:57:34</t>
  </si>
  <si>
    <t>d7f33ea1</t>
  </si>
  <si>
    <t>Cambiar base de datos en el tablero de indicadores</t>
  </si>
  <si>
    <t>Felipe Duarte - 03/05/2025 13:59:15</t>
  </si>
  <si>
    <t>Felipe Duarte - 03/05/2025 17:12:38</t>
  </si>
  <si>
    <t>547fe235</t>
  </si>
  <si>
    <t>Post</t>
  </si>
  <si>
    <t>Renata Morano - 03/06/2025 12:56:21</t>
  </si>
  <si>
    <t>973fb230</t>
  </si>
  <si>
    <t>Adrian Patriarca - 03/06/2025 18:24:42</t>
  </si>
  <si>
    <t>d42b6dac</t>
  </si>
  <si>
    <t>Arreglo tablero abastecimiento</t>
  </si>
  <si>
    <t>Adrian Patriarca - 03/06/2025 18:25:27</t>
  </si>
  <si>
    <t>a3112e3a</t>
  </si>
  <si>
    <t>Renata Morano - 03/07/2025 10:35:29</t>
  </si>
  <si>
    <t>Renata Morano - 03/07/2025 11:59:00</t>
  </si>
  <si>
    <t>f39e8333</t>
  </si>
  <si>
    <t>Renata Morano - 03/07/2025 11:59:45</t>
  </si>
  <si>
    <t>bcd7eaef</t>
  </si>
  <si>
    <t>Reunión con Mantenimiento</t>
  </si>
  <si>
    <t>Felipe Duarte - 03/07/2025 13:36:48</t>
  </si>
  <si>
    <t>ccaf8baf</t>
  </si>
  <si>
    <t>Renata Morano - 03/10/2025 10:20:28</t>
  </si>
  <si>
    <t>a0310946</t>
  </si>
  <si>
    <t>Adrian Patriarca - 03/10/2025 13:09:14</t>
  </si>
  <si>
    <t>0fb82950</t>
  </si>
  <si>
    <t>Reunión con HL</t>
  </si>
  <si>
    <t>Adrian Patriarca - 03/10/2025 13:09:53</t>
  </si>
  <si>
    <t>72f389de</t>
  </si>
  <si>
    <t>Adrian Patriarca - 03/10/2025 13:17:56</t>
  </si>
  <si>
    <t>0c668ae1</t>
  </si>
  <si>
    <t>Tickets Amipack</t>
  </si>
  <si>
    <t>Adrian Patriarca - 03/10/2025 14:35:48</t>
  </si>
  <si>
    <t>e21f5b37</t>
  </si>
  <si>
    <t>Adrian Patriarca - 03/10/2025 14:35:57</t>
  </si>
  <si>
    <t>ce6de183</t>
  </si>
  <si>
    <t>Continuar pedido mantenimiento preventivo + reciclar tablero</t>
  </si>
  <si>
    <t>Adrian Patriarca - 03/10/2025 14:37:12</t>
  </si>
  <si>
    <t>Felipe Duarte - 03/12/2025 16:54:57</t>
  </si>
  <si>
    <t>7f0aad84</t>
  </si>
  <si>
    <t>Ticket + Garantia Sprint</t>
  </si>
  <si>
    <t>Adrian Patriarca - 03/10/2025 14:37:21</t>
  </si>
  <si>
    <t>Adrian Patriarca - 11/10/2025 11:49:40</t>
  </si>
  <si>
    <t>c458c910</t>
  </si>
  <si>
    <t>Terminar con todo lo de Natión</t>
  </si>
  <si>
    <t>Adrian Patriarca - 03/10/2025 14:39:59</t>
  </si>
  <si>
    <t>24f3ba79</t>
  </si>
  <si>
    <t>Adrian Patriarca - 03/11/2025 18:23:01</t>
  </si>
  <si>
    <t>fdc630b2</t>
  </si>
  <si>
    <t>Adrian Patriarca - 03/11/2025 18:23:54</t>
  </si>
  <si>
    <t>c378c91a</t>
  </si>
  <si>
    <t>Reunión Norte</t>
  </si>
  <si>
    <t>Adrian Patriarca - 03/11/2025 18:24:46</t>
  </si>
  <si>
    <t>Adrian Patriarca - 03/12/2025 13:01:30</t>
  </si>
  <si>
    <t>8eaf9e6e</t>
  </si>
  <si>
    <t>Reunión con Guillermo</t>
  </si>
  <si>
    <t>Adrian Patriarca - 03/12/2025 16:18:56</t>
  </si>
  <si>
    <t>96da72d5</t>
  </si>
  <si>
    <t>Reunión para ver avances.</t>
  </si>
  <si>
    <t>Adrian Patriarca - 03/12/2025 16:39:28</t>
  </si>
  <si>
    <t>48c320c7</t>
  </si>
  <si>
    <t>Adrian Patriarca - 03/12/2025 16:50:08</t>
  </si>
  <si>
    <t>afe8c870</t>
  </si>
  <si>
    <t>Reunión Tablero de Recorridos</t>
  </si>
  <si>
    <t>Adrian Patriarca - 03/12/2025 16:54:20</t>
  </si>
  <si>
    <t>Adrian Patriarca - 03/18/2025 15:16:41</t>
  </si>
  <si>
    <t>a68cb4f4</t>
  </si>
  <si>
    <t>Estado nuevo</t>
  </si>
  <si>
    <t>Renata Morano - 03/13/2025 10:52:11</t>
  </si>
  <si>
    <t>e32ed947</t>
  </si>
  <si>
    <t>Renata Morano - 03/13/2025 10:52:32</t>
  </si>
  <si>
    <t>9c6d8ffa</t>
  </si>
  <si>
    <t>Inventario HQ</t>
  </si>
  <si>
    <t>Renata Morano - 03/14/2025 10:04:44</t>
  </si>
  <si>
    <t>Renata Morano - 03/14/2025 10:05:15</t>
  </si>
  <si>
    <t>f132f4cf</t>
  </si>
  <si>
    <t>Renata Morano - 03/14/2025 12:03:26</t>
  </si>
  <si>
    <t>9aa7afc3</t>
  </si>
  <si>
    <t>Renata Morano - 03/17/2025 09:56:18</t>
  </si>
  <si>
    <t>675a9fe4</t>
  </si>
  <si>
    <t>Reunión AMIPACK revisar planillas mantenimiento preventivo // Ticket C0119 pedido Cristian</t>
  </si>
  <si>
    <t>Felipe Duarte - 03/17/2025 13:30:39</t>
  </si>
  <si>
    <t>Felipe Duarte - 03/17/2025 15:41:43</t>
  </si>
  <si>
    <t>aafb04da</t>
  </si>
  <si>
    <t>Ticket con el problema de META</t>
  </si>
  <si>
    <t>Felipe Duarte - 03/17/2025 17:44:27</t>
  </si>
  <si>
    <t>61eb8e4a</t>
  </si>
  <si>
    <t>Tickets pendientes (nuevas máquinas y control de usuarios)</t>
  </si>
  <si>
    <t>Felipe Duarte - 03/17/2025 17:45:09</t>
  </si>
  <si>
    <t>672cfca1</t>
  </si>
  <si>
    <t>App Insuga y Capacitación</t>
  </si>
  <si>
    <t>Renata Morano - 03/18/2025 08:26:28</t>
  </si>
  <si>
    <t>a3e00194</t>
  </si>
  <si>
    <t>Presentación Insuga</t>
  </si>
  <si>
    <t>Adrian Patriarca - 03/18/2025 11:54:15</t>
  </si>
  <si>
    <t>Renata Morano - 03/19/2025 13:02:15</t>
  </si>
  <si>
    <t>a2be70a1</t>
  </si>
  <si>
    <t>Renata Morano - 03/20/2025 11:30:19</t>
  </si>
  <si>
    <t>ca600347</t>
  </si>
  <si>
    <t>Reunión Cristian</t>
  </si>
  <si>
    <t>Felipe Duarte - 03/18/2025 13:44:01</t>
  </si>
  <si>
    <t>Felipe Duarte - 03/18/2025 14:18:32</t>
  </si>
  <si>
    <t>5729882d</t>
  </si>
  <si>
    <t>Ticket pedido Juan y Sprint de la última reunión</t>
  </si>
  <si>
    <t>Felipe Duarte - 03/18/2025 13:44:30</t>
  </si>
  <si>
    <t>Felipe Duarte - 03/18/2025 14:30:06</t>
  </si>
  <si>
    <t>679dc5df</t>
  </si>
  <si>
    <t>Felipe Duarte - 03/18/2025 13:45:21</t>
  </si>
  <si>
    <t>Felipe Duarte - 03/18/2025 14:18:41</t>
  </si>
  <si>
    <t>9a7f630b</t>
  </si>
  <si>
    <t>Adrian Patriarca - 03/18/2025 14:12:19</t>
  </si>
  <si>
    <t>c142bdf9</t>
  </si>
  <si>
    <t>Adrian Patriarca - 03/18/2025 14:12:59</t>
  </si>
  <si>
    <t>Adrian Patriarca - 03/20/2025 17:33:47</t>
  </si>
  <si>
    <t>77a338ad</t>
  </si>
  <si>
    <t>DG - Hacer Sprint</t>
  </si>
  <si>
    <t>Adrian Patriarca - 03/20/2025 17:33:42</t>
  </si>
  <si>
    <t>cf8f3e5e</t>
  </si>
  <si>
    <t>Adrian Patriarca - 03/18/2025 14:14:17</t>
  </si>
  <si>
    <t>656c28cf</t>
  </si>
  <si>
    <t>Adrian Patriarca - 03/18/2025 15:17:05</t>
  </si>
  <si>
    <t>59692078</t>
  </si>
  <si>
    <t>Capacitación Insuga</t>
  </si>
  <si>
    <t>Adrian Patriarca - 03/18/2025 15:52:12</t>
  </si>
  <si>
    <t>947e6efd</t>
  </si>
  <si>
    <t>Adrian Patriarca - 03/20/2025 11:32:01</t>
  </si>
  <si>
    <t>dc2132cf</t>
  </si>
  <si>
    <t>Renata Morano - 03/20/2025 11:35:46</t>
  </si>
  <si>
    <t>bc7927c9</t>
  </si>
  <si>
    <t>Sprint 2 2025</t>
  </si>
  <si>
    <t>Felipe Duarte - 03/25/2025 13:30:42</t>
  </si>
  <si>
    <t>3e56b1c1</t>
  </si>
  <si>
    <t>Adrian Patriarca - 03/20/2025 17:34:52</t>
  </si>
  <si>
    <t>Felipe Duarte - 03/25/2025 13:30:22</t>
  </si>
  <si>
    <t>f8ed00d8</t>
  </si>
  <si>
    <t>Felipe Duarte - 03/28/2025 13:37:35</t>
  </si>
  <si>
    <t>0e6cf449</t>
  </si>
  <si>
    <t>Adrian Patriarca - 03/21/2025 10:12:08</t>
  </si>
  <si>
    <t>0275ae27</t>
  </si>
  <si>
    <t>Adrian Patriarca - 03/21/2025 10:11:11</t>
  </si>
  <si>
    <t>Renata Morano - 03/26/2025 08:45:15</t>
  </si>
  <si>
    <t>f4b838e9</t>
  </si>
  <si>
    <t>Planillas preventivos</t>
  </si>
  <si>
    <t>Felipe Duarte - 03/25/2025 13:31:10</t>
  </si>
  <si>
    <t>Adrian Patriarca - 03/20/2025 17:34:40</t>
  </si>
  <si>
    <t>22f76207</t>
  </si>
  <si>
    <t>Reunión con mantenimiento</t>
  </si>
  <si>
    <t>Felipe Duarte - 03/25/2025 13:32:11</t>
  </si>
  <si>
    <t>8d97dbee</t>
  </si>
  <si>
    <t>mkt</t>
  </si>
  <si>
    <t>Adrian Patriarca - 03/25/2025 14:53:41</t>
  </si>
  <si>
    <t>Adrian Patriarca - 03/26/2025 11:22:32</t>
  </si>
  <si>
    <t>7a9da775</t>
  </si>
  <si>
    <t>Renata Morano - 03/26/2025 08:44:58</t>
  </si>
  <si>
    <t>fe867349</t>
  </si>
  <si>
    <t>Renata Morano - 03/26/2025 08:45:43</t>
  </si>
  <si>
    <t>0d73ee76</t>
  </si>
  <si>
    <t>Adrian Patriarca - 03/26/2025 16:24:09</t>
  </si>
  <si>
    <t>f5d349ad</t>
  </si>
  <si>
    <t>Adrian Patriarca - 03/26/2025 16:24:17</t>
  </si>
  <si>
    <t>Adrian Patriarca - 03/27/2025 09:09:32</t>
  </si>
  <si>
    <t>c2d8684b</t>
  </si>
  <si>
    <t>Reunión con Gonzalo</t>
  </si>
  <si>
    <t>Adrian Patriarca - 03/27/2025 14:24:37</t>
  </si>
  <si>
    <t>0321666d</t>
  </si>
  <si>
    <t>Ayuda con la app</t>
  </si>
  <si>
    <t>Renata Morano - 03/28/2025 11:16:28</t>
  </si>
  <si>
    <t>f2836d49</t>
  </si>
  <si>
    <t>Renata Morano - 03/28/2025 11:16:52</t>
  </si>
  <si>
    <t>Renata Morano - 03/28/2025 11:17:32</t>
  </si>
  <si>
    <t>92b901d0</t>
  </si>
  <si>
    <t>Renata Morano - 03/28/2025 11:17:25</t>
  </si>
  <si>
    <t>e098bc94</t>
  </si>
  <si>
    <t>Ticket app</t>
  </si>
  <si>
    <t>Renata Morano - 03/28/2025 11:17:51</t>
  </si>
  <si>
    <t>cbc2f8e2</t>
  </si>
  <si>
    <t>Felipe Duarte - 03/28/2025 13:37:21</t>
  </si>
  <si>
    <t>Felipe Duarte - 03/28/2025 16:06:44</t>
  </si>
  <si>
    <t>99f099ee</t>
  </si>
  <si>
    <t>Reunión con Emmanuel (mantenimiento)</t>
  </si>
  <si>
    <t>Felipe Duarte - 03/28/2025 13:39:09</t>
  </si>
  <si>
    <t>Felipe Duarte - 03/28/2025 16:07:04</t>
  </si>
  <si>
    <t>400ed1ab</t>
  </si>
  <si>
    <t>Capacitación presencial DG</t>
  </si>
  <si>
    <t>Felipe Duarte - 03/28/2025 13:40:40</t>
  </si>
  <si>
    <t>Felipe Duarte - 03/28/2025 16:07:14</t>
  </si>
  <si>
    <t>10e125b5</t>
  </si>
  <si>
    <t>Capacitación DG</t>
  </si>
  <si>
    <t>Adrian Patriarca - 03/28/2025 14:47:54</t>
  </si>
  <si>
    <t>Adrian Patriarca - 03/28/2025 14:49:33</t>
  </si>
  <si>
    <t>03c2c7fe</t>
  </si>
  <si>
    <t>Mejorar performance de App Natión</t>
  </si>
  <si>
    <t>Adrian Patriarca - 03/28/2025 14:53:39</t>
  </si>
  <si>
    <t>Felipe Duarte - 04/01/2025 17:40:21</t>
  </si>
  <si>
    <t>3cce6c4a</t>
  </si>
  <si>
    <t>Optimizar app</t>
  </si>
  <si>
    <t>Adrian Patriarca - 03/28/2025 14:54:54</t>
  </si>
  <si>
    <t>Felipe Duarte - 04/01/2025 17:35:06</t>
  </si>
  <si>
    <t>7cd6ebe4</t>
  </si>
  <si>
    <t>Adrian Patriarca - 03/28/2025 14:55:08</t>
  </si>
  <si>
    <t>Felipe Duarte - 04/01/2025 17:35:23</t>
  </si>
  <si>
    <t>8a76708d</t>
  </si>
  <si>
    <t>Mejorar carga de app</t>
  </si>
  <si>
    <t>Felipe Duarte - 04/01/2025 17:40:15</t>
  </si>
  <si>
    <t>a05a1ee9</t>
  </si>
  <si>
    <t>Sprint Natión</t>
  </si>
  <si>
    <t>Adrian Patriarca - 03/28/2025 16:02:52</t>
  </si>
  <si>
    <t>5c58c86b</t>
  </si>
  <si>
    <t>HL Sprint 9</t>
  </si>
  <si>
    <t>Adrian Patriarca - 03/31/2025 10:16:03</t>
  </si>
  <si>
    <t>bf9b5fdc</t>
  </si>
  <si>
    <t>Adrian Patriarca - 03/31/2025 10:16:28</t>
  </si>
  <si>
    <t>Renata Morano - 04/01/2025 10:38:18</t>
  </si>
  <si>
    <t>5552fe9f</t>
  </si>
  <si>
    <t>Armar sprint y comenzarlo</t>
  </si>
  <si>
    <t>Adrian Patriarca - 03/31/2025 10:18:11</t>
  </si>
  <si>
    <t>Renata Morano - 04/03/2025 12:31:19</t>
  </si>
  <si>
    <t>9b139f6a</t>
  </si>
  <si>
    <t>Adrian Patriarca - 03/31/2025 10:18:23</t>
  </si>
  <si>
    <t>48af9949</t>
  </si>
  <si>
    <t>Adrian Patriarca - 03/31/2025 10:18:48</t>
  </si>
  <si>
    <t>Adrian Patriarca - 04/07/2025 10:59:51</t>
  </si>
  <si>
    <t>2ce58399</t>
  </si>
  <si>
    <t>Renata Morano - 03/31/2025 12:31:57</t>
  </si>
  <si>
    <t>aa76cf6d</t>
  </si>
  <si>
    <t>Renata Morano - 04/01/2025 10:38:07</t>
  </si>
  <si>
    <t>f7978eb3</t>
  </si>
  <si>
    <t>Correcciones servicios, ayuda usuarios</t>
  </si>
  <si>
    <t>Renata Morano - 04/01/2025 10:39:07</t>
  </si>
  <si>
    <t>ca059c4c</t>
  </si>
  <si>
    <t>Adrian Patriarca - 04/01/2025 17:42:19</t>
  </si>
  <si>
    <t>5c88f47f</t>
  </si>
  <si>
    <t>Adrian Patriarca - 04/01/2025 17:42:46</t>
  </si>
  <si>
    <t>4d102fc8</t>
  </si>
  <si>
    <t>Renata Morano - 04/03/2025 08:18:03</t>
  </si>
  <si>
    <t>Renata Morano - 04/03/2025 12:31:25</t>
  </si>
  <si>
    <t>1dcc5325</t>
  </si>
  <si>
    <t>Renata Morano - 04/03/2025 08:18:53</t>
  </si>
  <si>
    <t>b3cecf63</t>
  </si>
  <si>
    <t>Renata Morano - 04/03/2025 08:19:12</t>
  </si>
  <si>
    <t>22b6a213</t>
  </si>
  <si>
    <t>Cambios en la app</t>
  </si>
  <si>
    <t>Renata Morano - 04/03/2025 12:31:37</t>
  </si>
  <si>
    <t>43a9b5fb</t>
  </si>
  <si>
    <t>Adrian Patriarca - 04/04/2025 15:54:59</t>
  </si>
  <si>
    <t>8b452919</t>
  </si>
  <si>
    <t>Tablero Marketing 2025</t>
  </si>
  <si>
    <t>Adrian Patriarca - 04/04/2025 15:56:30</t>
  </si>
  <si>
    <t>2e65be85</t>
  </si>
  <si>
    <t>Corrección de errores</t>
  </si>
  <si>
    <t>Adrian Patriarca - 04/07/2025 10:19:24</t>
  </si>
  <si>
    <t>e7f1f04c</t>
  </si>
  <si>
    <t>Terminar HQ</t>
  </si>
  <si>
    <t>Renata Morano - 04/08/2025 12:53:53</t>
  </si>
  <si>
    <t>a79037bd</t>
  </si>
  <si>
    <t>Armado Sprint ATC</t>
  </si>
  <si>
    <t>Adrian Patriarca - 04/07/2025 11:00:20</t>
  </si>
  <si>
    <t>e12491b5</t>
  </si>
  <si>
    <t>Adrian Patriarca - 04/07/2025 11:01:58</t>
  </si>
  <si>
    <t>Renata Morano - 04/10/2025 13:05:18</t>
  </si>
  <si>
    <t>4f35e038</t>
  </si>
  <si>
    <t>Adrian Patriarca - 04/07/2025 11:02:14</t>
  </si>
  <si>
    <t>83660fca</t>
  </si>
  <si>
    <t>Adrian Patriarca - 04/07/2025 11:02:40</t>
  </si>
  <si>
    <t>Renata Morano - 04/10/2025 13:06:31</t>
  </si>
  <si>
    <t>33a31a57</t>
  </si>
  <si>
    <t>Adrian Patriarca - 04/08/2025 01:03:43</t>
  </si>
  <si>
    <t>2828b328</t>
  </si>
  <si>
    <t>Adrian Patriarca - 04/08/2025 01:04:02</t>
  </si>
  <si>
    <t>aa13f542</t>
  </si>
  <si>
    <t>Adrian Patriarca - 04/08/2025 01:04:21</t>
  </si>
  <si>
    <t>9f91321f</t>
  </si>
  <si>
    <t>Adrian Patriarca - 04/08/2025 01:05:34</t>
  </si>
  <si>
    <t>Felipe Duarte - 04/10/2025 13:30:21</t>
  </si>
  <si>
    <t>a73ac9df</t>
  </si>
  <si>
    <t>Adrian Patriarca - 04/08/2025 01:05:45</t>
  </si>
  <si>
    <t>Adrian Patriarca - 04/10/2025 17:33:55</t>
  </si>
  <si>
    <t>ee28c28d</t>
  </si>
  <si>
    <t>Correción Base de datos</t>
  </si>
  <si>
    <t>Renata Morano - 04/08/2025 08:26:16</t>
  </si>
  <si>
    <t>Renata Morano - 04/08/2025 12:54:02</t>
  </si>
  <si>
    <t>cfb261c9</t>
  </si>
  <si>
    <t>Adrian Patriarca - 04/08/2025 15:32:59</t>
  </si>
  <si>
    <t>502cece8</t>
  </si>
  <si>
    <t>Adrian Patriarca - 04/08/2025 15:33:46</t>
  </si>
  <si>
    <t>Adrian Patriarca - 04/10/2025 13:18:39</t>
  </si>
  <si>
    <t>b23e90cb</t>
  </si>
  <si>
    <t>Estados pedidos</t>
  </si>
  <si>
    <t>Renata Morano - 04/09/2025 08:45:10</t>
  </si>
  <si>
    <t>Renata Morano - 04/10/2025 13:05:27</t>
  </si>
  <si>
    <t>c25b73f5</t>
  </si>
  <si>
    <t>Reunión capacitación</t>
  </si>
  <si>
    <t>Renata Morano - 04/11/2025 14:20:54</t>
  </si>
  <si>
    <t>4b671b78</t>
  </si>
  <si>
    <t>Felipe Duarte - 04/09/2025 17:50:33</t>
  </si>
  <si>
    <t>Adrian Patriarca - 11/10/2025 11:49:34</t>
  </si>
  <si>
    <t>fcf19b98</t>
  </si>
  <si>
    <t>Adrian Patriarca - 04/10/2025 13:19:23</t>
  </si>
  <si>
    <t>6228437f</t>
  </si>
  <si>
    <t>Natión Marketing</t>
  </si>
  <si>
    <t>Felipe Duarte - 04/14/2025 15:42:40</t>
  </si>
  <si>
    <t>cbc412cd</t>
  </si>
  <si>
    <t>Organizar Reunión para mostrar avances</t>
  </si>
  <si>
    <t>Adrian Patriarca - 04/10/2025 17:35:30</t>
  </si>
  <si>
    <t>Adrian Patriarca - 04/11/2025 14:34:00</t>
  </si>
  <si>
    <t>27b29f94</t>
  </si>
  <si>
    <t>Ticket (Problema proveedor)</t>
  </si>
  <si>
    <t>Renata Morano - 04/14/2025 09:40:35</t>
  </si>
  <si>
    <t>0721f12a</t>
  </si>
  <si>
    <t>Renata Morano - 04/14/2025 09:41:12</t>
  </si>
  <si>
    <t>Renata Morano - 04/14/2025 13:04:45</t>
  </si>
  <si>
    <t>46719772</t>
  </si>
  <si>
    <t>Videos</t>
  </si>
  <si>
    <t>Renata Morano - 04/14/2025 13:04:48</t>
  </si>
  <si>
    <t>fbc6fa66</t>
  </si>
  <si>
    <t>Adrian Patriarca - 04/14/2025 10:16:01</t>
  </si>
  <si>
    <t>Renata Morano - 04/15/2025 12:46:12</t>
  </si>
  <si>
    <t>7ac4334d</t>
  </si>
  <si>
    <t>Adrian Patriarca - 04/14/2025 10:46:04</t>
  </si>
  <si>
    <t>Adrian Patriarca - 04/18/2025 10:21:59</t>
  </si>
  <si>
    <t>0a92bb62</t>
  </si>
  <si>
    <t>Reunión Mantenimiento y Producción</t>
  </si>
  <si>
    <t>Felipe Duarte - 04/14/2025 13:40:30</t>
  </si>
  <si>
    <t>Felipe Duarte - 04/14/2025 15:42:35</t>
  </si>
  <si>
    <t>7d2f8fdb</t>
  </si>
  <si>
    <t>1er reunión</t>
  </si>
  <si>
    <t>Adrian Patriarca - 04/14/2025 17:03:46</t>
  </si>
  <si>
    <t>eb2ca007</t>
  </si>
  <si>
    <t>TERMINAR APP NATIÓN</t>
  </si>
  <si>
    <t>Adrian Patriarca - 04/14/2025 17:16:17</t>
  </si>
  <si>
    <t>Felipe Duarte - 04/15/2025 17:42:31</t>
  </si>
  <si>
    <t>c7d38d23</t>
  </si>
  <si>
    <t>Arreglo del script de precios</t>
  </si>
  <si>
    <t>Adrian Patriarca - 04/15/2025 12:11:38</t>
  </si>
  <si>
    <t>b39b11ff</t>
  </si>
  <si>
    <t>Adrian Patriarca - 04/15/2025 12:11:59</t>
  </si>
  <si>
    <t>819fa58f</t>
  </si>
  <si>
    <t>Script</t>
  </si>
  <si>
    <t>Renata Morano - 04/15/2025 12:46:40</t>
  </si>
  <si>
    <t>f7c9dbd0</t>
  </si>
  <si>
    <t>Ver todo lo de Insuga</t>
  </si>
  <si>
    <t>Adrian Patriarca - 04/16/2025 22:27:54</t>
  </si>
  <si>
    <t>412adbfb</t>
  </si>
  <si>
    <t>Adrian Patriarca - 04/15/2025 13:21:56</t>
  </si>
  <si>
    <t>Adrian Patriarca - 04/18/2025 10:21:56</t>
  </si>
  <si>
    <t>e1024603</t>
  </si>
  <si>
    <t>Reunión para mostrar avances</t>
  </si>
  <si>
    <t>Felipe Duarte - 04/15/2025 17:43:11</t>
  </si>
  <si>
    <t>546ae540</t>
  </si>
  <si>
    <t>Módulo presupuesto</t>
  </si>
  <si>
    <t>Felipe Duarte - 04/15/2025 17:45:08</t>
  </si>
  <si>
    <t>76b937cc</t>
  </si>
  <si>
    <t>Adrian Patriarca - 04/16/2025 10:31:42</t>
  </si>
  <si>
    <t>14182d66</t>
  </si>
  <si>
    <t>Adrian Patriarca - 04/16/2025 13:13:52</t>
  </si>
  <si>
    <t>Renata Morano - 04/17/2025 11:09:43</t>
  </si>
  <si>
    <t>4c91ea47</t>
  </si>
  <si>
    <t>Renata Morano - 04/17/2025 11:09:34</t>
  </si>
  <si>
    <t>a000f18a</t>
  </si>
  <si>
    <t>Renata Morano - 04/17/2025 11:10:06</t>
  </si>
  <si>
    <t>1b7b4905</t>
  </si>
  <si>
    <t>Renata Morano - 04/21/2025 09:18:24</t>
  </si>
  <si>
    <t>Renata Morano - 04/21/2025 12:15:10</t>
  </si>
  <si>
    <t>5381aeef</t>
  </si>
  <si>
    <t>Tablero de control Gonzalo</t>
  </si>
  <si>
    <t>Adrian Patriarca - 04/21/2025 10:07:13</t>
  </si>
  <si>
    <t>Adrian Patriarca - 04/21/2025 12:00:16</t>
  </si>
  <si>
    <t>1b86d898</t>
  </si>
  <si>
    <t>Armado de sprint</t>
  </si>
  <si>
    <t>Adrian Patriarca - 04/21/2025 12:00:44</t>
  </si>
  <si>
    <t>90383c95</t>
  </si>
  <si>
    <t>Damian</t>
  </si>
  <si>
    <t>Renata Morano - 04/21/2025 12:15:31</t>
  </si>
  <si>
    <t>a7218fcd</t>
  </si>
  <si>
    <t>Armado Sprint</t>
  </si>
  <si>
    <t>Renata Morano - 04/21/2025 12:15:59</t>
  </si>
  <si>
    <t>d4076382</t>
  </si>
  <si>
    <t>Terminar sprint de ATC</t>
  </si>
  <si>
    <t>Adrian Patriarca - 04/21/2025 12:56:51</t>
  </si>
  <si>
    <t>Renata Morano - 04/22/2025 09:40:52</t>
  </si>
  <si>
    <t>8dbf5a39</t>
  </si>
  <si>
    <t>Hacer un primer acercamiento de la app para mostrar + Organizar reunión con Andrea</t>
  </si>
  <si>
    <t>Adrian Patriarca - 04/21/2025 12:58:32</t>
  </si>
  <si>
    <t>Renata Morano - 04/22/2025 09:41:01</t>
  </si>
  <si>
    <t>c17ebfe2</t>
  </si>
  <si>
    <t>Reunión OTRV</t>
  </si>
  <si>
    <t>Renata Morano - 04/23/2025 11:15:37</t>
  </si>
  <si>
    <t>7187bb72</t>
  </si>
  <si>
    <t>aplicación</t>
  </si>
  <si>
    <t>Renata Morano - 04/23/2025 11:15:19</t>
  </si>
  <si>
    <t>310c02cd</t>
  </si>
  <si>
    <t>Revisar Sprint + Nuevo srpint</t>
  </si>
  <si>
    <t>Adrian Patriarca - 04/21/2025 13:03:39</t>
  </si>
  <si>
    <t>7b2e8e1d</t>
  </si>
  <si>
    <t>MKT</t>
  </si>
  <si>
    <t>Adrian Patriarca - 04/21/2025 13:41:18</t>
  </si>
  <si>
    <t>Felipe Duarte - 04/24/2025 15:08:41</t>
  </si>
  <si>
    <t>c2c161e4</t>
  </si>
  <si>
    <t>Terminar con pedidos de Amipack</t>
  </si>
  <si>
    <t>Adrian Patriarca - 04/21/2025 13:44:54</t>
  </si>
  <si>
    <t>257b3eba</t>
  </si>
  <si>
    <t>Adrian Patriarca - 04/21/2025 13:45:02</t>
  </si>
  <si>
    <t>Adrian Patriarca - 04/21/2025 13:49:29</t>
  </si>
  <si>
    <t>160727b6</t>
  </si>
  <si>
    <t>Felipe Duarte - 04/25/2025 18:12:03</t>
  </si>
  <si>
    <t>053b48ce</t>
  </si>
  <si>
    <t>Hacer Sprint DG</t>
  </si>
  <si>
    <t>Adrian Patriarca - 04/21/2025 13:46:38</t>
  </si>
  <si>
    <t>Felipe Duarte - 04/28/2025 13:30:54</t>
  </si>
  <si>
    <t>21603bec</t>
  </si>
  <si>
    <t>Felipe Duarte - 04/29/2025 17:11:27</t>
  </si>
  <si>
    <t>5b319d7e</t>
  </si>
  <si>
    <t>Adrian Patriarca - 04/21/2025 13:47:08</t>
  </si>
  <si>
    <t>Felipe Duarte - 04/29/2025 17:13:32</t>
  </si>
  <si>
    <t>6762df27</t>
  </si>
  <si>
    <t>Terminar con lo de las plantillas</t>
  </si>
  <si>
    <t>Adrian Patriarca - 04/21/2025 13:50:02</t>
  </si>
  <si>
    <t>3dbb2b90</t>
  </si>
  <si>
    <t>Adrian Patriarca - 04/21/2025 14:04:44</t>
  </si>
  <si>
    <t>Adrian Patriarca - 04/23/2025 12:55:26</t>
  </si>
  <si>
    <t>ce9e78ea</t>
  </si>
  <si>
    <t>Adrian Patriarca - 04/21/2025 14:06:32</t>
  </si>
  <si>
    <t>Adrian Patriarca - 04/24/2025 12:22:43</t>
  </si>
  <si>
    <t>dc75b335</t>
  </si>
  <si>
    <t>Damian mails - Ayuda al inicio de sesión</t>
  </si>
  <si>
    <t>Renata Morano - 04/23/2025 12:04:16</t>
  </si>
  <si>
    <t>Renata Morano - 04/23/2025 12:04:31</t>
  </si>
  <si>
    <t>7e32d657</t>
  </si>
  <si>
    <t>Cierre sprint 10</t>
  </si>
  <si>
    <t>Renata Morano - 04/23/2025 12:29:31</t>
  </si>
  <si>
    <t>5dc2dc2b</t>
  </si>
  <si>
    <t>1ra Reunión de trabajo</t>
  </si>
  <si>
    <t>Adrian Patriarca - 04/23/2025 12:55:00</t>
  </si>
  <si>
    <t>be73ae33</t>
  </si>
  <si>
    <t>Adrian Patriarca - 04/23/2025 12:56:20</t>
  </si>
  <si>
    <t>fb67d2a7</t>
  </si>
  <si>
    <t>Reunión Andrea</t>
  </si>
  <si>
    <t>Adrian Patriarca - 04/23/2025 12:57:13</t>
  </si>
  <si>
    <t>f52c382f</t>
  </si>
  <si>
    <t>Reunión Natión Revisión de proyectos actuales y futuros</t>
  </si>
  <si>
    <t>Adrian Patriarca - 04/23/2025 12:58:02</t>
  </si>
  <si>
    <t>7daf22c1</t>
  </si>
  <si>
    <t>Adrian Patriarca - 04/23/2025 13:05:17</t>
  </si>
  <si>
    <t>Renata Morano - 04/28/2025 13:06:37</t>
  </si>
  <si>
    <t>c73b911c</t>
  </si>
  <si>
    <t>Columnas virtuales de la tablas Remitos y Remitos Jeep</t>
  </si>
  <si>
    <t>Felipe Duarte - 04/23/2025 13:36:08</t>
  </si>
  <si>
    <t>Felipe Duarte - 04/23/2025 13:44:49</t>
  </si>
  <si>
    <t>05fabf22</t>
  </si>
  <si>
    <t>n8n</t>
  </si>
  <si>
    <t>Adrian Patriarca - 04/24/2025 09:39:53</t>
  </si>
  <si>
    <t>ce3ae729</t>
  </si>
  <si>
    <t>Adrian Patriarca - 04/24/2025 10:48:37</t>
  </si>
  <si>
    <t>Renata Morano - 04/28/2025 08:02:53</t>
  </si>
  <si>
    <t>30cd1584</t>
  </si>
  <si>
    <t>Sprint de HQ con Renata</t>
  </si>
  <si>
    <t>Adrian Patriarca - 04/24/2025 12:22:27</t>
  </si>
  <si>
    <t>fa64ffd7</t>
  </si>
  <si>
    <t>Felipe Duarte - 04/24/2025 15:08:58</t>
  </si>
  <si>
    <t>81226708</t>
  </si>
  <si>
    <t>Felipe Duarte - 04/24/2025 15:09:15</t>
  </si>
  <si>
    <t>f2d36073</t>
  </si>
  <si>
    <t>Armado de Sprint 18 Nation</t>
  </si>
  <si>
    <t>Felipe Duarte - 04/25/2025 18:13:23</t>
  </si>
  <si>
    <t>e3320aa7</t>
  </si>
  <si>
    <t>Video Nation Marketing</t>
  </si>
  <si>
    <t>Felipe Duarte - 04/25/2025 18:12:58</t>
  </si>
  <si>
    <t>Adrian Patriarca - 04/24/2025 15:42:47</t>
  </si>
  <si>
    <t>8d2cc6fb</t>
  </si>
  <si>
    <t>Comienzo de Sprint 18 Nation</t>
  </si>
  <si>
    <t>Felipe Duarte - 04/25/2025 18:13:19</t>
  </si>
  <si>
    <t>Felipe Duarte - 04/25/2025 18:12:40</t>
  </si>
  <si>
    <t>8d442534</t>
  </si>
  <si>
    <t>Adrian Patriarca - 04/28/2025 11:09:59</t>
  </si>
  <si>
    <t>Renata Morano - 04/29/2025 12:06:00</t>
  </si>
  <si>
    <t>92ca3da8</t>
  </si>
  <si>
    <t>Adrian Patriarca - 04/28/2025 11:10:06</t>
  </si>
  <si>
    <t>Renata Morano - 04/30/2025 10:13:57</t>
  </si>
  <si>
    <t>289179c0</t>
  </si>
  <si>
    <t>Armar Sprint Insuga</t>
  </si>
  <si>
    <t>Adrian Patriarca - 04/28/2025 11:11:33</t>
  </si>
  <si>
    <t>345ec2e0</t>
  </si>
  <si>
    <t>Ayuda a Renata con HQ</t>
  </si>
  <si>
    <t>Adrian Patriarca - 04/28/2025 11:13:49</t>
  </si>
  <si>
    <t>51209571</t>
  </si>
  <si>
    <t>Continuar Sprint Nation</t>
  </si>
  <si>
    <t>Felipe Duarte - 04/28/2025 13:31:40</t>
  </si>
  <si>
    <t>95788824</t>
  </si>
  <si>
    <t>Adrian Patriarca - 04/28/2025 15:32:28</t>
  </si>
  <si>
    <t>Adrian Patriarca - 11/10/2025 11:49:25</t>
  </si>
  <si>
    <t>0feeec77</t>
  </si>
  <si>
    <t>Adrian Patriarca - 04/28/2025 16:11:32</t>
  </si>
  <si>
    <t>Felipe Duarte - 05/05/2025 14:34:26</t>
  </si>
  <si>
    <t>c2c01851</t>
  </si>
  <si>
    <t>Sprint DG + Visita a Pedro</t>
  </si>
  <si>
    <t>Adrian Patriarca - 04/28/2025 16:12:37</t>
  </si>
  <si>
    <t>414fcdce</t>
  </si>
  <si>
    <t>Adrian Patriarca - 04/28/2025 17:29:53</t>
  </si>
  <si>
    <t>Felipe Duarte - 05/06/2025 16:21:52</t>
  </si>
  <si>
    <t>1e378f61</t>
  </si>
  <si>
    <t>Renata Morano - 04/29/2025 12:06:26</t>
  </si>
  <si>
    <t>Renata Morano - 04/30/2025 10:14:23</t>
  </si>
  <si>
    <t>83982fab</t>
  </si>
  <si>
    <t>Tablero costos</t>
  </si>
  <si>
    <t>Renata Morano - 04/29/2025 12:06:41</t>
  </si>
  <si>
    <t>7510e4ee</t>
  </si>
  <si>
    <t>Reunión avances</t>
  </si>
  <si>
    <t>Felipe Duarte - 04/29/2025 17:11:03</t>
  </si>
  <si>
    <t>Adrian Patriarca - 04/21/2025 13:46:53</t>
  </si>
  <si>
    <t>e7ac7351</t>
  </si>
  <si>
    <t>Felipe Duarte - 04/29/2025 17:11:56</t>
  </si>
  <si>
    <t>df563a0d</t>
  </si>
  <si>
    <t>Revisión de bot (email Juan)</t>
  </si>
  <si>
    <t>Felipe Duarte - 04/29/2025 17:14:25</t>
  </si>
  <si>
    <t>0be005b6</t>
  </si>
  <si>
    <t>Felipe Duarte - 04/29/2025 17:14:44</t>
  </si>
  <si>
    <t>061c510f</t>
  </si>
  <si>
    <t>Front-Asistente virtual</t>
  </si>
  <si>
    <t>Adrian Patriarca - 04/29/2025 18:27:07</t>
  </si>
  <si>
    <t>Renata Morano - 05/02/2025 13:03:38</t>
  </si>
  <si>
    <t>061ec656</t>
  </si>
  <si>
    <t>Tablero Costos</t>
  </si>
  <si>
    <t>Renata Morano - 04/30/2025 10:13:41</t>
  </si>
  <si>
    <t>3aa0a26c</t>
  </si>
  <si>
    <t>Renata Morano - 04/30/2025 13:01:11</t>
  </si>
  <si>
    <t>16c3afc2</t>
  </si>
  <si>
    <t>Renata Morano - 04/30/2025 13:01:43</t>
  </si>
  <si>
    <t>d4eb2047</t>
  </si>
  <si>
    <t>Renata Morano - 05/02/2025 13:03:57</t>
  </si>
  <si>
    <t>0f442e8f</t>
  </si>
  <si>
    <t>Renata Morano - 05/05/2025 10:11:22</t>
  </si>
  <si>
    <t>bea62a69</t>
  </si>
  <si>
    <t>Campaña difusión</t>
  </si>
  <si>
    <t>Renata Morano - 05/05/2025 10:11:41</t>
  </si>
  <si>
    <t>0f05b477</t>
  </si>
  <si>
    <t>App asistente</t>
  </si>
  <si>
    <t>Renata Morano - 05/05/2025 13:04:51</t>
  </si>
  <si>
    <t>285f7804</t>
  </si>
  <si>
    <t>Ticket C0152</t>
  </si>
  <si>
    <t>Felipe Duarte - 05/05/2025 14:35:32</t>
  </si>
  <si>
    <t>140c9132</t>
  </si>
  <si>
    <t>Felipe Duarte - 05/05/2025 14:36:12</t>
  </si>
  <si>
    <t>8b89d28a</t>
  </si>
  <si>
    <t>Insuga Tablero</t>
  </si>
  <si>
    <t>Adrian Patriarca - 05/06/2025 09:59:02</t>
  </si>
  <si>
    <t>Renata Morano - 05/08/2025 12:59:55</t>
  </si>
  <si>
    <t>ecff8a54</t>
  </si>
  <si>
    <t>Objetivo obtener las bases de datos, interpretarlas y pasarle a Juan (gerente) como quedaría el tablero. Una vez que tengamos el Ok. Avanzamos</t>
  </si>
  <si>
    <t>Adrian Patriarca - 05/06/2025 09:59:11</t>
  </si>
  <si>
    <t>Renata Morano - 05/09/2025 12:52:20</t>
  </si>
  <si>
    <t>c325932d</t>
  </si>
  <si>
    <t>Viajes</t>
  </si>
  <si>
    <t>Adrian Patriarca - 05/06/2025 10:00:22</t>
  </si>
  <si>
    <t>1885d2b9</t>
  </si>
  <si>
    <t>OTRV</t>
  </si>
  <si>
    <t>Adrian Patriarca - 05/06/2025 12:32:02</t>
  </si>
  <si>
    <t>82e28afc</t>
  </si>
  <si>
    <t>Renata Morano - 05/06/2025 13:04:12</t>
  </si>
  <si>
    <t>822d8ab9</t>
  </si>
  <si>
    <t>Mejoras reunión</t>
  </si>
  <si>
    <t>Renata Morano - 05/06/2025 13:04:33</t>
  </si>
  <si>
    <t>64ac6c0c</t>
  </si>
  <si>
    <t>Mkt</t>
  </si>
  <si>
    <t>Adrian Patriarca - 05/06/2025 13:56:31</t>
  </si>
  <si>
    <t>Adrian Patriarca - 05/07/2025 13:23:20</t>
  </si>
  <si>
    <t>7835a597</t>
  </si>
  <si>
    <t>Terminar Sprint pendiente</t>
  </si>
  <si>
    <t>Felipe Duarte - 05/12/2025 17:35:00</t>
  </si>
  <si>
    <t>a173937e</t>
  </si>
  <si>
    <t>Armar propuesta según observaciones de Gonzalo</t>
  </si>
  <si>
    <t>Felipe Duarte - 05/06/2025 16:22:29</t>
  </si>
  <si>
    <t>02c08b50</t>
  </si>
  <si>
    <t>Auste porque me olvide de generarle una factura</t>
  </si>
  <si>
    <t>Adrian Patriarca - 05/07/2025 12:06:35</t>
  </si>
  <si>
    <t>67489b54</t>
  </si>
  <si>
    <t>Intentar conectar las bases de datos</t>
  </si>
  <si>
    <t>Adrian Patriarca - 05/07/2025 13:01:38</t>
  </si>
  <si>
    <t>Renata Morano - 05/12/2025 13:03:00</t>
  </si>
  <si>
    <t>63543bc2</t>
  </si>
  <si>
    <t>Avanzar Sprint Nation</t>
  </si>
  <si>
    <t>Adrian Patriarca - 05/07/2025 13:24:04</t>
  </si>
  <si>
    <t>Felipe Duarte - 05/07/2025 18:36:47</t>
  </si>
  <si>
    <t>8d72e025</t>
  </si>
  <si>
    <t>Adrian Patriarca - 05/07/2025 13:24:17</t>
  </si>
  <si>
    <t>Felipe Duarte - 05/07/2025 18:36:07</t>
  </si>
  <si>
    <t>12dc9a6f</t>
  </si>
  <si>
    <t>Adrian Patriarca - 05/07/2025 16:27:13</t>
  </si>
  <si>
    <t>Adrian Patriarca - 05/09/2025 19:11:27</t>
  </si>
  <si>
    <t>1ec41c67</t>
  </si>
  <si>
    <t>Reunión DG</t>
  </si>
  <si>
    <t>Felipe Duarte - 05/07/2025 18:36:51</t>
  </si>
  <si>
    <t>43cf6b4b</t>
  </si>
  <si>
    <t>Felipe Duarte - 05/07/2025 18:37:08</t>
  </si>
  <si>
    <t>911ee907</t>
  </si>
  <si>
    <t>Renata Morano - 05/08/2025 12:59:45</t>
  </si>
  <si>
    <t>a96e8b4a</t>
  </si>
  <si>
    <t>Sprint 1</t>
  </si>
  <si>
    <t>Renata Morano - 05/08/2025 12:45:23</t>
  </si>
  <si>
    <t>19395c7a</t>
  </si>
  <si>
    <t>BD</t>
  </si>
  <si>
    <t>Adrian Patriarca - 05/08/2025 12:46:06</t>
  </si>
  <si>
    <t>Renata Morano - 05/13/2025 09:04:21</t>
  </si>
  <si>
    <t>9762b17d</t>
  </si>
  <si>
    <t>Inicio del servicio</t>
  </si>
  <si>
    <t>Adrian Patriarca - 05/08/2025 12:56:49</t>
  </si>
  <si>
    <t>0716ec11</t>
  </si>
  <si>
    <t>Analisis del contrato que tengo que firmar</t>
  </si>
  <si>
    <t>Adrian Patriarca - 05/08/2025 13:52:31</t>
  </si>
  <si>
    <t>1ddecdde</t>
  </si>
  <si>
    <t>Adrian Patriarca - 05/08/2025 13:53:39</t>
  </si>
  <si>
    <t>b24c4c04</t>
  </si>
  <si>
    <t>Adrian Patriarca - 05/08/2025 13:54:17</t>
  </si>
  <si>
    <t>4a590ebd</t>
  </si>
  <si>
    <t>Avanzar con las mejoras pedidas por Andrea</t>
  </si>
  <si>
    <t>Renata Morano - 05/09/2025 12:52:43</t>
  </si>
  <si>
    <t>bb9460e1</t>
  </si>
  <si>
    <t>Ayuda con la campaña</t>
  </si>
  <si>
    <t>Renata Morano - 05/12/2025 13:03:45</t>
  </si>
  <si>
    <t>300421c7</t>
  </si>
  <si>
    <t>Renata Morano - 05/12/2025 13:05:07</t>
  </si>
  <si>
    <t>9bf51e25</t>
  </si>
  <si>
    <t>Reunión validación módulo.</t>
  </si>
  <si>
    <t>Felipe Duarte - 05/12/2025 17:34:52</t>
  </si>
  <si>
    <t>1c2b29c3</t>
  </si>
  <si>
    <t>Felipe Duarte - 05/12/2025 17:35:11</t>
  </si>
  <si>
    <t>Adrian Patriarca - 05/06/2025 14:00:44</t>
  </si>
  <si>
    <t>755163ef</t>
  </si>
  <si>
    <t>Adrian Patriarca - 05/13/2025 09:18:27</t>
  </si>
  <si>
    <t>Renata Morano - 05/15/2025 12:58:54</t>
  </si>
  <si>
    <t>87d552e6</t>
  </si>
  <si>
    <t>Adrian Patriarca - 05/13/2025 09:20:11</t>
  </si>
  <si>
    <t>Renata Morano - 05/15/2025 08:04:27</t>
  </si>
  <si>
    <t>59d19b32</t>
  </si>
  <si>
    <t>Adrian Patriarca - 05/13/2025 09:20:20</t>
  </si>
  <si>
    <t>fac6049a</t>
  </si>
  <si>
    <t>Adrian Patriarca - 05/13/2025 12:53:43</t>
  </si>
  <si>
    <t>96379553</t>
  </si>
  <si>
    <t>Felipe Duarte - 05/13/2025 13:32:17</t>
  </si>
  <si>
    <t>Felipe Duarte - 05/14/2025 13:21:42</t>
  </si>
  <si>
    <t>eb89c25d</t>
  </si>
  <si>
    <t>Comenzar con el planteo de la app.</t>
  </si>
  <si>
    <t>Felipe Duarte - 05/14/2025 13:21:28</t>
  </si>
  <si>
    <t>834c080e</t>
  </si>
  <si>
    <t>Adrian Patriarca - 05/13/2025 14:24:12</t>
  </si>
  <si>
    <t>068ee5e3</t>
  </si>
  <si>
    <t>Adrian Patriarca - 05/13/2025 14:26:10</t>
  </si>
  <si>
    <t>Renata Morano - 05/23/2025 13:44:28</t>
  </si>
  <si>
    <t>d38d2cfa</t>
  </si>
  <si>
    <t>Armar sprint para modulo PAT y Novedades de trafico. Y desarrollar Sprint</t>
  </si>
  <si>
    <t>Adrian Patriarca - 05/13/2025 14:26:19</t>
  </si>
  <si>
    <t>Renata Morano - 05/22/2025 13:03:06</t>
  </si>
  <si>
    <t>1d0a68c4</t>
  </si>
  <si>
    <t>Conceptualización Asistente virtual Vertientes del sur</t>
  </si>
  <si>
    <t>Adrian Patriarca - 05/14/2025 12:37:06</t>
  </si>
  <si>
    <t>Adrian Patriarca - 05/14/2025 14:22:26</t>
  </si>
  <si>
    <t>0dfed93e</t>
  </si>
  <si>
    <t>App Nueva DG</t>
  </si>
  <si>
    <t>Adrian Patriarca - 05/14/2025 13:47:06</t>
  </si>
  <si>
    <t>96384d35</t>
  </si>
  <si>
    <t>Adrian Patriarca - 05/14/2025 13:47:15</t>
  </si>
  <si>
    <t>f905b74c</t>
  </si>
  <si>
    <t>Adrian Patriarca - 05/14/2025 13:47:25</t>
  </si>
  <si>
    <t>de5ecb3b</t>
  </si>
  <si>
    <t>Terminar de Plantear el asistente</t>
  </si>
  <si>
    <t>Adrian Patriarca - 05/14/2025 14:23:10</t>
  </si>
  <si>
    <t>e45b13af</t>
  </si>
  <si>
    <t>Carga del Tablero</t>
  </si>
  <si>
    <t>Adrian Patriarca - 05/15/2025 09:43:33</t>
  </si>
  <si>
    <t>11caadf2</t>
  </si>
  <si>
    <t>Armado del informe</t>
  </si>
  <si>
    <t>Renata Morano - 05/15/2025 12:59:13</t>
  </si>
  <si>
    <t>5e13e5ef</t>
  </si>
  <si>
    <t>Seguir con el asistente</t>
  </si>
  <si>
    <t>Adrian Patriarca - 05/16/2025 13:17:14</t>
  </si>
  <si>
    <t>776468dd</t>
  </si>
  <si>
    <t>Asistente</t>
  </si>
  <si>
    <t>Adrian Patriarca - 05/17/2025 21:52:00</t>
  </si>
  <si>
    <t>2a77e804</t>
  </si>
  <si>
    <t>Adrian Patriarca - 05/19/2025 12:53:51</t>
  </si>
  <si>
    <t>f63ec57e</t>
  </si>
  <si>
    <t>Reunión + BD</t>
  </si>
  <si>
    <t>Renata Morano - 05/21/2025 12:50:51</t>
  </si>
  <si>
    <t>5d7c501a</t>
  </si>
  <si>
    <t>Reunión avances nueva app.</t>
  </si>
  <si>
    <t>Felipe Duarte - 05/19/2025 13:37:33</t>
  </si>
  <si>
    <t>2f6edee8</t>
  </si>
  <si>
    <t>Avanzar con Sprint 4</t>
  </si>
  <si>
    <t>Adrian Patriarca - 05/19/2025 14:50:06</t>
  </si>
  <si>
    <t>8298b50d</t>
  </si>
  <si>
    <t>Adrian Patriarca - 05/19/2025 14:50:21</t>
  </si>
  <si>
    <t>c32c9d4a</t>
  </si>
  <si>
    <t>Adrian Patriarca - 05/19/2025 14:50:33</t>
  </si>
  <si>
    <t>0958daa6</t>
  </si>
  <si>
    <t>Continuar app DG</t>
  </si>
  <si>
    <t>Adrian Patriarca - 05/19/2025 14:51:53</t>
  </si>
  <si>
    <t>Felipe Duarte - 05/22/2025 15:27:02</t>
  </si>
  <si>
    <t>af20700b</t>
  </si>
  <si>
    <t>Testear app Nation, generar sprint y hacer sprint</t>
  </si>
  <si>
    <t>Adrian Patriarca - 05/19/2025 14:52:03</t>
  </si>
  <si>
    <t>b294d397</t>
  </si>
  <si>
    <t>Adrian Patriarca - 05/19/2025 18:34:13</t>
  </si>
  <si>
    <t>ad0f94e8</t>
  </si>
  <si>
    <t>Reunión con DG</t>
  </si>
  <si>
    <t>Adrian Patriarca - 05/21/2025 09:49:49</t>
  </si>
  <si>
    <t>01baa75c</t>
  </si>
  <si>
    <t>Reunión con Delfina de Calidad</t>
  </si>
  <si>
    <t>Adrian Patriarca - 05/21/2025 09:56:11</t>
  </si>
  <si>
    <t>79192587</t>
  </si>
  <si>
    <t>Armado del proyecto de vertientes del sur</t>
  </si>
  <si>
    <t>Adrian Patriarca - 05/21/2025 11:53:47</t>
  </si>
  <si>
    <t>9447b26f</t>
  </si>
  <si>
    <t>Renata Morano - 05/21/2025 12:49:55</t>
  </si>
  <si>
    <t>427ad12e</t>
  </si>
  <si>
    <t>Renata Morano - 05/21/2025 12:51:10</t>
  </si>
  <si>
    <t>eff8e9a1</t>
  </si>
  <si>
    <t>Mejoras app</t>
  </si>
  <si>
    <t>Renata Morano - 05/22/2025 10:06:55</t>
  </si>
  <si>
    <t>Renata Morano - 05/22/2025 13:03:14</t>
  </si>
  <si>
    <t>d550e402</t>
  </si>
  <si>
    <t>Reunión tablero</t>
  </si>
  <si>
    <t>Renata Morano - 05/22/2025 10:07:50</t>
  </si>
  <si>
    <t>56715657</t>
  </si>
  <si>
    <t>Reunión para presentar avances en asistente virtual</t>
  </si>
  <si>
    <t>Adrian Patriarca - 05/22/2025 16:59:01</t>
  </si>
  <si>
    <t>cba2337d</t>
  </si>
  <si>
    <t>App y videos</t>
  </si>
  <si>
    <t>Renata Morano - 05/23/2025 13:45:09</t>
  </si>
  <si>
    <t>dc992888</t>
  </si>
  <si>
    <t>Renata Morano - 05/23/2025 13:45:32</t>
  </si>
  <si>
    <t>1f6e1f02</t>
  </si>
  <si>
    <t>Adrian Patriarca - 05/26/2025 11:06:30</t>
  </si>
  <si>
    <t>0c4a7126</t>
  </si>
  <si>
    <t>Sprint 5</t>
  </si>
  <si>
    <t>Felipe Duarte - 05/26/2025 13:34:45</t>
  </si>
  <si>
    <t>Felipe Duarte - 05/26/2025 17:37:45</t>
  </si>
  <si>
    <t>7849506f</t>
  </si>
  <si>
    <t>Terminar Sprint del norte</t>
  </si>
  <si>
    <t>Adrian Patriarca - 05/27/2025 09:27:16</t>
  </si>
  <si>
    <t>Renata Morano - 05/27/2025 12:03:20</t>
  </si>
  <si>
    <t>9d696af9</t>
  </si>
  <si>
    <t>Reunión Autopartes</t>
  </si>
  <si>
    <t>Adrian Patriarca - 05/27/2025 09:28:54</t>
  </si>
  <si>
    <t>Renata Morano - 05/28/2025 13:03:26</t>
  </si>
  <si>
    <t>c4d1283c</t>
  </si>
  <si>
    <t>Base de datos</t>
  </si>
  <si>
    <t>Adrian Patriarca - 05/27/2025 09:30:04</t>
  </si>
  <si>
    <t>Renata Morano - 05/27/2025 12:48:44</t>
  </si>
  <si>
    <t>664a0831</t>
  </si>
  <si>
    <t>Adrian Patriarca - 05/27/2025 09:30:22</t>
  </si>
  <si>
    <t>Renata Morano - 05/28/2025 13:03:37</t>
  </si>
  <si>
    <t>7d3fec4b</t>
  </si>
  <si>
    <t>Autopartes</t>
  </si>
  <si>
    <t>Adrian Patriarca - 05/27/2025 09:31:54</t>
  </si>
  <si>
    <t>Renata Morano - 05/29/2025 13:03:51</t>
  </si>
  <si>
    <t>7c6b212a</t>
  </si>
  <si>
    <t>Cargar datos que pasa andrea</t>
  </si>
  <si>
    <t>Adrian Patriarca - 05/27/2025 09:34:35</t>
  </si>
  <si>
    <t>Renata Morano - 05/30/2025 13:13:55</t>
  </si>
  <si>
    <t>a95c2880</t>
  </si>
  <si>
    <t>Adrian Patriarca - 05/27/2025 09:37:47</t>
  </si>
  <si>
    <t>87da7280</t>
  </si>
  <si>
    <t>Adrian Patriarca - 05/27/2025 09:38:16</t>
  </si>
  <si>
    <t>8c4bcb87</t>
  </si>
  <si>
    <t>Reemplazo de text me bot por evolution</t>
  </si>
  <si>
    <t>Adrian Patriarca - 05/27/2025 17:38:16</t>
  </si>
  <si>
    <t>Felipe Duarte - 05/28/2025 16:48:34</t>
  </si>
  <si>
    <t>e09a1fb8</t>
  </si>
  <si>
    <t>Nueva App</t>
  </si>
  <si>
    <t>Adrian Patriarca - 05/27/2025 17:39:23</t>
  </si>
  <si>
    <t>Felipe Duarte - 05/28/2025 16:48:16</t>
  </si>
  <si>
    <t>8e84305e</t>
  </si>
  <si>
    <t>Terminar con las consideraciones de Gonzalo</t>
  </si>
  <si>
    <t>Adrian Patriarca - 05/27/2025 17:39:44</t>
  </si>
  <si>
    <t>050b2803</t>
  </si>
  <si>
    <t>Armar y Hacer Sprint de Nation</t>
  </si>
  <si>
    <t>Adrian Patriarca - 05/27/2025 17:40:28</t>
  </si>
  <si>
    <t>e1e8ee11</t>
  </si>
  <si>
    <t>Adrian Patriarca - 05/27/2025 17:40:59</t>
  </si>
  <si>
    <t>Felipe Duarte - 06/03/2025 13:14:11</t>
  </si>
  <si>
    <t>6e7e345b</t>
  </si>
  <si>
    <t>Ticket tablero de producción</t>
  </si>
  <si>
    <t>Felipe Duarte - 06/03/2025 13:30:49</t>
  </si>
  <si>
    <t>0b43ce31</t>
  </si>
  <si>
    <t>Amipack indice de rotación</t>
  </si>
  <si>
    <t>Adrian Patriarca - 05/27/2025 17:42:38</t>
  </si>
  <si>
    <t>Felipe Duarte - 06/04/2025 16:26:05</t>
  </si>
  <si>
    <t>e7d5d3c4</t>
  </si>
  <si>
    <t>Adrian Patriarca - 05/27/2025 17:42:49</t>
  </si>
  <si>
    <t>Felipe Duarte - 06/05/2025 15:04:03</t>
  </si>
  <si>
    <t>a0145b7f</t>
  </si>
  <si>
    <t>Melissa</t>
  </si>
  <si>
    <t>Renata Morano - 05/28/2025 13:04:14</t>
  </si>
  <si>
    <t>163fb916</t>
  </si>
  <si>
    <t>Insuga tablero costos</t>
  </si>
  <si>
    <t>Renata Morano - 05/29/2025 13:04:19</t>
  </si>
  <si>
    <t>8f6b8f5d</t>
  </si>
  <si>
    <t>Adrian Patriarca - 05/30/2025 14:52:17</t>
  </si>
  <si>
    <t>Adrian Patriarca - 05/27/2025 17:41:25</t>
  </si>
  <si>
    <t>c0552c75</t>
  </si>
  <si>
    <t>Capacitación + Curso Appsheet</t>
  </si>
  <si>
    <t>Rocio Franco - 06/02/2025 08:41:27</t>
  </si>
  <si>
    <t>Adrian Patriarca - 06/02/2025 09:17:12</t>
  </si>
  <si>
    <t>ea171292</t>
  </si>
  <si>
    <t>Adrian Patriarca - 06/02/2025 08:45:06</t>
  </si>
  <si>
    <t>2b093210</t>
  </si>
  <si>
    <t>Adrian Patriarca - 06/02/2025 08:45:20</t>
  </si>
  <si>
    <t>0a16535c</t>
  </si>
  <si>
    <t>Adrian Patriarca - 06/02/2025 08:46:05</t>
  </si>
  <si>
    <t>ac1302a5</t>
  </si>
  <si>
    <t>Para el Viernes tener finalizado el curso de appsheet.</t>
  </si>
  <si>
    <t>Adrian Patriarca - 06/02/2025 08:46:15</t>
  </si>
  <si>
    <t>Adrian Patriarca - 06/02/2025 09:27:50</t>
  </si>
  <si>
    <t>b18abdaf</t>
  </si>
  <si>
    <t>Tablero costos insuga</t>
  </si>
  <si>
    <t>Renata Morano - 06/02/2025 13:01:36</t>
  </si>
  <si>
    <t>18a30711</t>
  </si>
  <si>
    <t>Arreglo de tablero amipack</t>
  </si>
  <si>
    <t>Adrian Patriarca - 06/02/2025 13:36:39</t>
  </si>
  <si>
    <t>11d7ee8b</t>
  </si>
  <si>
    <t>Ticket clasificación por modelos</t>
  </si>
  <si>
    <t>Felipe Duarte - 06/03/2025 13:30:54</t>
  </si>
  <si>
    <t>c0c903a8</t>
  </si>
  <si>
    <t>.</t>
  </si>
  <si>
    <t>Adrian Patriarca - 06/04/2025 09:28:28</t>
  </si>
  <si>
    <t>0ea71f78</t>
  </si>
  <si>
    <t>Renata Morano - 06/04/2025 11:29:47</t>
  </si>
  <si>
    <t>Renata Morano - 06/04/2025 11:30:38</t>
  </si>
  <si>
    <t>d5d45ee6</t>
  </si>
  <si>
    <t>Renata Morano - 06/04/2025 11:30:32</t>
  </si>
  <si>
    <t>fb80c5e8</t>
  </si>
  <si>
    <t>Ajustes en la app según observaciones gonzalo</t>
  </si>
  <si>
    <t>Felipe Duarte - 06/04/2025 16:26:38</t>
  </si>
  <si>
    <t>Adrian Patriarca - 05/30/2025 14:51:58</t>
  </si>
  <si>
    <t>89a176cb</t>
  </si>
  <si>
    <t>Clasificación por modelos observaciones Nacho</t>
  </si>
  <si>
    <t>Felipe Duarte - 06/04/2025 16:27:13</t>
  </si>
  <si>
    <t>Felipe Duarte - 06/05/2025 15:03:24</t>
  </si>
  <si>
    <t>8bd24d0f</t>
  </si>
  <si>
    <t>Adrian Patriarca - 06/05/2025 09:13:12</t>
  </si>
  <si>
    <t>3fcd4da0</t>
  </si>
  <si>
    <t>Preparar Tablero</t>
  </si>
  <si>
    <t>Adrian Patriarca - 06/05/2025 09:15:05</t>
  </si>
  <si>
    <t>Renata Morano - 06/05/2025 11:48:35</t>
  </si>
  <si>
    <t>0c55c022</t>
  </si>
  <si>
    <t>Renata Morano - 06/05/2025 11:48:56</t>
  </si>
  <si>
    <t>0e7e3d3b</t>
  </si>
  <si>
    <t>Adrian Patriarca - 06/05/2025 14:35:23</t>
  </si>
  <si>
    <t>df9f52f3</t>
  </si>
  <si>
    <t>Hacer Sprint de Nation y pedido Adrian (ficha mantenimiento)</t>
  </si>
  <si>
    <t>Felipe Duarte - 06/05/2025 15:04:32</t>
  </si>
  <si>
    <t>086c3ebb</t>
  </si>
  <si>
    <t>Renata Morano - 06/06/2025 09:17:55</t>
  </si>
  <si>
    <t>e46dd67d</t>
  </si>
  <si>
    <t>Renata Morano - 06/09/2025 09:48:25</t>
  </si>
  <si>
    <t>Renata Morano - 06/10/2025 09:51:20</t>
  </si>
  <si>
    <t>12bbaca1</t>
  </si>
  <si>
    <t>Adrian Patriarca - 06/09/2025 10:07:42</t>
  </si>
  <si>
    <t>Renata Morano - 06/10/2025 11:55:53</t>
  </si>
  <si>
    <t>214c7d55</t>
  </si>
  <si>
    <t>Renata Morano - 06/11/2025 13:06:05</t>
  </si>
  <si>
    <t>ddc48e86</t>
  </si>
  <si>
    <t>Reunión Facundo</t>
  </si>
  <si>
    <t>Adrian Patriarca - 06/09/2025 10:10:54</t>
  </si>
  <si>
    <t>Renata Morano - 06/11/2025 13:03:07</t>
  </si>
  <si>
    <t>67206fa8</t>
  </si>
  <si>
    <t>Adrian Patriarca - 06/09/2025 10:11:29</t>
  </si>
  <si>
    <t>Renata Morano - 06/12/2025 11:32:12</t>
  </si>
  <si>
    <t>2e714dca</t>
  </si>
  <si>
    <t>Armar Sprint y Arrancar</t>
  </si>
  <si>
    <t>Adrian Patriarca - 06/09/2025 10:11:49</t>
  </si>
  <si>
    <t>Renata Morano - 06/13/2025 13:10:05</t>
  </si>
  <si>
    <t>a097df39</t>
  </si>
  <si>
    <t>Matias, Sebastian y generación de informe</t>
  </si>
  <si>
    <t>Renata Morano - 06/09/2025 11:58:17</t>
  </si>
  <si>
    <t>2dc13937</t>
  </si>
  <si>
    <t>Renata Morano - 06/10/2025 11:55:44</t>
  </si>
  <si>
    <t>cce2791a</t>
  </si>
  <si>
    <t>Finalizar Curso de Appsheet</t>
  </si>
  <si>
    <t>Rocio Franco - 06/09/2025 13:40:18</t>
  </si>
  <si>
    <t>629dfab2</t>
  </si>
  <si>
    <t>Nation Marketinh</t>
  </si>
  <si>
    <t>Adrian Patriarca - 06/09/2025 14:29:42</t>
  </si>
  <si>
    <t>0d01be9b</t>
  </si>
  <si>
    <t>Reunión Escobar</t>
  </si>
  <si>
    <t>Adrian Patriarca - 06/09/2025 14:31:27</t>
  </si>
  <si>
    <t>0f161b6f</t>
  </si>
  <si>
    <t>Terminar Sprint de Nation</t>
  </si>
  <si>
    <t>Adrian Patriarca - 06/09/2025 14:32:03</t>
  </si>
  <si>
    <t>Adrian Patriarca - 06/09/2025 14:34:54</t>
  </si>
  <si>
    <t>c8ebfdec</t>
  </si>
  <si>
    <t>Nuevo Sprint Nation</t>
  </si>
  <si>
    <t>Adrian Patriarca - 06/09/2025 14:35:04</t>
  </si>
  <si>
    <t>887a3a7b</t>
  </si>
  <si>
    <t>Adrian Patriarca - 06/09/2025 14:35:09</t>
  </si>
  <si>
    <t>0de69b06</t>
  </si>
  <si>
    <t>Adrian Patriarca - 06/09/2025 14:35:26</t>
  </si>
  <si>
    <t>5298089a</t>
  </si>
  <si>
    <t>Armar un Sprint DG y Hacerlo</t>
  </si>
  <si>
    <t>Adrian Patriarca - 11/10/2025 11:49:15</t>
  </si>
  <si>
    <t>cca4d02e</t>
  </si>
  <si>
    <t>Carga de productos app y feedback Gonzalo</t>
  </si>
  <si>
    <t>Renata Morano - 06/10/2025 09:51:59</t>
  </si>
  <si>
    <t>4d6a2891</t>
  </si>
  <si>
    <t>Curso n8n</t>
  </si>
  <si>
    <t>Rocio Franco - 06/10/2025 09:52:28</t>
  </si>
  <si>
    <t>Adrian Patriarca - 06/10/2025 10:03:26</t>
  </si>
  <si>
    <t>70e62dba</t>
  </si>
  <si>
    <t>Sprint 1 Vertientes del Sur</t>
  </si>
  <si>
    <t>Adrian Patriarca - 06/10/2025 10:05:29</t>
  </si>
  <si>
    <t>Adrian Patriarca - 06/13/2025 19:03:45</t>
  </si>
  <si>
    <t>7f5b8475</t>
  </si>
  <si>
    <t>Vertientes Sprint 1</t>
  </si>
  <si>
    <t>Adrian Patriarca - 06/10/2025 10:06:08</t>
  </si>
  <si>
    <t>Adrian Patriarca - 06/13/2025 19:04:03</t>
  </si>
  <si>
    <t>aa9af482</t>
  </si>
  <si>
    <t>Adrian Patriarca - 06/13/2025 19:04:09</t>
  </si>
  <si>
    <t>8942b5d7</t>
  </si>
  <si>
    <t>Renata Morano - 06/10/2025 11:56:08</t>
  </si>
  <si>
    <t>67717fae</t>
  </si>
  <si>
    <t>Reunión para consultar por modificaciones para terminar el desarrollo app Nation</t>
  </si>
  <si>
    <t>Adrian Patriarca - 06/10/2025 12:53:57</t>
  </si>
  <si>
    <t>Adrian Patriarca - 06/11/2025 16:33:29</t>
  </si>
  <si>
    <t>3ff79d2f</t>
  </si>
  <si>
    <t>Reunión para ver avances App Vertientes del Sur</t>
  </si>
  <si>
    <t>Adrian Patriarca - 06/10/2025 15:46:25</t>
  </si>
  <si>
    <t>Adrian Patriarca - 06/10/2025 15:47:37</t>
  </si>
  <si>
    <t>43ad29be</t>
  </si>
  <si>
    <t>Adrian Patriarca - 06/11/2025 09:17:58</t>
  </si>
  <si>
    <t>3c5f94f4</t>
  </si>
  <si>
    <t>Primera Reunión</t>
  </si>
  <si>
    <t>Adrian Patriarca - 06/11/2025 10:01:06</t>
  </si>
  <si>
    <t>4b099604</t>
  </si>
  <si>
    <t>Reunión para aprender a crear querys</t>
  </si>
  <si>
    <t>Adrian Patriarca - 06/11/2025 10:03:49</t>
  </si>
  <si>
    <t>19b532d0</t>
  </si>
  <si>
    <t>Renata Morano - 06/11/2025 13:04:40</t>
  </si>
  <si>
    <t>8b9be397</t>
  </si>
  <si>
    <t>Sprint nuevo</t>
  </si>
  <si>
    <t>Adrian Patriarca - 06/12/2025 09:33:55</t>
  </si>
  <si>
    <t>81a36c64</t>
  </si>
  <si>
    <t>Renata Morano - 06/12/2025 11:32:31</t>
  </si>
  <si>
    <t>9586d295</t>
  </si>
  <si>
    <t>Renata Morano - 06/13/2025 13:10:25</t>
  </si>
  <si>
    <t>e7a2a8a8</t>
  </si>
  <si>
    <t>Adrian Patriarca - 06/13/2025 19:04:38</t>
  </si>
  <si>
    <t>Adrian Patriarca - 06/10/2025 10:06:28</t>
  </si>
  <si>
    <t>f40150a5</t>
  </si>
  <si>
    <t>Sprint. Facturante</t>
  </si>
  <si>
    <t>Renata Morano - 06/17/2025 13:04:55</t>
  </si>
  <si>
    <t>Renata Morano - 06/26/2025 13:25:25</t>
  </si>
  <si>
    <t>0010cecb</t>
  </si>
  <si>
    <t>Ticket error app y preventivos.</t>
  </si>
  <si>
    <t>Felipe Duarte - 06/17/2025 14:33:38</t>
  </si>
  <si>
    <t>e5310607</t>
  </si>
  <si>
    <t>Finalizar sprint (contraseñas + videos).</t>
  </si>
  <si>
    <t>Felipe Duarte - 06/17/2025 14:35:11</t>
  </si>
  <si>
    <t>1db4f54b</t>
  </si>
  <si>
    <t>Adrian Patriarca - 06/17/2025 16:27:19</t>
  </si>
  <si>
    <t>780da530</t>
  </si>
  <si>
    <t>Integración ARCA</t>
  </si>
  <si>
    <t>Adrian Patriarca - 06/18/2025 10:13:27</t>
  </si>
  <si>
    <t>c6adb25b</t>
  </si>
  <si>
    <t>Adrian Patriarca - 06/18/2025 10:13:46</t>
  </si>
  <si>
    <t>d192712e</t>
  </si>
  <si>
    <t>Adrian Patriarca - 06/18/2025 10:17:58</t>
  </si>
  <si>
    <t>Adrian Patriarca - 06/23/2025 12:17:35</t>
  </si>
  <si>
    <t>e3bbfb57</t>
  </si>
  <si>
    <t>Vertientes del Sur Sprint 4 y parte de Sprint 5</t>
  </si>
  <si>
    <t>Rocio Franco - 06/18/2025 11:09:37</t>
  </si>
  <si>
    <t>Adrian Patriarca - 06/18/2025 15:52:26</t>
  </si>
  <si>
    <t>60a596be</t>
  </si>
  <si>
    <t>Reunión avances app</t>
  </si>
  <si>
    <t>Felipe Duarte - 06/18/2025 13:23:52</t>
  </si>
  <si>
    <t>7576a9b1</t>
  </si>
  <si>
    <t>Hacer sprint y continuar con el desarrollo de la app</t>
  </si>
  <si>
    <t>Felipe Duarte - 06/18/2025 13:48:24</t>
  </si>
  <si>
    <t>Adrian Patriarca - 06/18/2025 15:55:33</t>
  </si>
  <si>
    <t>9f434692</t>
  </si>
  <si>
    <t>Adrian Patriarca - 06/18/2025 15:52:59</t>
  </si>
  <si>
    <t>Rocio Franco - 06/18/2025 11:11:06</t>
  </si>
  <si>
    <t>150b5b29</t>
  </si>
  <si>
    <t>Adrian Patriarca - 06/18/2025 15:55:57</t>
  </si>
  <si>
    <t>24b49c2a</t>
  </si>
  <si>
    <t>Adrian Patriarca - 06/18/2025 16:00:32</t>
  </si>
  <si>
    <t>65db86b5</t>
  </si>
  <si>
    <t>Generar Sprint 6</t>
  </si>
  <si>
    <t>Adrian Patriarca - 06/18/2025 16:01:17</t>
  </si>
  <si>
    <t>Adrian Patriarca - 06/18/2025 16:01:59</t>
  </si>
  <si>
    <t>95b50b79</t>
  </si>
  <si>
    <t>Hacer Sprint 6</t>
  </si>
  <si>
    <t>Adrian Patriarca - 06/18/2025 16:02:34</t>
  </si>
  <si>
    <t>ca120c84</t>
  </si>
  <si>
    <t>Felipe Duarte - 06/24/2025 13:34:26</t>
  </si>
  <si>
    <t>0001a3be</t>
  </si>
  <si>
    <t>Adrian Patriarca - 06/18/2025 16:04:12</t>
  </si>
  <si>
    <t>cc0b0587</t>
  </si>
  <si>
    <t>Adrian Patriarca - 06/18/2025 16:04:28</t>
  </si>
  <si>
    <t>Adrian Patriarca - 06/18/2025 16:03:29</t>
  </si>
  <si>
    <t>95977dd0</t>
  </si>
  <si>
    <t>Armar y hacer Sprint de Amipack</t>
  </si>
  <si>
    <t>Adrian Patriarca - 06/18/2025 16:04:58</t>
  </si>
  <si>
    <t>70401286</t>
  </si>
  <si>
    <t>Adrian Patriarca - 06/18/2025 19:06:51</t>
  </si>
  <si>
    <t>1ff1531b</t>
  </si>
  <si>
    <t>Adrian Patriarca - 06/18/2025 19:08:41</t>
  </si>
  <si>
    <t>a57f05a7</t>
  </si>
  <si>
    <t>Adrian Patriarca - 06/19/2025 13:31:42</t>
  </si>
  <si>
    <t>d647811e</t>
  </si>
  <si>
    <t>Renata Morano - 06/23/2025 08:01:52</t>
  </si>
  <si>
    <t>4c1c006e</t>
  </si>
  <si>
    <t>Renata Morano - 06/23/2025 08:02:34</t>
  </si>
  <si>
    <t>8e75e320</t>
  </si>
  <si>
    <t>Integración Facturación</t>
  </si>
  <si>
    <t>Adrian Patriarca - 06/23/2025 12:18:03</t>
  </si>
  <si>
    <t>c50e1df2</t>
  </si>
  <si>
    <t>Formulario para facturar</t>
  </si>
  <si>
    <t>Adrian Patriarca - 06/25/2025 09:51:01</t>
  </si>
  <si>
    <t>ffe2368d</t>
  </si>
  <si>
    <t>FeedBack OTRV</t>
  </si>
  <si>
    <t>Adrian Patriarca - 06/23/2025 12:20:58</t>
  </si>
  <si>
    <t>Renata Morano - 06/24/2025 13:26:38</t>
  </si>
  <si>
    <t>ed8150f0</t>
  </si>
  <si>
    <t>Adrian Patriarca - 06/25/2025 09:50:47</t>
  </si>
  <si>
    <t>81490fdc</t>
  </si>
  <si>
    <t>Facturador</t>
  </si>
  <si>
    <t>Adrian Patriarca - 06/23/2025 12:22:36</t>
  </si>
  <si>
    <t>Renata Morano - 06/26/2025 10:51:41</t>
  </si>
  <si>
    <t>421e05ed</t>
  </si>
  <si>
    <t>Informe</t>
  </si>
  <si>
    <t>Adrian Patriarca - 06/23/2025 12:25:20</t>
  </si>
  <si>
    <t>Renata Morano - 06/26/2025 10:52:00</t>
  </si>
  <si>
    <t>f6411cba</t>
  </si>
  <si>
    <t>Ayuda felipe con DG</t>
  </si>
  <si>
    <t>Adrian Patriarca - 06/23/2025 17:23:17</t>
  </si>
  <si>
    <t>75b35f14</t>
  </si>
  <si>
    <t>Nor App</t>
  </si>
  <si>
    <t>Adrian Patriarca - 06/24/2025 09:49:06</t>
  </si>
  <si>
    <t>737a47c4</t>
  </si>
  <si>
    <t>Adrian Patriarca - 06/24/2025 09:49:15</t>
  </si>
  <si>
    <t>e5288384</t>
  </si>
  <si>
    <t>Entrega Asistente</t>
  </si>
  <si>
    <t>Adrian Patriarca - 06/24/2025 09:49:56</t>
  </si>
  <si>
    <t>Adrian Patriarca - 06/24/2025 16:22:58</t>
  </si>
  <si>
    <t>8e6afb73</t>
  </si>
  <si>
    <t>Adrian Patriarca - 06/24/2025 12:41:51</t>
  </si>
  <si>
    <t>28756e0d</t>
  </si>
  <si>
    <t>Adrian Patriarca - 06/24/2025 12:42:21</t>
  </si>
  <si>
    <t>Adrian Patriarca - 06/24/2025 13:46:52</t>
  </si>
  <si>
    <t>c357e8cc</t>
  </si>
  <si>
    <t>Reunión tablero abastecimiento</t>
  </si>
  <si>
    <t>Felipe Duarte - 06/24/2025 13:35:25</t>
  </si>
  <si>
    <t>280f0978</t>
  </si>
  <si>
    <t>Felipe Duarte - 06/24/2025 13:35:37</t>
  </si>
  <si>
    <t>5528a0f2</t>
  </si>
  <si>
    <t>Arreglo de asistente</t>
  </si>
  <si>
    <t>Adrian Patriarca - 06/24/2025 17:38:46</t>
  </si>
  <si>
    <t>Adrian Patriarca - 06/24/2025 21:07:02</t>
  </si>
  <si>
    <t>38e382f9</t>
  </si>
  <si>
    <t>Renata Morano - 06/25/2025 08:01:52</t>
  </si>
  <si>
    <t>Renata Morano - 06/26/2025 10:51:48</t>
  </si>
  <si>
    <t>16790451</t>
  </si>
  <si>
    <t>Adrian Patriarca - 06/25/2025 09:51:22</t>
  </si>
  <si>
    <t>Renata Morano - 06/24/2025 13:26:29</t>
  </si>
  <si>
    <t>58c0b6cf</t>
  </si>
  <si>
    <t>Adrian Patriarca - 06/25/2025 11:49:41</t>
  </si>
  <si>
    <t>eb741a87</t>
  </si>
  <si>
    <t>Reunión con OTRV</t>
  </si>
  <si>
    <t>Adrian Patriarca - 06/25/2025 12:56:27</t>
  </si>
  <si>
    <t>60fa8676</t>
  </si>
  <si>
    <t>Adrian Patriarca - 06/25/2025 12:57:09</t>
  </si>
  <si>
    <t>45176058</t>
  </si>
  <si>
    <t>Vertientes</t>
  </si>
  <si>
    <t>Adrian Patriarca - 06/25/2025 15:00:43</t>
  </si>
  <si>
    <t>b76fcce2</t>
  </si>
  <si>
    <t>Adrian Patriarca - 06/25/2025 16:10:42</t>
  </si>
  <si>
    <t>Adrian Patriarca - 06/25/2025 16:27:31</t>
  </si>
  <si>
    <t>c94f26be</t>
  </si>
  <si>
    <t>Adrian Patriarca - 06/25/2025 18:59:21</t>
  </si>
  <si>
    <t>b31425d7</t>
  </si>
  <si>
    <t>Entregar cosas a vertientes</t>
  </si>
  <si>
    <t>Adrian Patriarca - 06/26/2025 09:46:10</t>
  </si>
  <si>
    <t>Adrian Patriarca - 06/26/2025 12:01:36</t>
  </si>
  <si>
    <t>1eb99ea9</t>
  </si>
  <si>
    <t>Mejoras en base a la reunión (armar sprint y comenzar)</t>
  </si>
  <si>
    <t>Renata Morano - 06/26/2025 10:52:36</t>
  </si>
  <si>
    <t>Renata Morano - 07/01/2025 10:22:51</t>
  </si>
  <si>
    <t>0847d7b0</t>
  </si>
  <si>
    <t>Adrian Patriarca - 06/26/2025 11:55:39</t>
  </si>
  <si>
    <t>fa6485d2</t>
  </si>
  <si>
    <t>Reunión JOSÉ ATC</t>
  </si>
  <si>
    <t>Renata Morano - 06/26/2025 13:25:07</t>
  </si>
  <si>
    <t>837030c4</t>
  </si>
  <si>
    <t>Renata Morano - 06/26/2025 12:57:53</t>
  </si>
  <si>
    <t>Renata Morano - 06/26/2025 12:59:11</t>
  </si>
  <si>
    <t>97619698</t>
  </si>
  <si>
    <t>Armar y pasarle a José las solicitudes de acceso a ATC</t>
  </si>
  <si>
    <t>Renata Morano - 06/26/2025 12:59:39</t>
  </si>
  <si>
    <t>32664b9e</t>
  </si>
  <si>
    <t>Renata Morano - 06/26/2025 13:26:08</t>
  </si>
  <si>
    <t>c9ce73e3</t>
  </si>
  <si>
    <t>Adrian Patriarca - 06/27/2025 10:50:22</t>
  </si>
  <si>
    <t>Adrian Patriarca - 06/27/2025 13:49:43</t>
  </si>
  <si>
    <t>d216203c</t>
  </si>
  <si>
    <t>Renata Morano - 06/27/2025 13:45:24</t>
  </si>
  <si>
    <t>Renata Morano - 06/30/2025 08:46:31</t>
  </si>
  <si>
    <t>beeb03b9</t>
  </si>
  <si>
    <t>Adrian Patriarca - 06/27/2025 13:50:06</t>
  </si>
  <si>
    <t>Adrian Patriarca - 06/27/2025 14:26:08</t>
  </si>
  <si>
    <t>c792b9ca</t>
  </si>
  <si>
    <t>Terminar Sprint Mantenimiento</t>
  </si>
  <si>
    <t>Adrian Patriarca - 06/27/2025 14:23:07</t>
  </si>
  <si>
    <t>1aae2be9</t>
  </si>
  <si>
    <t>Adrian Patriarca - 06/27/2025 14:29:05</t>
  </si>
  <si>
    <t>db311831</t>
  </si>
  <si>
    <t>Preparar reunión</t>
  </si>
  <si>
    <t>Renata Morano - 06/30/2025 08:44:37</t>
  </si>
  <si>
    <t>579fa389</t>
  </si>
  <si>
    <t>Mejoras Andrea</t>
  </si>
  <si>
    <t>Renata Morano - 06/30/2025 08:45:38</t>
  </si>
  <si>
    <t>4079dd88</t>
  </si>
  <si>
    <t>Enviar videos y cosas a Gaston</t>
  </si>
  <si>
    <t>Adrian Patriarca - 06/30/2025 09:32:41</t>
  </si>
  <si>
    <t>3286cdee</t>
  </si>
  <si>
    <t>Capacitación n8n</t>
  </si>
  <si>
    <t>Adrian Patriarca - 06/30/2025 10:58:16</t>
  </si>
  <si>
    <t>b51b38a5</t>
  </si>
  <si>
    <t>Adrian Patriarca - 06/30/2025 11:03:40</t>
  </si>
  <si>
    <t>cd0c8207</t>
  </si>
  <si>
    <t>Adrian Patriarca - 06/30/2025 11:04:02</t>
  </si>
  <si>
    <t>c066e843</t>
  </si>
  <si>
    <t>Adrian Patriarca - 06/30/2025 11:04:21</t>
  </si>
  <si>
    <t>Adrian Patriarca - 07/04/2025 16:29:36</t>
  </si>
  <si>
    <t>637896d0</t>
  </si>
  <si>
    <t>Adrian Patriarca - 06/30/2025 12:22:04</t>
  </si>
  <si>
    <t>Adrian Patriarca - 07/11/2025 10:22:13</t>
  </si>
  <si>
    <t>0de9d7ab</t>
  </si>
  <si>
    <t>Finalizar Sprint</t>
  </si>
  <si>
    <t>Adrian Patriarca - 06/30/2025 12:24:21</t>
  </si>
  <si>
    <t>Renata Morano - 07/02/2025 10:02:16</t>
  </si>
  <si>
    <t>2c5abd21</t>
  </si>
  <si>
    <t>Sprint OTRV</t>
  </si>
  <si>
    <t>Adrian Patriarca - 06/30/2025 13:13:05</t>
  </si>
  <si>
    <t>e2d1450e</t>
  </si>
  <si>
    <t>Felipe Duarte - 07/01/2025 18:42:51</t>
  </si>
  <si>
    <t>bdcd7380</t>
  </si>
  <si>
    <t>Terminar graficos Natión Marketing</t>
  </si>
  <si>
    <t>Adrian Patriarca - 06/30/2025 14:00:30</t>
  </si>
  <si>
    <t>Felipe Duarte - 07/03/2025 14:50:26</t>
  </si>
  <si>
    <t>ea8a4914</t>
  </si>
  <si>
    <t>Armar Sprint junto con Adrian y hacer sprint Refri</t>
  </si>
  <si>
    <t>Adrian Patriarca - 06/30/2025 14:01:59</t>
  </si>
  <si>
    <t>Adrian Patriarca - 07/08/2025 16:42:50</t>
  </si>
  <si>
    <t>158f7c2f</t>
  </si>
  <si>
    <t>Armado Sprint Calidad</t>
  </si>
  <si>
    <t>Adrian Patriarca - 06/30/2025 14:39:07</t>
  </si>
  <si>
    <t>a9424f1b</t>
  </si>
  <si>
    <t>Renata Morano - 07/01/2025 10:23:11</t>
  </si>
  <si>
    <t>34eaa3c4</t>
  </si>
  <si>
    <t>Puntuación</t>
  </si>
  <si>
    <t>Felipe Duarte - 07/01/2025 18:43:15</t>
  </si>
  <si>
    <t>Felipe Duarte - 07/01/2025 18:42:11</t>
  </si>
  <si>
    <t>30882dcb</t>
  </si>
  <si>
    <t>Felipe Duarte - 07/03/2025 14:50:18</t>
  </si>
  <si>
    <t>2a98557a</t>
  </si>
  <si>
    <t>Actualizacion SQL (script)</t>
  </si>
  <si>
    <t>Renata Morano - 07/02/2025 10:02:44</t>
  </si>
  <si>
    <t>Renata Morano - 07/02/2025 11:18:37</t>
  </si>
  <si>
    <t>b977e164</t>
  </si>
  <si>
    <t>Renata Morano - 07/02/2025 11:18:42</t>
  </si>
  <si>
    <t>f29a55d4</t>
  </si>
  <si>
    <t>Adrian Patriarca - 07/02/2025 13:11:53</t>
  </si>
  <si>
    <t>Adrian Patriarca - 07/02/2025 15:43:58</t>
  </si>
  <si>
    <t>762b25b9</t>
  </si>
  <si>
    <t>Reunión para ver app de pedidos Pañol-Compras</t>
  </si>
  <si>
    <t>Adrian Patriarca - 07/02/2025 13:58:40</t>
  </si>
  <si>
    <t>822b60da</t>
  </si>
  <si>
    <t>1er Reunión de trabajo con Escobar</t>
  </si>
  <si>
    <t>Adrian Patriarca - 07/02/2025 16:00:35</t>
  </si>
  <si>
    <t>Adrian Patriarca - 07/08/2025 18:32:03</t>
  </si>
  <si>
    <t>16e5cdb8</t>
  </si>
  <si>
    <t>Reunión Revisión de Asistente virtual</t>
  </si>
  <si>
    <t>Adrian Patriarca - 07/02/2025 16:09:07</t>
  </si>
  <si>
    <t>50a1069a</t>
  </si>
  <si>
    <t>Reunión para revisión de Avances.</t>
  </si>
  <si>
    <t>Adrian Patriarca - 07/02/2025 16:20:20</t>
  </si>
  <si>
    <t>f4f256ed</t>
  </si>
  <si>
    <t>Reunión indicadores campañas</t>
  </si>
  <si>
    <t>Felipe Duarte - 07/02/2025 17:01:21</t>
  </si>
  <si>
    <t>Adrian Patriarca - 07/03/2025 15:53:35</t>
  </si>
  <si>
    <t>0161edef</t>
  </si>
  <si>
    <t>Terminar sprint</t>
  </si>
  <si>
    <t>Renata Morano - 07/03/2025 13:01:28</t>
  </si>
  <si>
    <t>M1</t>
  </si>
  <si>
    <t xml:space="preserve">Mantenimiento Activos </t>
  </si>
  <si>
    <t>M2</t>
  </si>
  <si>
    <t>M3</t>
  </si>
  <si>
    <t>M4</t>
  </si>
  <si>
    <t>M5</t>
  </si>
  <si>
    <t>M6</t>
  </si>
  <si>
    <t>M7</t>
  </si>
  <si>
    <t>010b071b</t>
  </si>
  <si>
    <t>Felipe Duarte - 07/03/2025 14:49:24</t>
  </si>
  <si>
    <t>Felipe Duarte - 07/01/2025 18:43:43</t>
  </si>
  <si>
    <t>504cbf8c</t>
  </si>
  <si>
    <t>Adrian Patriarca - 07/08/2025 16:44:54</t>
  </si>
  <si>
    <t>fee9f2a6</t>
  </si>
  <si>
    <t>Felipe Duarte - 07/08/2025 18:41:17</t>
  </si>
  <si>
    <t>9f0352b1</t>
  </si>
  <si>
    <t>Adrian Patriarca - 07/04/2025 08:51:24</t>
  </si>
  <si>
    <t>Renata Morano - 07/04/2025 13:05:47</t>
  </si>
  <si>
    <t>98da6592</t>
  </si>
  <si>
    <t>Adrian Patriarca - 07/04/2025 08:53:19</t>
  </si>
  <si>
    <t>Adrian Patriarca - 07/11/2025 10:22:00</t>
  </si>
  <si>
    <t>51e805cc</t>
  </si>
  <si>
    <t>Adrian Patriarca - 07/04/2025 08:54:50</t>
  </si>
  <si>
    <t>Adrian Patriarca - 07/11/2025 10:22:05</t>
  </si>
  <si>
    <t>572af331</t>
  </si>
  <si>
    <t>Video OTRV</t>
  </si>
  <si>
    <t>Renata Morano - 07/04/2025 13:05:41</t>
  </si>
  <si>
    <t>634cc9ef</t>
  </si>
  <si>
    <t>Adrian Patriarca - 07/04/2025 16:30:37</t>
  </si>
  <si>
    <t>d7eba653</t>
  </si>
  <si>
    <t>Adrian Patriarca - 07/04/2025 16:31:14</t>
  </si>
  <si>
    <t>2c355645</t>
  </si>
  <si>
    <t>Adrian Patriarca - 07/04/2025 16:31:44</t>
  </si>
  <si>
    <t>Rocio Franco - 07/08/2025 13:11:38</t>
  </si>
  <si>
    <t>e089486f</t>
  </si>
  <si>
    <t>Adrian Patriarca - 07/04/2025 16:32:13</t>
  </si>
  <si>
    <t>Rocio Franco - 07/08/2025 13:11:13</t>
  </si>
  <si>
    <t>1d474add</t>
  </si>
  <si>
    <t>Adrian Patriarca - 07/04/2025 16:33:41</t>
  </si>
  <si>
    <t>Rocio Franco - 07/08/2025 13:14:12</t>
  </si>
  <si>
    <t>e7dca4b8</t>
  </si>
  <si>
    <t>Renata Morano - 07/07/2025 13:06:57</t>
  </si>
  <si>
    <t>Renata Morano - 07/11/2025 12:24:15</t>
  </si>
  <si>
    <t>fea13e72</t>
  </si>
  <si>
    <t>Felipe Duarte - 07/07/2025 17:25:24</t>
  </si>
  <si>
    <t>Felipe Duarte - 07/11/2025 18:42:51</t>
  </si>
  <si>
    <t>29e97f0c</t>
  </si>
  <si>
    <t>Entrevistas candidatos a pasantias</t>
  </si>
  <si>
    <t>Adrian Patriarca - 07/08/2025 10:52:51</t>
  </si>
  <si>
    <t>e41b9bec</t>
  </si>
  <si>
    <t>app n8n</t>
  </si>
  <si>
    <t>Rocio Franco - 07/13/2025 13:47:03</t>
  </si>
  <si>
    <t>f7f20273</t>
  </si>
  <si>
    <t>Primera Reunión de trabajo</t>
  </si>
  <si>
    <t>Adrian Patriarca - 07/08/2025 15:02:48</t>
  </si>
  <si>
    <t>8a6b747b</t>
  </si>
  <si>
    <t>Terminar con lo de Nation Marketing</t>
  </si>
  <si>
    <t>Adrian Patriarca - 07/08/2025 15:05:22</t>
  </si>
  <si>
    <t>56876054</t>
  </si>
  <si>
    <t>Hacer sprint y terminarlo</t>
  </si>
  <si>
    <t>Adrian Patriarca - 07/08/2025 15:06:14</t>
  </si>
  <si>
    <t>Felipe Duarte - 07/14/2025 15:05:30</t>
  </si>
  <si>
    <t>65d8fb97</t>
  </si>
  <si>
    <t>Adrian Patriarca - 07/08/2025 15:06:24</t>
  </si>
  <si>
    <t>c99b3efd</t>
  </si>
  <si>
    <t>Adrian Patriarca - 07/08/2025 15:06:44</t>
  </si>
  <si>
    <t>c1991d4c</t>
  </si>
  <si>
    <t>Mantenimiento Preventivo</t>
  </si>
  <si>
    <t>Felipe Duarte - 07/08/2025 15:43:02</t>
  </si>
  <si>
    <t>3d72eb3a</t>
  </si>
  <si>
    <t>ASistente</t>
  </si>
  <si>
    <t>Renata Morano - 07/11/2025 12:23:23</t>
  </si>
  <si>
    <t>765af197</t>
  </si>
  <si>
    <t>querys y en  base a las querys hacer el tema de costos.</t>
  </si>
  <si>
    <t>Adrian Patriarca - 07/10/2025 10:40:49</t>
  </si>
  <si>
    <t>Adrian Patriarca - 07/10/2025 10:39:52</t>
  </si>
  <si>
    <t>9d553be5</t>
  </si>
  <si>
    <t>Adrian Patriarca - 07/10/2025 10:41:16</t>
  </si>
  <si>
    <t>024a9b83</t>
  </si>
  <si>
    <t>Preparar la reunión</t>
  </si>
  <si>
    <t>Renata Morano - 07/10/2025 10:51:14</t>
  </si>
  <si>
    <t>2b697a77</t>
  </si>
  <si>
    <t>Nor Arreglo de Tablero</t>
  </si>
  <si>
    <t>Adrian Patriarca - 07/10/2025 15:45:29</t>
  </si>
  <si>
    <t>c610dba5</t>
  </si>
  <si>
    <t>Adrian Patriarca - 07/11/2025 10:23:21</t>
  </si>
  <si>
    <t>94afa737</t>
  </si>
  <si>
    <t>Adrian Patriarca - 07/11/2025 10:24:47</t>
  </si>
  <si>
    <t>e4fbece8</t>
  </si>
  <si>
    <t>Adrian Patriarca - 07/11/2025 10:45:02</t>
  </si>
  <si>
    <t>ee87f34a</t>
  </si>
  <si>
    <t>Renata Morano - 07/11/2025 12:23:44</t>
  </si>
  <si>
    <t>fba3289e</t>
  </si>
  <si>
    <t>Adrian Patriarca - 07/14/2025 08:53:56</t>
  </si>
  <si>
    <t>f209f031</t>
  </si>
  <si>
    <t>Adrian Patriarca - 07/14/2025 08:54:15</t>
  </si>
  <si>
    <t>eb952986</t>
  </si>
  <si>
    <t>Adrian Patriarca - 07/14/2025 08:55:11</t>
  </si>
  <si>
    <t>Adrian Patriarca - 07/16/2025 09:05:09</t>
  </si>
  <si>
    <t>5381199d</t>
  </si>
  <si>
    <t>Adrian Patriarca - 07/14/2025 09:18:57</t>
  </si>
  <si>
    <t>109e7a7e</t>
  </si>
  <si>
    <t>Adrian Patriarca - 07/14/2025 10:08:27</t>
  </si>
  <si>
    <t>Renata Morano - 07/17/2025 13:04:08</t>
  </si>
  <si>
    <t>080377d6</t>
  </si>
  <si>
    <t>Armar Sprint ATC y Hacerlo</t>
  </si>
  <si>
    <t>Adrian Patriarca - 07/14/2025 10:08:35</t>
  </si>
  <si>
    <t>Renata Morano - 07/18/2025 09:33:39</t>
  </si>
  <si>
    <t>c048d126</t>
  </si>
  <si>
    <t>Reunión para ver avances asistente virtual</t>
  </si>
  <si>
    <t>Adrian Patriarca - 07/14/2025 11:21:35</t>
  </si>
  <si>
    <t>Adrian Patriarca - 07/18/2025 11:24:17</t>
  </si>
  <si>
    <t>53c2d838</t>
  </si>
  <si>
    <t>Vertientes del sur</t>
  </si>
  <si>
    <t>Adrian Patriarca - 07/14/2025 14:43:48</t>
  </si>
  <si>
    <t>Adrian Patriarca - 07/14/2025 15:24:07</t>
  </si>
  <si>
    <t>5438ad4c</t>
  </si>
  <si>
    <t>Video explicativo últimos cambios</t>
  </si>
  <si>
    <t>Felipe Duarte - 07/14/2025 15:06:01</t>
  </si>
  <si>
    <t>e8e5ba9b</t>
  </si>
  <si>
    <t>Ajuste app</t>
  </si>
  <si>
    <t>Felipe Duarte - 07/14/2025 15:06:14</t>
  </si>
  <si>
    <t>6855a4e6</t>
  </si>
  <si>
    <t>Norte Entrevista</t>
  </si>
  <si>
    <t>Adrian Patriarca - 07/14/2025 15:24:39</t>
  </si>
  <si>
    <t>ba0a16ab</t>
  </si>
  <si>
    <t>Adrian Patriarca - 07/14/2025 16:12:07</t>
  </si>
  <si>
    <t>Felipe Duarte - 07/18/2025 15:07:13</t>
  </si>
  <si>
    <t>08bfb76f</t>
  </si>
  <si>
    <t>Escobar Iniciar</t>
  </si>
  <si>
    <t>Adrian Patriarca - 07/14/2025 16:12:59</t>
  </si>
  <si>
    <t>Felipe Duarte - 07/18/2025 19:04:55</t>
  </si>
  <si>
    <t>31e5653a</t>
  </si>
  <si>
    <t>Adrian Patriarca - 07/14/2025 16:13:12</t>
  </si>
  <si>
    <t>4c02c825</t>
  </si>
  <si>
    <t>Vertientes del Sur</t>
  </si>
  <si>
    <t>Adrian Patriarca - 07/15/2025 17:43:10</t>
  </si>
  <si>
    <t>d6aa83e4</t>
  </si>
  <si>
    <t>Adrian Patriarca - 07/14/2025 17:48:18</t>
  </si>
  <si>
    <t>Adrian Patriarca - 07/16/2025 10:53:59</t>
  </si>
  <si>
    <t>143f0feb</t>
  </si>
  <si>
    <t>Adrian Patriarca - 07/14/2025 17:49:11</t>
  </si>
  <si>
    <t>Adrian Patriarca - 07/16/2025 15:16:15</t>
  </si>
  <si>
    <t>e1ef02e6</t>
  </si>
  <si>
    <t>Adrian Patriarca - 07/15/2025 14:18:02</t>
  </si>
  <si>
    <t>cdeb89e7</t>
  </si>
  <si>
    <t>Adrian Patriarca - 07/15/2025 17:43:31</t>
  </si>
  <si>
    <t>4f4761fb</t>
  </si>
  <si>
    <t>Armado consigna DG</t>
  </si>
  <si>
    <t>Adrian Patriarca - 07/16/2025 08:31:00</t>
  </si>
  <si>
    <t>Adrian Patriarca - 07/16/2025 10:54:19</t>
  </si>
  <si>
    <t>dee6a447</t>
  </si>
  <si>
    <t>Asistente DG</t>
  </si>
  <si>
    <t>Adrian Patriarca - 07/16/2025 09:05:33</t>
  </si>
  <si>
    <t>934c4632</t>
  </si>
  <si>
    <t>Adrian Patriarca - 07/16/2025 09:05:59</t>
  </si>
  <si>
    <t>3fb7582c</t>
  </si>
  <si>
    <t>Reunión con Noelia y presentación de app</t>
  </si>
  <si>
    <t>Adrian Patriarca - 07/16/2025 09:06:06</t>
  </si>
  <si>
    <t>Rocio Franco - 07/18/2025 13:17:24</t>
  </si>
  <si>
    <t>ba9a4a3c</t>
  </si>
  <si>
    <t>Adrian Patriarca - 07/16/2025 09:06:39</t>
  </si>
  <si>
    <t>9b5978d8</t>
  </si>
  <si>
    <t>Adrian Patriarca - 07/16/2025 09:08:35</t>
  </si>
  <si>
    <t>5150b0f4</t>
  </si>
  <si>
    <t>Adrian Patriarca - 07/16/2025 15:16:26</t>
  </si>
  <si>
    <t>5e9dac96</t>
  </si>
  <si>
    <t>Renata Morano - 07/17/2025 08:07:34</t>
  </si>
  <si>
    <t>Renata Morano - 07/22/2025 13:03:42</t>
  </si>
  <si>
    <t>1d0a865d</t>
  </si>
  <si>
    <t>Terminar entrega Vertientes del Sur</t>
  </si>
  <si>
    <t>Adrian Patriarca - 07/17/2025 12:12:40</t>
  </si>
  <si>
    <t>Adrian Patriarca - 07/17/2025 13:32:08</t>
  </si>
  <si>
    <t>22d658ad</t>
  </si>
  <si>
    <t>Adrian Patriarca - 07/17/2025 12:13:03</t>
  </si>
  <si>
    <t>Adrian Patriarca - 07/17/2025 13:31:51</t>
  </si>
  <si>
    <t>8e18dcb4</t>
  </si>
  <si>
    <t>Adrian Patriarca - 07/17/2025 12:13:28</t>
  </si>
  <si>
    <t>490cceb3</t>
  </si>
  <si>
    <t>Renata Morano - 07/18/2025 09:33:34</t>
  </si>
  <si>
    <t>b034ebd6</t>
  </si>
  <si>
    <t>Revisión avances DG</t>
  </si>
  <si>
    <t>Adrian Patriarca - 07/18/2025 11:24:44</t>
  </si>
  <si>
    <t>fa7071cb</t>
  </si>
  <si>
    <t>Adrian Patriarca - 07/18/2025 11:25:07</t>
  </si>
  <si>
    <t>7d5eca65</t>
  </si>
  <si>
    <t>Adrian Patriarca - 07/18/2025 11:31:33</t>
  </si>
  <si>
    <t>3c838834</t>
  </si>
  <si>
    <t>Adrian Patriarca - 07/18/2025 11:31:43</t>
  </si>
  <si>
    <t>Renata Morano - 07/22/2025 13:03:30</t>
  </si>
  <si>
    <t>ac29d958</t>
  </si>
  <si>
    <t>Informes</t>
  </si>
  <si>
    <t>Rocio Franco - 07/18/2025 13:19:16</t>
  </si>
  <si>
    <t>cd8a4e71</t>
  </si>
  <si>
    <t>Adrian Patriarca - 07/18/2025 13:33:35</t>
  </si>
  <si>
    <t>680f8e52</t>
  </si>
  <si>
    <t>avances del asistente en n8n</t>
  </si>
  <si>
    <t>Rocio Franco - 07/18/2025 13:34:27</t>
  </si>
  <si>
    <t>f9d64942</t>
  </si>
  <si>
    <t>Felipe Duarte - 07/18/2025 15:07:07</t>
  </si>
  <si>
    <t>ab09a8f1</t>
  </si>
  <si>
    <t>Tickets preventivos</t>
  </si>
  <si>
    <t>Felipe Duarte - 07/18/2025 19:05:45</t>
  </si>
  <si>
    <t>6d32f8dc</t>
  </si>
  <si>
    <t>Reunión Calidad - No Conformidades</t>
  </si>
  <si>
    <t>Felipe Duarte - 07/21/2025 17:30:14</t>
  </si>
  <si>
    <t>Felipe Duarte - 07/24/2025 13:37:15</t>
  </si>
  <si>
    <t>9a654f78</t>
  </si>
  <si>
    <t>Adrian Patriarca - 07/21/2025 18:20:07</t>
  </si>
  <si>
    <t>2c8ea095</t>
  </si>
  <si>
    <t>DG Reunión</t>
  </si>
  <si>
    <t>Adrian Patriarca - 07/21/2025 18:21:20</t>
  </si>
  <si>
    <t>Felipe Duarte - 07/24/2025 13:35:05</t>
  </si>
  <si>
    <t>57b1b747</t>
  </si>
  <si>
    <t>Adrian Patriarca - 07/21/2025 18:21:55</t>
  </si>
  <si>
    <t>Adrian Patriarca - 11/10/2025 11:49:05</t>
  </si>
  <si>
    <t>9f11fcf2</t>
  </si>
  <si>
    <t>Calidad y Mantenimiento</t>
  </si>
  <si>
    <t>Adrian Patriarca - 07/21/2025 18:22:13</t>
  </si>
  <si>
    <t>Felipe Duarte - 07/29/2025 13:49:15</t>
  </si>
  <si>
    <t>17088f50</t>
  </si>
  <si>
    <t>Adrian Patriarca - 07/21/2025 18:23:32</t>
  </si>
  <si>
    <t>Felipe Duarte - 07/29/2025 13:49:53</t>
  </si>
  <si>
    <t>b02db79a</t>
  </si>
  <si>
    <t>Adrian Patriarca - 07/21/2025 18:24:02</t>
  </si>
  <si>
    <t>Felipe Duarte - 07/31/2025 13:38:39</t>
  </si>
  <si>
    <t>75d567c2</t>
  </si>
  <si>
    <t>Módulo TAC</t>
  </si>
  <si>
    <t>Adrian Patriarca - 07/21/2025 18:27:28</t>
  </si>
  <si>
    <t>Felipe Duarte - 07/24/2025 13:34:32</t>
  </si>
  <si>
    <t>85b2c1d0</t>
  </si>
  <si>
    <t>Terminar modulo nuevo</t>
  </si>
  <si>
    <t>Adrian Patriarca - 07/22/2025 11:32:55</t>
  </si>
  <si>
    <t>Renata Morano - 07/23/2025 11:00:38</t>
  </si>
  <si>
    <t>a2fb32d6</t>
  </si>
  <si>
    <t>Adrian Patriarca - 07/22/2025 12:05:14</t>
  </si>
  <si>
    <t>79f7c93b</t>
  </si>
  <si>
    <t>Adrian Patriarca - 07/22/2025 12:05:41</t>
  </si>
  <si>
    <t>4a1c7bc6</t>
  </si>
  <si>
    <t>cons.</t>
  </si>
  <si>
    <t>Adrian Patriarca - 07/22/2025 12:06:05</t>
  </si>
  <si>
    <t>970c559c</t>
  </si>
  <si>
    <t>Adrian Patriarca - 07/22/2025 12:06:38</t>
  </si>
  <si>
    <t>Adrian Patriarca - 07/22/2025 14:55:20</t>
  </si>
  <si>
    <t>5c876190</t>
  </si>
  <si>
    <t>Adrian Patriarca - 07/22/2025 12:06:59</t>
  </si>
  <si>
    <t>Adrian Patriarca - 07/22/2025 14:55:14</t>
  </si>
  <si>
    <t>46a57342</t>
  </si>
  <si>
    <t>Renata Morano - 07/22/2025 13:03:47</t>
  </si>
  <si>
    <t>c5b89551</t>
  </si>
  <si>
    <t>Terminar modulo y grabar video</t>
  </si>
  <si>
    <t>Adrian Patriarca - 07/22/2025 14:50:21</t>
  </si>
  <si>
    <t>Renata Morano - 07/24/2025 11:47:11</t>
  </si>
  <si>
    <t>0fbac7f7</t>
  </si>
  <si>
    <t>NATION Turneros</t>
  </si>
  <si>
    <t>Adrian Patriarca - 07/22/2025 14:50:34</t>
  </si>
  <si>
    <t>Renata Morano - 07/25/2025 12:46:12</t>
  </si>
  <si>
    <t>30e5e601</t>
  </si>
  <si>
    <t>Adrian Patriarca - 07/22/2025 15:12:46</t>
  </si>
  <si>
    <t>Rocio Franco - 07/23/2025 13:27:52</t>
  </si>
  <si>
    <t>50c5d8bc</t>
  </si>
  <si>
    <t>Sprint 1 - Pedidos En One-Note</t>
  </si>
  <si>
    <t>Adrian Patriarca - 07/22/2025 15:13:23</t>
  </si>
  <si>
    <t>96b9ec30</t>
  </si>
  <si>
    <t>Adrian Patriarca - 07/22/2025 15:13:32</t>
  </si>
  <si>
    <t>b82c1207</t>
  </si>
  <si>
    <t>Adrian Patriarca - 07/22/2025 15:20:48</t>
  </si>
  <si>
    <t>Adrian Patriarca - 07/28/2025 13:09:23</t>
  </si>
  <si>
    <t>6b333a9e</t>
  </si>
  <si>
    <t>Cons.</t>
  </si>
  <si>
    <t>Adrian Patriarca - 07/23/2025 09:04:33</t>
  </si>
  <si>
    <t>c2e36453</t>
  </si>
  <si>
    <t>Adrian Patriarca - 07/23/2025 10:30:09</t>
  </si>
  <si>
    <t>867c5945</t>
  </si>
  <si>
    <t>Renata Morano - 07/23/2025 12:52:11</t>
  </si>
  <si>
    <t>Renata Morano - 07/25/2025 11:16:30</t>
  </si>
  <si>
    <t>12a25516</t>
  </si>
  <si>
    <t>Investigación</t>
  </si>
  <si>
    <t>Hacer flujo alternativo n8n Asistente DG</t>
  </si>
  <si>
    <t>Rocio Franco - 07/23/2025 13:28:33</t>
  </si>
  <si>
    <t>Rocio Franco - 07/23/2025 13:29:25</t>
  </si>
  <si>
    <t>850c5975</t>
  </si>
  <si>
    <t>Adrian Patriarca - 07/23/2025 15:09:12</t>
  </si>
  <si>
    <t>Adrian Patriarca - 07/25/2025 16:14:41</t>
  </si>
  <si>
    <t>9c50e9a6</t>
  </si>
  <si>
    <t>Adrian Patriarca - 07/24/2025 10:17:21</t>
  </si>
  <si>
    <t>368b31a7</t>
  </si>
  <si>
    <t>Adrian Patriarca - 07/24/2025 10:17:36</t>
  </si>
  <si>
    <t>Adrian Patriarca - 07/24/2025 10:17:54</t>
  </si>
  <si>
    <t>8a16db85</t>
  </si>
  <si>
    <t>Felipe Duarte - 07/24/2025 13:37:09</t>
  </si>
  <si>
    <t>8643dd38</t>
  </si>
  <si>
    <t>Nation, ver demora en agregar TACs.</t>
  </si>
  <si>
    <t>Felipe Duarte - 07/24/2025 13:37:47</t>
  </si>
  <si>
    <t>533c3e47</t>
  </si>
  <si>
    <t>Adrian Patriarca - 07/25/2025 09:39:20</t>
  </si>
  <si>
    <t>4127568f</t>
  </si>
  <si>
    <t>Renata Morano - 07/25/2025 11:16:17</t>
  </si>
  <si>
    <t>9649f6f1</t>
  </si>
  <si>
    <t>Renata Morano - 07/25/2025 12:13:14</t>
  </si>
  <si>
    <t>0f9c8a3a</t>
  </si>
  <si>
    <t>Renata Morano - 07/25/2025 12:45:53</t>
  </si>
  <si>
    <t>cec83f4c</t>
  </si>
  <si>
    <t>Adrian Patriarca - 07/25/2025 12:46:33</t>
  </si>
  <si>
    <t>edeba5b7</t>
  </si>
  <si>
    <t>Adrian Patriarca - 07/25/2025 12:47:06</t>
  </si>
  <si>
    <t>522f2954</t>
  </si>
  <si>
    <t>Felipe Duarte - 07/25/2025 13:52:17</t>
  </si>
  <si>
    <t>48085018</t>
  </si>
  <si>
    <t>vertientes</t>
  </si>
  <si>
    <t>Adrian Patriarca - 07/25/2025 16:14:02</t>
  </si>
  <si>
    <t>Adrian Patriarca - 07/25/2025 16:16:08</t>
  </si>
  <si>
    <t>97a23dc2</t>
  </si>
  <si>
    <t>Adrian Patriarca - 07/25/2025 16:15:35</t>
  </si>
  <si>
    <t>bdaa637d</t>
  </si>
  <si>
    <t>Adrian Patriarca - 07/28/2025 11:24:14</t>
  </si>
  <si>
    <t>8233c93d</t>
  </si>
  <si>
    <t>Adrian Patriarca - 07/28/2025 13:09:29</t>
  </si>
  <si>
    <t>ce7d7a5b</t>
  </si>
  <si>
    <t>Conexion Market - Sprint 1</t>
  </si>
  <si>
    <t>Adrian Patriarca - 07/28/2025 13:09:53</t>
  </si>
  <si>
    <t>673843d7</t>
  </si>
  <si>
    <t>Adrian Patriarca - 07/28/2025 13:09:58</t>
  </si>
  <si>
    <t>23b5bd20</t>
  </si>
  <si>
    <t>Adrian Patriarca - 07/28/2025 13:10:06</t>
  </si>
  <si>
    <t>0ab56161</t>
  </si>
  <si>
    <t>Adrian Patriarca - 07/28/2025 13:12:38</t>
  </si>
  <si>
    <t>b1cb4175</t>
  </si>
  <si>
    <t>Tickets. Reunión Cristian. Video Calidad.</t>
  </si>
  <si>
    <t>Adrian Patriarca - 07/28/2025 14:43:30</t>
  </si>
  <si>
    <t>Felipe Duarte - 08/03/2025 23:38:30</t>
  </si>
  <si>
    <t>e8c4870b</t>
  </si>
  <si>
    <t>Tablero abastecimiento - Big Query.</t>
  </si>
  <si>
    <t>Felipe Duarte - 08/05/2025 13:20:06</t>
  </si>
  <si>
    <t>ca1ae8e0</t>
  </si>
  <si>
    <t>Terminar modulo TAC + Grabar videos de muestra modulo + Organizar Reunión con German</t>
  </si>
  <si>
    <t>Adrian Patriarca - 07/28/2025 14:45:54</t>
  </si>
  <si>
    <t>Felipe Duarte - 08/03/2025 23:38:52</t>
  </si>
  <si>
    <t>84db0b8d</t>
  </si>
  <si>
    <t>Revisión de errores</t>
  </si>
  <si>
    <t>Adrian Patriarca - 07/28/2025 21:13:57</t>
  </si>
  <si>
    <t>115832b0</t>
  </si>
  <si>
    <t>Adrian Patriarca - 07/29/2025 08:47:16</t>
  </si>
  <si>
    <t>049f1575</t>
  </si>
  <si>
    <t>Adrian Patriarca - 07/29/2025 08:47:55</t>
  </si>
  <si>
    <t>8d38a459</t>
  </si>
  <si>
    <t>Adrian Patriarca - 07/29/2025 08:48:19</t>
  </si>
  <si>
    <t>2d104060</t>
  </si>
  <si>
    <t>Reunión con Vertientes para ver el asistente virtual</t>
  </si>
  <si>
    <t>Adrian Patriarca - 07/29/2025 08:50:49</t>
  </si>
  <si>
    <t>a697db3a</t>
  </si>
  <si>
    <t>Renata Morano - 07/29/2025 12:33:12</t>
  </si>
  <si>
    <t>f73d158b</t>
  </si>
  <si>
    <t>Felipe Duarte - 07/29/2025 13:49:43</t>
  </si>
  <si>
    <t>ed0561a9</t>
  </si>
  <si>
    <t>Felipe Duarte - 07/29/2025 13:50:13</t>
  </si>
  <si>
    <t>bafdc7e7</t>
  </si>
  <si>
    <t>Adrian Patriarca - 07/29/2025 14:18:02</t>
  </si>
  <si>
    <t>Adrian Patriarca - 07/29/2025 18:25:54</t>
  </si>
  <si>
    <t>f721ede5</t>
  </si>
  <si>
    <t>Renata Morano - 07/30/2025 10:17:48</t>
  </si>
  <si>
    <t>bcb84545</t>
  </si>
  <si>
    <t>Adrian Patriarca - 07/31/2025 09:01:55</t>
  </si>
  <si>
    <t>ad0311e0</t>
  </si>
  <si>
    <t>Adrian Patriarca - 07/31/2025 09:02:18</t>
  </si>
  <si>
    <t>Adrian Patriarca - 07/31/2025 09:04:48</t>
  </si>
  <si>
    <t>c8132270</t>
  </si>
  <si>
    <t>Videos n8n</t>
  </si>
  <si>
    <t>Renata Morano - 07/31/2025 09:06:00</t>
  </si>
  <si>
    <t>Adrian Patriarca - 07/31/2025 10:30:58</t>
  </si>
  <si>
    <t>45510623</t>
  </si>
  <si>
    <t>Renata Morano - 07/31/2025 09:19:44</t>
  </si>
  <si>
    <t>d39f6093</t>
  </si>
  <si>
    <t>Adrian Patriarca - 07/31/2025 10:31:40</t>
  </si>
  <si>
    <t>c35afe97</t>
  </si>
  <si>
    <t>Adrian Patriarca - 07/31/2025 12:49:01</t>
  </si>
  <si>
    <t>10db6078</t>
  </si>
  <si>
    <t>Felipe Duarte - 07/31/2025 13:37:44</t>
  </si>
  <si>
    <t>b918a051</t>
  </si>
  <si>
    <t>Ticket Nation Etiquetas</t>
  </si>
  <si>
    <t>Felipe Duarte - 07/31/2025 13:38:32</t>
  </si>
  <si>
    <t>53685b8c</t>
  </si>
  <si>
    <t>Producción (Cristian)</t>
  </si>
  <si>
    <t>Felipe Duarte - 07/31/2025 13:39:10</t>
  </si>
  <si>
    <t>Adrian Patriarca - 07/28/2025 10:52:13</t>
  </si>
  <si>
    <t>d44574aa</t>
  </si>
  <si>
    <t>Felipe Duarte - 07/31/2025 13:39:40</t>
  </si>
  <si>
    <t>4fa3ccde</t>
  </si>
  <si>
    <t>Sprint Conexion Market</t>
  </si>
  <si>
    <t>Adrian Patriarca - 08/01/2025 09:51:21</t>
  </si>
  <si>
    <t>3407f809</t>
  </si>
  <si>
    <t>Adrian Patriarca - 08/01/2025 10:48:15</t>
  </si>
  <si>
    <t>08ce24b1</t>
  </si>
  <si>
    <t>Adrian Patriarca - 08/01/2025 10:49:26</t>
  </si>
  <si>
    <t>Rocio Franco - 08/06/2025 13:29:14</t>
  </si>
  <si>
    <t>9d70569f</t>
  </si>
  <si>
    <t>Norte reunión</t>
  </si>
  <si>
    <t>Adrian Patriarca - 08/01/2025 12:12:28</t>
  </si>
  <si>
    <t>Adrian Patriarca - 08/01/2025 12:13:02</t>
  </si>
  <si>
    <t>db953c77</t>
  </si>
  <si>
    <t>Adrian Patriarca - 08/01/2025 17:21:50</t>
  </si>
  <si>
    <t>Adrian Patriarca - 08/06/2025 10:48:26</t>
  </si>
  <si>
    <t>e9f12b1b</t>
  </si>
  <si>
    <t>Reunión Nelson</t>
  </si>
  <si>
    <t>Renata Morano - 08/04/2025 13:13:09</t>
  </si>
  <si>
    <t>Adrian Patriarca - 08/06/2025 11:34:06</t>
  </si>
  <si>
    <t>M1-08</t>
  </si>
  <si>
    <t>M2-08</t>
  </si>
  <si>
    <t>M3-08</t>
  </si>
  <si>
    <t>M4-08</t>
  </si>
  <si>
    <t>M5-08</t>
  </si>
  <si>
    <t>M6-08</t>
  </si>
  <si>
    <t>M7-08</t>
  </si>
  <si>
    <t>c46b1f67</t>
  </si>
  <si>
    <t>Reunión avances Escobar</t>
  </si>
  <si>
    <t>Felipe Duarte - 08/05/2025 16:04:31</t>
  </si>
  <si>
    <t>a880cb2a</t>
  </si>
  <si>
    <t>Corrección de Formulas Autopartes SOL</t>
  </si>
  <si>
    <t>Adrian Patriarca - 08/06/2025 11:35:27</t>
  </si>
  <si>
    <t>8c055fa8</t>
  </si>
  <si>
    <t>Renata Morano - 08/07/2025 12:45:04</t>
  </si>
  <si>
    <t>2d47e4af</t>
  </si>
  <si>
    <t>Objetivo: Dejar el tablero tal como está pero con actualizaciones Automaticas de los datos.</t>
  </si>
  <si>
    <t>Adrian Patriarca - 08/06/2025 11:38:35</t>
  </si>
  <si>
    <t>Renata Morano - 08/07/2025 12:44:49</t>
  </si>
  <si>
    <t>d3ce198f</t>
  </si>
  <si>
    <t>Renata Morano - 08/08/2025 13:18:57</t>
  </si>
  <si>
    <t>55f18851</t>
  </si>
  <si>
    <t>Adrian Patriarca - 08/06/2025 11:39:16</t>
  </si>
  <si>
    <t>Renata Morano - 08/11/2025 11:02:05</t>
  </si>
  <si>
    <t>5c8af3dc</t>
  </si>
  <si>
    <t>Insuga tablero</t>
  </si>
  <si>
    <t>Adrian Patriarca - 08/06/2025 11:42:21</t>
  </si>
  <si>
    <t>Renata Morano - 08/12/2025 13:03:38</t>
  </si>
  <si>
    <t>29ce66e2</t>
  </si>
  <si>
    <t>Armar Sprint junto con Adrian</t>
  </si>
  <si>
    <t>Adrian Patriarca - 08/06/2025 11:43:55</t>
  </si>
  <si>
    <t>1cbdb662</t>
  </si>
  <si>
    <t>Adrian Patriarca - 08/06/2025 11:44:03</t>
  </si>
  <si>
    <t>a31f6160</t>
  </si>
  <si>
    <t>Adrian Patriarca - 08/14/2025 10:28:02</t>
  </si>
  <si>
    <t>985b8a80</t>
  </si>
  <si>
    <t>Hacer para que emita documentos no oficiales</t>
  </si>
  <si>
    <t>Adrian Patriarca - 08/06/2025 11:47:54</t>
  </si>
  <si>
    <t>Renata Morano - 08/11/2025 11:02:28</t>
  </si>
  <si>
    <t>a382757f</t>
  </si>
  <si>
    <t>Adrian Patriarca - 08/06/2025 13:07:24</t>
  </si>
  <si>
    <t>bfb99934</t>
  </si>
  <si>
    <t>Felipe Duarte - 08/06/2025 13:13:24</t>
  </si>
  <si>
    <t>ce8fa73f</t>
  </si>
  <si>
    <t>Adrian Patriarca - 08/06/2025 14:08:32</t>
  </si>
  <si>
    <t>010eaad7</t>
  </si>
  <si>
    <t>Refri, ver feedback de vale</t>
  </si>
  <si>
    <t>Adrian Patriarca - 08/06/2025 14:14:31</t>
  </si>
  <si>
    <t>Felipe Duarte - 08/11/2025 13:32:01</t>
  </si>
  <si>
    <t>fcd4ca29</t>
  </si>
  <si>
    <t>Día Libre Felipe</t>
  </si>
  <si>
    <t>Adrian Patriarca - 08/06/2025 14:18:00</t>
  </si>
  <si>
    <t>Adrian Patriarca - 11/10/2025 11:48:57</t>
  </si>
  <si>
    <t>7e4ee68a</t>
  </si>
  <si>
    <t>Rocio Franco - 08/06/2025 18:40:11</t>
  </si>
  <si>
    <t>e7d0bdf6</t>
  </si>
  <si>
    <t>App y n8n</t>
  </si>
  <si>
    <t>Rocio Franco - 08/07/2025 12:45:14</t>
  </si>
  <si>
    <t>d013e1db</t>
  </si>
  <si>
    <t>Adrian Patriarca - 08/08/2025 10:43:35</t>
  </si>
  <si>
    <t>ff68ed3f</t>
  </si>
  <si>
    <t>Felipe Duarte - 08/08/2025 13:10:02</t>
  </si>
  <si>
    <t>f7cd345e</t>
  </si>
  <si>
    <t>Presupuestos</t>
  </si>
  <si>
    <t>Renata Morano - 08/08/2025 13:19:13</t>
  </si>
  <si>
    <t>308c4ba6</t>
  </si>
  <si>
    <t>Reunion - Conexion Market</t>
  </si>
  <si>
    <t>Rocio Franco - 08/08/2025 13:22:13</t>
  </si>
  <si>
    <t>41d33d4f</t>
  </si>
  <si>
    <t>Migrar modulo TAC a Google Sheets</t>
  </si>
  <si>
    <t>Felipe Duarte - 08/08/2025 18:24:56</t>
  </si>
  <si>
    <t>3cc8172f</t>
  </si>
  <si>
    <t>Sprint 3 - Vertientes del Sur</t>
  </si>
  <si>
    <t>Rocio Franco - 08/11/2025 08:08:08</t>
  </si>
  <si>
    <t>8346c7b9</t>
  </si>
  <si>
    <t>Felipe Duarte - 08/11/2025 17:41:58</t>
  </si>
  <si>
    <t>Felipe Duarte - 08/12/2025 13:47:31</t>
  </si>
  <si>
    <t>7c88fe6e</t>
  </si>
  <si>
    <t>Renata Morano - 08/12/2025 13:03:50</t>
  </si>
  <si>
    <t>3a1ef53e</t>
  </si>
  <si>
    <t>Verificación de errores vertientes</t>
  </si>
  <si>
    <t>Adrian Patriarca - 08/13/2025 02:59:14</t>
  </si>
  <si>
    <t>74c3baf9</t>
  </si>
  <si>
    <t>Adrian Patriarca - 08/13/2025 11:23:07</t>
  </si>
  <si>
    <t>df3f7fd5</t>
  </si>
  <si>
    <t>Sprint Vertientes</t>
  </si>
  <si>
    <t>Rocio Franco - 08/13/2025 13:15:27</t>
  </si>
  <si>
    <t>d521532f</t>
  </si>
  <si>
    <t>Preparado de Entrega Conexion</t>
  </si>
  <si>
    <t>Rocio Franco - 08/13/2025 13:16:04</t>
  </si>
  <si>
    <t>Rocio Franco - 08/13/2025 18:44:28</t>
  </si>
  <si>
    <t>acc9e907</t>
  </si>
  <si>
    <t>Conexion</t>
  </si>
  <si>
    <t>Adrian Patriarca - 08/13/2025 15:18:59</t>
  </si>
  <si>
    <t>974141c2</t>
  </si>
  <si>
    <t>Felipe Duarte - 08/13/2025 17:20:21</t>
  </si>
  <si>
    <t>e96ea38f</t>
  </si>
  <si>
    <t>Felipe Duarte - 08/13/2025 17:20:48</t>
  </si>
  <si>
    <t>1c53adb0</t>
  </si>
  <si>
    <t>Felipe Duarte - 08/13/2025 17:21:17</t>
  </si>
  <si>
    <t>Felipe Duarte - 08/14/2025 13:21:52</t>
  </si>
  <si>
    <t>e4aceda9</t>
  </si>
  <si>
    <t>Revision de Asistente y App - Resumen de la Reunión</t>
  </si>
  <si>
    <t>Rocio Franco - 08/13/2025 18:42:18</t>
  </si>
  <si>
    <t>Adrian Patriarca - 08/14/2025 09:24:38</t>
  </si>
  <si>
    <t>31320ca4</t>
  </si>
  <si>
    <t>Revision Final y entrega de Aplicacion y de Asistente</t>
  </si>
  <si>
    <t>Rocio Franco - 08/13/2025 18:43:33</t>
  </si>
  <si>
    <t>e39e4c7c</t>
  </si>
  <si>
    <t>Rocio Franco - 08/13/2025 18:44:00</t>
  </si>
  <si>
    <t>24a91734</t>
  </si>
  <si>
    <t>Adrian Patriarca - 08/14/2025 09:15:56</t>
  </si>
  <si>
    <t>fcfe5c26</t>
  </si>
  <si>
    <t>Adrian Patriarca - 08/14/2025 09:24:13</t>
  </si>
  <si>
    <t>63a928a2</t>
  </si>
  <si>
    <t>Adrian Patriarca - 08/14/2025 09:39:03</t>
  </si>
  <si>
    <t>a5d02eea</t>
  </si>
  <si>
    <t>Rocio Franco - 08/18/2025 13:29:37</t>
  </si>
  <si>
    <t>75012b8b</t>
  </si>
  <si>
    <t>Adrian Patriarca - 08/14/2025 09:39:37</t>
  </si>
  <si>
    <t>72b3f022</t>
  </si>
  <si>
    <t>Adrian Patriarca - 08/14/2025 09:39:50</t>
  </si>
  <si>
    <t>Rocio Franco - 08/19/2025 13:20:37</t>
  </si>
  <si>
    <t>6ce56586</t>
  </si>
  <si>
    <t>Adrian Patriarca - 08/14/2025 09:40:11</t>
  </si>
  <si>
    <t>0c60c9ed</t>
  </si>
  <si>
    <t>Adrian Patriarca - 08/14/2025 11:21:16</t>
  </si>
  <si>
    <t>29f482f2</t>
  </si>
  <si>
    <t>Terminar Sprint</t>
  </si>
  <si>
    <t>Adrian Patriarca - 08/14/2025 12:04:52</t>
  </si>
  <si>
    <t>d6fbff29</t>
  </si>
  <si>
    <t>Norte - Email y tablero</t>
  </si>
  <si>
    <t>Adrian Patriarca - 08/14/2025 12:24:18</t>
  </si>
  <si>
    <t>Renata Morano - 08/20/2025 09:08:59</t>
  </si>
  <si>
    <t>49acdfeb</t>
  </si>
  <si>
    <t>Insuga terminar con Tablero</t>
  </si>
  <si>
    <t>Adrian Patriarca - 08/14/2025 12:25:15</t>
  </si>
  <si>
    <t>Renata Morano - 08/19/2025 08:01:50</t>
  </si>
  <si>
    <t>9c101d01</t>
  </si>
  <si>
    <t>Armar Sprint con Adrian y Ver</t>
  </si>
  <si>
    <t>Adrian Patriarca - 08/14/2025 12:26:18</t>
  </si>
  <si>
    <t>Renata Morano - 08/19/2025 08:01:59</t>
  </si>
  <si>
    <t>42ad472f</t>
  </si>
  <si>
    <t>Adrian Patriarca - 08/14/2025 12:26:33</t>
  </si>
  <si>
    <t>Adrian Patriarca - 08/14/2025 12:27:50</t>
  </si>
  <si>
    <t>684db0ed</t>
  </si>
  <si>
    <t>Adrian Patriarca - 08/14/2025 12:28:04</t>
  </si>
  <si>
    <t>Renata Morano - 08/21/2025 11:52:33</t>
  </si>
  <si>
    <t>20f25081</t>
  </si>
  <si>
    <t>Armar sprint con Adrian + Objetivo: Que lo pueda empezar a probar</t>
  </si>
  <si>
    <t>Renata Morano - 08/26/2025 11:22:52</t>
  </si>
  <si>
    <t>96e498d1</t>
  </si>
  <si>
    <t>Objetivo: Que lo pueda empezar a probar</t>
  </si>
  <si>
    <t>Adrian Patriarca - 08/14/2025 12:29:25</t>
  </si>
  <si>
    <t>Renata Morano - 08/28/2025 13:05:06</t>
  </si>
  <si>
    <t>ee677d4c</t>
  </si>
  <si>
    <t>Adrian Patriarca - 08/14/2025 12:29:35</t>
  </si>
  <si>
    <t>Renata Morano - 08/27/2025 11:44:20</t>
  </si>
  <si>
    <t>d03810a8</t>
  </si>
  <si>
    <t>Felipe Duarte - 08/14/2025 14:36:00</t>
  </si>
  <si>
    <t>36332e6e</t>
  </si>
  <si>
    <t>Felipe Duarte - 08/14/2025 13:22:59</t>
  </si>
  <si>
    <t>c931d629</t>
  </si>
  <si>
    <t>Felipe Duarte - 08/14/2025 14:36:46</t>
  </si>
  <si>
    <t>9bb59936</t>
  </si>
  <si>
    <t>Continuar con DG + Armar Sprint DG</t>
  </si>
  <si>
    <t>Adrian Patriarca - 08/14/2025 16:20:37</t>
  </si>
  <si>
    <t>Felipe Duarte - 08/18/2025 15:57:41</t>
  </si>
  <si>
    <t>86279751</t>
  </si>
  <si>
    <t>Adrian Patriarca - 08/14/2025 16:21:21</t>
  </si>
  <si>
    <t>c2953338</t>
  </si>
  <si>
    <t>Felipe Duarte - 08/22/2025 13:15:53</t>
  </si>
  <si>
    <t>7c1c3aed</t>
  </si>
  <si>
    <t>Adrian Patriarca - 08/14/2025 16:21:46</t>
  </si>
  <si>
    <t>Felipe Duarte - 08/20/2025 16:01:53</t>
  </si>
  <si>
    <t>0c4c2dd4</t>
  </si>
  <si>
    <t>Ver modificaciones para prueba de la app y reactivar envíos de recordatorios y campañas</t>
  </si>
  <si>
    <t>Felipe Duarte - 08/22/2025 13:15:36</t>
  </si>
  <si>
    <t>c7e2a4a7</t>
  </si>
  <si>
    <t>Terminar con los pendientes</t>
  </si>
  <si>
    <t>Adrian Patriarca - 08/14/2025 16:22:51</t>
  </si>
  <si>
    <t>Felipe Duarte - 08/27/2025 13:20:04</t>
  </si>
  <si>
    <t>7b193096</t>
  </si>
  <si>
    <t>Revision de Asistente y App</t>
  </si>
  <si>
    <t>Rocio Franco - 08/15/2025 10:54:50</t>
  </si>
  <si>
    <t>Rocio Franco - 08/18/2025 13:28:29</t>
  </si>
  <si>
    <t>f2f389e0</t>
  </si>
  <si>
    <t>Contrato Conexion Market</t>
  </si>
  <si>
    <t>Adrian Patriarca - 08/18/2025 11:52:19</t>
  </si>
  <si>
    <t>5829dabe</t>
  </si>
  <si>
    <t>Rocio Franco - 08/18/2025 13:30:09</t>
  </si>
  <si>
    <t>61d32559</t>
  </si>
  <si>
    <t>Reunión con Noelia</t>
  </si>
  <si>
    <t>Adrian Patriarca - 08/18/2025 14:33:50</t>
  </si>
  <si>
    <t>12d36064</t>
  </si>
  <si>
    <t>Felipe Duarte - 08/18/2025 15:58:26</t>
  </si>
  <si>
    <t>e693818f</t>
  </si>
  <si>
    <t>Felipe Duarte - 08/18/2025 15:58:45</t>
  </si>
  <si>
    <t>981a43f1</t>
  </si>
  <si>
    <t>Renata Morano - 08/19/2025 08:01:36</t>
  </si>
  <si>
    <t>16e815ee</t>
  </si>
  <si>
    <t>Reunión Bahia Remises</t>
  </si>
  <si>
    <t>Adrian Patriarca - 08/19/2025 13:16:30</t>
  </si>
  <si>
    <t>6be449c4</t>
  </si>
  <si>
    <t>Felipe Duarte - 08/19/2025 13:56:19</t>
  </si>
  <si>
    <t>Felipe Duarte - 08/27/2025 13:20:22</t>
  </si>
  <si>
    <t>401f59cb</t>
  </si>
  <si>
    <t>Reunión con Martin Refri</t>
  </si>
  <si>
    <t>Adrian Patriarca - 08/19/2025 14:51:22</t>
  </si>
  <si>
    <t>68ad4dbf</t>
  </si>
  <si>
    <t>Reunión con Guille y Edu</t>
  </si>
  <si>
    <t>Adrian Patriarca - 08/20/2025 11:01:12</t>
  </si>
  <si>
    <t>260af26a</t>
  </si>
  <si>
    <t>Ticket Nation</t>
  </si>
  <si>
    <t>Felipe Duarte - 08/20/2025 16:02:27</t>
  </si>
  <si>
    <t>d91bcb80</t>
  </si>
  <si>
    <t>Avance Ticket Amipack</t>
  </si>
  <si>
    <t>Felipe Duarte - 08/20/2025 16:02:56</t>
  </si>
  <si>
    <t>011a701f</t>
  </si>
  <si>
    <t>Renata Morano - 08/21/2025 09:46:26</t>
  </si>
  <si>
    <t>Renata Morano - 08/21/2025 11:52:27</t>
  </si>
  <si>
    <t>6b91116a</t>
  </si>
  <si>
    <t>Renata Morano - 08/27/2025 10:20:44</t>
  </si>
  <si>
    <t>93e07e73</t>
  </si>
  <si>
    <t>Reunión Andrea con Renata</t>
  </si>
  <si>
    <t>Renata Morano - 08/21/2025 09:48:33</t>
  </si>
  <si>
    <t>Renata Morano - 08/21/2025 09:47:43</t>
  </si>
  <si>
    <t>60785cb1</t>
  </si>
  <si>
    <t>Ajustes Asistente</t>
  </si>
  <si>
    <t>Adrian Patriarca - 08/21/2025 20:13:44</t>
  </si>
  <si>
    <t>55a5572d</t>
  </si>
  <si>
    <t>Sprint 3</t>
  </si>
  <si>
    <t>Rocio Franco - 08/22/2025 12:25:29</t>
  </si>
  <si>
    <t>4e2ef6c1</t>
  </si>
  <si>
    <t>Integraciones y modificación de envió de mensajes</t>
  </si>
  <si>
    <t>Rocio Franco - 08/22/2025 12:26:16</t>
  </si>
  <si>
    <t>Rocio Franco - 08/22/2025 12:31:39</t>
  </si>
  <si>
    <t>7f9b686a</t>
  </si>
  <si>
    <t>Sprint del Norte</t>
  </si>
  <si>
    <t>Rocio Franco - 08/22/2025 12:32:13</t>
  </si>
  <si>
    <t>40f6729b</t>
  </si>
  <si>
    <t>Sprint 3 Norte</t>
  </si>
  <si>
    <t>Adrian Patriarca - 08/22/2025 13:07:11</t>
  </si>
  <si>
    <t>c2a1c321</t>
  </si>
  <si>
    <t>Armar Sprint con Adrian y Hacer Sprint</t>
  </si>
  <si>
    <t>Adrian Patriarca - 08/22/2025 13:07:35</t>
  </si>
  <si>
    <t>bcbde4a3</t>
  </si>
  <si>
    <t>Terminar Sprint Vertientes</t>
  </si>
  <si>
    <t>Adrian Patriarca - 08/22/2025 13:08:02</t>
  </si>
  <si>
    <t>Rocio Franco - 08/26/2025 10:01:04</t>
  </si>
  <si>
    <t>36620233</t>
  </si>
  <si>
    <t>Vector Armar parte del Promt (appsheet)</t>
  </si>
  <si>
    <t>Adrian Patriarca - 08/22/2025 13:09:32</t>
  </si>
  <si>
    <t>Rocio Franco - 08/27/2025 08:42:32</t>
  </si>
  <si>
    <t>1e78dae6</t>
  </si>
  <si>
    <t>Adrian Patriarca - 08/22/2025 13:09:40</t>
  </si>
  <si>
    <t>Rocio Franco - 08/28/2025 12:21:39</t>
  </si>
  <si>
    <t>d6f7a8ea</t>
  </si>
  <si>
    <t>Felipe Duarte - 08/22/2025 13:16:41</t>
  </si>
  <si>
    <t>Adrian Patriarca - 08/14/2025 16:21:38</t>
  </si>
  <si>
    <t>77cd81a7</t>
  </si>
  <si>
    <t>Continuar con DG</t>
  </si>
  <si>
    <t>Felipe Duarte - 08/22/2025 13:17:04</t>
  </si>
  <si>
    <t>c0f1e785</t>
  </si>
  <si>
    <t>asistente</t>
  </si>
  <si>
    <t>Adrian Patriarca - 08/25/2025 09:32:47</t>
  </si>
  <si>
    <t>Renata Morano - 08/28/2025 13:14:36</t>
  </si>
  <si>
    <t>cac75522</t>
  </si>
  <si>
    <t>Adrian Patriarca - 08/25/2025 09:54:04</t>
  </si>
  <si>
    <t>Adrian Patriarca - 08/25/2025 09:54:22</t>
  </si>
  <si>
    <t>f43089ea</t>
  </si>
  <si>
    <t>Renata Morano - 08/25/2025 13:05:10</t>
  </si>
  <si>
    <t>Renata Morano - 08/27/2025 11:44:28</t>
  </si>
  <si>
    <t>cabf6853</t>
  </si>
  <si>
    <t>Transferencia APP</t>
  </si>
  <si>
    <t>Adrian Patriarca - 08/25/2025 16:54:31</t>
  </si>
  <si>
    <t>Adrian Patriarca - 08/25/2025 22:46:41</t>
  </si>
  <si>
    <t>29b55216</t>
  </si>
  <si>
    <t>Renata Morano - 08/26/2025 08:04:50</t>
  </si>
  <si>
    <t>Renata Morano - 08/26/2025 11:22:48</t>
  </si>
  <si>
    <t>d89ac6ad</t>
  </si>
  <si>
    <t>Sprint 4 - Configuraciones</t>
  </si>
  <si>
    <t>Rocio Franco - 08/26/2025 10:01:38</t>
  </si>
  <si>
    <t>578edd18</t>
  </si>
  <si>
    <t>Felipe Duarte - 08/27/2025 13:20:09</t>
  </si>
  <si>
    <t>8b120eea</t>
  </si>
  <si>
    <t>Adrian Patriarca - 08/26/2025 17:53:18</t>
  </si>
  <si>
    <t>Adrian Patriarca - 08/26/2025 17:53:35</t>
  </si>
  <si>
    <t>4386f80f</t>
  </si>
  <si>
    <t>Adrian Patriarca - 08/26/2025 17:53:54</t>
  </si>
  <si>
    <t>84e8c661</t>
  </si>
  <si>
    <t>Renata Morano - 08/27/2025 11:44:40</t>
  </si>
  <si>
    <t>62040025</t>
  </si>
  <si>
    <t>Ticket pendiente</t>
  </si>
  <si>
    <t>Felipe Duarte - 08/27/2025 13:20:54</t>
  </si>
  <si>
    <t>3009c1aa</t>
  </si>
  <si>
    <t>Felipe Duarte - 08/27/2025 13:21:12</t>
  </si>
  <si>
    <t>fbf29459</t>
  </si>
  <si>
    <t>Armar sprint con Adrian y continuar</t>
  </si>
  <si>
    <t>Felipe Duarte - 08/28/2025 17:17:53</t>
  </si>
  <si>
    <t>3ccd1c6f</t>
  </si>
  <si>
    <t>Adrian Patriarca - 08/27/2025 16:33:00</t>
  </si>
  <si>
    <t>Adrian Patriarca - 11/10/2025 11:48:47</t>
  </si>
  <si>
    <t>2fa83f53</t>
  </si>
  <si>
    <t>Adrian Patriarca - 08/27/2025 16:33:17</t>
  </si>
  <si>
    <t>Felipe Duarte - 09/02/2025 13:13:29</t>
  </si>
  <si>
    <t>c2aea404</t>
  </si>
  <si>
    <t>Adrian Patriarca - 08/27/2025 16:33:35</t>
  </si>
  <si>
    <t>b9f1195b</t>
  </si>
  <si>
    <t>Adrian Patriarca - 08/27/2025 16:33:43</t>
  </si>
  <si>
    <t>Felipe Duarte - 09/03/2025 14:41:51</t>
  </si>
  <si>
    <t>5a88e8df</t>
  </si>
  <si>
    <t>Sacar la puntuación de todas las soluciones de Nation Marketing</t>
  </si>
  <si>
    <t>Adrian Patriarca - 08/27/2025 16:37:19</t>
  </si>
  <si>
    <t>f384f194</t>
  </si>
  <si>
    <t>Reunión con Guillermina</t>
  </si>
  <si>
    <t>Adrian Patriarca - 08/28/2025 09:17:19</t>
  </si>
  <si>
    <t>a06ea13f</t>
  </si>
  <si>
    <t>Reunión con Vertientes del sur</t>
  </si>
  <si>
    <t>Adrian Patriarca - 08/28/2025 09:18:53</t>
  </si>
  <si>
    <t>5bdc6614</t>
  </si>
  <si>
    <t>Presentación de propuesta</t>
  </si>
  <si>
    <t>Adrian Patriarca - 08/28/2025 09:20:59</t>
  </si>
  <si>
    <t>24c856a0</t>
  </si>
  <si>
    <t>Revisión de App</t>
  </si>
  <si>
    <t>Adrian Patriarca - 08/28/2025 09:22:17</t>
  </si>
  <si>
    <t>b200cbe7</t>
  </si>
  <si>
    <t>Agregar Tabla Permitidos y Prohibidos</t>
  </si>
  <si>
    <t>Rocio Franco - 08/28/2025 12:22:19</t>
  </si>
  <si>
    <t>4edd5eda</t>
  </si>
  <si>
    <t>Renata Morano - 08/28/2025 13:05:24</t>
  </si>
  <si>
    <t>d7cebf00</t>
  </si>
  <si>
    <t>Felipe Duarte - 08/28/2025 17:17:44</t>
  </si>
  <si>
    <t>Adrian Patriarca - 08/27/2025 16:37:26</t>
  </si>
  <si>
    <t>6762cdf3</t>
  </si>
  <si>
    <t>Sprint Escobar</t>
  </si>
  <si>
    <t>Adrian Patriarca - 08/28/2025 17:38:11</t>
  </si>
  <si>
    <t>7d53c20b</t>
  </si>
  <si>
    <t>Rocio Franco - 08/29/2025 08:12:48</t>
  </si>
  <si>
    <t>f9a75c54</t>
  </si>
  <si>
    <t>sprint 4</t>
  </si>
  <si>
    <t>Rocio Franco - 09/01/2025 08:00:35</t>
  </si>
  <si>
    <t>f43157c9</t>
  </si>
  <si>
    <t>Renata Morano - 09/01/2025 08:01:48</t>
  </si>
  <si>
    <t>d433a7d7</t>
  </si>
  <si>
    <t>Visita Planta Insuga</t>
  </si>
  <si>
    <t>Adrian Patriarca - 09/01/2025 10:16:26</t>
  </si>
  <si>
    <t>Adrian Patriarca - 09/02/2025 14:11:39</t>
  </si>
  <si>
    <t>cd61f3de</t>
  </si>
  <si>
    <t>Migración de Apps</t>
  </si>
  <si>
    <t>Adrian Patriarca - 09/01/2025 11:23:11</t>
  </si>
  <si>
    <t>Adrian Patriarca - 09/01/2025 23:12:41</t>
  </si>
  <si>
    <t>1771b421</t>
  </si>
  <si>
    <t>Adrian Patriarca - 09/01/2025 21:41:12</t>
  </si>
  <si>
    <t>Adrian Patriarca - 09/01/2025 23:12:57</t>
  </si>
  <si>
    <t>8e4f013d</t>
  </si>
  <si>
    <t>Renata Morano - 09/02/2025 08:00:52</t>
  </si>
  <si>
    <t>8f8782c9</t>
  </si>
  <si>
    <t>Visita Planta</t>
  </si>
  <si>
    <t>Renata Morano - 09/03/2025 08:05:34</t>
  </si>
  <si>
    <t>6cd5b41f</t>
  </si>
  <si>
    <t>Rocio Franco - 09/02/2025 08:10:24</t>
  </si>
  <si>
    <t>Adrian Patriarca - 09/03/2025 14:05:26</t>
  </si>
  <si>
    <t>546bde78</t>
  </si>
  <si>
    <t>Renata Morano - 09/02/2025 10:10:58</t>
  </si>
  <si>
    <t>Adrian Patriarca - 09/04/2025 11:33:41</t>
  </si>
  <si>
    <t>3d52cf94</t>
  </si>
  <si>
    <t>Felipe Duarte - 09/02/2025 13:13:59</t>
  </si>
  <si>
    <t>eacf2d90</t>
  </si>
  <si>
    <t>Adrian Patriarca - 09/02/2025 14:12:03</t>
  </si>
  <si>
    <t>a6e387f7</t>
  </si>
  <si>
    <t>Renata Morano - 09/03/2025 08:07:33</t>
  </si>
  <si>
    <t>Renata Morano - 09/03/2025 13:09:07</t>
  </si>
  <si>
    <t>9edac6d9</t>
  </si>
  <si>
    <t>Inicio de Servicio</t>
  </si>
  <si>
    <t>Adrian Patriarca - 09/03/2025 14:31:54</t>
  </si>
  <si>
    <t>ec4d1796</t>
  </si>
  <si>
    <t>Reunión Estadisticas - Comercial</t>
  </si>
  <si>
    <t>Adrian Patriarca - 09/03/2025 14:33:16</t>
  </si>
  <si>
    <t>Adrian Patriarca - 09/09/2025 17:51:20</t>
  </si>
  <si>
    <t>ed5c9629</t>
  </si>
  <si>
    <t>Avances Asistente Virtual</t>
  </si>
  <si>
    <t>Adrian Patriarca - 09/03/2025 14:34:45</t>
  </si>
  <si>
    <t>d7b6e99e</t>
  </si>
  <si>
    <t>Observaciones Emmanuel</t>
  </si>
  <si>
    <t>Felipe Duarte - 09/03/2025 14:41:13</t>
  </si>
  <si>
    <t>edbba0ff</t>
  </si>
  <si>
    <t>Felipe Duarte - 09/03/2025 14:41:34</t>
  </si>
  <si>
    <t>Felipe Duarte - 09/03/2025 14:41:58</t>
  </si>
  <si>
    <t>2bc05e9d</t>
  </si>
  <si>
    <t>Terminar Sprint conexion Market</t>
  </si>
  <si>
    <t>Adrian Patriarca - 09/03/2025 16:44:40</t>
  </si>
  <si>
    <t>2b32818c</t>
  </si>
  <si>
    <t>Corregir Vector Asistente</t>
  </si>
  <si>
    <t>Adrian Patriarca - 09/03/2025 16:45:34</t>
  </si>
  <si>
    <t>Adrian Patriarca - 09/12/2025 09:54:44</t>
  </si>
  <si>
    <t>bbe332f9</t>
  </si>
  <si>
    <t>Terminar sprint Escobar, volver a solicitar la reunión. Si ya estan las bases de datos entonces cargarlas. Hacer seguimiento</t>
  </si>
  <si>
    <t>Felipe Duarte - 09/04/2025 15:57:01</t>
  </si>
  <si>
    <t>6d3aa71b</t>
  </si>
  <si>
    <t>Hacer Sprint y Lo revisamos juntos.</t>
  </si>
  <si>
    <t>Felipe Duarte - 09/04/2025 15:56:56</t>
  </si>
  <si>
    <t>eb2a620f</t>
  </si>
  <si>
    <t>Adrian Patriarca - 09/03/2025 17:25:29</t>
  </si>
  <si>
    <t>89e597f0</t>
  </si>
  <si>
    <t>Terminar Sprint DG</t>
  </si>
  <si>
    <t>Adrian Patriarca - 09/03/2025 17:26:10</t>
  </si>
  <si>
    <t>a291f829</t>
  </si>
  <si>
    <t>Refri Sprint En función de la ultima Reunión</t>
  </si>
  <si>
    <t>Adrian Patriarca - 09/03/2025 17:27:37</t>
  </si>
  <si>
    <t>Adrian Patriarca - 09/03/2025 17:32:42</t>
  </si>
  <si>
    <t>b02f5980</t>
  </si>
  <si>
    <t>Adrian Patriarca - 09/03/2025 17:27:45</t>
  </si>
  <si>
    <t>Adrian Patriarca - 09/03/2025 17:32:46</t>
  </si>
  <si>
    <t>7e0e12ca</t>
  </si>
  <si>
    <t>Finalizar sprint</t>
  </si>
  <si>
    <t>Felipe Duarte - 09/11/2025 17:08:09</t>
  </si>
  <si>
    <t>f6da90f4</t>
  </si>
  <si>
    <t>Adrian Patriarca - 09/03/2025 17:34:16</t>
  </si>
  <si>
    <t>Felipe Duarte - 09/12/2025 15:39:25</t>
  </si>
  <si>
    <t>27ce24f8</t>
  </si>
  <si>
    <t>Continuación del sprint de DG</t>
  </si>
  <si>
    <t>Adrian Patriarca - 09/03/2025 17:34:38</t>
  </si>
  <si>
    <t>Felipe Duarte - 09/15/2025 17:37:49</t>
  </si>
  <si>
    <t>66a5f044</t>
  </si>
  <si>
    <t>Hacer Ticket 
C0203, para tablero ML y Cotizaciones.. REUNIÓN CON ESCOBAR PARA MOSTRARLES LA APP</t>
  </si>
  <si>
    <t>Felipe Duarte - 09/11/2025 18:31:31</t>
  </si>
  <si>
    <t>50707078</t>
  </si>
  <si>
    <t>Adrian Patriarca - 09/03/2025 18:59:40</t>
  </si>
  <si>
    <t>26c108d5</t>
  </si>
  <si>
    <t>Diseño y estimación de tiempos para el desarrollo de los tableros. Renata, necesitamos poder pasarle el esquema de los tableros de control a Gonzalo. Para que de esta manera podamos determinar que tiempo nos va a llevar el desarrollo de todo. De esta manera yo le voy a poder pasar una propuesta de trabajao. En definitiva tu trabajo es hacer lo que dijimos. Que  sería: Diseñar como van a ser los tableros y en función de eso estimar que tiempo mensual necesitamos para poder terminarlo en 2 meses y que necesitamos. Datos, etc. Ya con el diseño previo y la estimación de tiempos que hagas a mi me va a servir para poder pasarle una propuesta a gonzalo y asi arrancar a trabajar mas horas durante septiembre.</t>
  </si>
  <si>
    <t>Adrian Patriarca - 09/03/2025 19:11:05</t>
  </si>
  <si>
    <t>Renata Morano - 09/05/2025 11:57:18</t>
  </si>
  <si>
    <t>2901c776</t>
  </si>
  <si>
    <t>Ticket melisa</t>
  </si>
  <si>
    <t>Adrian Patriarca - 09/04/2025 11:40:18</t>
  </si>
  <si>
    <t>10c1bf00</t>
  </si>
  <si>
    <t>Adrian Patriarca - 09/04/2025 11:40:46</t>
  </si>
  <si>
    <t>Renata Morano - 09/05/2025 11:56:54</t>
  </si>
  <si>
    <t>cf23337f</t>
  </si>
  <si>
    <t>Agencia, armar Sprint y hacer</t>
  </si>
  <si>
    <t>Renata Morano - 09/08/2025 10:36:03</t>
  </si>
  <si>
    <t>36515bf0</t>
  </si>
  <si>
    <t>Adrian Patriarca - 09/04/2025 11:41:50</t>
  </si>
  <si>
    <t>Renata Morano - 09/09/2025 12:32:31</t>
  </si>
  <si>
    <t>2becabec</t>
  </si>
  <si>
    <t>Adrian Patriarca - 09/04/2025 11:42:43</t>
  </si>
  <si>
    <t>Renata Morano - 09/10/2025 08:01:51</t>
  </si>
  <si>
    <t>a929b4a6</t>
  </si>
  <si>
    <t>Adrian Patriarca - 09/04/2025 11:43:53</t>
  </si>
  <si>
    <t>8b9053d7</t>
  </si>
  <si>
    <t>Renata Morano - 09/04/2025 13:10:14</t>
  </si>
  <si>
    <t>Renata Morano - 09/09/2025 12:32:20</t>
  </si>
  <si>
    <t>af4bc883</t>
  </si>
  <si>
    <t>Revisar app</t>
  </si>
  <si>
    <t>Rocio Franco - 09/08/2025 10:06:27</t>
  </si>
  <si>
    <t>4ad15d3e</t>
  </si>
  <si>
    <t>Estimación Tableros</t>
  </si>
  <si>
    <t>Renata Morano - 09/08/2025 10:36:45</t>
  </si>
  <si>
    <t>951f4527</t>
  </si>
  <si>
    <t>Perfeccionamiento del Promt</t>
  </si>
  <si>
    <t>Adrian Patriarca - 09/08/2025 10:54:49</t>
  </si>
  <si>
    <t>5fedcb9c</t>
  </si>
  <si>
    <t>Adrian Patriarca - 09/08/2025 14:24:29</t>
  </si>
  <si>
    <t>0a70cc99</t>
  </si>
  <si>
    <t>Adrian Patriarca - 09/08/2025 22:27:43</t>
  </si>
  <si>
    <t>ff508fac</t>
  </si>
  <si>
    <t>Sprint Vertientes del Sur</t>
  </si>
  <si>
    <t>Adrian Patriarca - 09/08/2025 22:29:01</t>
  </si>
  <si>
    <t>Adrian Patriarca - 09/10/2025 12:32:08</t>
  </si>
  <si>
    <t>f8354373</t>
  </si>
  <si>
    <t>Adrian Patriarca - 09/08/2025 22:29:34</t>
  </si>
  <si>
    <t>Rocio Franco - 09/11/2025 11:22:59</t>
  </si>
  <si>
    <t>42ec010b</t>
  </si>
  <si>
    <t>Cambios Conexion Market</t>
  </si>
  <si>
    <t>Adrian Patriarca - 09/09/2025 08:56:54</t>
  </si>
  <si>
    <t>Adrian Patriarca - 09/09/2025 12:04:15</t>
  </si>
  <si>
    <t>0ce12bfa</t>
  </si>
  <si>
    <t>Renata Morano - 09/09/2025 12:32:49</t>
  </si>
  <si>
    <t>0cdb4adf</t>
  </si>
  <si>
    <t>Adrian Patriarca - 09/10/2025 09:46:39</t>
  </si>
  <si>
    <t>893d2410</t>
  </si>
  <si>
    <t>Adrian Patriarca - 09/10/2025 10:30:17</t>
  </si>
  <si>
    <t>Renata Morano - 09/17/2025 13:08:40</t>
  </si>
  <si>
    <t>ceb294b8</t>
  </si>
  <si>
    <t>Armar Sprint y hacer</t>
  </si>
  <si>
    <t>Adrian Patriarca - 09/10/2025 10:30:39</t>
  </si>
  <si>
    <t>5f37e486</t>
  </si>
  <si>
    <t>Adrian Patriarca - 09/04/2025 11:43:23</t>
  </si>
  <si>
    <t>Renata Morano - 09/15/2025 10:26:46</t>
  </si>
  <si>
    <t>110725a4</t>
  </si>
  <si>
    <t>Adrian Patriarca - 09/10/2025 11:02:09</t>
  </si>
  <si>
    <t>Adrian Patriarca - 09/10/2025 12:45:04</t>
  </si>
  <si>
    <t>22526dea</t>
  </si>
  <si>
    <t>Corrección de los errores de ayer</t>
  </si>
  <si>
    <t>Adrian Patriarca - 09/10/2025 12:46:21</t>
  </si>
  <si>
    <t>720eb125</t>
  </si>
  <si>
    <t>Adrian Patriarca - 09/10/2025 19:02:52</t>
  </si>
  <si>
    <t>Adrian Patriarca - 09/11/2025 10:58:28</t>
  </si>
  <si>
    <t>b2324569</t>
  </si>
  <si>
    <t>Renata Morano - 09/11/2025 08:07:40</t>
  </si>
  <si>
    <t>Renata Morano - 09/11/2025 13:08:58</t>
  </si>
  <si>
    <t>245a600a</t>
  </si>
  <si>
    <t>Reunión Guillermo</t>
  </si>
  <si>
    <t>Renata Morano - 09/11/2025 10:47:14</t>
  </si>
  <si>
    <t>Renata Morano - 09/15/2025 10:46:44</t>
  </si>
  <si>
    <t>8d3fd761</t>
  </si>
  <si>
    <t>Adrian Patriarca - 09/11/2025 10:58:46</t>
  </si>
  <si>
    <t>Adrian Patriarca - 09/11/2025 13:28:14</t>
  </si>
  <si>
    <t>ec83f092</t>
  </si>
  <si>
    <t>Sprint 8</t>
  </si>
  <si>
    <t>Rocio Franco - 09/11/2025 11:23:43</t>
  </si>
  <si>
    <t>Adrian Patriarca - 09/12/2025 09:54:48</t>
  </si>
  <si>
    <t>3bac6520</t>
  </si>
  <si>
    <t>REUNIÓN CON ESCOBAR PARA MOSTRARLES LA APP</t>
  </si>
  <si>
    <t>Felipe Duarte - 09/11/2025 18:32:05</t>
  </si>
  <si>
    <t>Felipe Duarte - 09/11/2025 17:08:42</t>
  </si>
  <si>
    <t>84e3bb51</t>
  </si>
  <si>
    <t>Renata Morano - 09/12/2025 11:02:40</t>
  </si>
  <si>
    <t>Renata Morano - 09/16/2025 12:02:50</t>
  </si>
  <si>
    <t>3dd8ead9</t>
  </si>
  <si>
    <t>Adrian Patriarca - 09/12/2025 18:14:46</t>
  </si>
  <si>
    <t>63eb474f</t>
  </si>
  <si>
    <t>Felipe Duarte - 09/17/2025 17:45:41</t>
  </si>
  <si>
    <t>7ff879dd</t>
  </si>
  <si>
    <t>Adrian Patriarca - 09/12/2025 18:50:51</t>
  </si>
  <si>
    <t>d28721b6</t>
  </si>
  <si>
    <t>Renata Morano - 09/15/2025 10:26:53</t>
  </si>
  <si>
    <t>Renata Morano - 09/15/2025 10:46:50</t>
  </si>
  <si>
    <t>01c4197c</t>
  </si>
  <si>
    <t>Renata Morano - 09/15/2025 12:05:42</t>
  </si>
  <si>
    <t>Renata Morano - 09/16/2025 12:03:05</t>
  </si>
  <si>
    <t>aa2d4aa5</t>
  </si>
  <si>
    <t>No borrar es un ajuste</t>
  </si>
  <si>
    <t>2f6c5cd7</t>
  </si>
  <si>
    <t>revision de envio de email</t>
  </si>
  <si>
    <t>Rocio Franco - 09/15/2025 13:08:28</t>
  </si>
  <si>
    <t>3a058b38</t>
  </si>
  <si>
    <t>revision de envio de mail</t>
  </si>
  <si>
    <t>Rocio Franco - 09/15/2025 13:09:09</t>
  </si>
  <si>
    <t>d6be6b14</t>
  </si>
  <si>
    <t>Rocio Franco - 09/15/2025 13:09:49</t>
  </si>
  <si>
    <t>Rocio Franco - 09/16/2025 13:27:28</t>
  </si>
  <si>
    <t>409cb809</t>
  </si>
  <si>
    <t>Correccion de errores</t>
  </si>
  <si>
    <t>Rocio Franco - 09/18/2025 07:59:41</t>
  </si>
  <si>
    <t>821fc7ae</t>
  </si>
  <si>
    <t>Revision</t>
  </si>
  <si>
    <t>Adrian Patriarca - 09/16/2025 09:17:33</t>
  </si>
  <si>
    <t>Rocio Franco - 09/18/2025 10:05:40</t>
  </si>
  <si>
    <t>0ec0b24d</t>
  </si>
  <si>
    <t>Adrian Patriarca - 09/16/2025 09:17:41</t>
  </si>
  <si>
    <t>Rocio Franco - 09/19/2025 13:32:07</t>
  </si>
  <si>
    <t>2991bc82</t>
  </si>
  <si>
    <t>Explicacion de App - Sprint con Adrian y Renata</t>
  </si>
  <si>
    <t>Adrian Patriarca - 09/16/2025 09:17:57</t>
  </si>
  <si>
    <t>Rocio Franco - 09/23/2025 08:01:56</t>
  </si>
  <si>
    <t>9aec9a49</t>
  </si>
  <si>
    <t>Modulo Abastecimiento</t>
  </si>
  <si>
    <t>Adrian Patriarca - 09/16/2025 09:18:26</t>
  </si>
  <si>
    <t>Rocio Franco - 09/23/2025 13:23:57</t>
  </si>
  <si>
    <t>44c1f70c</t>
  </si>
  <si>
    <t>Renata Morano - 09/16/2025 12:03:11</t>
  </si>
  <si>
    <t>Adrian Patriarca - 09/10/2025 10:31:02</t>
  </si>
  <si>
    <t>98dfa4cb</t>
  </si>
  <si>
    <t>Correccion Vector en n8n</t>
  </si>
  <si>
    <t>Rocio Franco - 09/16/2025 13:28:01</t>
  </si>
  <si>
    <t>fc68b319</t>
  </si>
  <si>
    <t>Adrian Patriarca - 09/17/2025 08:24:44</t>
  </si>
  <si>
    <t>464654db</t>
  </si>
  <si>
    <t>Revisión con Rocio</t>
  </si>
  <si>
    <t>Adrian Patriarca - 09/17/2025 10:50:11</t>
  </si>
  <si>
    <t>09c9c4a3</t>
  </si>
  <si>
    <t>Marketing</t>
  </si>
  <si>
    <t>Adrian Patriarca - 09/17/2025 08:29:27</t>
  </si>
  <si>
    <t>7a4423b3</t>
  </si>
  <si>
    <t>Reunión con Gustavo para ver sistema de abastecimiento</t>
  </si>
  <si>
    <t>Adrian Patriarca - 09/17/2025 09:28:27</t>
  </si>
  <si>
    <t>Adrian Patriarca - 09/19/2025 10:53:29</t>
  </si>
  <si>
    <t>424d837c</t>
  </si>
  <si>
    <t>Renata Morano - 09/17/2025 10:57:25</t>
  </si>
  <si>
    <t>Renata Morano - 09/17/2025 13:08:35</t>
  </si>
  <si>
    <t>f207db7c</t>
  </si>
  <si>
    <t>Felipe Duarte - 09/17/2025 17:45:55</t>
  </si>
  <si>
    <t>Felipe Duarte - 09/17/2025 13:30:56</t>
  </si>
  <si>
    <t>ea6eaa47</t>
  </si>
  <si>
    <t>Renata Morano - 09/18/2025 08:27:56</t>
  </si>
  <si>
    <t>Renata Morano - 09/18/2025 11:49:15</t>
  </si>
  <si>
    <t>8640073e</t>
  </si>
  <si>
    <t>Correccion de Emails</t>
  </si>
  <si>
    <t>Rocio Franco - 09/18/2025 10:06:05</t>
  </si>
  <si>
    <t>Rocio Franco - 09/18/2025 13:11:14</t>
  </si>
  <si>
    <t>fa28f9cc</t>
  </si>
  <si>
    <t>Armar un sprint con Adrian</t>
  </si>
  <si>
    <t>Renata Morano - 09/19/2025 13:34:55</t>
  </si>
  <si>
    <t>13a6e21c</t>
  </si>
  <si>
    <t>Adrian Patriarca - 09/18/2025 12:50:28</t>
  </si>
  <si>
    <t>Renata Morano - 09/22/2025 13:05:32</t>
  </si>
  <si>
    <t>0f827992</t>
  </si>
  <si>
    <t>Adrian Patriarca - 09/18/2025 12:55:18</t>
  </si>
  <si>
    <t>374b611f</t>
  </si>
  <si>
    <t>Adrian Patriarca - 09/18/2025 12:55:27</t>
  </si>
  <si>
    <t>76ce6f45</t>
  </si>
  <si>
    <t>Adrian Patriarca - 09/18/2025 12:55:37</t>
  </si>
  <si>
    <t>9afecc50</t>
  </si>
  <si>
    <t>Adrian Patriarca - 09/18/2025 12:50:43</t>
  </si>
  <si>
    <t>Renata Morano - 09/25/2025 12:57:17</t>
  </si>
  <si>
    <t>b1153fed</t>
  </si>
  <si>
    <t>Adrian Patriarca - 09/18/2025 12:58:51</t>
  </si>
  <si>
    <t>Renata Morano - 09/26/2025 13:13:00</t>
  </si>
  <si>
    <t>d94907a7</t>
  </si>
  <si>
    <t>Adrian Patriarca - 09/18/2025 12:59:05</t>
  </si>
  <si>
    <t>Renata Morano - 09/29/2025 12:12:43</t>
  </si>
  <si>
    <t>4baef404</t>
  </si>
  <si>
    <t>Adrian Patriarca - 09/18/2025 12:59:15</t>
  </si>
  <si>
    <t>Renata Morano - 09/29/2025 13:08:39</t>
  </si>
  <si>
    <t>86249b70</t>
  </si>
  <si>
    <t>Correccion vector y seguimiento de errores</t>
  </si>
  <si>
    <t>Rocio Franco - 09/18/2025 13:11:50</t>
  </si>
  <si>
    <t>37a296ba</t>
  </si>
  <si>
    <t>Rocio Franco - 09/18/2025 13:12:08</t>
  </si>
  <si>
    <t>9eb8cc8f</t>
  </si>
  <si>
    <t>Arreglo de emails</t>
  </si>
  <si>
    <t>Adrian Patriarca - 09/18/2025 13:53:17</t>
  </si>
  <si>
    <t>839a8a4d</t>
  </si>
  <si>
    <t>Adrian Patriarca - 09/18/2025 14:23:49</t>
  </si>
  <si>
    <t>8da0591f</t>
  </si>
  <si>
    <t>Averiguación Verificación Whatsapp</t>
  </si>
  <si>
    <t>Adrian Patriarca - 09/18/2025 15:49:05</t>
  </si>
  <si>
    <t>830c5ee0</t>
  </si>
  <si>
    <t>Adrian Patriarca - 09/18/2025 17:14:55</t>
  </si>
  <si>
    <t>155081dc</t>
  </si>
  <si>
    <t>Reunión validación de cuentas de Conexion Market</t>
  </si>
  <si>
    <t>Adrian Patriarca - 09/18/2025 17:18:34</t>
  </si>
  <si>
    <t>Adrian Patriarca - 09/18/2025 17:19:29</t>
  </si>
  <si>
    <t>8bddb1fd</t>
  </si>
  <si>
    <t>Felipe Duarte - 09/19/2025 13:30:38</t>
  </si>
  <si>
    <t>4b6e158e</t>
  </si>
  <si>
    <t>- Terminar Facturador, activador y videos</t>
  </si>
  <si>
    <t>Renata Morano - 09/19/2025 13:37:28</t>
  </si>
  <si>
    <t>46809ce5</t>
  </si>
  <si>
    <t>Mejoras app y minuta</t>
  </si>
  <si>
    <t>Renata Morano - 09/19/2025 13:36:02</t>
  </si>
  <si>
    <t>Renata Morano - 09/19/2025 13:37:16</t>
  </si>
  <si>
    <t>2db699b3</t>
  </si>
  <si>
    <t>Informe Melissa</t>
  </si>
  <si>
    <t>Renata Morano - 09/19/2025 13:36:35</t>
  </si>
  <si>
    <t>Renata Morano - 09/19/2025 13:37:24</t>
  </si>
  <si>
    <t>0593ce98</t>
  </si>
  <si>
    <t>Acercamiento al proyecto</t>
  </si>
  <si>
    <t>Renata Morano - 09/22/2025 13:08:39</t>
  </si>
  <si>
    <t>35504230</t>
  </si>
  <si>
    <t>Felipe Duarte - 09/22/2025 13:40:51</t>
  </si>
  <si>
    <t>63053c03</t>
  </si>
  <si>
    <t>Creación de Meta Bussines Suit</t>
  </si>
  <si>
    <t>Adrian Patriarca - 09/22/2025 17:21:13</t>
  </si>
  <si>
    <t>297ea389</t>
  </si>
  <si>
    <t>Renata Morano - 09/23/2025 10:11:51</t>
  </si>
  <si>
    <t>c2eddd45</t>
  </si>
  <si>
    <t>Adrian Patriarca - 09/22/2025 20:11:03</t>
  </si>
  <si>
    <t>1e192bd1</t>
  </si>
  <si>
    <t>sprint</t>
  </si>
  <si>
    <t>Rocio Franco - 09/23/2025 08:02:27</t>
  </si>
  <si>
    <t>b04c5c87</t>
  </si>
  <si>
    <t>Renata Morano - 09/23/2025 10:11:59</t>
  </si>
  <si>
    <t>02f5f4d4</t>
  </si>
  <si>
    <t>Guillermo</t>
  </si>
  <si>
    <t>Renata Morano - 09/23/2025 09:05:16</t>
  </si>
  <si>
    <t>2b6bb0aa</t>
  </si>
  <si>
    <t>Adrian Patriarca - 09/23/2025 10:11:23</t>
  </si>
  <si>
    <t>2fba9767</t>
  </si>
  <si>
    <t>Adrian Patriarca - 09/23/2025 10:11:38</t>
  </si>
  <si>
    <t>81edf61b</t>
  </si>
  <si>
    <t>Adrian Patriarca - 09/23/2025 10:11:47</t>
  </si>
  <si>
    <t>1a05bed8</t>
  </si>
  <si>
    <t>Arreglo de cosas vertientes</t>
  </si>
  <si>
    <t>Adrian Patriarca - 09/23/2025 10:22:48</t>
  </si>
  <si>
    <t>1b914b4c</t>
  </si>
  <si>
    <t>Corrección de errores en APP</t>
  </si>
  <si>
    <t>Rocio Franco - 09/23/2025 13:24:29</t>
  </si>
  <si>
    <t>0eeaa456</t>
  </si>
  <si>
    <t>Roles/Usuarios</t>
  </si>
  <si>
    <t>Rocio Franco - 09/23/2025 13:25:06</t>
  </si>
  <si>
    <t>ce58385b</t>
  </si>
  <si>
    <t>Felipe Duarte - 09/23/2025 14:04:23</t>
  </si>
  <si>
    <t>9a8ccd6d</t>
  </si>
  <si>
    <t>Felipe Duarte - 09/23/2025 14:08:48</t>
  </si>
  <si>
    <t>Felipe Duarte - 09/26/2025 18:21:45</t>
  </si>
  <si>
    <t>ad0a0ad4</t>
  </si>
  <si>
    <t>Adrian Patriarca - 09/23/2025 16:47:23</t>
  </si>
  <si>
    <t>2ba061cb</t>
  </si>
  <si>
    <t>Adecuación Bases de datos</t>
  </si>
  <si>
    <t>Adrian Patriarca - 09/24/2025 09:49:15</t>
  </si>
  <si>
    <t>Adrian Patriarca - 09/24/2025 10:31:57</t>
  </si>
  <si>
    <t>8c63eea1</t>
  </si>
  <si>
    <t>CONEXION</t>
  </si>
  <si>
    <t>Adrian Patriarca - 09/24/2025 12:04:46</t>
  </si>
  <si>
    <t>Adrian Patriarca - 09/24/2025 13:41:13</t>
  </si>
  <si>
    <t>e33ea64c</t>
  </si>
  <si>
    <t>Adrian Patriarca - 09/24/2025 13:41:27</t>
  </si>
  <si>
    <t>Adrian Patriarca - 09/25/2025 12:47:04</t>
  </si>
  <si>
    <t>7d24e2e7</t>
  </si>
  <si>
    <t>Adrian Patriarca - 09/24/2025 13:47:57</t>
  </si>
  <si>
    <t>Adrian Patriarca - 09/24/2025 15:29:21</t>
  </si>
  <si>
    <t>894b6f3e</t>
  </si>
  <si>
    <t>Felipe Duarte - 09/24/2025 19:09:20</t>
  </si>
  <si>
    <t>cf464f80</t>
  </si>
  <si>
    <t>Reunión para revisar los cambios realizados y definir proximos pasos</t>
  </si>
  <si>
    <t>Adrian Patriarca - 09/25/2025 12:14:06</t>
  </si>
  <si>
    <t>b170681c</t>
  </si>
  <si>
    <t>Felipe Duarte - 09/25/2025 13:28:30</t>
  </si>
  <si>
    <t>794f35f5</t>
  </si>
  <si>
    <t>Felipe Duarte - 09/25/2025 13:28:50</t>
  </si>
  <si>
    <t>e04cba7e</t>
  </si>
  <si>
    <t>Renata Morano - 09/26/2025 09:45:29</t>
  </si>
  <si>
    <t>c2fc3942</t>
  </si>
  <si>
    <t>Rocio Franco - 09/26/2025 13:07:56</t>
  </si>
  <si>
    <t>Rocio Franco - 09/29/2025 13:21:37</t>
  </si>
  <si>
    <t>5afcb3da</t>
  </si>
  <si>
    <t>Sprint Rocio</t>
  </si>
  <si>
    <t>Renata Morano - 09/26/2025 13:13:10</t>
  </si>
  <si>
    <t>b7c0c5da</t>
  </si>
  <si>
    <t>Adrian Patriarca - 09/26/2025 14:43:42</t>
  </si>
  <si>
    <t>e3fed02d</t>
  </si>
  <si>
    <t>Adrian Patriarca - 09/26/2025 14:44:10</t>
  </si>
  <si>
    <t>491078b8</t>
  </si>
  <si>
    <t>Revisar solución de Felipe, y armar sprint para presentar solución el Jueves</t>
  </si>
  <si>
    <t>Adrian Patriarca - 09/26/2025 14:44:28</t>
  </si>
  <si>
    <t>Adrian Patriarca - 09/26/2025 14:45:09</t>
  </si>
  <si>
    <t>c6f4e4d1</t>
  </si>
  <si>
    <t>Terminar solución y presentar a Gustavo y Ezequiel</t>
  </si>
  <si>
    <t>Adrian Patriarca - 09/26/2025 14:46:01</t>
  </si>
  <si>
    <t>670ba9ad</t>
  </si>
  <si>
    <t>Adrian Patriarca - 09/26/2025 14:46:07</t>
  </si>
  <si>
    <t>b3baea05</t>
  </si>
  <si>
    <t>Adrian Patriarca - 09/26/2025 14:46:32</t>
  </si>
  <si>
    <t>Felipe Duarte - 10/02/2025 14:40:13</t>
  </si>
  <si>
    <t>c6e26157</t>
  </si>
  <si>
    <t>Adrian Patriarca - 09/26/2025 14:46:46</t>
  </si>
  <si>
    <t>4baf6b92</t>
  </si>
  <si>
    <t>Renata Morano - 09/29/2025 08:32:31</t>
  </si>
  <si>
    <t>Renata Morano - 09/29/2025 12:12:34</t>
  </si>
  <si>
    <t>5a547572</t>
  </si>
  <si>
    <t>Renata Morano - 09/29/2025 08:35:51</t>
  </si>
  <si>
    <t>57e47bb1</t>
  </si>
  <si>
    <t>Adrian Patriarca - 09/29/2025 09:42:16</t>
  </si>
  <si>
    <t>f53e2b56</t>
  </si>
  <si>
    <t>Adrian Patriarca - 09/29/2025 09:42:31</t>
  </si>
  <si>
    <t>Rocio Franco - 10/01/2025 11:04:22</t>
  </si>
  <si>
    <t>195ccdf7</t>
  </si>
  <si>
    <t>Adrian Patriarca - 09/29/2025 09:48:08</t>
  </si>
  <si>
    <t>68783f8d</t>
  </si>
  <si>
    <t>Adrian Patriarca - 09/29/2025 09:48:17</t>
  </si>
  <si>
    <t>f9973448</t>
  </si>
  <si>
    <t>Renata Morano - 09/29/2025 12:12:58</t>
  </si>
  <si>
    <t>Renata Morano - 09/29/2025 13:08:30</t>
  </si>
  <si>
    <t>745156c9</t>
  </si>
  <si>
    <t>conexion market</t>
  </si>
  <si>
    <t>Adrian Patriarca - 09/29/2025 12:15:40</t>
  </si>
  <si>
    <t>Adrian Patriarca - 09/30/2025 01:18:49</t>
  </si>
  <si>
    <t>7207693f</t>
  </si>
  <si>
    <t>Vincular asistente y corrección rápida prompt</t>
  </si>
  <si>
    <t>Renata Morano - 09/29/2025 13:07:53</t>
  </si>
  <si>
    <t>Renata Morano - 09/29/2025 13:08:22</t>
  </si>
  <si>
    <t>9f4da500</t>
  </si>
  <si>
    <t>Correccion app</t>
  </si>
  <si>
    <t>Rocio Franco - 09/29/2025 13:22:18</t>
  </si>
  <si>
    <t>48a71054</t>
  </si>
  <si>
    <t>Rocio Franco - 09/29/2025 13:22:35</t>
  </si>
  <si>
    <t>f2788477</t>
  </si>
  <si>
    <t>Adrian Patriarca - 09/30/2025 13:05:33</t>
  </si>
  <si>
    <t>e33ecf2a</t>
  </si>
  <si>
    <t>Adrian Patriarca - 09/30/2025 13:06:03</t>
  </si>
  <si>
    <t>Adrian Patriarca - 09/30/2025 14:42:48</t>
  </si>
  <si>
    <t>58693210</t>
  </si>
  <si>
    <t>Reunión para ver avances y proximos pasos</t>
  </si>
  <si>
    <t>Adrian Patriarca - 09/30/2025 15:04:46</t>
  </si>
  <si>
    <t>2927b6a6</t>
  </si>
  <si>
    <t>Reunión Fabrizio - APSOL</t>
  </si>
  <si>
    <t>Adrian Patriarca - 09/30/2025 15:09:03</t>
  </si>
  <si>
    <t>a0414326</t>
  </si>
  <si>
    <t>Reunión Conexion Market</t>
  </si>
  <si>
    <t>Adrian Patriarca - 09/30/2025 15:15:36</t>
  </si>
  <si>
    <t>Adrian Patriarca - 09/30/2025 18:28:18</t>
  </si>
  <si>
    <t>d04fd243</t>
  </si>
  <si>
    <t>Revisión de Avances</t>
  </si>
  <si>
    <t>Adrian Patriarca - 09/30/2025 15:25:41</t>
  </si>
  <si>
    <t>37907983</t>
  </si>
  <si>
    <t>Reunion Vertientes</t>
  </si>
  <si>
    <t>Rocio Franco - 10/01/2025 11:04:50</t>
  </si>
  <si>
    <t>c563afb9</t>
  </si>
  <si>
    <t>Rocio Franco - 10/01/2025 11:05:09</t>
  </si>
  <si>
    <t>cf12d37f</t>
  </si>
  <si>
    <t>Conexion WABA</t>
  </si>
  <si>
    <t>Adrian Patriarca - 10/01/2025 12:23:10</t>
  </si>
  <si>
    <t>a3cfecfc</t>
  </si>
  <si>
    <t>Adrian Patriarca - 10/02/2025 12:01:11</t>
  </si>
  <si>
    <t>b8416d6f</t>
  </si>
  <si>
    <t>Configuración de Automatización</t>
  </si>
  <si>
    <t>Adrian Patriarca - 10/02/2025 13:48:44</t>
  </si>
  <si>
    <t>Adrian Patriarca - 10/02/2025 16:00:16</t>
  </si>
  <si>
    <t>3206351e</t>
  </si>
  <si>
    <t>Reunión Abastecimiento</t>
  </si>
  <si>
    <t>Felipe Duarte - 10/02/2025 14:39:47</t>
  </si>
  <si>
    <t>988fb179</t>
  </si>
  <si>
    <t>Felipe Duarte - 10/02/2025 14:40:23</t>
  </si>
  <si>
    <t>d1d1ed14</t>
  </si>
  <si>
    <t>Primer Reunión con Mercería La Paloma</t>
  </si>
  <si>
    <t>Adrian Patriarca - 10/03/2025 13:10:38</t>
  </si>
  <si>
    <t>Adrian Patriarca - 10/06/2025 09:37:43</t>
  </si>
  <si>
    <t>5313346a</t>
  </si>
  <si>
    <t>Revision y Sprint</t>
  </si>
  <si>
    <t>Rocio Franco - 10/06/2025 11:02:25</t>
  </si>
  <si>
    <t>3bc82b22</t>
  </si>
  <si>
    <t>Adrian Patriarca - 10/06/2025 15:02:36</t>
  </si>
  <si>
    <t>64d0df4f</t>
  </si>
  <si>
    <t>Adrian Patriarca - 10/06/2025 15:06:08</t>
  </si>
  <si>
    <t>Felipe Duarte - 10/06/2025 15:19:08</t>
  </si>
  <si>
    <t>9ff18644</t>
  </si>
  <si>
    <t>Adrian Patriarca - 10/06/2025 15:06:21</t>
  </si>
  <si>
    <t>Felipe Duarte - 10/06/2025 15:19:01</t>
  </si>
  <si>
    <t>142ec331</t>
  </si>
  <si>
    <t>Felipe Duarte - 10/06/2025 15:20:22</t>
  </si>
  <si>
    <t>1ca25c80</t>
  </si>
  <si>
    <t>Finalización de Sprint</t>
  </si>
  <si>
    <t>Adrian Patriarca - 10/07/2025 09:13:31</t>
  </si>
  <si>
    <t>1510ed6b</t>
  </si>
  <si>
    <t>Adrian Patriarca - 10/07/2025 09:27:35</t>
  </si>
  <si>
    <t>4a797391</t>
  </si>
  <si>
    <t>Adrian Patriarca - 10/07/2025 09:27:43</t>
  </si>
  <si>
    <t>Rocio Franco - 10/08/2025 10:29:21</t>
  </si>
  <si>
    <t>ac768aca</t>
  </si>
  <si>
    <t>Adrian Patriarca - 10/07/2025 09:27:55</t>
  </si>
  <si>
    <t>eeef919c</t>
  </si>
  <si>
    <t>Adrian Patriarca - 10/07/2025 09:28:23</t>
  </si>
  <si>
    <t>1d214114</t>
  </si>
  <si>
    <t>Adrian Patriarca - 10/07/2025 09:29:05</t>
  </si>
  <si>
    <t>Rocio Franco - 10/14/2025 13:10:16</t>
  </si>
  <si>
    <t>8d2cca5f</t>
  </si>
  <si>
    <t>Adrian Patriarca - 10/07/2025 09:29:13</t>
  </si>
  <si>
    <t>Rocio Franco - 10/15/2025 12:25:30</t>
  </si>
  <si>
    <t>4e76f745</t>
  </si>
  <si>
    <t>Adrian Patriarca - 10/07/2025 09:29:22</t>
  </si>
  <si>
    <t>Renata Morano - 10/16/2025 08:45:35</t>
  </si>
  <si>
    <t>10723316</t>
  </si>
  <si>
    <t>Organización</t>
  </si>
  <si>
    <t>Adrian Patriarca - 10/07/2025 11:21:09</t>
  </si>
  <si>
    <t>228b2aaf</t>
  </si>
  <si>
    <t>ATC Rocio</t>
  </si>
  <si>
    <t>Adrian Patriarca - 10/07/2025 11:28:45</t>
  </si>
  <si>
    <t>Renata Morano - 10/08/2025 13:04:10</t>
  </si>
  <si>
    <t>67a9ddb6</t>
  </si>
  <si>
    <t>Continuar con los tableros y Destrabar situación Querys</t>
  </si>
  <si>
    <t>Adrian Patriarca - 10/07/2025 11:28:52</t>
  </si>
  <si>
    <t>Renata Morano - 10/09/2025 13:14:20</t>
  </si>
  <si>
    <t>2a2c6611</t>
  </si>
  <si>
    <t>Adrian Patriarca - 10/07/2025 11:31:01</t>
  </si>
  <si>
    <t>Renata Morano - 10/13/2025 12:30:25</t>
  </si>
  <si>
    <t>947f60f9</t>
  </si>
  <si>
    <t>Cerrar tema txt + Organizar reunión de prueba</t>
  </si>
  <si>
    <t>Adrian Patriarca - 10/07/2025 11:33:42</t>
  </si>
  <si>
    <t>Renata Morano - 10/08/2025 13:04:24</t>
  </si>
  <si>
    <t>6f2d069a</t>
  </si>
  <si>
    <t>Adrian Patriarca - 10/07/2025 11:57:43</t>
  </si>
  <si>
    <t>Renata Morano - 10/17/2025 11:58:46</t>
  </si>
  <si>
    <t>1e192bd12</t>
  </si>
  <si>
    <t>b86b4ed9</t>
  </si>
  <si>
    <t>Rocio Franco - 10/08/2025 10:29:51</t>
  </si>
  <si>
    <t>d964d3c9</t>
  </si>
  <si>
    <t>Adrian Patriarca - 10/08/2025 11:57:31</t>
  </si>
  <si>
    <t>a99f3c47</t>
  </si>
  <si>
    <t>Intro Mercería La Paloma</t>
  </si>
  <si>
    <t>Adrian Patriarca - 10/08/2025 13:07:10</t>
  </si>
  <si>
    <t>7b7d4201</t>
  </si>
  <si>
    <t>Conexión query</t>
  </si>
  <si>
    <t>Renata Morano - 10/09/2025 13:13:59</t>
  </si>
  <si>
    <t>8e9456a6</t>
  </si>
  <si>
    <t>Rocio reunion</t>
  </si>
  <si>
    <t>Renata Morano - 10/09/2025 13:14:37</t>
  </si>
  <si>
    <t>b32682c1</t>
  </si>
  <si>
    <t>Renata Morano - 10/13/2025 09:42:04</t>
  </si>
  <si>
    <t>Renata Morano - 10/13/2025 13:08:21</t>
  </si>
  <si>
    <t>cabdcf21</t>
  </si>
  <si>
    <t>Renata Morano - 10/14/2025 10:07:09</t>
  </si>
  <si>
    <t>cc78a625</t>
  </si>
  <si>
    <t>Terminar modificaciones</t>
  </si>
  <si>
    <t>Felipe Duarte - 10/13/2025 13:33:23</t>
  </si>
  <si>
    <t>Felipe Duarte - 10/13/2025 13:45:51</t>
  </si>
  <si>
    <t>141d0228</t>
  </si>
  <si>
    <t>Felipe Duarte - 10/13/2025 13:33:36</t>
  </si>
  <si>
    <t>d2848cb8</t>
  </si>
  <si>
    <t>Reunión de seguimiento</t>
  </si>
  <si>
    <t>Felipe Duarte - 10/13/2025 13:34:02</t>
  </si>
  <si>
    <t>Felipe Duarte - 10/13/2025 17:35:36</t>
  </si>
  <si>
    <t>f8e5de43</t>
  </si>
  <si>
    <t>Felipe Duarte - 10/13/2025 17:35:20</t>
  </si>
  <si>
    <t>d7cc490a</t>
  </si>
  <si>
    <t>Adrian Patriarca - 10/14/2025 09:50:33</t>
  </si>
  <si>
    <t>96822bac</t>
  </si>
  <si>
    <t>Adrian Patriarca - 10/14/2025 09:50:56</t>
  </si>
  <si>
    <t>4cda52e6</t>
  </si>
  <si>
    <t>Renata Morano - 10/14/2025 10:07:20</t>
  </si>
  <si>
    <t>8da47f51</t>
  </si>
  <si>
    <t>Habilitar las dos lineas nuevas</t>
  </si>
  <si>
    <t>Adrian Patriarca - 10/14/2025 10:52:42</t>
  </si>
  <si>
    <t>94c3a0e1</t>
  </si>
  <si>
    <t>Renata Morano - 10/15/2025 12:23:28</t>
  </si>
  <si>
    <t>6dfa9181</t>
  </si>
  <si>
    <t>Renata Morano - 10/14/2025 12:54:14</t>
  </si>
  <si>
    <t>Renata Morano - 10/16/2025 09:14:45</t>
  </si>
  <si>
    <t>e1e61c06</t>
  </si>
  <si>
    <t>Renata Morano - 10/14/2025 12:54:56</t>
  </si>
  <si>
    <t>83ee15c1</t>
  </si>
  <si>
    <t>Configuración Linea 3 y 4</t>
  </si>
  <si>
    <t>Adrian Patriarca - 10/15/2025 11:33:31</t>
  </si>
  <si>
    <t>Adrian Patriarca - 10/15/2025 11:38:03</t>
  </si>
  <si>
    <t>e7850501</t>
  </si>
  <si>
    <t>Renata Morano - 10/15/2025 12:23:41</t>
  </si>
  <si>
    <t>38d7a044</t>
  </si>
  <si>
    <t>Adrian Patriarca - 10/15/2025 12:23:43</t>
  </si>
  <si>
    <t>913bacd0</t>
  </si>
  <si>
    <t>Adrian Patriarca - 10/15/2025 12:25:48</t>
  </si>
  <si>
    <t>3d63cb8f</t>
  </si>
  <si>
    <t>Rocio Franco - 10/15/2025 12:25:58</t>
  </si>
  <si>
    <t>c5e7b50a</t>
  </si>
  <si>
    <t>Adrian Patriarca - 10/15/2025 12:27:30</t>
  </si>
  <si>
    <t>Renata Morano - 10/16/2025 08:45:28</t>
  </si>
  <si>
    <t>77d9ff10</t>
  </si>
  <si>
    <t>Adrian Patriarca - 10/15/2025 12:27:39</t>
  </si>
  <si>
    <t>Rocio Franco - 10/22/2025 10:54:10</t>
  </si>
  <si>
    <t>5470f844</t>
  </si>
  <si>
    <t>Reunión avances app abastecimiento</t>
  </si>
  <si>
    <t>Felipe Duarte - 10/15/2025 15:22:35</t>
  </si>
  <si>
    <t>Felipe Duarte - 10/21/2025 17:37:57</t>
  </si>
  <si>
    <t>015489d4</t>
  </si>
  <si>
    <t>Comenzar modificaciones última reunión</t>
  </si>
  <si>
    <t>Felipe Duarte - 10/15/2025 15:23:21</t>
  </si>
  <si>
    <t>bda69f16</t>
  </si>
  <si>
    <t>Felipe Duarte - 10/15/2025 15:23:47</t>
  </si>
  <si>
    <t>d9827946</t>
  </si>
  <si>
    <t>Felipe Duarte - 10/15/2025 15:23:59</t>
  </si>
  <si>
    <t>c2b439fc</t>
  </si>
  <si>
    <t>Encontrar las tablas correctas para los tableros</t>
  </si>
  <si>
    <t>Adrian Patriarca - 10/15/2025 16:47:46</t>
  </si>
  <si>
    <t>0fbb35f2</t>
  </si>
  <si>
    <t>Rocio y hablar con Guillermo sobre bases</t>
  </si>
  <si>
    <t>Renata Morano - 10/16/2025 09:15:17</t>
  </si>
  <si>
    <t>b21daf8d</t>
  </si>
  <si>
    <t>Gonzalo y agregar origen a repuestos</t>
  </si>
  <si>
    <t>Renata Morano - 10/16/2025 09:15:54</t>
  </si>
  <si>
    <t>a2da7280</t>
  </si>
  <si>
    <t>Mejora Automatización</t>
  </si>
  <si>
    <t>Adrian Patriarca - 10/16/2025 09:51:03</t>
  </si>
  <si>
    <t>eda09969</t>
  </si>
  <si>
    <t>Modificaciones última reunión</t>
  </si>
  <si>
    <t>Felipe Duarte - 10/17/2025 08:51:50</t>
  </si>
  <si>
    <t>f13abf72</t>
  </si>
  <si>
    <t>Felipe Duarte - 10/17/2025 08:52:29</t>
  </si>
  <si>
    <t>Felipe Duarte - 10/17/2025 12:13:39</t>
  </si>
  <si>
    <t>5dcf7c0b</t>
  </si>
  <si>
    <t>Sprint Rocio y ayuda con errores</t>
  </si>
  <si>
    <t>Renata Morano - 10/17/2025 11:59:06</t>
  </si>
  <si>
    <t>a7e751d0</t>
  </si>
  <si>
    <t>Modificaciones video Adrian</t>
  </si>
  <si>
    <t>Felipe Duarte - 10/17/2025 12:14:02</t>
  </si>
  <si>
    <t>8991982a</t>
  </si>
  <si>
    <t>Renata Morano - 10/20/2025 08:09:43</t>
  </si>
  <si>
    <t>Renata Morano - 10/20/2025 11:40:56</t>
  </si>
  <si>
    <t>418b480f</t>
  </si>
  <si>
    <t>Adrian Patriarca - 10/20/2025 10:34:38</t>
  </si>
  <si>
    <t>Renata Morano - 10/21/2025 10:36:40</t>
  </si>
  <si>
    <t>dadec912</t>
  </si>
  <si>
    <t>REUNIÓN CON ANDREA PARA APURAR LA IMPLEMENTACIÓN + REUNIÓN CON LO DE LOS PAGOS</t>
  </si>
  <si>
    <t>Adrian Patriarca - 10/20/2025 10:41:38</t>
  </si>
  <si>
    <t>Renata Morano - 10/23/2025 10:19:36</t>
  </si>
  <si>
    <t>d4d3db5c</t>
  </si>
  <si>
    <t>Conexión con su sistema de gestión, terminar la configuración de la app</t>
  </si>
  <si>
    <t>Adrian Patriarca - 10/20/2025 10:45:08</t>
  </si>
  <si>
    <t>Renata Morano - 10/29/2025 12:47:46</t>
  </si>
  <si>
    <t>fc474c9c</t>
  </si>
  <si>
    <t>Adrian Patriarca - 10/20/2025 11:06:37</t>
  </si>
  <si>
    <t>159f5fd3</t>
  </si>
  <si>
    <t>Adrian Patriarca - 10/20/2025 11:06:43</t>
  </si>
  <si>
    <t>bdbb0b97</t>
  </si>
  <si>
    <t>Renata Morano - 10/20/2025 11:07:59</t>
  </si>
  <si>
    <t>Renata Morano - 10/21/2025 10:36:51</t>
  </si>
  <si>
    <t>92a1e9b7</t>
  </si>
  <si>
    <t>Reunión con Adrian</t>
  </si>
  <si>
    <t>Renata Morano - 10/20/2025 11:39:46</t>
  </si>
  <si>
    <t>794f87a9</t>
  </si>
  <si>
    <t>Escobar con Rocio</t>
  </si>
  <si>
    <t>Renata Morano - 10/20/2025 11:40:49</t>
  </si>
  <si>
    <t>6b8dc6b4</t>
  </si>
  <si>
    <t>Renata Morano - 10/20/2025 11:51:49</t>
  </si>
  <si>
    <t>Renata Morano - 10/23/2025 12:02:39</t>
  </si>
  <si>
    <t>acecff4c</t>
  </si>
  <si>
    <t>Reunión de Inicio de servicio</t>
  </si>
  <si>
    <t>Adrian Patriarca - 10/20/2025 13:42:34</t>
  </si>
  <si>
    <t>d108befd</t>
  </si>
  <si>
    <t>Reunión Rocio</t>
  </si>
  <si>
    <t>Renata Morano - 10/21/2025 10:36:32</t>
  </si>
  <si>
    <t>6380604e</t>
  </si>
  <si>
    <t>Reunión para ver requerimientos de Dogma</t>
  </si>
  <si>
    <t>Adrian Patriarca - 10/21/2025 10:41:14</t>
  </si>
  <si>
    <t>7a82d54b</t>
  </si>
  <si>
    <t>Renata Morano - 10/22/2025 11:39:45</t>
  </si>
  <si>
    <t>976983ed</t>
  </si>
  <si>
    <t>Adrian Patriarca - 10/21/2025 12:35:06</t>
  </si>
  <si>
    <t>669a6cd7</t>
  </si>
  <si>
    <t>Rocio Sprint</t>
  </si>
  <si>
    <t>Renata Morano - 10/21/2025 12:50:03</t>
  </si>
  <si>
    <t>3bfd2e23</t>
  </si>
  <si>
    <t>Charla con Adrian</t>
  </si>
  <si>
    <t>Renata Morano - 10/21/2025 13:04:18</t>
  </si>
  <si>
    <t>fb001cc8</t>
  </si>
  <si>
    <t>Insuga Tableros</t>
  </si>
  <si>
    <t>Renata Morano - 10/21/2025 13:04:36</t>
  </si>
  <si>
    <t>6383d393</t>
  </si>
  <si>
    <t>Definir proximos pasos y alternativas para agilizar el contacto con los clientes</t>
  </si>
  <si>
    <t>Adrian Patriarca - 10/21/2025 13:16:37</t>
  </si>
  <si>
    <t>da751b4f</t>
  </si>
  <si>
    <t>Felipe Duarte - 10/21/2025 17:38:16</t>
  </si>
  <si>
    <t>8641ba57</t>
  </si>
  <si>
    <t>Felipe Duarte - 10/21/2025 17:38:41</t>
  </si>
  <si>
    <t>7c15f197</t>
  </si>
  <si>
    <t>Felipe Duarte - 10/21/2025 17:38:51</t>
  </si>
  <si>
    <t>9f90eda4</t>
  </si>
  <si>
    <t>Bots Nation</t>
  </si>
  <si>
    <t>Adrian Patriarca - 10/21/2025 18:39:43</t>
  </si>
  <si>
    <t>Felipe Duarte - 10/23/2025 16:03:41</t>
  </si>
  <si>
    <t>ca6b4740</t>
  </si>
  <si>
    <t>Mantenimiento Nation</t>
  </si>
  <si>
    <t>Adrian Patriarca - 10/21/2025 18:40:20</t>
  </si>
  <si>
    <t>1b99f2e1</t>
  </si>
  <si>
    <t>Adrian Patriarca - 10/21/2025 18:41:14</t>
  </si>
  <si>
    <t>f0117b4f</t>
  </si>
  <si>
    <t>Adrian Patriarca - 10/21/2025 18:41:27</t>
  </si>
  <si>
    <t>16ef822e</t>
  </si>
  <si>
    <t>Insuga tableros</t>
  </si>
  <si>
    <t>Renata Morano - 10/22/2025 10:06:53</t>
  </si>
  <si>
    <t>86f7b7c4</t>
  </si>
  <si>
    <t>Reunion Adrian y Renata</t>
  </si>
  <si>
    <t>Rocio Franco - 10/22/2025 11:34:23</t>
  </si>
  <si>
    <t>680f6687</t>
  </si>
  <si>
    <t>Rocio Franco - 10/22/2025 11:40:06</t>
  </si>
  <si>
    <t>fa39677c</t>
  </si>
  <si>
    <t>Reunión puestos</t>
  </si>
  <si>
    <t>Renata Morano - 10/22/2025 11:40:25</t>
  </si>
  <si>
    <t>27482c52</t>
  </si>
  <si>
    <t>Renata Morano - 10/22/2025 12:41:11</t>
  </si>
  <si>
    <t>b845cded</t>
  </si>
  <si>
    <t>Renata Morano - 10/22/2025 12:41:34</t>
  </si>
  <si>
    <t>Renata Morano - 10/22/2025 13:57:31</t>
  </si>
  <si>
    <t>d45f994b</t>
  </si>
  <si>
    <t>Renata Morano - 10/22/2025 13:53:24</t>
  </si>
  <si>
    <t>48879399</t>
  </si>
  <si>
    <t>Adrian Patriarca - 10/22/2025 18:39:27</t>
  </si>
  <si>
    <t>043b4cae</t>
  </si>
  <si>
    <t>Adrian Patriarca - 10/23/2025 08:38:27</t>
  </si>
  <si>
    <t>b7c3359e</t>
  </si>
  <si>
    <t>Automatización de Recordatorio</t>
  </si>
  <si>
    <t>Adrian Patriarca - 10/23/2025 09:27:28</t>
  </si>
  <si>
    <t>2e91c90a</t>
  </si>
  <si>
    <t>Preparativos para la reunión con Nelson</t>
  </si>
  <si>
    <t>Renata Morano - 10/23/2025 10:19:52</t>
  </si>
  <si>
    <t>5b3da10e</t>
  </si>
  <si>
    <t>Renata Morano - 10/23/2025 12:02:20</t>
  </si>
  <si>
    <t>04be221f</t>
  </si>
  <si>
    <t>Conexion Market 2da planilla</t>
  </si>
  <si>
    <t>Adrian Patriarca - 10/23/2025 12:59:53</t>
  </si>
  <si>
    <t>0928c256</t>
  </si>
  <si>
    <t>Sprint Rocío</t>
  </si>
  <si>
    <t>Renata Morano - 10/23/2025 13:19:34</t>
  </si>
  <si>
    <t>d6d3a91d</t>
  </si>
  <si>
    <t>Analisis de base de datos La Paloma</t>
  </si>
  <si>
    <t>Adrian Patriarca - 10/23/2025 17:58:39</t>
  </si>
  <si>
    <t>01a46f9d</t>
  </si>
  <si>
    <t>Dia Libre</t>
  </si>
  <si>
    <t>Rocio Franco - 10/24/2025 09:02:40</t>
  </si>
  <si>
    <t>d84dd849</t>
  </si>
  <si>
    <t>Renata Morano - 10/24/2025 11:16:00</t>
  </si>
  <si>
    <t>Renata Morano - 10/24/2025 12:36:56</t>
  </si>
  <si>
    <t>3e5393dd</t>
  </si>
  <si>
    <t>Renata Morano - 10/24/2025 11:42:38</t>
  </si>
  <si>
    <t>7fa08d7e</t>
  </si>
  <si>
    <t>Validación</t>
  </si>
  <si>
    <t>Renata Morano - 10/24/2025 11:43:14</t>
  </si>
  <si>
    <t>Renata Morano - 10/24/2025 12:37:59</t>
  </si>
  <si>
    <t>72a38553</t>
  </si>
  <si>
    <t>Reunion con Adrian</t>
  </si>
  <si>
    <t>Renata Morano - 10/24/2025 12:37:33</t>
  </si>
  <si>
    <t>Renata Morano - 10/24/2025 12:37:55</t>
  </si>
  <si>
    <t>766b708c</t>
  </si>
  <si>
    <t>Comentarios Alan</t>
  </si>
  <si>
    <t>Renata Morano - 10/24/2025 16:41:00</t>
  </si>
  <si>
    <t>Renata Morano - 10/24/2025 16:41:26</t>
  </si>
  <si>
    <t>1af288fa</t>
  </si>
  <si>
    <t>Preparar reunión Escobar</t>
  </si>
  <si>
    <t>Renata Morano - 10/24/2025 16:42:02</t>
  </si>
  <si>
    <t>71e6a822</t>
  </si>
  <si>
    <t>Adrian Patriarca - 10/24/2025 21:12:11</t>
  </si>
  <si>
    <t>86d0740b</t>
  </si>
  <si>
    <t>DG avances</t>
  </si>
  <si>
    <t>Felipe Duarte - 10/27/2025 14:00:16</t>
  </si>
  <si>
    <t>1c43fd6c</t>
  </si>
  <si>
    <t>Reunión app abastecimiento</t>
  </si>
  <si>
    <t>Felipe Duarte - 10/27/2025 14:01:01</t>
  </si>
  <si>
    <t>Felipe Duarte - 10/31/2025 14:44:06</t>
  </si>
  <si>
    <t>13cdf564</t>
  </si>
  <si>
    <t>Reformulación e investogación de mejoras</t>
  </si>
  <si>
    <t>Adrian Patriarca - 10/27/2025 14:24:38</t>
  </si>
  <si>
    <t>5d6f24b1</t>
  </si>
  <si>
    <t>Terminar TAC, correciones y video</t>
  </si>
  <si>
    <t>Renata Morano - 10/27/2025 14:56:59</t>
  </si>
  <si>
    <t>Renata Morano - 10/27/2025 15:14:59</t>
  </si>
  <si>
    <t>361fe846</t>
  </si>
  <si>
    <t>Pedidos de Guillermo</t>
  </si>
  <si>
    <t>Renata Morano - 10/27/2025 14:57:34</t>
  </si>
  <si>
    <t>d52903b8</t>
  </si>
  <si>
    <t>Terminar Abastecimiento</t>
  </si>
  <si>
    <t>Adrian Patriarca - 10/27/2025 15:00:43</t>
  </si>
  <si>
    <t>Adrian Patriarca - 10/27/2025 15:04:13</t>
  </si>
  <si>
    <t>c9cf1e6e</t>
  </si>
  <si>
    <t>Adrian Patriarca - 10/27/2025 15:04:24</t>
  </si>
  <si>
    <t>2e0a892d</t>
  </si>
  <si>
    <t>Renata Morano - 10/27/2025 15:15:22</t>
  </si>
  <si>
    <t>098d51ef</t>
  </si>
  <si>
    <t>Finalización de diagramación inicial de la app</t>
  </si>
  <si>
    <t>Adrian Patriarca - 10/27/2025 15:42:08</t>
  </si>
  <si>
    <t>2d507dc0</t>
  </si>
  <si>
    <t>Rearmado de flujo de negocio en n8n</t>
  </si>
  <si>
    <t>Adrian Patriarca - 10/28/2025 00:04:02</t>
  </si>
  <si>
    <t>1233c0fc</t>
  </si>
  <si>
    <t>Preparar la app para la reunión</t>
  </si>
  <si>
    <t>Renata Morano - 10/28/2025 07:04:02</t>
  </si>
  <si>
    <t>Renata Morano - 10/28/2025 11:46:38</t>
  </si>
  <si>
    <t>5e65ac7a</t>
  </si>
  <si>
    <t>Renata Morano - 10/28/2025 07:04:35</t>
  </si>
  <si>
    <t>Renata Morano - 10/28/2025 11:45:53</t>
  </si>
  <si>
    <t>44c47527</t>
  </si>
  <si>
    <t>Renata Morano - 10/28/2025 11:46:29</t>
  </si>
  <si>
    <t>b620bf44</t>
  </si>
  <si>
    <t>Continuar con la conexión</t>
  </si>
  <si>
    <t>Renata Morano - 10/28/2025 11:47:00</t>
  </si>
  <si>
    <t>4d2195fd</t>
  </si>
  <si>
    <t>Pasarle a Felipe detalles sobre el modulo de abastecimiento</t>
  </si>
  <si>
    <t>Renata Morano - 10/28/2025 11:47:35</t>
  </si>
  <si>
    <t>0269771b</t>
  </si>
  <si>
    <t>Pasarle a Felipe detalles del modulo de Abastecimiento</t>
  </si>
  <si>
    <t>Renata Morano - 10/28/2025 11:49:49</t>
  </si>
  <si>
    <t>6cb6756d</t>
  </si>
  <si>
    <t>Adrian Patriarca - 10/28/2025 12:07:24</t>
  </si>
  <si>
    <t>27f6ce45</t>
  </si>
  <si>
    <t>Adrian Patriarca - 10/28/2025 12:10:30</t>
  </si>
  <si>
    <t>Adrian Patriarca - 10/29/2025 15:27:30</t>
  </si>
  <si>
    <t>0aec8590</t>
  </si>
  <si>
    <t>Prueba en vivo asistente virtual</t>
  </si>
  <si>
    <t>Adrian Patriarca - 10/28/2025 12:11:31</t>
  </si>
  <si>
    <t>Adrian Patriarca - 10/30/2025 12:29:04</t>
  </si>
  <si>
    <t>5f386970</t>
  </si>
  <si>
    <t>Adrian Patriarca - 10/28/2025 12:58:41</t>
  </si>
  <si>
    <t>Adrian Patriarca - 10/28/2025 17:58:25</t>
  </si>
  <si>
    <t>295ab75b</t>
  </si>
  <si>
    <t>Amipack videos App Abastecimiento</t>
  </si>
  <si>
    <t>Felipe Duarte - 10/28/2025 14:05:41</t>
  </si>
  <si>
    <t>624d4ada</t>
  </si>
  <si>
    <t>Reunión Eduardo</t>
  </si>
  <si>
    <t>Renata Morano - 10/29/2025 12:48:09</t>
  </si>
  <si>
    <t>Renata Morano - 10/30/2025 09:58:05</t>
  </si>
  <si>
    <t>3b42d12d</t>
  </si>
  <si>
    <t>Renata Morano - 10/29/2025 12:49:14</t>
  </si>
  <si>
    <t>Renata Morano - 10/28/2025 07:03:27</t>
  </si>
  <si>
    <t>57ca67dc</t>
  </si>
  <si>
    <t>Multiagente</t>
  </si>
  <si>
    <t>Adrian Patriarca - 10/29/2025 19:48:57</t>
  </si>
  <si>
    <t>b91bf5a2</t>
  </si>
  <si>
    <t>Reunión con Nelson</t>
  </si>
  <si>
    <t>Renata Morano - 10/30/2025 09:10:34</t>
  </si>
  <si>
    <t>Renata Morano - 10/30/2025 12:21:51</t>
  </si>
  <si>
    <t>45793087</t>
  </si>
  <si>
    <t>Probar con Adrian el asistente</t>
  </si>
  <si>
    <t>Renata Morano - 10/30/2025 09:10:48</t>
  </si>
  <si>
    <t>Renata Morano - 10/30/2025 09:57:59</t>
  </si>
  <si>
    <t>da034eac</t>
  </si>
  <si>
    <t>Terminar la carga de viajes</t>
  </si>
  <si>
    <t>Renata Morano - 10/30/2025 09:10:59</t>
  </si>
  <si>
    <t>Renata Morano - 11/04/2025 13:14:24</t>
  </si>
  <si>
    <t>ef8e91f9</t>
  </si>
  <si>
    <t>Terminar la configuración de la app (vendedores, perfiles). Para que ya puedan comenzar a implementar</t>
  </si>
  <si>
    <t>Renata Morano - 10/30/2025 09:11:32</t>
  </si>
  <si>
    <t>Renata Morano - 10/30/2025 12:21:57</t>
  </si>
  <si>
    <t>674f3d4d</t>
  </si>
  <si>
    <t>Renata Morano - 10/31/2025 13:59:43</t>
  </si>
  <si>
    <t>f37a2c3c</t>
  </si>
  <si>
    <t>Arreglo de error en plantilla meta</t>
  </si>
  <si>
    <t>Adrian Patriarca - 10/30/2025 12:29:36</t>
  </si>
  <si>
    <t>60dbe794</t>
  </si>
  <si>
    <t>Modificaciones reunión</t>
  </si>
  <si>
    <t>Felipe Duarte - 10/30/2025 14:01:32</t>
  </si>
  <si>
    <t>Felipe Duarte - 10/31/2025 13:28:48</t>
  </si>
  <si>
    <t>6bc229bb</t>
  </si>
  <si>
    <t>Conexión vía API a Power bi</t>
  </si>
  <si>
    <t>Adrian Patriarca - 10/31/2025 09:33:48</t>
  </si>
  <si>
    <t>Adrian Patriarca - 10/31/2025 11:50:04</t>
  </si>
  <si>
    <t>f92708ae</t>
  </si>
  <si>
    <t>Contactos csv</t>
  </si>
  <si>
    <t>Felipe Duarte - 10/31/2025 13:29:20</t>
  </si>
  <si>
    <t>b1bf871c</t>
  </si>
  <si>
    <t>Mejoras modulo Abastecimiento/Tac, le grabe video a Felipe y arme sprint. Me comunique con German al respecto</t>
  </si>
  <si>
    <t>Renata Morano - 10/31/2025 13:54:47</t>
  </si>
  <si>
    <t>c07414fb</t>
  </si>
  <si>
    <t>Reunión 15:30</t>
  </si>
  <si>
    <t>Adrian Patriarca - 10/31/2025 13:58:29</t>
  </si>
  <si>
    <t>Felipe Duarte - 10/31/2025 16:26:24</t>
  </si>
  <si>
    <t>5989ea04</t>
  </si>
  <si>
    <t>Sprint 8 y correcciones Renata</t>
  </si>
  <si>
    <t>Adrian Patriarca - 10/31/2025 13:58:52</t>
  </si>
  <si>
    <t>Felipe Duarte - 10/31/2025 14:43:47</t>
  </si>
  <si>
    <t>2cf34699</t>
  </si>
  <si>
    <t>Refri pedidos Martin e informar en el grupo</t>
  </si>
  <si>
    <t>Adrian Patriarca - 10/31/2025 13:59:18</t>
  </si>
  <si>
    <t>Felipe Duarte - 10/31/2025 14:44:02</t>
  </si>
  <si>
    <t>d0c0497d</t>
  </si>
  <si>
    <t>Migración a Workspace</t>
  </si>
  <si>
    <t>Adrian Patriarca - 10/31/2025 14:01:16</t>
  </si>
  <si>
    <t>Felipe Duarte - 11/03/2025 16:27:57</t>
  </si>
  <si>
    <t>d6b632fb</t>
  </si>
  <si>
    <t>Reunión Guillermo y Eduardo</t>
  </si>
  <si>
    <t>Renata Morano - 11/03/2025 08:57:22</t>
  </si>
  <si>
    <t>57660105</t>
  </si>
  <si>
    <t>Correciones y Actualización en base a las cargas de Gonzalo</t>
  </si>
  <si>
    <t>Renata Morano - 11/03/2025 08:58:31</t>
  </si>
  <si>
    <t>ea72c51d</t>
  </si>
  <si>
    <t>Cargar viajes</t>
  </si>
  <si>
    <t>Renata Morano - 11/03/2025 09:06:48</t>
  </si>
  <si>
    <t>7b1320ed</t>
  </si>
  <si>
    <t>Preparación reunión Guillermo y Eduardo</t>
  </si>
  <si>
    <t>Renata Morano - 11/03/2025 09:16:03</t>
  </si>
  <si>
    <t>4195052e</t>
  </si>
  <si>
    <t>Trabajar en la vinculación de Facturación y Remitos (ver tema de decimales)</t>
  </si>
  <si>
    <t>Renata Morano - 11/05/2025 14:10:53</t>
  </si>
  <si>
    <t>ad10183b</t>
  </si>
  <si>
    <t>Renata Morano - 11/03/2025 09:42:48</t>
  </si>
  <si>
    <t>Renata Morano - 11/06/2025 12:31:59</t>
  </si>
  <si>
    <t>990115d1</t>
  </si>
  <si>
    <t>Agregar que puedan sumar valor al pedido</t>
  </si>
  <si>
    <t>Renata Morano - 11/07/2025 12:57:27</t>
  </si>
  <si>
    <t>5d5b83e5</t>
  </si>
  <si>
    <t>Continuar con los Tableros</t>
  </si>
  <si>
    <t>Renata Morano - 11/03/2025 09:45:15</t>
  </si>
  <si>
    <t>Renata Morano - 11/10/2025 13:53:16</t>
  </si>
  <si>
    <t>bc48e866</t>
  </si>
  <si>
    <t>Renata Morano - 11/03/2025 09:45:28</t>
  </si>
  <si>
    <t>Ajuste, por cambio de plan veniamos con 24 hs mensuales y pasamos a 32 hs mensuales en Octubre</t>
  </si>
  <si>
    <t>M8-08</t>
  </si>
  <si>
    <t>cb096852</t>
  </si>
  <si>
    <t>Definición de estructura APP</t>
  </si>
  <si>
    <t>Adrian Patriarca - 11/03/2025 13:32:13</t>
  </si>
  <si>
    <t>a09efd05</t>
  </si>
  <si>
    <t>Refri</t>
  </si>
  <si>
    <t>Felipe Duarte - 11/03/2025 13:35:49</t>
  </si>
  <si>
    <t>Felipe Duarte - 11/03/2025 16:28:13</t>
  </si>
  <si>
    <t>87fcc989</t>
  </si>
  <si>
    <t>Finalizar sprint 8</t>
  </si>
  <si>
    <t>Felipe Duarte - 11/03/2025 13:36:11</t>
  </si>
  <si>
    <t>Felipe Duarte - 11/03/2025 16:28:26</t>
  </si>
  <si>
    <t>697d65f3</t>
  </si>
  <si>
    <t>Adrian Patriarca - 11/03/2025 14:44:06</t>
  </si>
  <si>
    <t>Felipe Duarte - 11/03/2025 13:35:24</t>
  </si>
  <si>
    <t>95581e7a</t>
  </si>
  <si>
    <t>Felipe Duarte - 11/06/2025 13:46:59</t>
  </si>
  <si>
    <t>b766bf6d</t>
  </si>
  <si>
    <t>Calculadora de papel, pedido de Ezequiel. Según el peso de cada bolsa, se calculan los kg necesarios para producir x cantidad de bolsas, según el código de cada una</t>
  </si>
  <si>
    <t>Adrian Patriarca - 11/03/2025 14:45:56</t>
  </si>
  <si>
    <t>Felipe Duarte - 11/06/2025 17:39:06</t>
  </si>
  <si>
    <t>e9f90b29</t>
  </si>
  <si>
    <t>Adrian Patriarca - 11/03/2025 14:46:31</t>
  </si>
  <si>
    <t>8102a883</t>
  </si>
  <si>
    <t>Adrian Patriarca - 11/03/2025 14:46:58</t>
  </si>
  <si>
    <t>d4652a6f</t>
  </si>
  <si>
    <t>Primer planteo App mirar video grabado y consultar a Adrian</t>
  </si>
  <si>
    <t>Adrian Patriarca - 11/12/2025 15:56:56</t>
  </si>
  <si>
    <t>f3ea06d6</t>
  </si>
  <si>
    <t>Continuar con los avances en la app</t>
  </si>
  <si>
    <t>Adrian Patriarca - 11/03/2025 14:50:30</t>
  </si>
  <si>
    <t>Felipe Duarte - 11/13/2025 15:11:24</t>
  </si>
  <si>
    <t>0bc7bddc</t>
  </si>
  <si>
    <t>Modificaciones app</t>
  </si>
  <si>
    <t>Adrian Patriarca - 11/03/2025 14:50:37</t>
  </si>
  <si>
    <t>Felipe Duarte - 11/14/2025 15:34:10</t>
  </si>
  <si>
    <t>9d9afdad</t>
  </si>
  <si>
    <t>Definición de etapas de desarrollo</t>
  </si>
  <si>
    <t>Adrian Patriarca - 11/03/2025 15:00:13</t>
  </si>
  <si>
    <t>5a8c081e</t>
  </si>
  <si>
    <t>Reunión para comunicar la 1er etapa del proyecto del sistema de gestión ISAA</t>
  </si>
  <si>
    <t>Adrian Patriarca - 11/03/2025 16:00:34</t>
  </si>
  <si>
    <t>4f7470c8</t>
  </si>
  <si>
    <t>Felipe Duarte - 11/03/2025 16:29:08</t>
  </si>
  <si>
    <t>e43f70f3</t>
  </si>
  <si>
    <t>Conexión Vía API sistema</t>
  </si>
  <si>
    <t>Adrian Patriarca - 11/04/2025 13:30:53</t>
  </si>
  <si>
    <t>609b112c</t>
  </si>
  <si>
    <t>Reunión Agropecuaría SUR</t>
  </si>
  <si>
    <t>Adrian Patriarca - 11/03/2025 18:47:14</t>
  </si>
  <si>
    <t>9efd7cf2</t>
  </si>
  <si>
    <t>Renata Morano - 11/04/2025 13:14:41</t>
  </si>
  <si>
    <t>Renata Morano - 11/03/2025 09:42:43</t>
  </si>
  <si>
    <t>819aca7b</t>
  </si>
  <si>
    <t>Adrian Patriarca - 11/04/2025 18:58:24</t>
  </si>
  <si>
    <t>55bf8c01</t>
  </si>
  <si>
    <t>Reunión Presentación Qlik</t>
  </si>
  <si>
    <t>Adrian Patriarca - 11/05/2025 11:13:47</t>
  </si>
  <si>
    <t>d9cfbde2</t>
  </si>
  <si>
    <t>ELT datos API</t>
  </si>
  <si>
    <t>Adrian Patriarca - 11/05/2025 11:14:30</t>
  </si>
  <si>
    <t>4fcbb0e1</t>
  </si>
  <si>
    <t>ETL base de datos mediante API tasa de transferencia mas lenta de lo normal</t>
  </si>
  <si>
    <t>Adrian Patriarca - 11/05/2025 13:32:22</t>
  </si>
  <si>
    <t>2302f0a3</t>
  </si>
  <si>
    <t>Investigación conexión WeTravel + Ayuda a July con implementación</t>
  </si>
  <si>
    <t>Renata Morano - 11/05/2025 14:11:19</t>
  </si>
  <si>
    <t>ca7fdcb2</t>
  </si>
  <si>
    <t>Configuración de Chatwoot + preparación de consultas para andy (consultor experto en Meta)</t>
  </si>
  <si>
    <t>Adrian Patriarca - 11/05/2025 14:58:16</t>
  </si>
  <si>
    <t>Adrian Patriarca - 11/06/2025 11:46:17</t>
  </si>
  <si>
    <t>aee9510f</t>
  </si>
  <si>
    <t>Cambios (base de datos, enviar observaciones, que el vendedor vea los pedidos para él aunque los haya emitido otro, etc). Preparación para la implementación</t>
  </si>
  <si>
    <t>Renata Morano - 11/06/2025 09:25:05</t>
  </si>
  <si>
    <t>Renata Morano - 11/06/2025 12:31:48</t>
  </si>
  <si>
    <t>ed41c418</t>
  </si>
  <si>
    <t>Limpieza de Base de datos</t>
  </si>
  <si>
    <t>Adrian Patriarca - 11/06/2025 11:30:19</t>
  </si>
  <si>
    <t>d6bb4220</t>
  </si>
  <si>
    <t>Renata Morano - 11/06/2025 13:45:55</t>
  </si>
  <si>
    <t>Renata Morano - 11/06/2025 14:31:55</t>
  </si>
  <si>
    <t>754bda3e</t>
  </si>
  <si>
    <t>Liquidaciones: al agregar nuevos referidos, cambia la distribución de las liquidaciones según lo que estaba planteando, en revisión.</t>
  </si>
  <si>
    <t>Felipe Duarte - 11/06/2025 13:48:02</t>
  </si>
  <si>
    <t>60e9c5be</t>
  </si>
  <si>
    <t>Felipe Duarte - 11/06/2025 13:48:16</t>
  </si>
  <si>
    <t>Adrian Patriarca - 11/03/2025 14:44:24</t>
  </si>
  <si>
    <t>24831db7</t>
  </si>
  <si>
    <t>Amipack: videos y explicación a Gustavo sobre la app de abastecimiento. Ingresos y egresos no seriados, informe de stock y escaneo de códigos de barra</t>
  </si>
  <si>
    <t>Felipe Duarte - 11/06/2025 13:48:44</t>
  </si>
  <si>
    <t>Felipe Duarte - 11/06/2025 17:37:39</t>
  </si>
  <si>
    <t>850374b9</t>
  </si>
  <si>
    <t>Finalización de limpieza de datos, y planteo de indicadores</t>
  </si>
  <si>
    <t>Adrian Patriarca - 11/06/2025 17:05:13</t>
  </si>
  <si>
    <t>8579bd57</t>
  </si>
  <si>
    <t>Campañas: modificaciones para adaptar el envío de campañas a la app migrada.</t>
  </si>
  <si>
    <t>Felipe Duarte - 11/06/2025 17:39:51</t>
  </si>
  <si>
    <t>Felipe Duarte - 11/06/2025 17:40:03</t>
  </si>
  <si>
    <t>69926378</t>
  </si>
  <si>
    <t>Realización del plan de acción general y revisión de chatwoot</t>
  </si>
  <si>
    <t>Adrian Patriarca - 11/07/2025 11:22:05</t>
  </si>
  <si>
    <t>a46b12d2</t>
  </si>
  <si>
    <t>Conexión Appsheet base de datos</t>
  </si>
  <si>
    <t>Renata Morano - 11/07/2025 12:06:52</t>
  </si>
  <si>
    <t>1241e6a9</t>
  </si>
  <si>
    <t>Renata Morano - 11/07/2025 12:06:31</t>
  </si>
  <si>
    <t>5fb00a97</t>
  </si>
  <si>
    <t>Renata Morano - 11/07/2025 12:07:01</t>
  </si>
  <si>
    <t>752537a9</t>
  </si>
  <si>
    <t>Renata Morano - 11/12/2025 12:05:07</t>
  </si>
  <si>
    <t>47ce11eb</t>
  </si>
  <si>
    <t>Renata Morano - 11/13/2025 12:27:00</t>
  </si>
  <si>
    <t>c74ec356</t>
  </si>
  <si>
    <t>Preparar reunión Gonzalo</t>
  </si>
  <si>
    <t>Renata Morano - 11/07/2025 12:17:54</t>
  </si>
  <si>
    <t>133c92a1</t>
  </si>
  <si>
    <t>Correciones Guillermo</t>
  </si>
  <si>
    <t>Renata Morano - 11/13/2025 12:27:35</t>
  </si>
  <si>
    <t>b6f12c0e</t>
  </si>
  <si>
    <t>Reunión con Andrea + avanzar con WeTravel</t>
  </si>
  <si>
    <t>Renata Morano - 11/07/2025 12:19:41</t>
  </si>
  <si>
    <t>Renata Morano - 11/14/2025 11:57:03</t>
  </si>
  <si>
    <t>8249ba4d</t>
  </si>
  <si>
    <t>Reunión con OTRV (implementación e integración con WeTravel)</t>
  </si>
  <si>
    <t>Renata Morano - 11/10/2025 12:11:14</t>
  </si>
  <si>
    <t>ef259202</t>
  </si>
  <si>
    <t>Plan de trabajo Gestión de la Información con Insuga</t>
  </si>
  <si>
    <t>Adrian Patriarca - 11/10/2025 13:10:16</t>
  </si>
  <si>
    <t>41939f94</t>
  </si>
  <si>
    <t>Refinamiento y finalización App de Abastecimiento</t>
  </si>
  <si>
    <t>Adrian Patriarca - 11/11/2025 13:12:21</t>
  </si>
  <si>
    <t>ac037f07</t>
  </si>
  <si>
    <t>Ver con Guillermo el tema de la sincronización (al final era un problema de ellos con su base de datos)</t>
  </si>
  <si>
    <t>Renata Morano - 11/10/2025 13:54:06</t>
  </si>
  <si>
    <t>Renata Morano - 11/10/2025 14:09:58</t>
  </si>
  <si>
    <t>ce4f2ffd</t>
  </si>
  <si>
    <t>Reunión con Noelia, Revisión plan de acción</t>
  </si>
  <si>
    <t>Adrian Patriarca - 11/10/2025 15:46:56</t>
  </si>
  <si>
    <t>Adrian Patriarca - 11/11/2025 10:52:07</t>
  </si>
  <si>
    <t>c6985fc1</t>
  </si>
  <si>
    <t>Reunión en Escobar</t>
  </si>
  <si>
    <t>Renata Morano - 11/11/2025 08:40:09</t>
  </si>
  <si>
    <t>8753722d</t>
  </si>
  <si>
    <t>Calculadora</t>
  </si>
  <si>
    <t>Felipe Duarte - 11/11/2025 13:38:32</t>
  </si>
  <si>
    <t>9a96a642</t>
  </si>
  <si>
    <t>Corrección estados, pedido de Renata.</t>
  </si>
  <si>
    <t>Felipe Duarte - 11/11/2025 13:39:05</t>
  </si>
  <si>
    <t>Felipe Duarte - 11/13/2025 13:39:28</t>
  </si>
  <si>
    <t>1029c5dd</t>
  </si>
  <si>
    <t>Empecé a hacer la notificación de visita</t>
  </si>
  <si>
    <t>Adrian Patriarca - 11/11/2025 20:12:03</t>
  </si>
  <si>
    <t>1b3b365f</t>
  </si>
  <si>
    <t>Configuración Plantillas y Aviso de visita</t>
  </si>
  <si>
    <t>Adrian Patriarca - 11/12/2025 09:46:22</t>
  </si>
  <si>
    <t>d1d355ba</t>
  </si>
  <si>
    <t>Renata Morano - 11/12/2025 12:05:18</t>
  </si>
  <si>
    <t>Renata Morano - 11/07/2025 12:17:00</t>
  </si>
  <si>
    <t>bb578a03</t>
  </si>
  <si>
    <t>Adrian Patriarca - 11/12/2025 13:18:01</t>
  </si>
  <si>
    <t>Adrian Patriarca - 11/12/2025 14:13:46</t>
  </si>
  <si>
    <t>536cbaa0</t>
  </si>
  <si>
    <t>Adrian Patriarca - 11/12/2025 15:57:37</t>
  </si>
  <si>
    <t>Adrian Patriarca - 11/12/2025 18:13:56</t>
  </si>
  <si>
    <t>166d0c94</t>
  </si>
  <si>
    <t>Reunión Mercería La Paloma</t>
  </si>
  <si>
    <t>Adrian Patriarca - 11/12/2025 17:32:01</t>
  </si>
  <si>
    <t>754a5415</t>
  </si>
  <si>
    <t>Realización de automatización de mensaje recordatorio</t>
  </si>
  <si>
    <t>Adrian Patriarca - 11/12/2025 19:24:21</t>
  </si>
  <si>
    <t>7a5c6f11</t>
  </si>
  <si>
    <t>Chequear la app para la reunión</t>
  </si>
  <si>
    <t>Renata Morano - 11/13/2025 12:28:04</t>
  </si>
  <si>
    <t>1ed420d2</t>
  </si>
  <si>
    <t>Ajustes calculadora y video</t>
  </si>
  <si>
    <t>Felipe Duarte - 11/13/2025 15:11:56</t>
  </si>
  <si>
    <t>84bccf53</t>
  </si>
  <si>
    <t>Escobar explicación Renata y tickets pendientes</t>
  </si>
  <si>
    <t>Felipe Duarte - 11/13/2025 15:12:33</t>
  </si>
  <si>
    <t>c98a93cc</t>
  </si>
  <si>
    <t>Adaptación de Automatización</t>
  </si>
  <si>
    <t>Adrian Patriarca - 11/13/2025 18:58:59</t>
  </si>
  <si>
    <t>8c3675d9</t>
  </si>
  <si>
    <t>Renata Morano - 11/14/2025 11:57:18</t>
  </si>
  <si>
    <t>8df1f583</t>
  </si>
  <si>
    <t>Avanzar con las mejoras propuestas en la reunión</t>
  </si>
  <si>
    <t>Adrian Patriarca - 11/17/2025 10:58:05</t>
  </si>
  <si>
    <t>fa517083</t>
  </si>
  <si>
    <t>Felipe Duarte - 11/14/2025 15:34:33</t>
  </si>
  <si>
    <t>70f0d7c8</t>
  </si>
  <si>
    <t>Felipe Duarte - 11/14/2025 15:34:52</t>
  </si>
  <si>
    <t>f3b0db7d</t>
  </si>
  <si>
    <t>Reunión con Nelson para hacer prueba de usuario de Asistente virtual</t>
  </si>
  <si>
    <t>Adrian Patriarca - 11/14/2025 16:43:56</t>
  </si>
  <si>
    <t>Adrian Patriarca - 11/20/2025 15:31:18</t>
  </si>
  <si>
    <t>a9760387</t>
  </si>
  <si>
    <t>Adrian Patriarca - 11/16/2025 11:59:39</t>
  </si>
  <si>
    <t>08b9ba10</t>
  </si>
  <si>
    <t>Adrian Patriarca - 11/16/2025 17:46:20</t>
  </si>
  <si>
    <t>Adrian Patriarca - 11/17/2025 14:54:46</t>
  </si>
  <si>
    <t>bbcc9b00</t>
  </si>
  <si>
    <t>Adrian Patriarca - 11/16/2025 17:47:06</t>
  </si>
  <si>
    <t>Felipe Duarte - 11/20/2025 14:18:19</t>
  </si>
  <si>
    <t>499d84c2</t>
  </si>
  <si>
    <t>Facturar</t>
  </si>
  <si>
    <t>Adrian Patriarca - 11/16/2025 17:49:21</t>
  </si>
  <si>
    <t>Adrian Patriarca - 11/16/2025 17:50:12</t>
  </si>
  <si>
    <t>54e99f27</t>
  </si>
  <si>
    <t>Adrian Patriarca - 11/16/2025 17:52:15</t>
  </si>
  <si>
    <t>Adrian Patriarca - 11/18/2025 13:08:23</t>
  </si>
  <si>
    <t>a1d988c6</t>
  </si>
  <si>
    <t>Proyecto ISAA</t>
  </si>
  <si>
    <t>Adrian Patriarca - 11/16/2025 19:27:13</t>
  </si>
  <si>
    <t>813f256e</t>
  </si>
  <si>
    <t>Jefferson Inicio del planteamiento de App</t>
  </si>
  <si>
    <t>Adrian Patriarca - 11/16/2025 19:29:21</t>
  </si>
  <si>
    <t>f7e0cdf7</t>
  </si>
  <si>
    <t>Adrian Patriarca - 11/16/2025 19:29:45</t>
  </si>
  <si>
    <t>c0551edd</t>
  </si>
  <si>
    <t>Conexion Market Aviso de visita</t>
  </si>
  <si>
    <t>Adrian Patriarca - 11/16/2025 19:59:55</t>
  </si>
  <si>
    <t>373a460b</t>
  </si>
  <si>
    <t>Adrian Patriarca - 11/17/2025 10:05:59</t>
  </si>
  <si>
    <t>1fa39e4d</t>
  </si>
  <si>
    <t>Revisión APP y Generación de Sprint</t>
  </si>
  <si>
    <t>Adrian Patriarca - 11/17/2025 10:58:33</t>
  </si>
  <si>
    <t>Renata Morano - 11/17/2025 11:48:35</t>
  </si>
  <si>
    <t>7b6f83cc</t>
  </si>
  <si>
    <t>Finalización Vistas para Lucas y Grabar videos</t>
  </si>
  <si>
    <t>Adrian Patriarca - 11/17/2025 10:59:04</t>
  </si>
  <si>
    <t>Renata Morano - 11/17/2025 13:05:44</t>
  </si>
  <si>
    <t>9f17821c</t>
  </si>
  <si>
    <t>Adrian Patriarca - 11/17/2025 11:00:13</t>
  </si>
  <si>
    <t>Adrian Patriarca - 11/16/2025 17:55:17</t>
  </si>
  <si>
    <t>f50cbb9a</t>
  </si>
  <si>
    <t>Resolución de inconvenientes de fecha y hora + generar la importación de los estados de los pedidos + correcciones generales.</t>
  </si>
  <si>
    <t>Adrian Patriarca - 11/17/2025 11:05:12</t>
  </si>
  <si>
    <t>Renata Morano - 11/18/2025 13:26:19</t>
  </si>
  <si>
    <t>64f17787</t>
  </si>
  <si>
    <t>Sección de QR y Tablero</t>
  </si>
  <si>
    <t>Renata Morano - 11/19/2025 10:55:25</t>
  </si>
  <si>
    <t>8800008d</t>
  </si>
  <si>
    <t>Sección de QR</t>
  </si>
  <si>
    <t>Adrian Patriarca - 11/17/2025 11:08:26</t>
  </si>
  <si>
    <t>Renata Morano - 11/20/2025 12:08:52</t>
  </si>
  <si>
    <t>09d68b1e</t>
  </si>
  <si>
    <t>Ver el problema del envio de la fecha y hora de los pedidos. Se intento solucionar, se termino enviandole el diagnostico a Guillermo para que lo solucione desde su estructura de SQL</t>
  </si>
  <si>
    <t>Renata Morano - 11/17/2025 13:05:00</t>
  </si>
  <si>
    <t>f8fbfa11</t>
  </si>
  <si>
    <t>Sprint 9 - Renata</t>
  </si>
  <si>
    <t>Adrian Patriarca - 11/17/2025 14:52:15</t>
  </si>
  <si>
    <t>Felipe Duarte - 11/19/2025 13:33:16</t>
  </si>
  <si>
    <t>8fa960ac</t>
  </si>
  <si>
    <t>Adrian Patriarca - 11/17/2025 14:55:30</t>
  </si>
  <si>
    <t>91c86b51</t>
  </si>
  <si>
    <t>Adrian Patriarca - 11/17/2025 14:55:53</t>
  </si>
  <si>
    <t>809c5900</t>
  </si>
  <si>
    <t>Adrian Patriarca - 11/17/2025 19:28:28</t>
  </si>
  <si>
    <t>e53d3c5a</t>
  </si>
  <si>
    <t>Adrian Patriarca - 11/18/2025 01:04:49</t>
  </si>
  <si>
    <t>Adrian Patriarca - 11/18/2025 21:24:19</t>
  </si>
  <si>
    <t>65a730fd</t>
  </si>
  <si>
    <t>Revisión del proceso de carga automatica de facturas.</t>
  </si>
  <si>
    <t>Adrian Patriarca - 11/18/2025 10:32:35</t>
  </si>
  <si>
    <t>40ac9243</t>
  </si>
  <si>
    <t>Renata Morano - 11/18/2025 13:25:16</t>
  </si>
  <si>
    <t>Renata Morano - 11/18/2025 13:25:58</t>
  </si>
  <si>
    <t>b3fa4aea</t>
  </si>
  <si>
    <t>Renata Morano - 11/18/2025 13:25:33</t>
  </si>
  <si>
    <t>Renata Morano - 11/18/2025 13:25:53</t>
  </si>
  <si>
    <t>de4e4ac4</t>
  </si>
  <si>
    <t>Revisión App ISAA</t>
  </si>
  <si>
    <t>Adrian Patriarca - 11/18/2025 21:24:40</t>
  </si>
  <si>
    <t>ddcf038a</t>
  </si>
  <si>
    <t>Correcciones generales + generación de pdf para que puedan presupuestar</t>
  </si>
  <si>
    <t>Renata Morano - 11/19/2025 10:56:02</t>
  </si>
  <si>
    <t>62411c8d</t>
  </si>
  <si>
    <t>Configuración Inicial para agregar los numeros de Conexion Market</t>
  </si>
  <si>
    <t>Adrian Patriarca - 11/19/2025 11:02:31</t>
  </si>
  <si>
    <t>a0bdf037</t>
  </si>
  <si>
    <t>ISAA Revisión APP</t>
  </si>
  <si>
    <t>Adrian Patriarca - 11/19/2025 11:33:02</t>
  </si>
  <si>
    <t>Adrian Patriarca - 11/19/2025 14:07:45</t>
  </si>
  <si>
    <t>b05e23b0</t>
  </si>
  <si>
    <t>Modificación en Nation MKT</t>
  </si>
  <si>
    <t>Felipe Duarte - 11/19/2025 13:33:09</t>
  </si>
  <si>
    <t>af20e3e9</t>
  </si>
  <si>
    <t>Adrian Patriarca - 11/19/2025 17:23:14</t>
  </si>
  <si>
    <t>d79ff5a1</t>
  </si>
  <si>
    <t>Pruebas con Adrian</t>
  </si>
  <si>
    <t>Renata Morano - 11/20/2025 10:26:33</t>
  </si>
  <si>
    <t>be1191de</t>
  </si>
  <si>
    <t>Renata Morano - 11/20/2025 10:26:42</t>
  </si>
  <si>
    <t>Renata Morano - 11/20/2025 12:09:06</t>
  </si>
  <si>
    <t>a61bfbd9</t>
  </si>
  <si>
    <t>Refinado de asistente</t>
  </si>
  <si>
    <t>Adrian Patriarca - 11/20/2025 12:11:48</t>
  </si>
  <si>
    <t>07f895ad</t>
  </si>
  <si>
    <t>Trabajar la query de mantenimiento (no funciona la conexión)</t>
  </si>
  <si>
    <t>Renata Morano - 11/20/2025 13:57:17</t>
  </si>
  <si>
    <t>69e4818a</t>
  </si>
  <si>
    <t>Renata Morano - 11/20/2025 13:57:47</t>
  </si>
  <si>
    <t>8e3a2332</t>
  </si>
  <si>
    <t>Terminar de corregir la query Mantenimiento</t>
  </si>
  <si>
    <t>Renata Morano - 11/20/2025 13:58:06</t>
  </si>
  <si>
    <t>Renata Morano - 11/21/2025 12:31:27</t>
  </si>
  <si>
    <t>3d537b1f</t>
  </si>
  <si>
    <t>Verificar Sprint Escobar</t>
  </si>
  <si>
    <t>Renata Morano - 11/20/2025 13:59:47</t>
  </si>
  <si>
    <t>ec0f8dbf</t>
  </si>
  <si>
    <t>Felipe Duarte - 11/20/2025 14:18:34</t>
  </si>
  <si>
    <t>f058be75</t>
  </si>
  <si>
    <t>Fijarme el error y explicar a July el inconveniente que estaba cometiendo en la carga de habitaciones</t>
  </si>
  <si>
    <t>Renata Morano - 11/21/2025 08:52:05</t>
  </si>
  <si>
    <t>Renata Morano - 11/21/2025 14:42:50</t>
  </si>
  <si>
    <t>a978c7cd</t>
  </si>
  <si>
    <t>Renata Morano - 11/21/2025 08:52:38</t>
  </si>
  <si>
    <t>Renata Morano - 11/21/2025 14:42:40</t>
  </si>
  <si>
    <t>b9917259</t>
  </si>
  <si>
    <t>Mejoras QR</t>
  </si>
  <si>
    <t>Renata Morano - 11/25/2025 11:27:07</t>
  </si>
  <si>
    <t>f2d7fbc6</t>
  </si>
  <si>
    <t>Presentar todo lo de escobar</t>
  </si>
  <si>
    <t>Adrian Patriarca - 11/21/2025 09:35:26</t>
  </si>
  <si>
    <t>Renata Morano - 11/25/2025 14:22:26</t>
  </si>
  <si>
    <t>469a6215</t>
  </si>
  <si>
    <t>Integrar We Travel</t>
  </si>
  <si>
    <t>Adrian Patriarca - 11/21/2025 09:36:51</t>
  </si>
  <si>
    <t>Renata Morano - 11/26/2025 11:54:23</t>
  </si>
  <si>
    <t>c90565e0</t>
  </si>
  <si>
    <t>Modulo celular (Andrea y Julieta) + Integrar We Travel</t>
  </si>
  <si>
    <t>Adrian Patriarca - 11/21/2025 09:37:03</t>
  </si>
  <si>
    <t>Renata Morano - 11/27/2025 14:04:02</t>
  </si>
  <si>
    <t>1a76ead4</t>
  </si>
  <si>
    <t>Integrar We Travel (n8n + generación de informe, envio de email, etc)</t>
  </si>
  <si>
    <t>Renata Morano - 11/28/2025 13:58:42</t>
  </si>
  <si>
    <t>8590eec3</t>
  </si>
  <si>
    <t>Tratar de solucionar el inconveniente de actualización del Excel de Gonzalo</t>
  </si>
  <si>
    <t>Adrian Patriarca - 11/21/2025 09:44:02</t>
  </si>
  <si>
    <t>Renata Morano - 11/28/2025 13:58:17</t>
  </si>
  <si>
    <t>a636e234</t>
  </si>
  <si>
    <t>Escobar Remitos</t>
  </si>
  <si>
    <t>Adrian Patriarca - 11/21/2025 09:49:48</t>
  </si>
  <si>
    <t>Felipe Duarte - 11/21/2025 12:00:25</t>
  </si>
  <si>
    <t>a262a214</t>
  </si>
  <si>
    <t>Adrian Patriarca - 11/21/2025 09:57:35</t>
  </si>
  <si>
    <t>Felipe Duarte - 11/21/2025 17:22:51</t>
  </si>
  <si>
    <t>945ab4c5</t>
  </si>
  <si>
    <t>Corregir lo de Refri</t>
  </si>
  <si>
    <t>Adrian Patriarca - 11/21/2025 10:08:03</t>
  </si>
  <si>
    <t>Felipe Duarte - 11/25/2025 13:45:01</t>
  </si>
  <si>
    <t>b67e5e63</t>
  </si>
  <si>
    <t>Amipack Sprint pendiente</t>
  </si>
  <si>
    <t>Adrian Patriarca - 11/21/2025 10:08:48</t>
  </si>
  <si>
    <t>Felipe Duarte - 11/25/2025 14:04:36</t>
  </si>
  <si>
    <t>a5852290</t>
  </si>
  <si>
    <t>Corrección App ISAA</t>
  </si>
  <si>
    <t>Adrian Patriarca - 11/21/2025 10:18:47</t>
  </si>
  <si>
    <t>Adrian Patriarca - 11/21/2025 11:52:00</t>
  </si>
  <si>
    <t>aabe61da</t>
  </si>
  <si>
    <t>Extracción de datos Pedido de compra</t>
  </si>
  <si>
    <t>Adrian Patriarca - 11/21/2025 13:08:41</t>
  </si>
  <si>
    <t>eed0ab1e</t>
  </si>
  <si>
    <t>Revisión Sprint Felipe</t>
  </si>
  <si>
    <t>Renata Morano - 11/21/2025 14:43:07</t>
  </si>
  <si>
    <t>Renata Morano - 11/21/2025 15:07:28</t>
  </si>
  <si>
    <t>f3dce11d</t>
  </si>
  <si>
    <t>Mensajes y llamada con Alan por QR</t>
  </si>
  <si>
    <t>Renata Morano - 11/21/2025 15:08:00</t>
  </si>
  <si>
    <t>56912907</t>
  </si>
  <si>
    <t>Felipe Duarte - 11/21/2025 15:13:17</t>
  </si>
  <si>
    <t>4f289b5a</t>
  </si>
  <si>
    <t>Analisis de los datos del Endpoint</t>
  </si>
  <si>
    <t>Adrian Patriarca - 11/21/2025 16:46:14</t>
  </si>
  <si>
    <t>3ffe687a</t>
  </si>
  <si>
    <t>Felipe Duarte - 11/21/2025 17:23:19</t>
  </si>
  <si>
    <t>Adrian Patriarca - 11/21/2025 09:58:22</t>
  </si>
  <si>
    <t>827cbc46</t>
  </si>
  <si>
    <t>Configuración CRM</t>
  </si>
  <si>
    <t>Adrian Patriarca - 11/21/2025 18:41:58</t>
  </si>
  <si>
    <t>Adrian Patriarca - 11/23/2025 08:52:20</t>
  </si>
  <si>
    <t>9c6b2c2b</t>
  </si>
  <si>
    <t>Armado de Automatización con Chatwoot</t>
  </si>
  <si>
    <t>Adrian Patriarca - 11/23/2025 10:48:46</t>
  </si>
  <si>
    <t>Adrian Patriarca - 11/23/2025 16:36:28</t>
  </si>
  <si>
    <t>32ae2279</t>
  </si>
  <si>
    <t>Configurar todo para presentarles el CRM</t>
  </si>
  <si>
    <t>Adrian Patriarca - 11/25/2025 08:52:53</t>
  </si>
  <si>
    <t>Adrian Patriarca - 11/25/2025 09:28:52</t>
  </si>
  <si>
    <t>53b19892</t>
  </si>
  <si>
    <t>Facturar + Clase de dani Presman</t>
  </si>
  <si>
    <t>Adrian Patriarca - 11/25/2025 09:01:45</t>
  </si>
  <si>
    <t>Adrian Patriarca - 11/25/2025 09:28:29</t>
  </si>
  <si>
    <t>15135272</t>
  </si>
  <si>
    <t>Adrian Patriarca - 11/25/2025 09:06:15</t>
  </si>
  <si>
    <t>Adrian Patriarca - 11/25/2025 17:40:06</t>
  </si>
  <si>
    <t>e30451ca</t>
  </si>
  <si>
    <t>Revisión APP ISAA</t>
  </si>
  <si>
    <t>Adrian Patriarca - 11/25/2025 09:06:58</t>
  </si>
  <si>
    <t>5c24edb2</t>
  </si>
  <si>
    <t>Amipack Pasaje automatico de Facturas</t>
  </si>
  <si>
    <t>Adrian Patriarca - 11/26/2025 13:56:01</t>
  </si>
  <si>
    <t>ffbbc80f</t>
  </si>
  <si>
    <t>Videos para Conexion Market</t>
  </si>
  <si>
    <t>Adrian Patriarca - 11/25/2025 09:15:33</t>
  </si>
  <si>
    <t>Adrian Patriarca - 11/25/2025 21:15:13</t>
  </si>
  <si>
    <t>4d22a459</t>
  </si>
  <si>
    <t>Expusimos la API para poder trabajar de manera Remota</t>
  </si>
  <si>
    <t>Adrian Patriarca - 11/27/2025 13:55:41</t>
  </si>
  <si>
    <t>d975eb6c</t>
  </si>
  <si>
    <t>Adrian Patriarca - 11/25/2025 09:26:09</t>
  </si>
  <si>
    <t>Adrian Patriarca - 11/26/2025 16:17:58</t>
  </si>
  <si>
    <t>c6106312</t>
  </si>
  <si>
    <t>Renata Morano - 11/25/2025 12:09:53</t>
  </si>
  <si>
    <t>b5b91d5b</t>
  </si>
  <si>
    <t>Resolver errores en estados</t>
  </si>
  <si>
    <t>Felipe Duarte - 11/25/2025 14:05:02</t>
  </si>
  <si>
    <t>33f91f6a</t>
  </si>
  <si>
    <t>Terminar Sprint Escobar</t>
  </si>
  <si>
    <t>Felipe Duarte - 11/25/2025 14:05:28</t>
  </si>
  <si>
    <t>33ded86b</t>
  </si>
  <si>
    <t>Observaciones Martin 24/11</t>
  </si>
  <si>
    <t>Felipe Duarte - 11/25/2025 14:09:56</t>
  </si>
  <si>
    <t>Felipe Duarte - 11/27/2025 13:35:50</t>
  </si>
  <si>
    <t>6d39d930</t>
  </si>
  <si>
    <t>Preparar Informe + reunión</t>
  </si>
  <si>
    <t>Renata Morano - 11/26/2025 09:39:57</t>
  </si>
  <si>
    <t>f1d1b277</t>
  </si>
  <si>
    <t>Puesta en marcha de automatización</t>
  </si>
  <si>
    <t>Adrian Patriarca - 11/26/2025 13:54:53</t>
  </si>
  <si>
    <t>eafde243</t>
  </si>
  <si>
    <t>Adrian Patriarca - 11/26/2025 13:55:17</t>
  </si>
  <si>
    <t>f69b9ba5</t>
  </si>
  <si>
    <t>Reunión de Venta</t>
  </si>
  <si>
    <t>Adrian Patriarca - 11/26/2025 13:55:44</t>
  </si>
  <si>
    <t>Adrian Patriarca - 11/26/2025 16:17:43</t>
  </si>
  <si>
    <t>42e6a5ab</t>
  </si>
  <si>
    <t>Mandarle toda la documentación a German (videos, usuarios, perfiles, etc) + armar el informe</t>
  </si>
  <si>
    <t>Renata Morano - 11/26/2025 14:39:50</t>
  </si>
  <si>
    <t>Renata Morano - 11/26/2025 14:40:41</t>
  </si>
  <si>
    <t>a2681abc</t>
  </si>
  <si>
    <t>Corroborar inconveniente Guillermo (pedido largo)</t>
  </si>
  <si>
    <t>Renata Morano - 11/26/2025 14:40:37</t>
  </si>
  <si>
    <t>bac1281f</t>
  </si>
  <si>
    <t>Presentación app preliminar</t>
  </si>
  <si>
    <t>Adrian Patriarca - 11/26/2025 16:12:00</t>
  </si>
  <si>
    <t>Adrian Patriarca - 11/28/2025 12:34:45</t>
  </si>
  <si>
    <t>aa65aa2f</t>
  </si>
  <si>
    <t>Adrian Patriarca - 11/27/2025 10:01:26</t>
  </si>
  <si>
    <t>Adrian Patriarca - 11/27/2025 13:55:05</t>
  </si>
  <si>
    <t>257fc6de</t>
  </si>
  <si>
    <t>Renata Morano - 11/27/2025 14:04:19</t>
  </si>
  <si>
    <t>5b3d2b86</t>
  </si>
  <si>
    <t>Preparación de Datos La paloma</t>
  </si>
  <si>
    <t>Adrian Patriarca - 11/27/2025 17:37:10</t>
  </si>
  <si>
    <t>bb56b325</t>
  </si>
  <si>
    <t>Reparación de contabillización OC</t>
  </si>
  <si>
    <t>Adrian Patriarca - 11/27/2025 14:54:45</t>
  </si>
  <si>
    <t>38098901</t>
  </si>
  <si>
    <t>Refinamiento asistente Laboratorio</t>
  </si>
  <si>
    <t>Adrian Patriarca - 11/27/2025 18:47:35</t>
  </si>
  <si>
    <t>5c231374</t>
  </si>
  <si>
    <t>Preparación Reunión con ISAA</t>
  </si>
  <si>
    <t>Adrian Patriarca - 11/28/2025 09:11:22</t>
  </si>
  <si>
    <t>f913cce2</t>
  </si>
  <si>
    <t>Adrian Patriarca - 11/28/2025 12:36:06</t>
  </si>
  <si>
    <t>654de354</t>
  </si>
  <si>
    <t>Reunión con Nelson para poner en marcha el asistente virtual</t>
  </si>
  <si>
    <t>Adrian Patriarca - 12/01/2025 08:50:43</t>
  </si>
  <si>
    <t>94f7e00c</t>
  </si>
  <si>
    <t>Renata Morano - 12/01/2025 11:20:43</t>
  </si>
  <si>
    <t>14ec628c</t>
  </si>
  <si>
    <t>Renata Morano - 12/01/2025 11:21:45</t>
  </si>
  <si>
    <t>27e2b7d8</t>
  </si>
  <si>
    <t>Preparación BOT Laboratorio</t>
  </si>
  <si>
    <t>Adrian Patriarca - 12/01/2025 12:10:12</t>
  </si>
  <si>
    <t>9561edbc</t>
  </si>
  <si>
    <t>Ver si puedo sacar los datos que necesito</t>
  </si>
  <si>
    <t>Adrian Patriarca - 12/02/2025 10:36:33</t>
  </si>
  <si>
    <t>7623206d</t>
  </si>
  <si>
    <t>Adrian Patriarca - 12/01/2025 12:15:37</t>
  </si>
  <si>
    <t>a95640af</t>
  </si>
  <si>
    <t>Adrian Patriarca - 12/03/2025 18:03:39</t>
  </si>
  <si>
    <t>c81901ee</t>
  </si>
  <si>
    <t>Refri, pendientes semana pasada: terminar de consolidar la parte de liquidaciones.</t>
  </si>
  <si>
    <t>Felipe Duarte - 12/01/2025 13:32:30</t>
  </si>
  <si>
    <t>Felipe Duarte - 12/01/2025 18:53:40</t>
  </si>
  <si>
    <t>d6040da1</t>
  </si>
  <si>
    <t>Repasar comentarios última reunión y planificar reunión de seguimiento</t>
  </si>
  <si>
    <t>Felipe Duarte - 12/01/2025 19:08:41</t>
  </si>
  <si>
    <t>1c6c868c</t>
  </si>
  <si>
    <t>DG reunión + modificaciones app</t>
  </si>
  <si>
    <t>Felipe Duarte - 12/01/2025 13:38:09</t>
  </si>
  <si>
    <t>Felipe Duarte - 12/02/2025 13:35:46</t>
  </si>
  <si>
    <t>f1ef90fe</t>
  </si>
  <si>
    <t>Revisión indicadores planteados</t>
  </si>
  <si>
    <t>Felipe Duarte - 12/02/2025 13:35:50</t>
  </si>
  <si>
    <t>67ae4cdc</t>
  </si>
  <si>
    <t>Sprint pendiente</t>
  </si>
  <si>
    <t>Felipe Duarte - 12/01/2025 13:39:36</t>
  </si>
  <si>
    <t>Felipe Duarte - 12/04/2025 17:42:24</t>
  </si>
  <si>
    <t>02b92489</t>
  </si>
  <si>
    <t>Modificaciones y app lista para que comiencen a utilizarla</t>
  </si>
  <si>
    <t>Felipe Duarte - 12/01/2025 13:40:42</t>
  </si>
  <si>
    <t>Felipe Duarte - 12/05/2025 16:45:08</t>
  </si>
  <si>
    <t>2ea51949</t>
  </si>
  <si>
    <t>Repasar puntos que faltan del sprint anterior y organizar reunión de seguimiento para esta semana</t>
  </si>
  <si>
    <t>Felipe Duarte - 12/01/2025 13:50:47</t>
  </si>
  <si>
    <t>Felipe Duarte - 12/01/2025 18:53:47</t>
  </si>
  <si>
    <t>9ac1c242</t>
  </si>
  <si>
    <t>Felipe Duarte - 12/01/2025 13:41:11</t>
  </si>
  <si>
    <t>Felipe Duarte - 12/05/2025 16:43:47</t>
  </si>
  <si>
    <t>ff1bfc97</t>
  </si>
  <si>
    <t>Felipe Duarte - 12/01/2025 19:08:59</t>
  </si>
  <si>
    <t>Felipe Duarte - 12/01/2025 13:49:50</t>
  </si>
  <si>
    <t>24d13373</t>
  </si>
  <si>
    <t>Configuración CRM Laboratorio</t>
  </si>
  <si>
    <t>Adrian Patriarca - 12/01/2025 20:23:01</t>
  </si>
  <si>
    <t>49301a9a</t>
  </si>
  <si>
    <t>Adrian Patriarca - 12/01/2025 20:40:06</t>
  </si>
  <si>
    <t>31865025</t>
  </si>
  <si>
    <t>Verificar con Jefferson la APP</t>
  </si>
  <si>
    <t>Adrian Patriarca - 12/01/2025 20:58:48</t>
  </si>
  <si>
    <t>6cfa1f4c</t>
  </si>
  <si>
    <t>Adrian Patriarca - 12/01/2025 22:10:13</t>
  </si>
  <si>
    <t>31427c6e</t>
  </si>
  <si>
    <t>Automatización de Aviso</t>
  </si>
  <si>
    <t>Adrian Patriarca - 12/02/2025 12:35:52</t>
  </si>
  <si>
    <t>732ae4ea</t>
  </si>
  <si>
    <t>Adrian Patriarca - 12/02/2025 13:23:41</t>
  </si>
  <si>
    <t>7f4fba6c</t>
  </si>
  <si>
    <t>Renata Morano - 12/02/2025 14:28:57</t>
  </si>
  <si>
    <t>633e71fc</t>
  </si>
  <si>
    <t>Renata Morano - 12/03/2025 11:36:18</t>
  </si>
  <si>
    <t>9b087760</t>
  </si>
  <si>
    <t>Renata Morano - 12/02/2025 14:28:07</t>
  </si>
  <si>
    <t>Renata Morano - 12/03/2025 12:07:58</t>
  </si>
  <si>
    <t>3c73187a</t>
  </si>
  <si>
    <t>Reunión Julieta ver WeTravel</t>
  </si>
  <si>
    <t>Renata Morano - 12/03/2025 12:07:51</t>
  </si>
  <si>
    <t>ce26a4bd</t>
  </si>
  <si>
    <t>Renata Morano - 12/02/2025 14:30:05</t>
  </si>
  <si>
    <t>536e12da</t>
  </si>
  <si>
    <t>Responder consultas</t>
  </si>
  <si>
    <t>Adrian Patriarca - 12/03/2025 09:53:32</t>
  </si>
  <si>
    <t>e13be79f</t>
  </si>
  <si>
    <t>Gestión de consultora</t>
  </si>
  <si>
    <t>Adrian Patriarca - 12/03/2025 09:53:52</t>
  </si>
  <si>
    <t>Adrian Patriarca - 12/03/2025 13:26:39</t>
  </si>
  <si>
    <t>d9271c1c</t>
  </si>
  <si>
    <t>PEdidos anulados y borrados</t>
  </si>
  <si>
    <t>Renata Morano - 12/03/2025 11:36:36</t>
  </si>
  <si>
    <t>f69b9c06</t>
  </si>
  <si>
    <t>Renata Morano - 12/03/2025 12:31:01</t>
  </si>
  <si>
    <t>Adrian Patriarca - 01/12/2026 13:59:55</t>
  </si>
  <si>
    <t>ad6a0f00</t>
  </si>
  <si>
    <t>Renata Morano - 12/03/2025 12:31:35</t>
  </si>
  <si>
    <t>Adrian Patriarca - 01/12/2026 13:59:38</t>
  </si>
  <si>
    <t>8af6f692</t>
  </si>
  <si>
    <t>Renata Morano - 12/03/2025 12:31:43</t>
  </si>
  <si>
    <t>Adrian Patriarca - 01/12/2026 13:59:44</t>
  </si>
  <si>
    <t>9ddbe2e3</t>
  </si>
  <si>
    <t>Renata Morano - 12/03/2025 12:31:48</t>
  </si>
  <si>
    <t>Adrian Patriarca - 01/12/2026 13:59:50</t>
  </si>
  <si>
    <t>54ee0513</t>
  </si>
  <si>
    <t>Renata Morano - 12/03/2025 12:31:59</t>
  </si>
  <si>
    <t>Adrian Patriarca - 01/12/2026 13:59:31</t>
  </si>
  <si>
    <t>1002be3c</t>
  </si>
  <si>
    <t>Automatización de Avisos Refri</t>
  </si>
  <si>
    <t>Adrian Patriarca - 12/03/2025 14:11:37</t>
  </si>
  <si>
    <t>ea0bbb38</t>
  </si>
  <si>
    <t>Desarrollo de App Jefferson</t>
  </si>
  <si>
    <t>Adrian Patriarca - 12/03/2025 16:23:18</t>
  </si>
  <si>
    <t>4337470f</t>
  </si>
  <si>
    <t>Adrian Patriarca - 12/03/2025 16:23:32</t>
  </si>
  <si>
    <t>23592893</t>
  </si>
  <si>
    <t>Armado de Sprint con Adrian, introducción al proyecto y Continuación</t>
  </si>
  <si>
    <t>Adrian Patriarca - 12/03/2025 17:03:15</t>
  </si>
  <si>
    <t>Renata Morano - 12/09/2025 10:02:45</t>
  </si>
  <si>
    <t>78e1d8b5</t>
  </si>
  <si>
    <t>Adrian Patriarca - 12/03/2025 18:04:19</t>
  </si>
  <si>
    <t>53d61c1a</t>
  </si>
  <si>
    <t>Cosas Norte</t>
  </si>
  <si>
    <t>Adrian Patriarca - 12/04/2025 09:36:30</t>
  </si>
  <si>
    <t>7ddcebbd</t>
  </si>
  <si>
    <t>Conexión Linea ISIS + Investigación CRM</t>
  </si>
  <si>
    <t>Adrian Patriarca - 12/04/2025 09:37:04</t>
  </si>
  <si>
    <t>Adrian Patriarca - 12/04/2025 09:37:44</t>
  </si>
  <si>
    <t>eaf66399</t>
  </si>
  <si>
    <t>Reunión Open Pack +</t>
  </si>
  <si>
    <t>Adrian Patriarca - 12/04/2025 09:38:18</t>
  </si>
  <si>
    <t>Adrian Patriarca - 12/04/2025 09:39:00</t>
  </si>
  <si>
    <t>490ffe6b</t>
  </si>
  <si>
    <t>Adrian Patriarca - 12/04/2025 13:01:13</t>
  </si>
  <si>
    <t>Adrian Patriarca - 12/04/2025 14:32:07</t>
  </si>
  <si>
    <t>5bc51ef6</t>
  </si>
  <si>
    <t>Adrian Patriarca - 12/04/2025 21:49:27</t>
  </si>
  <si>
    <t>b73266d6</t>
  </si>
  <si>
    <t>Renata Morano - 12/05/2025 10:05:30</t>
  </si>
  <si>
    <t>Renata Morano - 12/11/2025 13:03:58</t>
  </si>
  <si>
    <t>1d7a21f4</t>
  </si>
  <si>
    <t>Adrian Patriarca - 12/05/2025 10:25:25</t>
  </si>
  <si>
    <t>Adrian Patriarca - 12/05/2025 12:42:58</t>
  </si>
  <si>
    <t>1ecfc84c</t>
  </si>
  <si>
    <t xml:space="preserve">Api whatsapp - Reacomodamiento horas </t>
  </si>
  <si>
    <t>Felipe Duarte - 12/05/2025 13:56:45</t>
  </si>
  <si>
    <t>Adrian Patriarca - 12/15/2025 17:02:00</t>
  </si>
  <si>
    <t>ceeb8f1b</t>
  </si>
  <si>
    <t>Adrian Patriarca - 12/05/2025 16:25:07</t>
  </si>
  <si>
    <t>3a45a8a9</t>
  </si>
  <si>
    <t>Felipe Duarte - 12/05/2025 16:44:01</t>
  </si>
  <si>
    <t>Felipe Duarte - 12/01/2025 18:55:00</t>
  </si>
  <si>
    <t>e1c32428</t>
  </si>
  <si>
    <t>Reunión con Fabrizio</t>
  </si>
  <si>
    <t>Felipe Duarte - 12/05/2025 16:44:38</t>
  </si>
  <si>
    <t>e40da219</t>
  </si>
  <si>
    <t>Terminar tablero con las definiciones de la reunión del 6/12</t>
  </si>
  <si>
    <t>Felipe Duarte - 12/05/2025 16:49:04</t>
  </si>
  <si>
    <t>e171ff7f</t>
  </si>
  <si>
    <t>Felipe Duarte - 12/05/2025 16:49:50</t>
  </si>
  <si>
    <t>809c2df9</t>
  </si>
  <si>
    <t>Amipack continuar sprint pendientes 5/12</t>
  </si>
  <si>
    <t>Felipe Duarte - 12/05/2025 16:50:12</t>
  </si>
  <si>
    <t>ef04373d</t>
  </si>
  <si>
    <t>Insuga Tablero Margarina</t>
  </si>
  <si>
    <t>Renata Morano - 12/09/2025 10:03:46</t>
  </si>
  <si>
    <t>b46fa642</t>
  </si>
  <si>
    <t>Renata Morano - 12/10/2025 10:57:49</t>
  </si>
  <si>
    <t>79f594d7</t>
  </si>
  <si>
    <t>Integración WeTravel</t>
  </si>
  <si>
    <t>Renata Morano - 12/18/2025 12:33:51</t>
  </si>
  <si>
    <t>c274ff9a</t>
  </si>
  <si>
    <t>Investigar problema en el formulario de Google</t>
  </si>
  <si>
    <t>Adrian Patriarca - 12/10/2025 08:14:13</t>
  </si>
  <si>
    <t>420de543</t>
  </si>
  <si>
    <t>Reestablecimiento de todo lo que es el envio de whatsapp mediante Chatwoot</t>
  </si>
  <si>
    <t>Adrian Patriarca - 12/10/2025 08:14:50</t>
  </si>
  <si>
    <t>Adrian Patriarca - 12/10/2025 15:25:14</t>
  </si>
  <si>
    <t>0fa11042</t>
  </si>
  <si>
    <t>Renata Morano - 12/10/2025 08:18:40</t>
  </si>
  <si>
    <t>Renata Morano - 12/17/2025 11:11:13</t>
  </si>
  <si>
    <t>3bc454db</t>
  </si>
  <si>
    <t>Error Jeferson</t>
  </si>
  <si>
    <t>Renata Morano - 12/10/2025 10:57:43</t>
  </si>
  <si>
    <t>16c8b6a1</t>
  </si>
  <si>
    <t>Integracion con n8n</t>
  </si>
  <si>
    <t>Renata Morano - 12/10/2025 14:00:47</t>
  </si>
  <si>
    <t>3968f8bd</t>
  </si>
  <si>
    <t>Renata Morano - 12/10/2025 14:02:05</t>
  </si>
  <si>
    <t>313a4efc</t>
  </si>
  <si>
    <t>Integración n8n</t>
  </si>
  <si>
    <t>Renata Morano - 12/10/2025 14:02:29</t>
  </si>
  <si>
    <t>821db9c0</t>
  </si>
  <si>
    <t>Renata Morano - 12/10/2025 14:02:43</t>
  </si>
  <si>
    <t>Renata Morano - 12/11/2025 13:04:08</t>
  </si>
  <si>
    <t>33ec23ee</t>
  </si>
  <si>
    <t>Integración n8n+ mejoras</t>
  </si>
  <si>
    <t>Renata Morano - 12/10/2025 14:02:58</t>
  </si>
  <si>
    <t>Renata Morano - 12/12/2025 14:30:32</t>
  </si>
  <si>
    <t>46c7b6cd</t>
  </si>
  <si>
    <t>Reparación App Norte</t>
  </si>
  <si>
    <t>Adrian Patriarca - 12/10/2025 15:33:35</t>
  </si>
  <si>
    <t>Adrian Patriarca - 12/10/2025 19:16:37</t>
  </si>
  <si>
    <t>4367abfa</t>
  </si>
  <si>
    <t>Felipe Duarte - 12/10/2025 17:29:01</t>
  </si>
  <si>
    <t>Adrian Patriarca - 12/12/2025 16:22:26</t>
  </si>
  <si>
    <t>a0bb56e2</t>
  </si>
  <si>
    <t>Recomposición de Flujo "Contacto Previo visita"</t>
  </si>
  <si>
    <t>Adrian Patriarca - 12/10/2025 19:17:10</t>
  </si>
  <si>
    <t>Adrian Patriarca - 12/10/2025 21:06:07</t>
  </si>
  <si>
    <t>0c0d243a</t>
  </si>
  <si>
    <t>Adrian Patriarca - 12/11/2025 11:39:37</t>
  </si>
  <si>
    <t>07af2f63</t>
  </si>
  <si>
    <t>Adrian Patriarca - 12/11/2025 12:57:45</t>
  </si>
  <si>
    <t>c3a4af69</t>
  </si>
  <si>
    <t>Adrian Patriarca - 12/11/2025 12:58:02</t>
  </si>
  <si>
    <t>Adrian Patriarca - 12/11/2025 14:33:18</t>
  </si>
  <si>
    <t>b8e2cd15</t>
  </si>
  <si>
    <t>Validar los datos con Gonzalo</t>
  </si>
  <si>
    <t>Renata Morano - 12/11/2025 13:04:31</t>
  </si>
  <si>
    <t>2a6fd3a3</t>
  </si>
  <si>
    <t>Adrian Patriarca - 12/11/2025 14:33:35</t>
  </si>
  <si>
    <t>fbbf6cc4</t>
  </si>
  <si>
    <t>Conexión generación de recontacto con chatwoot</t>
  </si>
  <si>
    <t>Adrian Patriarca - 12/12/2025 09:32:26</t>
  </si>
  <si>
    <t>7d2ad41a</t>
  </si>
  <si>
    <t>Terminar la parte de presupuestos + mandar video a Guillermo y Eduardo</t>
  </si>
  <si>
    <t>Renata Morano - 12/12/2025 14:27:20</t>
  </si>
  <si>
    <t>Renata Morano - 12/15/2025 17:07:32</t>
  </si>
  <si>
    <t>78256b6c</t>
  </si>
  <si>
    <t>Encontrar y arreglar el error del tablero + query</t>
  </si>
  <si>
    <t>Renata Morano - 12/12/2025 14:28:27</t>
  </si>
  <si>
    <t>Renata Morano - 12/16/2025 14:21:06</t>
  </si>
  <si>
    <t>c370d40a</t>
  </si>
  <si>
    <t>Adrian Patriarca - 12/12/2025 16:22:56</t>
  </si>
  <si>
    <t>Felipe Duarte - 12/13/2025 09:18:00</t>
  </si>
  <si>
    <t>1ef8ee10</t>
  </si>
  <si>
    <t>Terminar Tablero de La Paloma</t>
  </si>
  <si>
    <t>Adrian Patriarca - 12/12/2025 16:23:41</t>
  </si>
  <si>
    <t>Felipe Duarte - 12/15/2025 15:56:57</t>
  </si>
  <si>
    <t>495f5568</t>
  </si>
  <si>
    <t>Adrian Patriarca - 12/12/2025 16:26:01</t>
  </si>
  <si>
    <t>Felipe Duarte - 12/16/2025 17:01:46</t>
  </si>
  <si>
    <t>8f092630</t>
  </si>
  <si>
    <t>Adrian Patriarca - 12/12/2025 16:26:27</t>
  </si>
  <si>
    <t>Adrian Patriarca - 01/14/2026 11:48:28</t>
  </si>
  <si>
    <t>65ff3cb8</t>
  </si>
  <si>
    <t>Tablero Producción</t>
  </si>
  <si>
    <t>Felipe Duarte - 12/19/2025 15:52:53</t>
  </si>
  <si>
    <t>29a8db48</t>
  </si>
  <si>
    <t>Tableros de Control</t>
  </si>
  <si>
    <t>Adrian Patriarca - 12/19/2025 10:25:42</t>
  </si>
  <si>
    <t>2abc0e6f</t>
  </si>
  <si>
    <t>Felipe Duarte - 12/13/2025 09:16:29</t>
  </si>
  <si>
    <t>Adrian Patriarca - 01/14/2026 11:47:21</t>
  </si>
  <si>
    <t>561ce9fa</t>
  </si>
  <si>
    <t>Informe La Paloma</t>
  </si>
  <si>
    <t>Felipe Duarte - 12/13/2025 09:18:23</t>
  </si>
  <si>
    <t>b08b5676</t>
  </si>
  <si>
    <t>Arreglo del tema de actualización de info</t>
  </si>
  <si>
    <t>Adrian Patriarca - 12/15/2025 08:32:06</t>
  </si>
  <si>
    <t>ea964535</t>
  </si>
  <si>
    <t>Nor subida de tablero + problema de Nadia</t>
  </si>
  <si>
    <t>Adrian Patriarca - 12/15/2025 08:32:37</t>
  </si>
  <si>
    <t>3581d423</t>
  </si>
  <si>
    <t>Gestión Consultora</t>
  </si>
  <si>
    <t>Adrian Patriarca - 12/15/2025 08:33:06</t>
  </si>
  <si>
    <t>bf2dea56</t>
  </si>
  <si>
    <t>Conexión de Asistente</t>
  </si>
  <si>
    <t>Adrian Patriarca - 12/15/2025 09:45:01</t>
  </si>
  <si>
    <t>3789abfd</t>
  </si>
  <si>
    <t>Adrian Patriarca - 12/15/2025 13:28:03</t>
  </si>
  <si>
    <t>051a0cf3</t>
  </si>
  <si>
    <t>Felipe Duarte - 12/15/2025 15:56:39</t>
  </si>
  <si>
    <t>Felipe Duarte - 12/16/2025 16:30:21</t>
  </si>
  <si>
    <t>441ab849</t>
  </si>
  <si>
    <t>Rearmar todo lo que es el asistente del laboratorio</t>
  </si>
  <si>
    <t>Adrian Patriarca - 12/16/2025 12:57:57</t>
  </si>
  <si>
    <t>a4f8fdbb</t>
  </si>
  <si>
    <t>Ver como funciona el asistente del laboratorio</t>
  </si>
  <si>
    <t>Adrian Patriarca - 12/17/2025 09:34:02</t>
  </si>
  <si>
    <t>981df371</t>
  </si>
  <si>
    <t>Adrian Patriarca - 12/15/2025 17:01:47</t>
  </si>
  <si>
    <t>c8051140</t>
  </si>
  <si>
    <t>Dani presman y mas</t>
  </si>
  <si>
    <t>Adrian Patriarca - 12/15/2025 17:02:55</t>
  </si>
  <si>
    <t>690cc455</t>
  </si>
  <si>
    <t>Hacer informe + Poner las limitaciones a los enviadores + Agregar las nuevas plantillas</t>
  </si>
  <si>
    <t>Adrian Patriarca - 12/15/2025 17:04:05</t>
  </si>
  <si>
    <t>Adrian Patriarca - 12/17/2025 14:09:16</t>
  </si>
  <si>
    <t>ce768d85</t>
  </si>
  <si>
    <t>Adrian Patriarca - 12/18/2025 12:54:54</t>
  </si>
  <si>
    <t>37f27a7a</t>
  </si>
  <si>
    <t>ISAA Contactarse y pasar el video</t>
  </si>
  <si>
    <t>Renata Morano - 12/16/2025 10:43:54</t>
  </si>
  <si>
    <t>565ae679</t>
  </si>
  <si>
    <t>Mandar ejemplos de los tableros plantear la proxima reunión para que nos digan cuales son los indicadores que necesitan. Porque sino no tenemos con que seguir.</t>
  </si>
  <si>
    <t>Renata Morano - 12/16/2025 15:21:57</t>
  </si>
  <si>
    <t>8b5b3c56</t>
  </si>
  <si>
    <t>Adrian Patriarca - 12/15/2025 17:52:22</t>
  </si>
  <si>
    <t>Renata Morano - 12/18/2025 12:34:29</t>
  </si>
  <si>
    <t>f23b6639</t>
  </si>
  <si>
    <t>Integración WeTravel VER EL ERRO DE TRASLADO EN EL COSTO DEL VIAJE</t>
  </si>
  <si>
    <t>Adrian Patriarca - 12/15/2025 17:53:23</t>
  </si>
  <si>
    <t>Renata Morano - 12/22/2025 13:47:58</t>
  </si>
  <si>
    <t>a9ddaf08</t>
  </si>
  <si>
    <t>Terminar con el proyecto de Amipack</t>
  </si>
  <si>
    <t>Adrian Patriarca - 12/15/2025 18:16:39</t>
  </si>
  <si>
    <t>Adrian Patriarca - 12/19/2025 12:44:18</t>
  </si>
  <si>
    <t>0d3d97a7</t>
  </si>
  <si>
    <t>Correción N8N - Pedidos mal cargados</t>
  </si>
  <si>
    <t>Renata Morano - 12/16/2025 10:44:35</t>
  </si>
  <si>
    <t>43482b72</t>
  </si>
  <si>
    <t>Reunión Guillermo y Eduardo para planificar la integración</t>
  </si>
  <si>
    <t>Renata Morano - 12/16/2025 14:20:56</t>
  </si>
  <si>
    <t>90df99f1</t>
  </si>
  <si>
    <t>Query Gonzalo (notas de ventas)</t>
  </si>
  <si>
    <t>Renata Morano - 12/16/2025 15:21:04</t>
  </si>
  <si>
    <t>Renata Morano - 12/16/2025 15:38:23</t>
  </si>
  <si>
    <t>553e9f91</t>
  </si>
  <si>
    <t>Felipe Duarte - 12/16/2025 16:30:37</t>
  </si>
  <si>
    <t>2c831622</t>
  </si>
  <si>
    <t>Felipe Duarte - 12/16/2025 16:31:02</t>
  </si>
  <si>
    <t>b4897ea3</t>
  </si>
  <si>
    <t>Felipe Duarte - 12/16/2025 17:32:09</t>
  </si>
  <si>
    <t>Adrian Patriarca - 12/19/2025 10:25:51</t>
  </si>
  <si>
    <t>c58e75e3</t>
  </si>
  <si>
    <t>Felipe Duarte - 12/16/2025 17:32:54</t>
  </si>
  <si>
    <t>Felipe Duarte - 12/19/2025 15:52:41</t>
  </si>
  <si>
    <t>b62b9028</t>
  </si>
  <si>
    <t>Preparación importación datos de SQL</t>
  </si>
  <si>
    <t>Renata Morano - 12/17/2025 11:07:12</t>
  </si>
  <si>
    <t>40db3790</t>
  </si>
  <si>
    <t>Correción tablero valor sebo</t>
  </si>
  <si>
    <t>Renata Morano - 12/17/2025 11:07:31</t>
  </si>
  <si>
    <t>402ba557</t>
  </si>
  <si>
    <t>Reunión German y Daniel (indicadores + implementación app)</t>
  </si>
  <si>
    <t>Renata Morano - 12/17/2025 11:12:09</t>
  </si>
  <si>
    <t>Renata Morano - 12/19/2025 14:24:08</t>
  </si>
  <si>
    <t>e961eee1</t>
  </si>
  <si>
    <t>Feedback jorge por pagina web</t>
  </si>
  <si>
    <t>Adrian Patriarca - 12/17/2025 14:09:06</t>
  </si>
  <si>
    <t>cd6ce42a</t>
  </si>
  <si>
    <t>Correcciones en tiempo real Asistente laboratorio</t>
  </si>
  <si>
    <t>Adrian Patriarca - 12/17/2025 14:09:41</t>
  </si>
  <si>
    <t>Adrian Patriarca - 12/17/2025 18:19:45</t>
  </si>
  <si>
    <t>26630a3b</t>
  </si>
  <si>
    <t>Comunicación por  inconvenientes con German Felipe y Jose</t>
  </si>
  <si>
    <t>Renata Morano - 12/17/2025 15:05:30</t>
  </si>
  <si>
    <t>c788083a</t>
  </si>
  <si>
    <t>Felipe Duarte - 12/17/2025 16:55:59</t>
  </si>
  <si>
    <t>Felipe Duarte - 12/17/2025 16:55:13</t>
  </si>
  <si>
    <t>36a55ab5</t>
  </si>
  <si>
    <t>Felipe Duarte - 12/17/2025 16:56:20</t>
  </si>
  <si>
    <t>Adrian Patriarca - 01/14/2026 11:48:52</t>
  </si>
  <si>
    <t>84175f1b</t>
  </si>
  <si>
    <t>Validaciones</t>
  </si>
  <si>
    <t>Adrian Patriarca - 12/17/2025 18:18:57</t>
  </si>
  <si>
    <t>7313bc23</t>
  </si>
  <si>
    <t>Adrian Patriarca - 12/17/2025 18:19:37</t>
  </si>
  <si>
    <t>01a14c39</t>
  </si>
  <si>
    <t>Adrian Patriarca - 12/18/2025 10:00:47</t>
  </si>
  <si>
    <t>Adrian Patriarca - 12/18/2025 11:38:25</t>
  </si>
  <si>
    <t>c417eda6</t>
  </si>
  <si>
    <t>Gestion</t>
  </si>
  <si>
    <t>Adrian Patriarca - 12/18/2025 11:38:51</t>
  </si>
  <si>
    <t>1a503921</t>
  </si>
  <si>
    <t>Ver el tema de importación con Guillermo</t>
  </si>
  <si>
    <t>Renata Morano - 12/18/2025 12:21:29</t>
  </si>
  <si>
    <t>199ba99e</t>
  </si>
  <si>
    <t>Renata Morano - 12/18/2025 12:34:23</t>
  </si>
  <si>
    <t>6e3f9106</t>
  </si>
  <si>
    <t>Gestiones Varias</t>
  </si>
  <si>
    <t>Adrian Patriarca - 12/18/2025 12:57:47</t>
  </si>
  <si>
    <t>2c8b2fdd</t>
  </si>
  <si>
    <t>Felipe Duarte - 12/18/2025 13:34:18</t>
  </si>
  <si>
    <t>Adrian Patriarca - 01/14/2026 11:49:38</t>
  </si>
  <si>
    <t>aac54761</t>
  </si>
  <si>
    <t>Felipe Duarte - 12/18/2025 16:22:20</t>
  </si>
  <si>
    <t>Felipe Duarte - 12/18/2025 17:46:30</t>
  </si>
  <si>
    <t>d9e4e302</t>
  </si>
  <si>
    <t>Adrian Patriarca - 01/14/2026 11:50:18</t>
  </si>
  <si>
    <t>d5e19ab1</t>
  </si>
  <si>
    <t>Felipe Duarte - 12/18/2025 17:46:49</t>
  </si>
  <si>
    <t>8036ffac</t>
  </si>
  <si>
    <t>Planteo de App OTRV</t>
  </si>
  <si>
    <t>Adrian Patriarca - 12/19/2025 09:46:08</t>
  </si>
  <si>
    <t>Adrian Patriarca - 12/19/2025 11:51:45</t>
  </si>
  <si>
    <t>f7ab1329</t>
  </si>
  <si>
    <t>Integración WeTravel + arreglos de la app</t>
  </si>
  <si>
    <t>Adrian Patriarca - 12/19/2025 09:46:31</t>
  </si>
  <si>
    <t>Renata Morano - 12/23/2025 14:05:12</t>
  </si>
  <si>
    <t>2a652e5d</t>
  </si>
  <si>
    <t>Reunión con escobar</t>
  </si>
  <si>
    <t>Adrian Patriarca - 12/19/2025 14:25:14</t>
  </si>
  <si>
    <t>6c06d508</t>
  </si>
  <si>
    <t>Adrian Patriarca - 12/19/2025 15:10:55</t>
  </si>
  <si>
    <t>ee505d4e</t>
  </si>
  <si>
    <t>Adrian Patriarca - 12/22/2025 12:22:19</t>
  </si>
  <si>
    <t>6d3e133d</t>
  </si>
  <si>
    <t>Adrian Patriarca - 12/22/2025 12:22:38</t>
  </si>
  <si>
    <t>Adrian Patriarca - 12/22/2025 14:01:17</t>
  </si>
  <si>
    <t>6d774a33</t>
  </si>
  <si>
    <t>Ventas</t>
  </si>
  <si>
    <t>Adrian Patriarca - 12/22/2025 12:23:00</t>
  </si>
  <si>
    <t>Adrian Patriarca - 12/22/2025 14:01:08</t>
  </si>
  <si>
    <t>6318127e</t>
  </si>
  <si>
    <t>Levantar las nuevas Lineas</t>
  </si>
  <si>
    <t>Adrian Patriarca - 12/22/2025 12:23:28</t>
  </si>
  <si>
    <t>Adrian Patriarca - 12/22/2025 17:59:36</t>
  </si>
  <si>
    <t>b90cb768</t>
  </si>
  <si>
    <t>Levantar las nuevas lineas</t>
  </si>
  <si>
    <t>Adrian Patriarca - 12/23/2025 15:01:51</t>
  </si>
  <si>
    <t>91fc5558</t>
  </si>
  <si>
    <t>Refinar Asistente</t>
  </si>
  <si>
    <t>Adrian Patriarca - 12/24/2025 13:15:39</t>
  </si>
  <si>
    <t>665a264a</t>
  </si>
  <si>
    <t>Dani Presman</t>
  </si>
  <si>
    <t>Adrian Patriarca - 12/22/2025 12:27:46</t>
  </si>
  <si>
    <t>Adrian Patriarca - 12/23/2025 15:02:00</t>
  </si>
  <si>
    <t>fcc5a0ef</t>
  </si>
  <si>
    <t>Adrian Patriarca - 12/26/2025 14:49:30</t>
  </si>
  <si>
    <t>7472fd90</t>
  </si>
  <si>
    <t>DG continuar app  y preparar reunión de seguimiento</t>
  </si>
  <si>
    <t>Felipe Duarte - 12/22/2025 13:31:07</t>
  </si>
  <si>
    <t>773d0489</t>
  </si>
  <si>
    <t>Modificaciones DG</t>
  </si>
  <si>
    <t>Felipe Duarte - 12/22/2025 13:31:32</t>
  </si>
  <si>
    <t>946eae07</t>
  </si>
  <si>
    <t>Amipack ver cálculo de productividad con Cristian y continuar con los desvíos productivos</t>
  </si>
  <si>
    <t>Felipe Duarte - 12/22/2025 13:32:28</t>
  </si>
  <si>
    <t>1539fe53</t>
  </si>
  <si>
    <t>Amipack continuar</t>
  </si>
  <si>
    <t>Felipe Duarte - 12/22/2025 13:41:52</t>
  </si>
  <si>
    <t>5fed1477</t>
  </si>
  <si>
    <t>Felipe Duarte - 12/22/2025 13:43:48</t>
  </si>
  <si>
    <t>Felipe Duarte - 12/29/2025 13:34:48</t>
  </si>
  <si>
    <t>6b1e797a</t>
  </si>
  <si>
    <t>Reconexión por el problema de su servidor</t>
  </si>
  <si>
    <t>Renata Morano - 12/22/2025 13:47:52</t>
  </si>
  <si>
    <t>5cff9a50</t>
  </si>
  <si>
    <t>Cambios en la app en base a cosas de la reunión + mandar instructivos de carga</t>
  </si>
  <si>
    <t>Renata Morano - 12/22/2025 13:50:26</t>
  </si>
  <si>
    <t>Renata Morano - 12/26/2025 13:26:11</t>
  </si>
  <si>
    <t>589c96f5</t>
  </si>
  <si>
    <t>Renata Morano - 12/22/2025 13:50:35</t>
  </si>
  <si>
    <t>Renata Morano - 12/24/2025 14:01:18</t>
  </si>
  <si>
    <t>da3b6b6f</t>
  </si>
  <si>
    <t>Continuar con el tablero de Margarina</t>
  </si>
  <si>
    <t>Renata Morano - 12/22/2025 13:51:13</t>
  </si>
  <si>
    <t>Renata Morano - 12/26/2025 14:17:52</t>
  </si>
  <si>
    <t>3c0e4e89</t>
  </si>
  <si>
    <t>DG app</t>
  </si>
  <si>
    <t>Felipe Duarte - 12/22/2025 14:04:10</t>
  </si>
  <si>
    <t>Felipe Duarte - 12/29/2025 13:34:53</t>
  </si>
  <si>
    <t>03ae4d8c</t>
  </si>
  <si>
    <t>Renata Morano - 12/23/2025 14:05:44</t>
  </si>
  <si>
    <t>3572bbca</t>
  </si>
  <si>
    <t>Nuevas Lineas</t>
  </si>
  <si>
    <t>Adrian Patriarca - 12/23/2025 15:53:14</t>
  </si>
  <si>
    <t>2e756de9</t>
  </si>
  <si>
    <t>Preparar envio de Feliz Navidad</t>
  </si>
  <si>
    <t>Adrian Patriarca - 12/23/2025 17:56:18</t>
  </si>
  <si>
    <t>755fa3f7</t>
  </si>
  <si>
    <t>Adrian Patriarca - 12/24/2025 10:12:34</t>
  </si>
  <si>
    <t>1859c63a</t>
  </si>
  <si>
    <t>Reunión Con Andrea y/o Julieta</t>
  </si>
  <si>
    <t>Renata Morano - 12/24/2025 14:01:57</t>
  </si>
  <si>
    <t>Renata Morano - 12/26/2025 14:17:46</t>
  </si>
  <si>
    <t>10b9101a</t>
  </si>
  <si>
    <t>Revisión Automatizaciones</t>
  </si>
  <si>
    <t>Adrian Patriarca - 12/26/2025 09:23:01</t>
  </si>
  <si>
    <t>Adrian Patriarca - 12/26/2025 12:02:09</t>
  </si>
  <si>
    <t>fc5238ac</t>
  </si>
  <si>
    <t>Observaciones Vale</t>
  </si>
  <si>
    <t>Felipe Duarte - 12/26/2025 13:37:48</t>
  </si>
  <si>
    <t>Felipe Duarte - 12/26/2025 16:33:29</t>
  </si>
  <si>
    <t>5bf2781d</t>
  </si>
  <si>
    <t>Renata Morano - 12/26/2025 14:11:54</t>
  </si>
  <si>
    <t>Renata Morano - 12/29/2025 14:23:22</t>
  </si>
  <si>
    <t>a441de41</t>
  </si>
  <si>
    <t>Laboratorio, Reunión mas ajustes para vacaciones</t>
  </si>
  <si>
    <t>Adrian Patriarca - 12/26/2025 14:50:04</t>
  </si>
  <si>
    <t>b141f6e0</t>
  </si>
  <si>
    <t>Amipack tablero de producción</t>
  </si>
  <si>
    <t>Felipe Duarte - 12/26/2025 16:34:20</t>
  </si>
  <si>
    <t>5deca2fa</t>
  </si>
  <si>
    <t>Felipe Duarte - 12/26/2025 18:35:18</t>
  </si>
  <si>
    <t>387b87a0</t>
  </si>
  <si>
    <t>Capacitación Escobar</t>
  </si>
  <si>
    <t>Adrian Patriarca - 12/29/2025 08:55:57</t>
  </si>
  <si>
    <t>9e2cf46e</t>
  </si>
  <si>
    <t>Agencia</t>
  </si>
  <si>
    <t>Adrian Patriarca - 12/29/2025 09:02:40</t>
  </si>
  <si>
    <t>Renata Morano - 12/29/2025 12:25:27</t>
  </si>
  <si>
    <t>afceb620</t>
  </si>
  <si>
    <t>Preparación de la capacitación a escobar</t>
  </si>
  <si>
    <t>Renata Morano - 12/29/2025 12:25:50</t>
  </si>
  <si>
    <t>a831daab</t>
  </si>
  <si>
    <t>Insuga Finalizar tablero Margarina y Desodorizado</t>
  </si>
  <si>
    <t>Adrian Patriarca - 12/29/2025 09:13:23</t>
  </si>
  <si>
    <t>Renata Morano - 12/29/2025 14:23:15</t>
  </si>
  <si>
    <t>b55b33ec</t>
  </si>
  <si>
    <t>Adrian Patriarca - 12/29/2025 09:14:00</t>
  </si>
  <si>
    <t>Renata Morano - 12/30/2025 15:14:15</t>
  </si>
  <si>
    <t>21938fe3</t>
  </si>
  <si>
    <t>Integración ATC</t>
  </si>
  <si>
    <t>Renata Morano - 12/30/2025 15:25:39</t>
  </si>
  <si>
    <t>e427cc3d</t>
  </si>
  <si>
    <t>Reunión con Julio Club de Aguilas</t>
  </si>
  <si>
    <t>Adrian Patriarca - 12/29/2025 09:30:43</t>
  </si>
  <si>
    <t>54354ee3</t>
  </si>
  <si>
    <t>Adrian Patriarca - 12/29/2025 09:31:09</t>
  </si>
  <si>
    <t>599b1a69</t>
  </si>
  <si>
    <t>Adrian Patriarca - 12/29/2025 09:32:06</t>
  </si>
  <si>
    <t>5c6247c3</t>
  </si>
  <si>
    <t>Adrian Patriarca - 12/29/2025 11:35:12</t>
  </si>
  <si>
    <t>1f3e426f</t>
  </si>
  <si>
    <t>Incorporar Base de datos para numeros con y sin WhatsApp</t>
  </si>
  <si>
    <t>Adrian Patriarca - 12/30/2025 09:52:40</t>
  </si>
  <si>
    <t>051ac9cc</t>
  </si>
  <si>
    <t>Si no puedo avanzar con el tema de las facturas Avanzar con un asistente virtual para Cristian</t>
  </si>
  <si>
    <t>Adrian Patriarca - 12/31/2025 13:01:24</t>
  </si>
  <si>
    <t>ef8e0d11</t>
  </si>
  <si>
    <t>Adrian Patriarca - 12/29/2025 11:43:03</t>
  </si>
  <si>
    <t>Adrian Patriarca - 12/29/2025 11:44:39</t>
  </si>
  <si>
    <t>c4d83924</t>
  </si>
  <si>
    <t>Guillermo, ver bases de datos. Explicarle la sincronización</t>
  </si>
  <si>
    <t>Renata Morano - 12/29/2025 12:25:20</t>
  </si>
  <si>
    <t>8c0062d1</t>
  </si>
  <si>
    <t>Refri: sprint 2025/3 avance en un 50%. Quedan pendientes algunos puntos a ver en una próxima reunión.</t>
  </si>
  <si>
    <t>Felipe Duarte - 12/29/2025 13:38:30</t>
  </si>
  <si>
    <t>Felipe Duarte - 12/31/2025 09:40:46</t>
  </si>
  <si>
    <t>13c62d73</t>
  </si>
  <si>
    <t>DG app: migración del módulo de despachos a la nueva app.</t>
  </si>
  <si>
    <t>Felipe Duarte - 12/29/2025 13:39:03</t>
  </si>
  <si>
    <t>Felipe Duarte - 12/31/2025 09:41:09</t>
  </si>
  <si>
    <t>08ad430d</t>
  </si>
  <si>
    <t>Migración del detalle de despachos, match con la tabla actual detalle de pedidos, no fue directo, hubo que hacer algunas transformaciones de los datos.</t>
  </si>
  <si>
    <t>Felipe Duarte - 12/31/2025 09:43:09</t>
  </si>
  <si>
    <t>b864f0be</t>
  </si>
  <si>
    <t>DG proceso de compras</t>
  </si>
  <si>
    <t>Felipe Duarte - 12/31/2025 09:25:56</t>
  </si>
  <si>
    <t>b54206f9</t>
  </si>
  <si>
    <t>Felipe Duarte - 12/29/2025 13:52:54</t>
  </si>
  <si>
    <t>Felipe Duarte - 12/29/2025 13:53:39</t>
  </si>
  <si>
    <t>5245f491</t>
  </si>
  <si>
    <t>Felipe Duarte - 01/02/2026 08:11:22</t>
  </si>
  <si>
    <t>af77c8e7</t>
  </si>
  <si>
    <t>Escobar Sprint reunión 29/12</t>
  </si>
  <si>
    <t>Felipe Duarte - 12/29/2025 14:17:14</t>
  </si>
  <si>
    <t>Felipe Duarte - 01/05/2026 11:56:05</t>
  </si>
  <si>
    <t>dee23c29</t>
  </si>
  <si>
    <t>Copia de la app en desarrollo.apsol para evitar complicaciones si se bloquea la cuenta de appamipack. Se creó una copia compartiendo la misma base de datos y se compartieron además los templates, las tablas y las carpetas de los archivos.</t>
  </si>
  <si>
    <t>Felipe Duarte - 12/29/2025 19:17:30</t>
  </si>
  <si>
    <t>Felipe Duarte - 12/31/2025 09:28:42</t>
  </si>
  <si>
    <t>caac6804</t>
  </si>
  <si>
    <t>Envie el email a los candidatos</t>
  </si>
  <si>
    <t>Adrian Patriarca - 12/30/2025 09:48:32</t>
  </si>
  <si>
    <t>Adrian Patriarca - 12/30/2025 09:52:36</t>
  </si>
  <si>
    <t>c08104a6</t>
  </si>
  <si>
    <t>Finanzas consultora</t>
  </si>
  <si>
    <t>Adrian Patriarca - 12/30/2025 09:49:13</t>
  </si>
  <si>
    <t>e2125999</t>
  </si>
  <si>
    <t>Reunión c/ Renata - Sprint Escobar</t>
  </si>
  <si>
    <t>Felipe Duarte - 12/31/2025 09:24:55</t>
  </si>
  <si>
    <t>Felipe Duarte - 12/31/2025 09:14:29</t>
  </si>
  <si>
    <t>b5387fab</t>
  </si>
  <si>
    <t>DG observaciones reunión 30/12</t>
  </si>
  <si>
    <t>Felipe Duarte - 12/31/2025 09:25:30</t>
  </si>
  <si>
    <t>Felipe Duarte - 12/31/2025 09:14:37</t>
  </si>
  <si>
    <t>d8b9fcd1</t>
  </si>
  <si>
    <t>Migración app + reunión con Adrian, se expusieron los problemas de migrar la app a +10 usuarios, se encarga Adrian a partir de ahora.</t>
  </si>
  <si>
    <t>Felipe Duarte - 12/31/2025 09:27:18</t>
  </si>
  <si>
    <t>a2b7baeb</t>
  </si>
  <si>
    <t>Reunión de seguimiento: se comentaron los módulos migrados y algunos puntos pendientes, por ejemplo, el detalle de los despachos. 
Se planteó la posibilidad de incorporar las baterías en stock a la app de manera manual y algunos datos importantes que faltan en la tabla de clientes.</t>
  </si>
  <si>
    <t>Felipe Duarte - 12/31/2025 09:31:03</t>
  </si>
  <si>
    <t>Felipe Duarte - 12/29/2025 19:17:01</t>
  </si>
  <si>
    <t>94dec91d</t>
  </si>
  <si>
    <t>Felipe Duarte - 12/31/2025 09:31:29</t>
  </si>
  <si>
    <t>Felipe Duarte - 12/29/2025 13:54:21</t>
  </si>
  <si>
    <t>311c4a0b</t>
  </si>
  <si>
    <t>Reunión con Adrian: Plan de acción frente al posible bloqueo de la cuenta appamipack. Se dejaron plasmadas las ideas en el sprint "Migración App Amipack".</t>
  </si>
  <si>
    <t>Felipe Duarte - 12/31/2025 09:32:58</t>
  </si>
  <si>
    <t>3ba4cff6</t>
  </si>
  <si>
    <t>Validador de Numeros en base a BD</t>
  </si>
  <si>
    <t>Adrian Patriarca - 12/31/2025 09:53:25</t>
  </si>
  <si>
    <t>Adrian Patriarca - 12/31/2025 13:01:29</t>
  </si>
  <si>
    <t>fa0530eb</t>
  </si>
  <si>
    <t>Stock ATC</t>
  </si>
  <si>
    <t>Renata Morano - 12/31/2025 12:32:10</t>
  </si>
  <si>
    <t>2adc5a7e</t>
  </si>
  <si>
    <t>Armar Sprint con  Felipe</t>
  </si>
  <si>
    <t>Renata Morano - 12/31/2025 12:32:27</t>
  </si>
  <si>
    <t>5bf65eda</t>
  </si>
  <si>
    <t>Felipe Duarte - 01/02/2026 08:06:44</t>
  </si>
  <si>
    <t>fb7187a9</t>
  </si>
  <si>
    <t>Adrian Patriarca - 01/02/2026 08:30:05</t>
  </si>
  <si>
    <t>Felipe Duarte - 01/02/2026 15:44:50</t>
  </si>
  <si>
    <t>9e46cc27</t>
  </si>
  <si>
    <t>Felipe Duarte - 01/02/2026 08:46:02</t>
  </si>
  <si>
    <t>Felipe Duarte - 01/05/2026 11:58:09</t>
  </si>
  <si>
    <t>516407ed</t>
  </si>
  <si>
    <t>Felipe Duarte - 01/02/2026 08:46:40</t>
  </si>
  <si>
    <t>Felipe Duarte - 01/06/2026 17:19:56</t>
  </si>
  <si>
    <t>0c1c1b84</t>
  </si>
  <si>
    <t>Adrian Patriarca - 01/02/2026 10:09:58</t>
  </si>
  <si>
    <t>736214d2</t>
  </si>
  <si>
    <t>Adrian Patriarca - 01/02/2026 10:10:19</t>
  </si>
  <si>
    <t>7ab2b6e9</t>
  </si>
  <si>
    <t>Adrian Patriarca - 01/02/2026 10:33:52</t>
  </si>
  <si>
    <t>d9f7a019</t>
  </si>
  <si>
    <t>Migración App</t>
  </si>
  <si>
    <t>Adrian Patriarca - 01/02/2026 18:11:29</t>
  </si>
  <si>
    <t>c1c83ed2</t>
  </si>
  <si>
    <t>Notificaciones Amipack</t>
  </si>
  <si>
    <t>Adrian Patriarca - 01/03/2026 12:05:24</t>
  </si>
  <si>
    <t>Adrian Patriarca - 01/06/2026 15:25:05</t>
  </si>
  <si>
    <t>e6b7f04d</t>
  </si>
  <si>
    <t>Nueva plantilla</t>
  </si>
  <si>
    <t>Adrian Patriarca - 01/05/2026 08:09:02</t>
  </si>
  <si>
    <t>Adrian Patriarca - 01/05/2026 10:14:36</t>
  </si>
  <si>
    <t>1e93ba75</t>
  </si>
  <si>
    <t>Corregir sprint de Felipe y dejar todo listo para la implementación</t>
  </si>
  <si>
    <t>Renata Morano - 01/05/2026 08:10:30</t>
  </si>
  <si>
    <t>Renata Morano - 01/05/2026 10:50:55</t>
  </si>
  <si>
    <t>4dde4f6e</t>
  </si>
  <si>
    <t>Solucionar problema pedidos + vista de los que no estan vinculados</t>
  </si>
  <si>
    <t>Renata Morano - 01/05/2026 08:11:25</t>
  </si>
  <si>
    <t>Renata Morano - 01/05/2026 14:11:05</t>
  </si>
  <si>
    <t>70a0b4ff</t>
  </si>
  <si>
    <t>Cambios de estados y generar pedidos nuevos en base a los faltantes</t>
  </si>
  <si>
    <t>Renata Morano - 01/05/2026 08:12:00</t>
  </si>
  <si>
    <t>Renata Morano - 01/06/2026 14:29:11</t>
  </si>
  <si>
    <t>d8c79e0a</t>
  </si>
  <si>
    <t>Acomodar estados en base a lo dicho por Eduardo</t>
  </si>
  <si>
    <t>Renata Morano - 01/05/2026 08:33:48</t>
  </si>
  <si>
    <t>Renata Morano - 01/05/2026 10:50:44</t>
  </si>
  <si>
    <t>655fc859</t>
  </si>
  <si>
    <t>DG: valid if en tabla traslados para restringir movimientos</t>
  </si>
  <si>
    <t>Felipe Duarte - 01/05/2026 11:56:32</t>
  </si>
  <si>
    <t>1f6535c1</t>
  </si>
  <si>
    <t>DG: cargar de códigos de barra en stock al 31/12 y revisión de la tabla traslados, inconsistencias en la acción de preparar logística. Ver documento.</t>
  </si>
  <si>
    <t>Felipe Duarte - 01/05/2026 11:57:57</t>
  </si>
  <si>
    <t>cd74f613</t>
  </si>
  <si>
    <t>Sprint 12: cosas a corregir</t>
  </si>
  <si>
    <t>Felipe Duarte - 01/05/2026 11:58:50</t>
  </si>
  <si>
    <t>571b57fd</t>
  </si>
  <si>
    <t>Configuración de los pedidos no completos (Cartel + cantidades)</t>
  </si>
  <si>
    <t>Renata Morano - 01/05/2026 14:10:22</t>
  </si>
  <si>
    <t>Renata Morano - 01/05/2026 14:19:30</t>
  </si>
  <si>
    <t>beaad3f3</t>
  </si>
  <si>
    <t>Describir los workflow y dejarles funcional lo que esta</t>
  </si>
  <si>
    <t>Renata Morano - 01/05/2026 14:10:45</t>
  </si>
  <si>
    <t>Renata Morano - 01/06/2026 14:28:27</t>
  </si>
  <si>
    <t>8206953a</t>
  </si>
  <si>
    <t>Adrian Patriarca - 01/06/2026 10:27:14</t>
  </si>
  <si>
    <t>Adrian Patriarca - 01/06/2026 12:56:15</t>
  </si>
  <si>
    <t>2befa9c9</t>
  </si>
  <si>
    <t>Adrian Patriarca - 01/06/2026 12:56:20</t>
  </si>
  <si>
    <t>51157a84</t>
  </si>
  <si>
    <t>Selección de Personal</t>
  </si>
  <si>
    <t>Adrian Patriarca - 01/06/2026 12:19:49</t>
  </si>
  <si>
    <t>2fabb178</t>
  </si>
  <si>
    <t>Selección de personal</t>
  </si>
  <si>
    <t>Adrian Patriarca - 01/06/2026 12:20:12</t>
  </si>
  <si>
    <t>c3ba4d0c</t>
  </si>
  <si>
    <t>Instalación de AA en oficina</t>
  </si>
  <si>
    <t>Adrian Patriarca - 01/07/2026 16:21:44</t>
  </si>
  <si>
    <t>2de46779</t>
  </si>
  <si>
    <t>Adrian Patriarca - 01/08/2026 16:10:55</t>
  </si>
  <si>
    <t>16d4ce2c</t>
  </si>
  <si>
    <t>Entrevistas de Selección</t>
  </si>
  <si>
    <t>Adrian Patriarca - 01/06/2026 12:24:10</t>
  </si>
  <si>
    <t>Adrian Patriarca - 01/06/2026 12:33:25</t>
  </si>
  <si>
    <t>95b93c70</t>
  </si>
  <si>
    <t>Entrevista Santiago</t>
  </si>
  <si>
    <t>Adrian Patriarca - 01/06/2026 12:24:51</t>
  </si>
  <si>
    <t>M1-01</t>
  </si>
  <si>
    <t>M2-01</t>
  </si>
  <si>
    <t>M3-01</t>
  </si>
  <si>
    <t>M6-01</t>
  </si>
  <si>
    <t>M7-01</t>
  </si>
  <si>
    <t>M8-01</t>
  </si>
  <si>
    <t>M9-01</t>
  </si>
  <si>
    <t>cef66e38</t>
  </si>
  <si>
    <t>Amipack problema en RQI</t>
  </si>
  <si>
    <t>Felipe Duarte - 01/06/2026 13:36:49</t>
  </si>
  <si>
    <t>Felipe Duarte - 01/06/2026 14:43:49</t>
  </si>
  <si>
    <t>f05f8a49</t>
  </si>
  <si>
    <t>DG app - ver módulo compras y lo que surja en la reunión del 05/01.</t>
  </si>
  <si>
    <t>Felipe Duarte - 01/06/2026 13:37:43</t>
  </si>
  <si>
    <t>Adrian Patriarca - 01/06/2026 16:22:20</t>
  </si>
  <si>
    <t>e0a3f51a</t>
  </si>
  <si>
    <t>PDF inventario</t>
  </si>
  <si>
    <t>Felipe Duarte - 01/06/2026 13:39:28</t>
  </si>
  <si>
    <t>Felipe Duarte - 01/09/2026 16:08:59</t>
  </si>
  <si>
    <t>db58351e</t>
  </si>
  <si>
    <t>Adrian Patriarca - 01/06/2026 13:47:37</t>
  </si>
  <si>
    <t>Adrian Patriarca - 01/07/2026 16:21:57</t>
  </si>
  <si>
    <t>eec8f661</t>
  </si>
  <si>
    <t>Refri verificación de lo que mandó Vale al grupo</t>
  </si>
  <si>
    <t>Felipe Duarte - 01/06/2026 14:44:27</t>
  </si>
  <si>
    <t>8542a020</t>
  </si>
  <si>
    <t>Correcion n8n errores con los pedidos que vienen del sistema en estado 0.0</t>
  </si>
  <si>
    <t>Renata Morano - 01/06/2026 15:35:43</t>
  </si>
  <si>
    <t>d667f656</t>
  </si>
  <si>
    <t>DG: reunión de seguimiento</t>
  </si>
  <si>
    <t>Felipe Duarte - 01/06/2026 17:20:32</t>
  </si>
  <si>
    <t>Adrian Patriarca - 01/06/2026 16:22:05</t>
  </si>
  <si>
    <t>9518426c</t>
  </si>
  <si>
    <t>Nation Problema con Sharepoint</t>
  </si>
  <si>
    <t>Adrian Patriarca - 01/07/2026 16:24:17</t>
  </si>
  <si>
    <t>Adrian Patriarca - 01/08/2026 14:09:26</t>
  </si>
  <si>
    <t>0a3998fc</t>
  </si>
  <si>
    <t>Felipe Duarte - 01/08/2026 13:36:40</t>
  </si>
  <si>
    <t>Felipe Duarte - 01/10/2026 13:18:30</t>
  </si>
  <si>
    <t>c3685695</t>
  </si>
  <si>
    <t>Reemplazo sharepoint</t>
  </si>
  <si>
    <t>Felipe Duarte - 01/08/2026 14:07:53</t>
  </si>
  <si>
    <t>Felipe Duarte - 01/08/2026 19:32:31</t>
  </si>
  <si>
    <t>b87c31ab</t>
  </si>
  <si>
    <t>Lo que se hizo fue actualizar el metodo de actualización de información de Nation Pasando de Sharepoint a N8N</t>
  </si>
  <si>
    <t>Adrian Patriarca - 01/08/2026 14:10:19</t>
  </si>
  <si>
    <t>Adrian Patriarca - 01/08/2026 14:37:35</t>
  </si>
  <si>
    <t>42cf2c7e</t>
  </si>
  <si>
    <t>Adrian Patriarca - 01/08/2026 14:19:07</t>
  </si>
  <si>
    <t>840afeab</t>
  </si>
  <si>
    <t>Reparación de errores de flujo</t>
  </si>
  <si>
    <t>Adrian Patriarca - 01/08/2026 16:11:37</t>
  </si>
  <si>
    <t>Adrian Patriarca - 01/08/2026 20:43:40</t>
  </si>
  <si>
    <t>764f52a6</t>
  </si>
  <si>
    <t>REFRI</t>
  </si>
  <si>
    <t>Felipe Duarte - 01/08/2026 19:33:16</t>
  </si>
  <si>
    <t>Felipe Duarte - 01/09/2026 16:08:06</t>
  </si>
  <si>
    <t>f48520c6</t>
  </si>
  <si>
    <t>Sprint reunión 09/01</t>
  </si>
  <si>
    <t>Felipe Duarte - 01/09/2026 16:08:38</t>
  </si>
  <si>
    <t>Felipe Duarte - 01/10/2026 13:18:36</t>
  </si>
  <si>
    <t>5ffbf520</t>
  </si>
  <si>
    <t>Dudas Eva</t>
  </si>
  <si>
    <t>Felipe Duarte - 01/09/2026 16:09:15</t>
  </si>
  <si>
    <t>a48ef922</t>
  </si>
  <si>
    <t>Felipe Duarte - 01/09/2026 16:09:40</t>
  </si>
  <si>
    <t>Felipe Duarte - 01/08/2026 19:34:31</t>
  </si>
  <si>
    <t>a5894c8d</t>
  </si>
  <si>
    <t>LIBRE</t>
  </si>
  <si>
    <t>Felipe Duarte - 01/10/2026 11:07:21</t>
  </si>
  <si>
    <t>a2e79967</t>
  </si>
  <si>
    <t>Felipe Duarte - 01/10/2026 11:07:30</t>
  </si>
  <si>
    <t>9b5e34fa</t>
  </si>
  <si>
    <t>Felipe Duarte - 01/10/2026 11:07:37</t>
  </si>
  <si>
    <t>74a44147</t>
  </si>
  <si>
    <t>Felipe Duarte - 01/10/2026 11:07:46</t>
  </si>
  <si>
    <t>f6085ed6</t>
  </si>
  <si>
    <t>Felipe Duarte - 01/10/2026 11:07:54</t>
  </si>
  <si>
    <t>ee2e6d23</t>
  </si>
  <si>
    <t>Migración de la App</t>
  </si>
  <si>
    <t>Adrian Patriarca - 01/12/2026 08:45:47</t>
  </si>
  <si>
    <t>Adrian Patriarca - 01/12/2026 11:10:06</t>
  </si>
  <si>
    <t>da015e76</t>
  </si>
  <si>
    <t>Mantenimiento App Amipack</t>
  </si>
  <si>
    <t>Adrian Patriarca - 01/12/2026 11:10:39</t>
  </si>
  <si>
    <t>f658adac</t>
  </si>
  <si>
    <t>Reunión por "Notificaciones App" Amipack</t>
  </si>
  <si>
    <t>Adrian Patriarca - 01/12/2026 11:12:18</t>
  </si>
  <si>
    <t>e91cf60c</t>
  </si>
  <si>
    <t>Gestion A full</t>
  </si>
  <si>
    <t>Adrian Patriarca - 01/12/2026 11:13:29</t>
  </si>
  <si>
    <t>733cfafc</t>
  </si>
  <si>
    <t>Tablero EERR – Insuga e Insuga Chaco - PRESENCIAL</t>
  </si>
  <si>
    <t>Adrian Patriarca - 01/12/2026 13:02:16</t>
  </si>
  <si>
    <t>Adrian Patriarca - 01/20/2026 12:47:40</t>
  </si>
  <si>
    <t>9e7f33c1</t>
  </si>
  <si>
    <t>Adrian Patriarca - 01/12/2026 13:46:58</t>
  </si>
  <si>
    <t>Adrian Patriarca - 01/16/2026 17:27:48</t>
  </si>
  <si>
    <t>339e89ef</t>
  </si>
  <si>
    <t>Hacer todo lo pendiente del Laboratorio</t>
  </si>
  <si>
    <t>Adrian Patriarca - 01/12/2026 13:47:35</t>
  </si>
  <si>
    <t>Adrian Patriarca - 01/16/2026 13:36:51</t>
  </si>
  <si>
    <t>b6ae9f4d</t>
  </si>
  <si>
    <t>Plantillas nuevas, tratar de que haya plantillas en Utility, Empezar App de gestión para Antonella, Comunicarse con el del sistema</t>
  </si>
  <si>
    <t>Adrian Patriarca - 01/13/2026 12:02:53</t>
  </si>
  <si>
    <t>741ed279</t>
  </si>
  <si>
    <t>Hacer lo que me dijo Martin de las cubiertas</t>
  </si>
  <si>
    <t>Adrian Patriarca - 01/12/2026 13:52:58</t>
  </si>
  <si>
    <t>0bfb7acd</t>
  </si>
  <si>
    <t>Gestión, Dani presman, Plan 2026 + Plan Trimestral</t>
  </si>
  <si>
    <t>Adrian Patriarca - 01/13/2026 15:56:05</t>
  </si>
  <si>
    <t>33b00aef</t>
  </si>
  <si>
    <t>Reunión con Renata por el Cronograma</t>
  </si>
  <si>
    <t>Adrian Patriarca - 01/12/2026 13:53:34</t>
  </si>
  <si>
    <t>Adrian Patriarca - 01/13/2026 09:52:54</t>
  </si>
  <si>
    <t>4ac28183</t>
  </si>
  <si>
    <t>Terminar Tableros</t>
  </si>
  <si>
    <t>Adrian Patriarca - 01/12/2026 14:00:39</t>
  </si>
  <si>
    <t>Renata Morano - 01/14/2026 13:26:39</t>
  </si>
  <si>
    <t>cdcbf00e</t>
  </si>
  <si>
    <t>Adrian Patriarca - 01/12/2026 14:00:46</t>
  </si>
  <si>
    <t>Renata Morano - 01/15/2026 08:38:48</t>
  </si>
  <si>
    <t>89289b86</t>
  </si>
  <si>
    <t>Adrian Patriarca - 01/12/2026 14:01:32</t>
  </si>
  <si>
    <t>Renata Morano - 01/16/2026 13:53:41</t>
  </si>
  <si>
    <t>ed1c9990</t>
  </si>
  <si>
    <t>Arreglo de Error descarga de facturas</t>
  </si>
  <si>
    <t>Adrian Patriarca - 01/13/2026 12:03:48</t>
  </si>
  <si>
    <t>c1589c42</t>
  </si>
  <si>
    <t>Renata Morano - 01/13/2026 13:18:34</t>
  </si>
  <si>
    <t>3c0d9128</t>
  </si>
  <si>
    <t>Mails + preguntas</t>
  </si>
  <si>
    <t>Renata Morano - 01/13/2026 13:18:46</t>
  </si>
  <si>
    <t>65eaac1a</t>
  </si>
  <si>
    <t>Solucionar inconvenientes n8n (fechas y horas)</t>
  </si>
  <si>
    <t>Renata Morano - 01/13/2026 13:19:26</t>
  </si>
  <si>
    <t>Renata Morano - 01/13/2026 13:20:42</t>
  </si>
  <si>
    <t>e599820a</t>
  </si>
  <si>
    <t>Reparación de error ATC</t>
  </si>
  <si>
    <t>Adrian Patriarca - 01/13/2026 15:56:01</t>
  </si>
  <si>
    <t>e85654e1</t>
  </si>
  <si>
    <t>Realización de contrato y entrega de las cosas a Santiago</t>
  </si>
  <si>
    <t>Adrian Patriarca - 01/14/2026 08:30:02</t>
  </si>
  <si>
    <t>7dcb5431</t>
  </si>
  <si>
    <t>Calculo de consumo de cubiertas</t>
  </si>
  <si>
    <t>Adrian Patriarca - 01/14/2026 08:55:06</t>
  </si>
  <si>
    <t>d6c8dda6</t>
  </si>
  <si>
    <t>Agregar lineas a Conexion Market</t>
  </si>
  <si>
    <t>Adrian Patriarca - 01/14/2026 09:12:00</t>
  </si>
  <si>
    <t>Adrian Patriarca - 01/14/2026 10:41:37</t>
  </si>
  <si>
    <t>ec286f10</t>
  </si>
  <si>
    <t>Vimos con Renata como encarar el tema de la Agencia de Viajes</t>
  </si>
  <si>
    <t>Adrian Patriarca - 01/14/2026 10:42:54</t>
  </si>
  <si>
    <t>cd248544</t>
  </si>
  <si>
    <t>Ajuste de hs porque en el periodo anterior Refri consumió 28.25 hs y se le cobraron 20 hs. Los días y horarios de trabajo originales son.
- 15/12 &gt;&gt; 13:30 a 15:00
- 17/12 &gt;&gt; 13:00 a 15:00
- 17/12 &gt;&gt; 16:30 a 18:30
- 18/12 &gt;&gt; 14:00 a 15:30 
- 18/12 &gt;&gt; 17:00 a 18:00
Todas horas entregadas por Felipe</t>
  </si>
  <si>
    <t>Adrian Patriarca - 01/14/2026 11:55:21</t>
  </si>
  <si>
    <t>2c14d526</t>
  </si>
  <si>
    <t>Adrian Patriarca - 01/14/2026 12:53:33</t>
  </si>
  <si>
    <t>Adrian Patriarca - 01/14/2026 12:53:44</t>
  </si>
  <si>
    <t>eda81da0</t>
  </si>
  <si>
    <t>Notificaciones + Plantillas</t>
  </si>
  <si>
    <t>Adrian Patriarca - 01/14/2026 12:55:53</t>
  </si>
  <si>
    <t>Adrian Patriarca - 01/14/2026 15:44:33</t>
  </si>
  <si>
    <t>e3d0de92</t>
  </si>
  <si>
    <t>Agencia, reunión con Adrian + hablar con Julieta  y Andrea</t>
  </si>
  <si>
    <t>Renata Morano - 01/14/2026 13:26:20</t>
  </si>
  <si>
    <t>Renata Morano - 01/14/2026 13:26:44</t>
  </si>
  <si>
    <t>b65696b6</t>
  </si>
  <si>
    <t>Renata Morano - 01/14/2026 13:26:54</t>
  </si>
  <si>
    <t>Renata Morano - 01/14/2026 13:24:22</t>
  </si>
  <si>
    <t>94a8c807</t>
  </si>
  <si>
    <t>Reunión presencial en Insuga</t>
  </si>
  <si>
    <t>Renata Morano - 01/14/2026 13:27:59</t>
  </si>
  <si>
    <t>4841d199</t>
  </si>
  <si>
    <t>Calcular el valor de los activos</t>
  </si>
  <si>
    <t>Renata Morano - 01/14/2026 14:31:19</t>
  </si>
  <si>
    <t>5f9b9aac</t>
  </si>
  <si>
    <t>Preventivos</t>
  </si>
  <si>
    <t>Renata Morano - 01/14/2026 14:31:48</t>
  </si>
  <si>
    <t>8651fb57</t>
  </si>
  <si>
    <t>- Flujos a lineas recuperadas para Recontacto
		○ Agregar pestañas
		○ Agregar flujos
		○ Probar
	- Nuevas plantillas para contactar tras un fin de semana
Notificaciones vía Ntfy</t>
  </si>
  <si>
    <t>Adrian Patriarca - 01/14/2026 16:37:25</t>
  </si>
  <si>
    <t>Adrian Patriarca - 01/14/2026 19:11:31</t>
  </si>
  <si>
    <t>6fe8271c</t>
  </si>
  <si>
    <t>Finalización de nuevas plantillas, Notificaciones Ntfy, y detección de estado de cuenta</t>
  </si>
  <si>
    <t>Adrian Patriarca - 01/15/2026 08:31:14</t>
  </si>
  <si>
    <t>Adrian Patriarca - 01/15/2026 09:29:06</t>
  </si>
  <si>
    <t>9012c7f2</t>
  </si>
  <si>
    <t>Renata Morano - 01/15/2026 08:39:06</t>
  </si>
  <si>
    <t>3bd62110</t>
  </si>
  <si>
    <t>Creación de un usuario de Nation Marketing mas mantenimiento de Tableros</t>
  </si>
  <si>
    <t>Adrian Patriarca - 01/15/2026 11:31:21</t>
  </si>
  <si>
    <t>358abcc6</t>
  </si>
  <si>
    <t>Reunión con Andrea</t>
  </si>
  <si>
    <t>Renata Morano - 01/15/2026 11:40:56</t>
  </si>
  <si>
    <t>Renata Morano - 01/16/2026 13:54:05</t>
  </si>
  <si>
    <t>73b32750</t>
  </si>
  <si>
    <t>Reunión con Andrea (OTRV)</t>
  </si>
  <si>
    <t>Renata Morano - 01/15/2026 13:57:51</t>
  </si>
  <si>
    <t>Adrian Patriarca - 01/16/2026 13:37:25</t>
  </si>
  <si>
    <t>7cc8300d</t>
  </si>
  <si>
    <t>Renata Morano - 01/16/2026 13:12:55</t>
  </si>
  <si>
    <t>Renata Morano - 01/20/2026 08:03:32</t>
  </si>
  <si>
    <t>76d2b748</t>
  </si>
  <si>
    <t>Renata Morano - 01/16/2026 13:13:16</t>
  </si>
  <si>
    <t>f6bb8b03</t>
  </si>
  <si>
    <t>Reunirnos con Adrian a diseñar los tableros (recordarselo)</t>
  </si>
  <si>
    <t>Renata Morano - 01/20/2026 08:03:27</t>
  </si>
  <si>
    <t>b05adbf3</t>
  </si>
  <si>
    <t>Modulo de Dogma</t>
  </si>
  <si>
    <t>Renata Morano - 01/16/2026 13:23:59</t>
  </si>
  <si>
    <t>94284a52</t>
  </si>
  <si>
    <t>Tableros de Escobar</t>
  </si>
  <si>
    <t>Renata Morano - 01/22/2026 14:03:56</t>
  </si>
  <si>
    <t>7fb9b272</t>
  </si>
  <si>
    <t>Renata Morano - 01/16/2026 13:27:18</t>
  </si>
  <si>
    <t>Renata Morano - 01/23/2026 12:55:01</t>
  </si>
  <si>
    <t>776904fc</t>
  </si>
  <si>
    <t>Adrian Patriarca - 01/16/2026 13:37:15</t>
  </si>
  <si>
    <t>4aefb8d8</t>
  </si>
  <si>
    <t>Reunión con Adrian (planificación de semana)</t>
  </si>
  <si>
    <t>Renata Morano - 01/16/2026 13:54:22</t>
  </si>
  <si>
    <t>65575fc6</t>
  </si>
  <si>
    <t>Adrian Patriarca - 01/16/2026 17:26:57</t>
  </si>
  <si>
    <t>b191eda2</t>
  </si>
  <si>
    <t>Adrian Patriarca - 01/16/2026 17:28:17</t>
  </si>
  <si>
    <t>49d23e84</t>
  </si>
  <si>
    <t>Armado de Sprint App + Tablero de control</t>
  </si>
  <si>
    <t>Adrian Patriarca - 01/19/2026 10:01:17</t>
  </si>
  <si>
    <t>Adrian Patriarca - 01/19/2026 12:22:04</t>
  </si>
  <si>
    <t>0fa167b1</t>
  </si>
  <si>
    <t>Adrian Patriarca - 01/19/2026 12:23:59</t>
  </si>
  <si>
    <t>a2819c4d</t>
  </si>
  <si>
    <t>Adrian Patriarca - 01/19/2026 12:58:52</t>
  </si>
  <si>
    <t>Adrian Patriarca - 01/19/2026 17:33:43</t>
  </si>
  <si>
    <t>fb5cc9b6</t>
  </si>
  <si>
    <t>Problema con los preventivos, al parecer se duplican. Ver con Emmanuel</t>
  </si>
  <si>
    <t>Felipe Duarte - 01/19/2026 15:42:24</t>
  </si>
  <si>
    <t>a7d5980b</t>
  </si>
  <si>
    <t>Reunión Cristian - Notificaciones App</t>
  </si>
  <si>
    <t>Felipe Duarte - 01/19/2026 15:42:58</t>
  </si>
  <si>
    <t>dbab39d2</t>
  </si>
  <si>
    <t>Problema con los nombres en los RQI</t>
  </si>
  <si>
    <t>Felipe Duarte - 01/19/2026 15:43:24</t>
  </si>
  <si>
    <t>Adrian Patriarca - 01/19/2026 18:21:23</t>
  </si>
  <si>
    <t>79861d33</t>
  </si>
  <si>
    <t>Reunión de inicio, Open Pack</t>
  </si>
  <si>
    <t>Adrian Patriarca - 01/19/2026 16:13:14</t>
  </si>
  <si>
    <t>c6a96e51</t>
  </si>
  <si>
    <t>Avanzar con Sprint Amipack</t>
  </si>
  <si>
    <t>Adrian Patriarca - 01/19/2026 18:22:22</t>
  </si>
  <si>
    <t>c741834f</t>
  </si>
  <si>
    <t>Armar Sprint de DG con Adrian</t>
  </si>
  <si>
    <t>Adrian Patriarca - 01/19/2026 18:22:55</t>
  </si>
  <si>
    <t>b5b55c8f</t>
  </si>
  <si>
    <t>Dg Sprint realizado con Adrian</t>
  </si>
  <si>
    <t>Adrian Patriarca - 01/19/2026 18:25:43</t>
  </si>
  <si>
    <t>62a7f371</t>
  </si>
  <si>
    <t>Adrian Patriarca - 01/19/2026 18:26:11</t>
  </si>
  <si>
    <t>Felipe Duarte - 01/22/2026 15:21:08</t>
  </si>
  <si>
    <t>836a5c58</t>
  </si>
  <si>
    <t>Ver pedido de Vale (video)</t>
  </si>
  <si>
    <t>Adrian Patriarca - 01/19/2026 18:27:36</t>
  </si>
  <si>
    <t>Felipe Duarte - 01/22/2026 15:21:32</t>
  </si>
  <si>
    <t>6c0e011e</t>
  </si>
  <si>
    <t>Sprint 13 Escobar</t>
  </si>
  <si>
    <t>Adrian Patriarca - 01/19/2026 18:27:53</t>
  </si>
  <si>
    <t>Felipe Duarte - 01/24/2026 07:59:49</t>
  </si>
  <si>
    <t>b19d2ba0</t>
  </si>
  <si>
    <t>Sprint con Felipe</t>
  </si>
  <si>
    <t>Adrian Patriarca - 01/19/2026 18:59:29</t>
  </si>
  <si>
    <t>7ad8860b</t>
  </si>
  <si>
    <t>Terminar con el Informe del laboratorio</t>
  </si>
  <si>
    <t>Adrian Patriarca - 01/19/2026 19:01:28</t>
  </si>
  <si>
    <t>Adrian Patriarca - 01/20/2026 12:47:00</t>
  </si>
  <si>
    <t>b714cc59</t>
  </si>
  <si>
    <t>Adrian Patriarca - 01/20/2026 10:32:25</t>
  </si>
  <si>
    <t>7a9e5077</t>
  </si>
  <si>
    <t>Adrian Patriarca - 01/20/2026 12:47:33</t>
  </si>
  <si>
    <t>cf36eb9d</t>
  </si>
  <si>
    <t>Reunión mostrar modulo DOGMA</t>
  </si>
  <si>
    <t>Renata Morano - 01/20/2026 13:24:14</t>
  </si>
  <si>
    <t>Renata Morano - 01/23/2026 12:55:06</t>
  </si>
  <si>
    <t>9bb05108</t>
  </si>
  <si>
    <t>Reunión Gonzalo Tablero costos chaco</t>
  </si>
  <si>
    <t>Adrian Patriarca - 02/13/2026 11:33:32</t>
  </si>
  <si>
    <t>cc88737d</t>
  </si>
  <si>
    <t>Reunión ISAA</t>
  </si>
  <si>
    <t>Renata Morano - 01/21/2026 13:02:48</t>
  </si>
  <si>
    <t>Renata Morano - 01/23/2026 12:54:25</t>
  </si>
  <si>
    <t>ee551684</t>
  </si>
  <si>
    <t>Adrian Patriarca - 01/22/2026 01:04:03</t>
  </si>
  <si>
    <t>9aa0b664</t>
  </si>
  <si>
    <t>Adrian Patriarca - 01/22/2026 01:04:12</t>
  </si>
  <si>
    <t>2f3212e1</t>
  </si>
  <si>
    <t>Adrian Patriarca - 01/22/2026 01:04:23</t>
  </si>
  <si>
    <t>99aa2833</t>
  </si>
  <si>
    <t>Modulo de Dogma + mejoras</t>
  </si>
  <si>
    <t>Renata Morano - 01/22/2026 14:04:12</t>
  </si>
  <si>
    <t>419aac83</t>
  </si>
  <si>
    <t>Corrección y video</t>
  </si>
  <si>
    <t>Felipe Duarte - 01/23/2026 14:28:00</t>
  </si>
  <si>
    <t>125d5b5a</t>
  </si>
  <si>
    <t>Corrección tablero cantidades vendidas</t>
  </si>
  <si>
    <t>Felipe Duarte - 01/23/2026 15:36:37</t>
  </si>
  <si>
    <t>3132dc8b</t>
  </si>
  <si>
    <t>Sprint 13</t>
  </si>
  <si>
    <t>Felipe Duarte - 01/24/2026 08:02:51</t>
  </si>
  <si>
    <t>Felipe Duarte - 01/24/2026 14:00:49</t>
  </si>
  <si>
    <t>5d6780eb</t>
  </si>
  <si>
    <t>Tablero Abastecimiento</t>
  </si>
  <si>
    <t>Renata Morano - 01/26/2026 08:01:44</t>
  </si>
  <si>
    <t>Renata Morano - 01/26/2026 13:55:00</t>
  </si>
  <si>
    <t>e59189f1</t>
  </si>
  <si>
    <t>Renata Morano - 01/26/2026 11:11:37</t>
  </si>
  <si>
    <t>Renata Morano - 01/26/2026 13:54:55</t>
  </si>
  <si>
    <t>f6a912fd</t>
  </si>
  <si>
    <t>Renata Morano - 01/26/2026 11:47:15</t>
  </si>
  <si>
    <t>Renata Morano - 01/27/2026 14:06:19</t>
  </si>
  <si>
    <t>d382ab39</t>
  </si>
  <si>
    <t>Renata Morano - 01/26/2026 11:48:39</t>
  </si>
  <si>
    <t>Renata Morano - 01/28/2026 12:23:22</t>
  </si>
  <si>
    <t>46aa50a7</t>
  </si>
  <si>
    <t>Ticket Cristian (validar calidad) y sprint 1_2026</t>
  </si>
  <si>
    <t>Felipe Duarte - 01/26/2026 14:23:46</t>
  </si>
  <si>
    <t>7ae30a94</t>
  </si>
  <si>
    <t>Ticket Martin visita finalizada</t>
  </si>
  <si>
    <t>Felipe Duarte - 01/26/2026 14:23:40</t>
  </si>
  <si>
    <t>a2e8a8ad</t>
  </si>
  <si>
    <t>Inicio en APSOL, capacitación en Appsheet.</t>
  </si>
  <si>
    <t>Adrian Patriarca - 01/27/2026 12:15:57</t>
  </si>
  <si>
    <t>Adrian Patriarca - 01/27/2026 12:16:25</t>
  </si>
  <si>
    <t>ad28872d</t>
  </si>
  <si>
    <t>Capacitación Appsheet</t>
  </si>
  <si>
    <t>Adrian Patriarca - 01/27/2026 12:16:48</t>
  </si>
  <si>
    <t>4b5ede59</t>
  </si>
  <si>
    <t>Adrian Patriarca - 01/27/2026 12:17:21</t>
  </si>
  <si>
    <t>5d12d792</t>
  </si>
  <si>
    <t>Adrian Patriarca - 01/27/2026 12:17:29</t>
  </si>
  <si>
    <t>86d5bc91</t>
  </si>
  <si>
    <t>Adrian Patriarca - 01/27/2026 12:17:37</t>
  </si>
  <si>
    <t>aa0c5333</t>
  </si>
  <si>
    <t>Capacitación N8N</t>
  </si>
  <si>
    <t>Adrian Patriarca - 01/27/2026 12:19:19</t>
  </si>
  <si>
    <t>Adrian Patriarca - 02/03/2026 14:56:32</t>
  </si>
  <si>
    <t>f98a7f77</t>
  </si>
  <si>
    <t>Adrian Patriarca - 01/27/2026 12:19:47</t>
  </si>
  <si>
    <t>227d7be0</t>
  </si>
  <si>
    <t>Adrian Patriarca - 01/27/2026 12:20:16</t>
  </si>
  <si>
    <t>162e6d89</t>
  </si>
  <si>
    <t>Finalización Capacitación N8N</t>
  </si>
  <si>
    <t>Adrian Patriarca - 01/27/2026 12:21:14</t>
  </si>
  <si>
    <t>Adrian Patriarca - 02/03/2026 14:56:37</t>
  </si>
  <si>
    <t>c5c2e576</t>
  </si>
  <si>
    <t>Ver el modulo de DOGMA</t>
  </si>
  <si>
    <t>Renata Morano - 01/27/2026 13:44:54</t>
  </si>
  <si>
    <t>Renata Morano - 01/27/2026 14:06:14</t>
  </si>
  <si>
    <t>d44dcf72</t>
  </si>
  <si>
    <t>Terminar de acomodar Wetravel (cambios de precios) + dogma para el lanzamiento</t>
  </si>
  <si>
    <t>Renata Morano - 01/27/2026 13:54:20</t>
  </si>
  <si>
    <t>Renata Morano - 01/28/2026 13:48:16</t>
  </si>
  <si>
    <t>98042459</t>
  </si>
  <si>
    <t>Ticket Valeria pago no registrado</t>
  </si>
  <si>
    <t>Felipe Duarte - 01/27/2026 14:02:09</t>
  </si>
  <si>
    <t>Felipe Duarte - 01/27/2026 15:02:58</t>
  </si>
  <si>
    <t>9d74ec8b</t>
  </si>
  <si>
    <t>Sprint 1_2026 notificaciones</t>
  </si>
  <si>
    <t>Felipe Duarte - 01/27/2026 17:55:26</t>
  </si>
  <si>
    <t>b0a8ce62</t>
  </si>
  <si>
    <t>App según observaciones reunión previa (27/01) - Modificaciones en códigos de barra enviadas por Selene</t>
  </si>
  <si>
    <t>Felipe Duarte - 01/27/2026 14:04:28</t>
  </si>
  <si>
    <t>Adrian Patriarca - 01/29/2026 17:51:36</t>
  </si>
  <si>
    <t>6b5dbf6b</t>
  </si>
  <si>
    <t>Felipe Duarte - 01/27/2026 14:04:51</t>
  </si>
  <si>
    <t>ba7d25d4</t>
  </si>
  <si>
    <t>Amipack finalizar sprint 1_2026</t>
  </si>
  <si>
    <t>Felipe Duarte - 01/29/2026 14:47:31</t>
  </si>
  <si>
    <t>02071b9d</t>
  </si>
  <si>
    <t>Terminar Sprint1_2026</t>
  </si>
  <si>
    <t>Felipe Duarte - 01/30/2026 15:10:25</t>
  </si>
  <si>
    <t>0fcbdc13</t>
  </si>
  <si>
    <t>Adrian Patriarca - 01/28/2026 11:58:04</t>
  </si>
  <si>
    <t>38443da7</t>
  </si>
  <si>
    <t>Adrian Patriarca - 01/28/2026 11:58:14</t>
  </si>
  <si>
    <t>073b89ab</t>
  </si>
  <si>
    <t>Adrian Patriarca - 01/28/2026 12:00:06</t>
  </si>
  <si>
    <t>1e855ae2</t>
  </si>
  <si>
    <t>Reunión con Insuga</t>
  </si>
  <si>
    <t>Adrian Patriarca - 01/28/2026 12:00:35</t>
  </si>
  <si>
    <t>Adrian Patriarca - 02/13/2026 11:33:39</t>
  </si>
  <si>
    <t>d49ad546</t>
  </si>
  <si>
    <t>Adrian Patriarca - 01/28/2026 12:02:01</t>
  </si>
  <si>
    <t>Adrian Patriarca - 01/28/2026 13:00:11</t>
  </si>
  <si>
    <t>d179e093</t>
  </si>
  <si>
    <t>Conexion Market Varios</t>
  </si>
  <si>
    <t>Adrian Patriarca - 01/28/2026 12:02:41</t>
  </si>
  <si>
    <t>Adrian Patriarca - 01/28/2026 18:57:12</t>
  </si>
  <si>
    <t>71c12eee</t>
  </si>
  <si>
    <t>Adrian Patriarca - 01/28/2026 12:05:12</t>
  </si>
  <si>
    <t>ccde56ba</t>
  </si>
  <si>
    <t>Adrian Patriarca - 01/28/2026 12:08:18</t>
  </si>
  <si>
    <t>4132cd06</t>
  </si>
  <si>
    <t>Renata Morano - 01/28/2026 12:24:08</t>
  </si>
  <si>
    <t>Renata Morano - 01/28/2026 13:48:11</t>
  </si>
  <si>
    <t>18a8ea0f</t>
  </si>
  <si>
    <t>Felipe Duarte - 01/28/2026 13:32:31</t>
  </si>
  <si>
    <t>Felipe Duarte - 01/29/2026 14:47:16</t>
  </si>
  <si>
    <t>b58aff0c</t>
  </si>
  <si>
    <t>Terminar de acomodar Wetravel (cambios de precios) + planificación</t>
  </si>
  <si>
    <t>Renata Morano - 01/28/2026 14:04:08</t>
  </si>
  <si>
    <t>Renata Morano - 01/29/2026 11:16:47</t>
  </si>
  <si>
    <t>b4e088f6</t>
  </si>
  <si>
    <t>Ver los errores planteados por Eva</t>
  </si>
  <si>
    <t>Renata Morano - 01/28/2026 14:26:50</t>
  </si>
  <si>
    <t>Renata Morano - 01/28/2026 14:46:28</t>
  </si>
  <si>
    <t>0752eee4</t>
  </si>
  <si>
    <t>Adrian Patriarca - 01/28/2026 18:57:34</t>
  </si>
  <si>
    <t>f7d54f51</t>
  </si>
  <si>
    <t>Conexion Varios</t>
  </si>
  <si>
    <t>Adrian Patriarca - 01/29/2026 08:27:54</t>
  </si>
  <si>
    <t>c1fe8afd</t>
  </si>
  <si>
    <t>Revisar sprint Felipe + Reunión con Adrian TAC + Tablero Abastecimiento</t>
  </si>
  <si>
    <t>Renata Morano - 01/29/2026 10:45:35</t>
  </si>
  <si>
    <t>Renata Morano - 01/30/2026 13:43:25</t>
  </si>
  <si>
    <t>c184d038</t>
  </si>
  <si>
    <t>Reunión con Adrian + Santiago</t>
  </si>
  <si>
    <t>Renata Morano - 01/29/2026 11:17:18</t>
  </si>
  <si>
    <t>b27fa573</t>
  </si>
  <si>
    <t>Renata Morano - 01/29/2026 11:17:57</t>
  </si>
  <si>
    <t>Renata Morano - 01/29/2026 14:19:44</t>
  </si>
  <si>
    <t>bcff3151</t>
  </si>
  <si>
    <t>Renata Morano - 01/29/2026 11:20:04</t>
  </si>
  <si>
    <t>Renata Morano - 02/02/2026 14:20:56</t>
  </si>
  <si>
    <t>e7e61be7</t>
  </si>
  <si>
    <t>Sprint 14</t>
  </si>
  <si>
    <t>Renata Morano - 02/03/2026 08:42:02</t>
  </si>
  <si>
    <t>56a3b045</t>
  </si>
  <si>
    <t>Subir base de datos + vincular el form mediante n8n + reunirme con Adrian a ver la app (y la mejora de Claudia)</t>
  </si>
  <si>
    <t>Renata Morano - 01/29/2026 11:22:43</t>
  </si>
  <si>
    <t>Renata Morano - 02/05/2026 10:54:18</t>
  </si>
  <si>
    <t>4f737658</t>
  </si>
  <si>
    <t>Sprint 3 ISAA</t>
  </si>
  <si>
    <t>Renata Morano - 01/29/2026 11:27:30</t>
  </si>
  <si>
    <t>Adrian Patriarca - 02/05/2026 10:54:56</t>
  </si>
  <si>
    <t>48de3bda</t>
  </si>
  <si>
    <t>Reunión con Adrian por TAc</t>
  </si>
  <si>
    <t>Renata Morano - 01/30/2026 14:48:55</t>
  </si>
  <si>
    <t>51d79e53</t>
  </si>
  <si>
    <t>Adrian Patriarca - 01/29/2026 12:31:13</t>
  </si>
  <si>
    <t>6a90fd26</t>
  </si>
  <si>
    <t>Verificación de mensajes y modificaciones reunión 28/01</t>
  </si>
  <si>
    <t>Felipe Duarte - 01/29/2026 14:48:09</t>
  </si>
  <si>
    <t>167d0c6e</t>
  </si>
  <si>
    <t>Terminar Sprint 1_2026</t>
  </si>
  <si>
    <t>Adrian Patriarca - 01/29/2026 17:54:59</t>
  </si>
  <si>
    <t>Felipe Duarte - 02/02/2026 14:12:41</t>
  </si>
  <si>
    <t>58a8ba34</t>
  </si>
  <si>
    <t>Terminar lo visto en la Reunión + Revisar App con Adrian</t>
  </si>
  <si>
    <t>Adrian Patriarca - 01/29/2026 17:56:10</t>
  </si>
  <si>
    <t>Felipe Duarte - 02/03/2026 14:12:37</t>
  </si>
  <si>
    <t>2fe95504</t>
  </si>
  <si>
    <t>Adrian Patriarca - 01/29/2026 17:57:34</t>
  </si>
  <si>
    <t>Adrian Patriarca - 02/04/2026 18:02:47</t>
  </si>
  <si>
    <t>1a0ec372</t>
  </si>
  <si>
    <t>Adrian Patriarca - 01/30/2026 08:28:32</t>
  </si>
  <si>
    <t>1b1c6bf3</t>
  </si>
  <si>
    <t>Finanzas + Reunión con Santiago</t>
  </si>
  <si>
    <t>Adrian Patriarca - 01/30/2026 08:29:28</t>
  </si>
  <si>
    <t>Adrian Patriarca - 01/30/2026 08:30:38</t>
  </si>
  <si>
    <t>183afec5</t>
  </si>
  <si>
    <t>Diseño de Solución Open Pack</t>
  </si>
  <si>
    <t>Adrian Patriarca - 01/30/2026 08:31:45</t>
  </si>
  <si>
    <t>ff461c7a</t>
  </si>
  <si>
    <t>Reunión con Gustavo</t>
  </si>
  <si>
    <t>Adrian Patriarca - 01/30/2026 08:33:26</t>
  </si>
  <si>
    <t>10cdf47d</t>
  </si>
  <si>
    <t>Revisión de la App de Escobar</t>
  </si>
  <si>
    <t>Adrian Patriarca - 01/30/2026 08:34:25</t>
  </si>
  <si>
    <t>Adrian Patriarca - 01/30/2026 17:53:30</t>
  </si>
  <si>
    <t>a2b60d39</t>
  </si>
  <si>
    <t>Reunión con German y Daniel</t>
  </si>
  <si>
    <t>Renata Morano - 01/30/2026 14:14:36</t>
  </si>
  <si>
    <t>Renata Morano - 02/02/2026 14:21:05</t>
  </si>
  <si>
    <t>a8f3e967</t>
  </si>
  <si>
    <t>Felipe Duarte - 01/30/2026 15:10:43</t>
  </si>
  <si>
    <t>Felipe Duarte - 01/30/2026 18:27:16</t>
  </si>
  <si>
    <t>1ec571aa</t>
  </si>
  <si>
    <t>Presentación de la idea</t>
  </si>
  <si>
    <t>Adrian Patriarca - 01/30/2026 17:54:05</t>
  </si>
  <si>
    <t>28f143c9</t>
  </si>
  <si>
    <t>Adrian Patriarca - 01/30/2026 17:54:42</t>
  </si>
  <si>
    <t>Adrian Patriarca - 01/30/2026 22:29:39</t>
  </si>
  <si>
    <t>f4219b4b</t>
  </si>
  <si>
    <t>Adrian Patriarca - 01/31/2026 18:09:44</t>
  </si>
  <si>
    <t>Adrian Patriarca - 01/31/2026 20:29:17</t>
  </si>
  <si>
    <t>614bb307</t>
  </si>
  <si>
    <t>Adrian Patriarca - 02/02/2026 08:35:01</t>
  </si>
  <si>
    <t>Adrian Patriarca - 02/02/2026 14:01:27</t>
  </si>
  <si>
    <t>5e0d022c</t>
  </si>
  <si>
    <t>Reunión con cristian para ver vinculación con Maquinas</t>
  </si>
  <si>
    <t>Adrian Patriarca - 02/02/2026 14:28:24</t>
  </si>
  <si>
    <t>20f4958d</t>
  </si>
  <si>
    <t>Adrian Patriarca - 02/02/2026 14:30:43</t>
  </si>
  <si>
    <t>7c0d12f4</t>
  </si>
  <si>
    <t>Terminar con todo lo que es Conexion Market</t>
  </si>
  <si>
    <t>Adrian Patriarca - 02/03/2026 14:21:00</t>
  </si>
  <si>
    <t>24845d70</t>
  </si>
  <si>
    <t>Adrian Patriarca - 02/03/2026 16:40:48</t>
  </si>
  <si>
    <t>7b7d9988</t>
  </si>
  <si>
    <t>Adrian Patriarca - 02/02/2026 14:35:03</t>
  </si>
  <si>
    <t>Adrian Patriarca - 02/05/2026 13:07:16</t>
  </si>
  <si>
    <t>fdd216d7</t>
  </si>
  <si>
    <t>Terminar con todo lo que es el Asistente del Laboratorio</t>
  </si>
  <si>
    <t>Adrian Patriarca - 02/02/2026 14:36:30</t>
  </si>
  <si>
    <t>Adrian Patriarca - 02/04/2026 19:02:07</t>
  </si>
  <si>
    <t>e0431435</t>
  </si>
  <si>
    <t>Reunión con Felipe para hacer un analisis de la App de DG</t>
  </si>
  <si>
    <t>Adrian Patriarca - 02/02/2026 14:40:21</t>
  </si>
  <si>
    <t>Adrian Patriarca - 02/03/2026 16:40:31</t>
  </si>
  <si>
    <t>3d22492f</t>
  </si>
  <si>
    <t>Consultora Gestión</t>
  </si>
  <si>
    <t>Adrian Patriarca - 02/02/2026 14:41:06</t>
  </si>
  <si>
    <t>Adrian Patriarca - 02/03/2026 16:40:38</t>
  </si>
  <si>
    <t>dd614117</t>
  </si>
  <si>
    <t>Terminar proyección</t>
  </si>
  <si>
    <t>Renata Morano - 02/03/2026 08:42:25</t>
  </si>
  <si>
    <t>1127544e</t>
  </si>
  <si>
    <t>Felipe Duarte - 02/03/2026 14:12:54</t>
  </si>
  <si>
    <t>931c6dde</t>
  </si>
  <si>
    <t>Reunión con Delfina - Calidad + Comunicar Novedades a Adrian + Terminar tablero</t>
  </si>
  <si>
    <t>Felipe Duarte - 02/03/2026 14:14:20</t>
  </si>
  <si>
    <t>Felipe Duarte - 02/06/2026 15:29:08</t>
  </si>
  <si>
    <t>11b92a77</t>
  </si>
  <si>
    <t>Felipe Duarte - 02/03/2026 18:14:23</t>
  </si>
  <si>
    <t>Adrian Patriarca - 02/04/2026 17:58:57</t>
  </si>
  <si>
    <t>3a21b290</t>
  </si>
  <si>
    <t>Reunión para determinar proximos pasos.</t>
  </si>
  <si>
    <t>Adrian Patriarca - 02/03/2026 18:57:03</t>
  </si>
  <si>
    <t>987c0ed2</t>
  </si>
  <si>
    <t>Adrian Patriarca - 02/03/2026 19:01:18</t>
  </si>
  <si>
    <t>Adrian Patriarca - 02/04/2026 18:53:49</t>
  </si>
  <si>
    <t>f059076c</t>
  </si>
  <si>
    <t>Adrian Patriarca - 02/03/2026 19:03:34</t>
  </si>
  <si>
    <t>3074d159</t>
  </si>
  <si>
    <t>Renata Morano - 02/04/2026 10:00:58</t>
  </si>
  <si>
    <t>Renata Morano - 02/04/2026 13:51:03</t>
  </si>
  <si>
    <t>d234dd72</t>
  </si>
  <si>
    <t>Renata Morano - 02/04/2026 10:02:07</t>
  </si>
  <si>
    <t>c43259ec</t>
  </si>
  <si>
    <t>Terminar csv</t>
  </si>
  <si>
    <t>Renata Morano - 02/04/2026 14:51:45</t>
  </si>
  <si>
    <t>afe134c8</t>
  </si>
  <si>
    <t>Felipe Duarte - 02/04/2026 17:05:25</t>
  </si>
  <si>
    <t>ac6ee453</t>
  </si>
  <si>
    <t>Sprint 1_2026</t>
  </si>
  <si>
    <t>Felipe Duarte - 02/04/2026 17:05:38</t>
  </si>
  <si>
    <t>Adrian Patriarca - 02/04/2026 18:02:41</t>
  </si>
  <si>
    <t>1c8cbe29</t>
  </si>
  <si>
    <t>Terminar Tablero de Amipack</t>
  </si>
  <si>
    <t>Adrian Patriarca - 02/04/2026 18:03:12</t>
  </si>
  <si>
    <t>33569988</t>
  </si>
  <si>
    <t>Reunión Inicial</t>
  </si>
  <si>
    <t>Adrian Patriarca - 02/04/2026 18:51:41</t>
  </si>
  <si>
    <t>47db1293</t>
  </si>
  <si>
    <t>ATC Ayuda a Renata para Generar Informes</t>
  </si>
  <si>
    <t>Adrian Patriarca - 02/04/2026 18:52:51</t>
  </si>
  <si>
    <t>f1afc828</t>
  </si>
  <si>
    <t>Resolución de problemas con la plantilla</t>
  </si>
  <si>
    <t>Adrian Patriarca - 02/04/2026 18:53:39</t>
  </si>
  <si>
    <t>M1-02</t>
  </si>
  <si>
    <t>M2-02</t>
  </si>
  <si>
    <t>M3-02</t>
  </si>
  <si>
    <t>M6-02</t>
  </si>
  <si>
    <t>M8-02</t>
  </si>
  <si>
    <t>M9-02</t>
  </si>
  <si>
    <t>M10-02</t>
  </si>
  <si>
    <t>a898322e</t>
  </si>
  <si>
    <t>Reunión con Renata para ver ISAA</t>
  </si>
  <si>
    <t>Adrian Patriarca - 02/04/2026 19:02:35</t>
  </si>
  <si>
    <t>Adrian Patriarca - 02/04/2026 19:03:43</t>
  </si>
  <si>
    <t>2878635f</t>
  </si>
  <si>
    <t>Adrian Patriarca - 02/05/2026 08:09:13</t>
  </si>
  <si>
    <t>beb29db6</t>
  </si>
  <si>
    <t>Sprnt 14</t>
  </si>
  <si>
    <t>Renata Morano - 02/05/2026 09:49:44</t>
  </si>
  <si>
    <t>a31d18b2</t>
  </si>
  <si>
    <t>Terminar el Tablero de Escobar</t>
  </si>
  <si>
    <t>Adrian Patriarca - 02/05/2026 10:58:38</t>
  </si>
  <si>
    <t>Renata Morano - 02/10/2026 14:28:39</t>
  </si>
  <si>
    <t>cefff955</t>
  </si>
  <si>
    <t>Tablero HCyH</t>
  </si>
  <si>
    <t>Adrian Patriarca - 02/05/2026 10:59:20</t>
  </si>
  <si>
    <t>Renata Morano - 02/18/2026 14:08:53</t>
  </si>
  <si>
    <t>f8dfd9bc</t>
  </si>
  <si>
    <t>Mail minuta de reunión</t>
  </si>
  <si>
    <t>Renata Morano - 02/05/2026 13:07:31</t>
  </si>
  <si>
    <t>Renata Morano - 02/05/2026 14:52:12</t>
  </si>
  <si>
    <t>46ee3afe</t>
  </si>
  <si>
    <t>Terminar el sprint 3 + cargar base de datos + coordinar reunión (Adrian puede el miércoles 10.30 , jueves o viernes )</t>
  </si>
  <si>
    <t>Renata Morano - 02/09/2026 14:11:58</t>
  </si>
  <si>
    <t>e4f016f1</t>
  </si>
  <si>
    <t>Renata Morano - 02/06/2026 14:06:37</t>
  </si>
  <si>
    <t>Renata Morano - 02/09/2026 14:09:33</t>
  </si>
  <si>
    <t>4d3043e1</t>
  </si>
  <si>
    <t>Reunión con Adrian + Desarrollo de Sprint 2</t>
  </si>
  <si>
    <t>Adrian Patriarca - 02/06/2026 16:36:19</t>
  </si>
  <si>
    <t>ac3dbb0a</t>
  </si>
  <si>
    <t>Desarrollo de Sprint 2</t>
  </si>
  <si>
    <t>Adrian Patriarca - 02/06/2026 16:36:47</t>
  </si>
  <si>
    <t>d875bf3b</t>
  </si>
  <si>
    <t>Terminar Sprint 2</t>
  </si>
  <si>
    <t>Adrian Patriarca - 02/06/2026 16:37:07</t>
  </si>
  <si>
    <t>Felipe Duarte - 02/09/2026 16:34:05</t>
  </si>
  <si>
    <t>e25e7ce6</t>
  </si>
  <si>
    <t>Terminar todo lo del asistente del Laboratorio</t>
  </si>
  <si>
    <t>Adrian Patriarca - 02/09/2026 10:00:47</t>
  </si>
  <si>
    <t>Adrian Patriarca - 02/09/2026 12:03:42</t>
  </si>
  <si>
    <t>72a21a9a</t>
  </si>
  <si>
    <t>Reunión Claudia y Sergio</t>
  </si>
  <si>
    <t>Renata Morano - 02/13/2026 11:54:53</t>
  </si>
  <si>
    <t>3aaaf459</t>
  </si>
  <si>
    <t>Reunión Insuga Chaco</t>
  </si>
  <si>
    <t>Renata Morano - 02/09/2026 14:09:25</t>
  </si>
  <si>
    <t>Adrian Patriarca - 02/13/2026 11:33:06</t>
  </si>
  <si>
    <t>2fb410a6</t>
  </si>
  <si>
    <t>Dudas de Julieta</t>
  </si>
  <si>
    <t>Renata Morano - 02/09/2026 14:12:17</t>
  </si>
  <si>
    <t>ace4ebab</t>
  </si>
  <si>
    <t>Ayuda en la conceptualización de la app de MD</t>
  </si>
  <si>
    <t>Adrian Patriarca - 02/09/2026 14:45:22</t>
  </si>
  <si>
    <t>Adrian Patriarca - 02/09/2026 14:48:54</t>
  </si>
  <si>
    <t>79bddc29</t>
  </si>
  <si>
    <t>Conceptualización MD</t>
  </si>
  <si>
    <t>Adrian Patriarca - 02/09/2026 14:48:49</t>
  </si>
  <si>
    <t>3deebf0e</t>
  </si>
  <si>
    <t>Adrian Patriarca - 02/09/2026 14:59:02</t>
  </si>
  <si>
    <t>Adrian Patriarca - 02/09/2026 16:51:19</t>
  </si>
  <si>
    <t>e98dff80</t>
  </si>
  <si>
    <t>Conceptualización BD y flujograma</t>
  </si>
  <si>
    <t>Santiago Toscano - 02/09/2026 15:15:36</t>
  </si>
  <si>
    <t>Santiago Toscano - 02/10/2026 08:01:55</t>
  </si>
  <si>
    <t>e98dff80d3</t>
  </si>
  <si>
    <t>Adrian Patriarca - 02/19/2026 12:37:39</t>
  </si>
  <si>
    <t>c86b41dd</t>
  </si>
  <si>
    <t>Culminación 100% conceptualización BD y flujograma</t>
  </si>
  <si>
    <t>Santiago Toscano - 02/10/2026 08:02:43</t>
  </si>
  <si>
    <t>Adrian Patriarca - 02/19/2026 12:37:45</t>
  </si>
  <si>
    <t>2770504b</t>
  </si>
  <si>
    <t>Santiago Toscano - 02/10/2026 11:46:15</t>
  </si>
  <si>
    <t>Santiago Toscano - 02/10/2026 11:48:15</t>
  </si>
  <si>
    <t>853bdcab</t>
  </si>
  <si>
    <t>Santiago Toscano - 02/10/2026 11:47:21</t>
  </si>
  <si>
    <t>Santiago Toscano - 02/10/2026 11:48:28</t>
  </si>
  <si>
    <t>c86b41dd3</t>
  </si>
  <si>
    <t>Santiago Toscano - 02/10/2026 11:45:47</t>
  </si>
  <si>
    <t>c49a75fb</t>
  </si>
  <si>
    <t>Presentación modelo a cliente</t>
  </si>
  <si>
    <t>Adrian Patriarca - 02/19/2026 12:38:04</t>
  </si>
  <si>
    <t>a6ce01a6</t>
  </si>
  <si>
    <t>Santiago Toscano - 02/10/2026 11:49:29</t>
  </si>
  <si>
    <t>517b1227</t>
  </si>
  <si>
    <t>Santiago Toscano - 02/10/2026 11:50:17</t>
  </si>
  <si>
    <t>de3601bd</t>
  </si>
  <si>
    <t>Desarrollo MD</t>
  </si>
  <si>
    <t>Santiago Toscano - 02/10/2026 11:50:48</t>
  </si>
  <si>
    <t>Adrian Patriarca - 02/19/2026 12:38:30</t>
  </si>
  <si>
    <t>cce08f31</t>
  </si>
  <si>
    <t>Adrian Patriarca - 02/10/2026 12:40:31</t>
  </si>
  <si>
    <t>d06abbe2</t>
  </si>
  <si>
    <t>Ayuda a Santiago</t>
  </si>
  <si>
    <t>Adrian Patriarca - 02/10/2026 12:40:53</t>
  </si>
  <si>
    <t>Adrian Patriarca - 02/10/2026 19:02:05</t>
  </si>
  <si>
    <t>80803bc6</t>
  </si>
  <si>
    <t>Renata Morano - 02/10/2026 13:46:15</t>
  </si>
  <si>
    <t>Renata Morano - 02/10/2026 14:28:48</t>
  </si>
  <si>
    <t>34d48a2a</t>
  </si>
  <si>
    <t>Renata Morano - 02/10/2026 14:12:55</t>
  </si>
  <si>
    <t>cd0e5a05</t>
  </si>
  <si>
    <t>Dudas Julieta (comentarios de los grupos de reservas)</t>
  </si>
  <si>
    <t>Renata Morano - 02/10/2026 14:29:17</t>
  </si>
  <si>
    <t>1aa84357</t>
  </si>
  <si>
    <t>DG continuar sprint 2 2026</t>
  </si>
  <si>
    <t>Felipe Duarte - 02/10/2026 16:16:02</t>
  </si>
  <si>
    <t>533dd0cf</t>
  </si>
  <si>
    <t>Mantenimiento Nation Marketing + PostVenta</t>
  </si>
  <si>
    <t>Adrian Patriarca - 02/10/2026 18:07:18</t>
  </si>
  <si>
    <t>Felipe Duarte - 02/11/2026 16:52:08</t>
  </si>
  <si>
    <t>b6b29a6c</t>
  </si>
  <si>
    <t>Refri Tema del menu flotante</t>
  </si>
  <si>
    <t>Felipe Duarte - 02/11/2026 16:52:02</t>
  </si>
  <si>
    <t>bd08ae6a</t>
  </si>
  <si>
    <t>Dg Terminar Sprint</t>
  </si>
  <si>
    <t>Adrian Patriarca - 02/10/2026 18:09:35</t>
  </si>
  <si>
    <t>Felipe Duarte - 02/12/2026 16:13:11</t>
  </si>
  <si>
    <t>b1361be2</t>
  </si>
  <si>
    <t>Pedidos Delfina</t>
  </si>
  <si>
    <t>Adrian Patriarca - 02/10/2026 18:10:41</t>
  </si>
  <si>
    <t>Felipe Duarte - 02/12/2026 16:12:54</t>
  </si>
  <si>
    <t>01aae940</t>
  </si>
  <si>
    <t>Revisión Modulo TAC con Adrian (Recordar)</t>
  </si>
  <si>
    <t>Adrian Patriarca - 02/10/2026 18:12:18</t>
  </si>
  <si>
    <t>Adrian Patriarca - 02/19/2026 09:20:52</t>
  </si>
  <si>
    <t>4ca50eb7</t>
  </si>
  <si>
    <t>Adrian Patriarca - 02/10/2026 19:02:24</t>
  </si>
  <si>
    <t>dcc2471b</t>
  </si>
  <si>
    <t>Adrian Patriarca - 02/10/2026 19:02:52</t>
  </si>
  <si>
    <t>Adrian Patriarca - 02/10/2026 19:55:28</t>
  </si>
  <si>
    <t>2cc9554e</t>
  </si>
  <si>
    <t>Renata Morano - 02/11/2026 12:11:29</t>
  </si>
  <si>
    <t>5bcc5c27</t>
  </si>
  <si>
    <t>Reunión para mostrar conceptualización de la App</t>
  </si>
  <si>
    <t>Adrian Patriarca - 02/11/2026 13:55:04</t>
  </si>
  <si>
    <t>4344618b</t>
  </si>
  <si>
    <t>Adrian Patriarca - 02/11/2026 14:19:32</t>
  </si>
  <si>
    <t>Adrian Patriarca - 02/11/2026 18:50:05</t>
  </si>
  <si>
    <t>10ca3c16</t>
  </si>
  <si>
    <t>Adrian Patriarca - 02/12/2026 08:32:09</t>
  </si>
  <si>
    <t>0600dfe3</t>
  </si>
  <si>
    <t>Adrian Patriarca - 02/12/2026 08:33:14</t>
  </si>
  <si>
    <t>Adrian Patriarca - 02/12/2026 10:42:21</t>
  </si>
  <si>
    <t>6dcdfa4f</t>
  </si>
  <si>
    <t>Adrian Patriarca - 02/12/2026 08:33:45</t>
  </si>
  <si>
    <t>Adrian Patriarca - 02/12/2026 09:51:17</t>
  </si>
  <si>
    <t>d9e7e05c</t>
  </si>
  <si>
    <t>Adrian Patriarca - 02/12/2026 08:34:11</t>
  </si>
  <si>
    <t>Adrian Patriarca - 02/12/2026 09:51:45</t>
  </si>
  <si>
    <t>fthtjthg52mf6khi3lafqce33g</t>
  </si>
  <si>
    <t xml:space="preserve">Event Name
APSOL CONSULTORÍA
Conoce nuestra manera de trabajar. Agenda una reunión para explorar tus necesidades y descubrir cómo PODEMOS AYUDARTE. Reserva tu reunión gratuita y déjanos mostrarte cómo podemos potenciar tu éxito.
Location: This is a Google Meet web conference.
You can join this meeting from your computer, tablet, or smartphone.
https://calendly.com/events/28a7d90e-c50b-4151-a073-693afb14d2a6/google_meet
Telefono: +54 298 458-8001
Comparta cualquier información que considere relevante para la reunión (Eje: Nombre de la empresa, sector, Problematica a resolver, Mejora a abordar, etc): ciati.com.ar
Que cantidad de empleados tiene su empresa?: Entre 50 y 200 empleados
Medio por el cual nos conociste: E-mail
Need to make changes to this event?
Cancel: https://calendly.com/cancellations/e6e8d5d6-9814-454c-8400-7664cfd58ce5
Reschedule: https://calendly.com/reschedulings/e6e8d5d6-9814-454c-8400-7664cfd58ce5
Powered by Calendly.com
</t>
  </si>
  <si>
    <t>6csj8ohicpgjab9h69ijgb9kclijibb2ccpm8bb6c8o3gphj6soj4dpocc_20260217T170000Z</t>
  </si>
  <si>
    <t>Reunión Pactada</t>
  </si>
  <si>
    <t>https://www.google.com/calendar/event?eid=NmNzajhvaGljcGdqYWI5aDY5aWpnYjlrY2xpamliYjJjY3BtOGJiNmM4bzNncGhqNnNvajRkcG9jY18yMDI2MDIxN1QxNzAwMDBaIGFwYXRyaWFyY2EuYXBzb2xAbQ</t>
  </si>
  <si>
    <t>043c3a64</t>
  </si>
  <si>
    <t>https://www.google.com/calendar/event?eid=MDQzYzNhNjQgYXBhdHJpYXJjYS5hcHNvbEBt</t>
  </si>
  <si>
    <t>8019e1d7</t>
  </si>
  <si>
    <t>Adrian Patriarca - 02/12/2026 09:49:26</t>
  </si>
  <si>
    <t>6b6f386f</t>
  </si>
  <si>
    <t>Adrian Patriarca - 02/12/2026 09:49:51</t>
  </si>
  <si>
    <t>Adrian Patriarca - 02/13/2026 17:04:55</t>
  </si>
  <si>
    <t>6aa458fb</t>
  </si>
  <si>
    <t>Adrian Patriarca - 02/12/2026 09:50:30</t>
  </si>
  <si>
    <t>Adrian Patriarca - 02/13/2026 19:46:36</t>
  </si>
  <si>
    <t>ee5cd00e</t>
  </si>
  <si>
    <t>Estructuración de la Base de datos por la cual me tienen que pasar los datos</t>
  </si>
  <si>
    <t>Adrian Patriarca - 02/12/2026 10:42:51</t>
  </si>
  <si>
    <t>cd5f88a8</t>
  </si>
  <si>
    <t>Preparació de la reunión con Guillermo por la app clientes</t>
  </si>
  <si>
    <t>Renata Morano - 02/12/2026 11:01:02</t>
  </si>
  <si>
    <t>Renata Morano - 02/19/2026 14:09:45</t>
  </si>
  <si>
    <t>37a87305</t>
  </si>
  <si>
    <t>Revisión liquidaciones con Adrian</t>
  </si>
  <si>
    <t>Felipe Duarte - 02/12/2026 17:00:13</t>
  </si>
  <si>
    <t>Felipe Duarte - 02/14/2026 09:07:40</t>
  </si>
  <si>
    <t>9cbf78e2</t>
  </si>
  <si>
    <t>Grabar video + mejoras sencillas de la app</t>
  </si>
  <si>
    <t>Renata Morano - 02/18/2026 10:54:22</t>
  </si>
  <si>
    <t>31d4387f</t>
  </si>
  <si>
    <t>Renata Morano - 02/13/2026 13:59:50</t>
  </si>
  <si>
    <t>8bc8bcf6</t>
  </si>
  <si>
    <t>Renata Morano - 02/13/2026 13:59:58</t>
  </si>
  <si>
    <t>6ba2ec81</t>
  </si>
  <si>
    <t>Mejoras audio Claudia</t>
  </si>
  <si>
    <t>Renata Morano - 02/13/2026 14:00:13</t>
  </si>
  <si>
    <t>Renata Morano - 02/19/2026 14:09:24</t>
  </si>
  <si>
    <t>7f886102</t>
  </si>
  <si>
    <t>Reunión presentación tablero</t>
  </si>
  <si>
    <t>Renata Morano - 02/13/2026 14:08:43</t>
  </si>
  <si>
    <t>c37a4f75</t>
  </si>
  <si>
    <t>Refri revisión del problema de liquidaciones</t>
  </si>
  <si>
    <t>Adrian Patriarca - 02/13/2026 17:04:49</t>
  </si>
  <si>
    <t>c2692a49</t>
  </si>
  <si>
    <t>Adrian Patriarca - 02/13/2026 17:05:11</t>
  </si>
  <si>
    <t>Adrian Patriarca - 02/12/2026 09:51:49</t>
  </si>
  <si>
    <t>73a53f92</t>
  </si>
  <si>
    <t>Adrian Patriarca - 02/18/2026 08:40:41</t>
  </si>
  <si>
    <t>Adrian Patriarca - 02/18/2026 12:16:29</t>
  </si>
  <si>
    <t>079f1740</t>
  </si>
  <si>
    <t>Terminar con todo lo del Laboratorio</t>
  </si>
  <si>
    <t>Adrian Patriarca - 02/18/2026 10:05:09</t>
  </si>
  <si>
    <t>Adrian Patriarca - 02/18/2026 20:47:22</t>
  </si>
  <si>
    <t>723a29ff</t>
  </si>
  <si>
    <t>Reunión con Refri</t>
  </si>
  <si>
    <t>Adrian Patriarca - 02/18/2026 10:08:26</t>
  </si>
  <si>
    <t>Adrian Patriarca - 02/18/2026 20:46:51</t>
  </si>
  <si>
    <t>f9ec101b</t>
  </si>
  <si>
    <t>Reunión con Refri para presentar Asistente y proximos pasos</t>
  </si>
  <si>
    <t>Adrian Patriarca - 02/18/2026 10:15:22</t>
  </si>
  <si>
    <t>Adrian Patriarca - 02/25/2026 09:38:23</t>
  </si>
  <si>
    <t>606f9ce2</t>
  </si>
  <si>
    <t>Adrian Patriarca - 02/18/2026 10:17:44</t>
  </si>
  <si>
    <t>Adrian Patriarca - 02/19/2026 18:29:31</t>
  </si>
  <si>
    <t>89f0f1de</t>
  </si>
  <si>
    <t>Adrian Patriarca - 02/25/2026 09:32:09</t>
  </si>
  <si>
    <t>55028d2b</t>
  </si>
  <si>
    <t>Adrian Patriarca - 02/25/2026 09:30:29</t>
  </si>
  <si>
    <t>841e1c0e</t>
  </si>
  <si>
    <t>Preparación + Reunión Amipack</t>
  </si>
  <si>
    <t>Adrian Patriarca - 02/18/2026 10:22:40</t>
  </si>
  <si>
    <t>Adrian Patriarca - 02/25/2026 09:30:19</t>
  </si>
  <si>
    <t>fb8752ae</t>
  </si>
  <si>
    <t>Renata Morano - 02/18/2026 10:54:35</t>
  </si>
  <si>
    <t>Renata Morano - 02/20/2026 12:10:42</t>
  </si>
  <si>
    <t>96f41536</t>
  </si>
  <si>
    <t>Errores en el tablero vista Ventas</t>
  </si>
  <si>
    <t>Renata Morano - 02/18/2026 14:09:17</t>
  </si>
  <si>
    <t>33d29f90</t>
  </si>
  <si>
    <t>Reunión REFRI</t>
  </si>
  <si>
    <t>Felipe Duarte - 02/18/2026 14:27:54</t>
  </si>
  <si>
    <t>Felipe Duarte - 02/19/2026 13:40:45</t>
  </si>
  <si>
    <t>65f735fe</t>
  </si>
  <si>
    <t>Felipe Duarte - 02/18/2026 14:29:07</t>
  </si>
  <si>
    <t>a0e1c3e0</t>
  </si>
  <si>
    <t>Sprint 2_2026</t>
  </si>
  <si>
    <t>Felipe Duarte - 02/18/2026 14:29:35</t>
  </si>
  <si>
    <t>ef3ea931</t>
  </si>
  <si>
    <t>Felipe Duarte - 02/18/2026 14:29:53</t>
  </si>
  <si>
    <t>Felipe Duarte - 02/20/2026 14:12:56</t>
  </si>
  <si>
    <t>f27491bd</t>
  </si>
  <si>
    <t>Felipe Duarte - 02/18/2026 14:30:32</t>
  </si>
  <si>
    <t>Felipe Duarte - 02/20/2026 16:41:28</t>
  </si>
  <si>
    <t>4496e45f</t>
  </si>
  <si>
    <t>Plantillas</t>
  </si>
  <si>
    <t>Adrian Patriarca - 02/18/2026 20:51:56</t>
  </si>
  <si>
    <t>4380a5b3</t>
  </si>
  <si>
    <t>Terminar de configurarle todo a Conexion Market</t>
  </si>
  <si>
    <t>Adrian Patriarca - 02/19/2026 08:46:25</t>
  </si>
  <si>
    <t>Adrian Patriarca - 02/19/2026 13:23:22</t>
  </si>
  <si>
    <t>de3601bd3</t>
  </si>
  <si>
    <t>0053b670</t>
  </si>
  <si>
    <t>Desarrollo MD - estandarización</t>
  </si>
  <si>
    <t>Santiago Toscano - 02/19/2026 10:06:05</t>
  </si>
  <si>
    <t>0053b6703</t>
  </si>
  <si>
    <t>3c0ca81d</t>
  </si>
  <si>
    <t>Desarrollo MD - Estandarización</t>
  </si>
  <si>
    <t>Santiago Toscano - 02/19/2026 10:06:26</t>
  </si>
  <si>
    <t>Adrian Patriarca - 02/19/2026 12:37:21</t>
  </si>
  <si>
    <t>c49f65dd</t>
  </si>
  <si>
    <t>Adrian Patriarca - 02/19/2026 12:40:28</t>
  </si>
  <si>
    <t>53e8485d</t>
  </si>
  <si>
    <t>Adrian Patriarca - 02/19/2026 12:40:44</t>
  </si>
  <si>
    <t>f25a7f50</t>
  </si>
  <si>
    <t>Adrian Patriarca - 02/19/2026 12:41:00</t>
  </si>
  <si>
    <t>5068607c</t>
  </si>
  <si>
    <t>Adrian Patriarca - 02/19/2026 13:23:50</t>
  </si>
  <si>
    <t>Adrian Patriarca - 02/19/2026 18:29:25</t>
  </si>
  <si>
    <t>5f1c6ade</t>
  </si>
  <si>
    <t>REFRI liquidaciones</t>
  </si>
  <si>
    <t>Felipe Duarte - 02/19/2026 13:41:20</t>
  </si>
  <si>
    <t>Felipe Duarte - 02/21/2026 12:46:51</t>
  </si>
  <si>
    <t>f717b505</t>
  </si>
  <si>
    <t>Refri acciones</t>
  </si>
  <si>
    <t>Felipe Duarte - 02/19/2026 13:42:10</t>
  </si>
  <si>
    <t>1dc6084c</t>
  </si>
  <si>
    <t>Renata Morano - 02/19/2026 14:10:04</t>
  </si>
  <si>
    <t>32bac5ba</t>
  </si>
  <si>
    <t>Renata Morano - 02/19/2026 14:10:09</t>
  </si>
  <si>
    <t>128533fe</t>
  </si>
  <si>
    <t>Reunión con Guillermo por app clientes</t>
  </si>
  <si>
    <t>Renata Morano - 02/19/2026 14:13:45</t>
  </si>
  <si>
    <t>Renata Morano - 02/24/2026 11:51:18</t>
  </si>
  <si>
    <t>f8d49b84</t>
  </si>
  <si>
    <t>https://www.google.com/calendar/event?eid=ZjhkNDliODQgYXBhdHJpYXJjYS5hcHNvbEBt</t>
  </si>
  <si>
    <t>Adrian Patriarca - 02/25/2026 10:59:47</t>
  </si>
  <si>
    <t>28710351</t>
  </si>
  <si>
    <t>Preparació reunión +  indicadores</t>
  </si>
  <si>
    <t>Renata Morano - 02/20/2026 12:11:06</t>
  </si>
  <si>
    <t>2446ef01</t>
  </si>
  <si>
    <t>Mejoras planteadas en la reunión</t>
  </si>
  <si>
    <t>Renata Morano - 02/20/2026 13:34:29</t>
  </si>
  <si>
    <t>a0e68d09</t>
  </si>
  <si>
    <t>Renata Morano - 02/20/2026 13:34:38</t>
  </si>
  <si>
    <t>ccdded43</t>
  </si>
  <si>
    <t>Renata Morano - 02/20/2026 13:34:58</t>
  </si>
  <si>
    <t>Renata Morano - 02/24/2026 11:51:25</t>
  </si>
  <si>
    <t>e2cd51eb</t>
  </si>
  <si>
    <t>Renata Morano - 02/20/2026 13:35:21</t>
  </si>
  <si>
    <t>Renata Morano - 02/25/2026 14:04:32</t>
  </si>
  <si>
    <t>75f9f0dd</t>
  </si>
  <si>
    <t>Renata Morano - 02/20/2026 14:48:04</t>
  </si>
  <si>
    <t>Adrian Patriarca - 02/24/2026 18:06:44</t>
  </si>
  <si>
    <t>36f45d3a</t>
  </si>
  <si>
    <t>Amipack problema tablero de producción</t>
  </si>
  <si>
    <t>Felipe Duarte - 02/20/2026 16:41:50</t>
  </si>
  <si>
    <t>294d74c1</t>
  </si>
  <si>
    <t>Felipe Duarte - 02/20/2026 16:42:07</t>
  </si>
  <si>
    <t>7f973275</t>
  </si>
  <si>
    <t>Capacitación en Antigravity</t>
  </si>
  <si>
    <t>Santiago Toscano - 02/23/2026 13:40:29</t>
  </si>
  <si>
    <t>6f050089</t>
  </si>
  <si>
    <t>Capacitación Antigravity</t>
  </si>
  <si>
    <t>Santiago Toscano - 02/23/2026 13:42:59</t>
  </si>
  <si>
    <t>035bb324</t>
  </si>
  <si>
    <t>Corrección de errores informados por Selene</t>
  </si>
  <si>
    <t>Adrian Patriarca - 02/24/2026 09:00:23</t>
  </si>
  <si>
    <t>f4fe4a42</t>
  </si>
  <si>
    <t>Adrian Patriarca - 02/24/2026 09:00:45</t>
  </si>
  <si>
    <t>eeaea1ae</t>
  </si>
  <si>
    <t>Pedido mal cargado (Guillermo)</t>
  </si>
  <si>
    <t>Renata Morano - 02/24/2026 09:36:43</t>
  </si>
  <si>
    <t>1742dbd6</t>
  </si>
  <si>
    <t>Renata Morano - 02/24/2026 11:51:35</t>
  </si>
  <si>
    <t>Renata Morano - 02/24/2026 09:35:58</t>
  </si>
  <si>
    <t>0f66e665</t>
  </si>
  <si>
    <t>Mejoras previstas</t>
  </si>
  <si>
    <t>Renata Morano - 02/24/2026 14:02:54</t>
  </si>
  <si>
    <t>Renata Morano - 02/26/2026 14:04:55</t>
  </si>
  <si>
    <t>81bd51e7</t>
  </si>
  <si>
    <t>Renata Morano - 02/24/2026 14:03:02</t>
  </si>
  <si>
    <t>1584a5a6</t>
  </si>
  <si>
    <t>Finalización proyecto Laboratorio</t>
  </si>
  <si>
    <t>Adrian Patriarca - 02/24/2026 14:50:36</t>
  </si>
  <si>
    <t>c883340e</t>
  </si>
  <si>
    <t>Adrian Patriarca - 02/24/2026 18:07:17</t>
  </si>
  <si>
    <t>f2fbdca8</t>
  </si>
  <si>
    <t>Tablero inicial de Maquinas</t>
  </si>
  <si>
    <t>Adrian Patriarca - 02/25/2026 09:33:12</t>
  </si>
  <si>
    <t>Adrian Patriarca - 02/25/2026 09:38:32</t>
  </si>
  <si>
    <t>4d78335f</t>
  </si>
  <si>
    <t>Problema de bloqueo de lineas</t>
  </si>
  <si>
    <t>Adrian Patriarca - 02/25/2026 09:38:53</t>
  </si>
  <si>
    <t>Adrian Patriarca - 02/25/2026 09:44:19</t>
  </si>
  <si>
    <t>0390ad62</t>
  </si>
  <si>
    <t>Santiago Toscano - 02/25/2026 10:32:14</t>
  </si>
  <si>
    <t>f973a1da</t>
  </si>
  <si>
    <t>Santiago Toscano - 02/25/2026 10:32:26</t>
  </si>
  <si>
    <t>1b274291</t>
  </si>
  <si>
    <t>Conexión Market líneas</t>
  </si>
  <si>
    <t>Santiago Toscano - 02/25/2026 10:33:19</t>
  </si>
  <si>
    <t>5548aa86</t>
  </si>
  <si>
    <t>Santiago Toscano - 02/25/2026 10:33:50</t>
  </si>
  <si>
    <t>dea376c9</t>
  </si>
  <si>
    <t>Conexión Market - averiguar cómo agregar más líneas mediante coexistencia y agregar líneas.</t>
  </si>
  <si>
    <t>Santiago Toscano - 02/25/2026 10:34:53</t>
  </si>
  <si>
    <t>Adrian Patriarca - 03/03/2026 13:41:15</t>
  </si>
  <si>
    <t>919a43f5</t>
  </si>
  <si>
    <t>Desarrollo en antigravity de MD Fútbol 5</t>
  </si>
  <si>
    <t>Santiago Toscano - 02/25/2026 10:35:55</t>
  </si>
  <si>
    <t>Adrian Patriarca - 03/03/2026 13:42:46</t>
  </si>
  <si>
    <t>abe701bb</t>
  </si>
  <si>
    <t>Conexión Market Recuperación de lineas</t>
  </si>
  <si>
    <t>Adrian Patriarca - 02/25/2026 10:56:05</t>
  </si>
  <si>
    <t>2401e8bb</t>
  </si>
  <si>
    <t>Preparación de servidor para que se pueda usar Antigravity + Grabación de Videos</t>
  </si>
  <si>
    <t>Adrian Patriarca - 02/25/2026 11:42:20</t>
  </si>
  <si>
    <t>870d5e21</t>
  </si>
  <si>
    <t>Conexion Market Recuperación de Lineas + Guia a Santiago</t>
  </si>
  <si>
    <t>Adrian Patriarca - 02/25/2026 10:58:52</t>
  </si>
  <si>
    <t>c96d0c58</t>
  </si>
  <si>
    <t>Gestión y ayuda a Santiago</t>
  </si>
  <si>
    <t>Adrian Patriarca - 02/25/2026 10:59:33</t>
  </si>
  <si>
    <t>f735e99c</t>
  </si>
  <si>
    <t>Adrian Patriarca - 02/25/2026 11:00:50</t>
  </si>
  <si>
    <t>9056eaa8</t>
  </si>
  <si>
    <t>Adrian Patriarca - 02/25/2026 11:00:55</t>
  </si>
  <si>
    <t>e9177cda</t>
  </si>
  <si>
    <t>Adrian Patriarca - 02/25/2026 11:01:14</t>
  </si>
  <si>
    <t>b92bd127</t>
  </si>
  <si>
    <t>Presentación de avances</t>
  </si>
  <si>
    <t>Adrian Patriarca - 02/25/2026 11:04:40</t>
  </si>
  <si>
    <t>Adrian Patriarca - 03/03/2026 19:19:29</t>
  </si>
  <si>
    <t>1beedcb7</t>
  </si>
  <si>
    <t>Adrian Patriarca - 02/25/2026 11:44:21</t>
  </si>
  <si>
    <t>8f461a55</t>
  </si>
  <si>
    <t>Adrian Patriarca - 02/25/2026 11:11:57</t>
  </si>
  <si>
    <t>Felipe Duarte - 02/25/2026 17:44:06</t>
  </si>
  <si>
    <t>ce028a9c</t>
  </si>
  <si>
    <t>Adrian Patriarca - 02/25/2026 11:12:05</t>
  </si>
  <si>
    <t>d0919ea1</t>
  </si>
  <si>
    <t>Felipe Duarte - 02/27/2026 17:09:45</t>
  </si>
  <si>
    <t>e9735632</t>
  </si>
  <si>
    <t>Adrian Patriarca - 02/25/2026 11:18:09</t>
  </si>
  <si>
    <t>95a6fdea</t>
  </si>
  <si>
    <t>Sprint TAC escobar</t>
  </si>
  <si>
    <t>Felipe Duarte - 02/28/2026 10:50:14</t>
  </si>
  <si>
    <t>14a05d7c</t>
  </si>
  <si>
    <t>Adrian Patriarca - 02/25/2026 11:42:13</t>
  </si>
  <si>
    <t>Adrian Patriarca - 02/25/2026 17:53:00</t>
  </si>
  <si>
    <t>5b544af7</t>
  </si>
  <si>
    <t>Preparación para la reunión</t>
  </si>
  <si>
    <t>Adrian Patriarca - 02/26/2026 09:09:02</t>
  </si>
  <si>
    <t>a21babe2</t>
  </si>
  <si>
    <t>Reunión con Mateo para entregarle las cosas</t>
  </si>
  <si>
    <t>Adrian Patriarca - 02/25/2026 11:44:59</t>
  </si>
  <si>
    <t>Adrian Patriarca - 02/25/2026 11:45:46</t>
  </si>
  <si>
    <t>1da20555</t>
  </si>
  <si>
    <t>Ayuda a Santiago para lo que es el proyecto del F5</t>
  </si>
  <si>
    <t>Adrian Patriarca - 02/25/2026 11:49:22</t>
  </si>
  <si>
    <t>Adrian Patriarca - 02/27/2026 11:21:01</t>
  </si>
  <si>
    <t>2ab30f2e</t>
  </si>
  <si>
    <t>Adrian Patriarca - 02/25/2026 17:53:41</t>
  </si>
  <si>
    <t>132c3609</t>
  </si>
  <si>
    <t>Plantear solución Insuga Chaco</t>
  </si>
  <si>
    <t>Adrian Patriarca - 02/27/2026 11:20:53</t>
  </si>
  <si>
    <t>e3301a95</t>
  </si>
  <si>
    <t>Gestión + Reunión con el equipo</t>
  </si>
  <si>
    <t>Adrian Patriarca - 02/25/2026 11:57:17</t>
  </si>
  <si>
    <t>05dc0e92</t>
  </si>
  <si>
    <t>Colocar indicadores en la Web</t>
  </si>
  <si>
    <t>Adrian Patriarca - 02/25/2026 12:05:29</t>
  </si>
  <si>
    <t>9f51a9c0</t>
  </si>
  <si>
    <t>Presentación sistema de gestión MD Futbol 5</t>
  </si>
  <si>
    <t>Adrian Patriarca - 02/25/2026 13:25:18</t>
  </si>
  <si>
    <t>5f05e72f</t>
  </si>
  <si>
    <t>Solución pedidos enviados por la mitad (Guillermo)</t>
  </si>
  <si>
    <t>Renata Morano - 02/25/2026 14:04:52</t>
  </si>
  <si>
    <t>1a4a86e4</t>
  </si>
  <si>
    <t>Tablero Producción - Datos Febrero</t>
  </si>
  <si>
    <t>Felipe Duarte - 02/25/2026 14:20:27</t>
  </si>
  <si>
    <t>f35ab2ab</t>
  </si>
  <si>
    <t>Presentación de avances portal de clientes</t>
  </si>
  <si>
    <t>https://www.google.com/calendar/event?eid=ZjM1YWIyYWIgYXBhdHJpYXJjYS5hcHNvbEBt</t>
  </si>
  <si>
    <t>c8s3ecj26dj6ab9m64sj0b9k74ojib9pcpgjab9lcpi6cpb2c9h64cr5ck</t>
  </si>
  <si>
    <t>https://www.google.com/calendar/event?eid=YzhzM2VjajI2ZGo2YWI5bTY0c2owYjlrNzRvamliOXBjcGdqYWI5bGNwaTZjcGIyYzloNjRjcjVjayBhcGF0cmlhcmNhLmFwc29sQG0</t>
  </si>
  <si>
    <t>31dd2e48</t>
  </si>
  <si>
    <t>Felipe Duarte - 02/25/2026 17:44:16</t>
  </si>
  <si>
    <t>fd451d6d</t>
  </si>
  <si>
    <t>Reunión con Noelia y habilitación de las otras lineas</t>
  </si>
  <si>
    <t>Adrian Patriarca - 02/25/2026 17:53:36</t>
  </si>
  <si>
    <t>b1a152c5</t>
  </si>
  <si>
    <t>Anular pedidos enviados erroneamente al sistema (Pedido de Guillermo)</t>
  </si>
  <si>
    <t>Renata Morano - 02/26/2026 14:05:25</t>
  </si>
  <si>
    <t>b1506458</t>
  </si>
  <si>
    <t>Líneas</t>
  </si>
  <si>
    <t>Santiago Toscano - 02/27/2026 09:43:51</t>
  </si>
  <si>
    <t>Adrian Patriarca - 03/03/2026 13:42:04</t>
  </si>
  <si>
    <t>18a95393</t>
  </si>
  <si>
    <t>La paloma</t>
  </si>
  <si>
    <t>Adrian Patriarca - 02/27/2026 11:21:17</t>
  </si>
  <si>
    <t>e68216b2</t>
  </si>
  <si>
    <t>Continuar con las mejoras prometidas</t>
  </si>
  <si>
    <t>Renata Morano - 03/02/2026 10:04:26</t>
  </si>
  <si>
    <t>Renata Morano - 03/02/2026 11:01:00</t>
  </si>
  <si>
    <t>4c45ea46</t>
  </si>
  <si>
    <t>Comenzar a diagramar la app clientes mayoristas</t>
  </si>
  <si>
    <t>Renata Morano - 03/02/2026 11:02:38</t>
  </si>
  <si>
    <t>13b3813e</t>
  </si>
  <si>
    <t>Diagramar la app clientes mayoristas (vistas)</t>
  </si>
  <si>
    <t>Renata Morano - 03/03/2026 10:29:53</t>
  </si>
  <si>
    <t>444edb07</t>
  </si>
  <si>
    <t>Problema en app versión móvil y sprint 2 2026.</t>
  </si>
  <si>
    <t>Felipe Duarte - 03/02/2026 17:53:11</t>
  </si>
  <si>
    <t>f8967b36</t>
  </si>
  <si>
    <t>Sprint 2 2026.</t>
  </si>
  <si>
    <t>Felipe Duarte - 03/02/2026 17:53:23</t>
  </si>
  <si>
    <t>Felipe Duarte - 03/03/2026 17:10:35</t>
  </si>
  <si>
    <t>283f3d65</t>
  </si>
  <si>
    <t>Felipe Duarte - 03/02/2026 17:54:03</t>
  </si>
  <si>
    <t>1118d35c</t>
  </si>
  <si>
    <t>Felipe Duarte - 03/02/2026 17:54:18</t>
  </si>
  <si>
    <t>0649fa1d</t>
  </si>
  <si>
    <t>Reunión para acompañar en la implementación</t>
  </si>
  <si>
    <t>Renata Morano - 03/03/2026 08:08:10</t>
  </si>
  <si>
    <t>0d3deb11</t>
  </si>
  <si>
    <t>https://www.google.com/calendar/event?eid=MGQzZGViMTEgYXBhdHJpYXJjYS5hcHNvbEBt</t>
  </si>
  <si>
    <t>eddfe641</t>
  </si>
  <si>
    <t>Terminar Indicadores Tableros</t>
  </si>
  <si>
    <t>Renata Morano - 03/03/2026 11:08:37</t>
  </si>
  <si>
    <t>ffa54915</t>
  </si>
  <si>
    <t>Coordinación</t>
  </si>
  <si>
    <t>Adrian Patriarca - 03/03/2026 11:42:05</t>
  </si>
  <si>
    <t>bde66f3a</t>
  </si>
  <si>
    <t>Reunión Insuga para entregar los tableros de Recreo y ver como continuar</t>
  </si>
  <si>
    <t>Adrian Patriarca - 03/03/2026 12:03:18</t>
  </si>
  <si>
    <t>Renata Morano - 03/04/2026 08:12:45</t>
  </si>
  <si>
    <t>fa4a2517</t>
  </si>
  <si>
    <t>Adrian Patriarca - 03/03/2026 12:10:35</t>
  </si>
  <si>
    <t>5041bda2</t>
  </si>
  <si>
    <t>Armar Sprint + Hacerlo</t>
  </si>
  <si>
    <t>Adrian Patriarca - 03/03/2026 12:11:17</t>
  </si>
  <si>
    <t>Adrian Patriarca - 03/03/2026 12:12:54</t>
  </si>
  <si>
    <t>2fa3300b</t>
  </si>
  <si>
    <t>Adrian Patriarca - 03/03/2026 12:11:44</t>
  </si>
  <si>
    <t>29f2db34</t>
  </si>
  <si>
    <t>ISAA Cosas pequeñas que surjan en la Reunión (pequeñas mejoras estéticas + agregar cuota extra)</t>
  </si>
  <si>
    <t>Renata Morano - 03/05/2026 14:23:01</t>
  </si>
  <si>
    <t>42d37a7e</t>
  </si>
  <si>
    <t>Finalización Proyecto OTRV (ambas mejoras + grabación y envio del video)</t>
  </si>
  <si>
    <t>Adrian Patriarca - 03/03/2026 12:08:04</t>
  </si>
  <si>
    <t>Renata Morano - 03/06/2026 14:20:31</t>
  </si>
  <si>
    <t>dc3726ba</t>
  </si>
  <si>
    <t>Conexion Market Capacitación</t>
  </si>
  <si>
    <t>Adrian Patriarca - 03/03/2026 13:41:26</t>
  </si>
  <si>
    <t>Adrian Patriarca - 03/03/2026 13:41:58</t>
  </si>
  <si>
    <t>ebd7805d</t>
  </si>
  <si>
    <t>Adrian Patriarca - 03/03/2026 13:42:29</t>
  </si>
  <si>
    <t>52ae3959</t>
  </si>
  <si>
    <t>MD Futbol 5</t>
  </si>
  <si>
    <t>Adrian Patriarca - 03/03/2026 13:43:07</t>
  </si>
  <si>
    <t>ee3a70c0</t>
  </si>
  <si>
    <t>Conexion Market completado de Lineas</t>
  </si>
  <si>
    <t>Adrian Patriarca - 03/03/2026 13:44:01</t>
  </si>
  <si>
    <t>363b11dc</t>
  </si>
  <si>
    <t>Adrian Patriarca - 03/03/2026 13:44:19</t>
  </si>
  <si>
    <t>8ca0b36e</t>
  </si>
  <si>
    <t>Adrian Patriarca - 03/03/2026 13:44:55</t>
  </si>
  <si>
    <t>e243b8f2</t>
  </si>
  <si>
    <t>Refinado con Antigravity</t>
  </si>
  <si>
    <t>Adrian Patriarca - 03/03/2026 13:45:35</t>
  </si>
  <si>
    <t>53763398</t>
  </si>
  <si>
    <t>Adrian Patriarca - 03/03/2026 13:46:03</t>
  </si>
  <si>
    <t>cc5ebd39</t>
  </si>
  <si>
    <t>Adrian Patriarca - 03/03/2026 16:42:20</t>
  </si>
  <si>
    <t>3548eba4</t>
  </si>
  <si>
    <t>Adrian Patriarca - 03/03/2026 16:43:16</t>
  </si>
  <si>
    <t>Adrian Patriarca - 03/03/2026 16:43:44</t>
  </si>
  <si>
    <t>a687042f</t>
  </si>
  <si>
    <t>Adrian Patriarca - 03/04/2026 10:38:14</t>
  </si>
  <si>
    <t>30cb9411</t>
  </si>
  <si>
    <t>Ver como vincular Chatwoot con Ycloud</t>
  </si>
  <si>
    <t>Adrian Patriarca - 03/04/2026 19:58:56</t>
  </si>
  <si>
    <t>75202a12</t>
  </si>
  <si>
    <t>Hacer planteo de la APP y hacer una primer aproximación para mostrar en la reunión</t>
  </si>
  <si>
    <t>Adrian Patriarca - 03/05/2026 09:26:45</t>
  </si>
  <si>
    <t>6e478cf1</t>
  </si>
  <si>
    <t>Reunión con ISAA</t>
  </si>
  <si>
    <t>Adrian Patriarca - 03/03/2026 16:51:56</t>
  </si>
  <si>
    <t>bff25ff3</t>
  </si>
  <si>
    <t>Adrian Patriarca - 03/03/2026 16:52:22</t>
  </si>
  <si>
    <t>506ad93c</t>
  </si>
  <si>
    <t>Adrian Patriarca - 03/03/2026 16:52:58</t>
  </si>
  <si>
    <t>Adrian Patriarca - 03/03/2026 16:52:59</t>
  </si>
  <si>
    <t>Adrian Patriarca - 03/03/2026 16:52:60</t>
  </si>
  <si>
    <t>Adrian Patriarca - 03/03/2026 16:52:61</t>
  </si>
  <si>
    <t>Adrian Patriarca - 03/03/2026 16:52:62</t>
  </si>
  <si>
    <t>Adrian Patriarca - 03/03/2026 16:52:63</t>
  </si>
  <si>
    <t>Adrian Patriarca - 03/03/2026 16:52:64</t>
  </si>
  <si>
    <t>Adrian Patriarca - 03/03/2026 16:52:65</t>
  </si>
  <si>
    <t>959d19d8</t>
  </si>
  <si>
    <t>Acción reprogramar</t>
  </si>
  <si>
    <t>Felipe Duarte - 03/03/2026 17:11:01</t>
  </si>
  <si>
    <t>5fdb3c45</t>
  </si>
  <si>
    <t>Cambios en App Escobar + Documentación</t>
  </si>
  <si>
    <t>Adrian Patriarca - 03/03/2026 18:14:13</t>
  </si>
  <si>
    <t>71b88d82</t>
  </si>
  <si>
    <t>Adrian Patriarca - 03/03/2026 18:14:22</t>
  </si>
  <si>
    <t>Felipe Duarte - 03/05/2026 16:04:55</t>
  </si>
  <si>
    <t>41edf647</t>
  </si>
  <si>
    <t>Sprint 3_2026</t>
  </si>
  <si>
    <t>Adrian Patriarca - 03/03/2026 18:14:53</t>
  </si>
  <si>
    <t>Felipe Duarte - 03/06/2026 16:12:32</t>
  </si>
  <si>
    <t>94b8a20c</t>
  </si>
  <si>
    <t>Tablero de producción</t>
  </si>
  <si>
    <t>Felipe Duarte - 03/03/2026 18:16:00</t>
  </si>
  <si>
    <t>233358c7</t>
  </si>
  <si>
    <t>Hacer las correcciones pendientes + hacer lo del cronograma para poder sumar hs</t>
  </si>
  <si>
    <t>Adrian Patriarca - 03/03/2026 20:04:34</t>
  </si>
  <si>
    <t>Appsheet , Antigravity</t>
  </si>
  <si>
    <t>ab778a51</t>
  </si>
  <si>
    <t>Mejorar el tablero de control de Amipack, ponerle control de acceso y reunirse con cristian</t>
  </si>
  <si>
    <t>Adrian Patriarca - 03/03/2026 20:12:46</t>
  </si>
  <si>
    <t>Adrian Patriarca - 03/04/2026 12:06:06</t>
  </si>
  <si>
    <t>Antigravity , Otros</t>
  </si>
  <si>
    <t>a7190758</t>
  </si>
  <si>
    <t>Gestión + Marketing, en marketing empezar a preparar lo que son las bases de datos para email marketing</t>
  </si>
  <si>
    <t>Adrian Patriarca - 03/20/2026 15:23:22</t>
  </si>
  <si>
    <t>Herramientas No utilizadas</t>
  </si>
  <si>
    <t>d166d03c</t>
  </si>
  <si>
    <t>Adrian Patriarca - 03/03/2026 20:14:18</t>
  </si>
  <si>
    <t>_60q30c1g60o30e1i60o4ac1g60rj8gpl88rj2c1h84s34h9g60s30c1g60o30c1g6oo48chg8koj4ga685148gpg64o30c1g60o30c1g60o30c1g60o32c1g60o30c1g74rj0hhl88r3ghhm6srjighk8gskad1j6h244dhh84qk4gq38d1g</t>
  </si>
  <si>
    <t xml:space="preserve">
________________________________________________________________________________
Reunión de Microsoft Teams
Unirse: https://teams.microsoft.com/meet/24631467675968?p=lVjWj7Q77XcwQ6IVnV
Id. de reunión: 246 314 676 759 68
Código de acceso: S3Fo9Uy7
________________________________
¿Necesita ayuda?&lt;https://aka.ms/JoinTeamsMeeting?omkt=es-ES&gt; | Referencia del sistema&lt;https://teams.microsoft.com/l/meetup-join/19%3ameeting_ZjUxNDNhZDctOTMzYy00NTJlLWIzYjktNWMzODEyMzQzNWQ0%40thread.v2/0?context=%7b%22Tid%22%3a%224f04eaaa-090c-4f67-9278-c081f4c88259%22%2c%22Oid%22%3a%227c2ddb88-16c5-43ab-9a36-68e75caeff34%22%7d&gt;
Para organizadores: Opciones de la reunión&lt;https://teams.microsoft.com/meetingOptions/?organizerId=7c2ddb88-16c5-43ab-9a36-68e75caeff34&amp;tenantId=4f04eaaa-090c-4f67-9278-c081f4c88259&amp;threadId=19_meeting_ZjUxNDNhZDctOTMzYy00NTJlLWIzYjktNWMzODEyMzQzNWQ0@thread.v2&amp;messageId=0&amp;language=es-ES&gt;
________________________________________________________________________________
</t>
  </si>
  <si>
    <t>https://www.google.com/calendar/event?eid=XzYwcTMwYzFnNjBvMzBlMWk2MG80YWMxZzYwcmo4Z3BsODhyajJjMWg4NHMzNGg5ZzYwczMwYzFnNjBvMzBjMWc2b280OGNoZzhrb2o0Z2E2ODUxNDhncGc2NG8zMGMxZzYwbzMwYzFnNjBvMzBjMWc2MG8zMmMxZzYwbzMwYzFnNzRyajBoaGw4OHIzZ2hobTZzcmppZ2hrOGdza2FkMWo2aDI0NGRoaDg0cWs0Z3EzOGQxZyBhcGF0cmlhcmNhLmFwc29sQG0</t>
  </si>
  <si>
    <t>99642a50</t>
  </si>
  <si>
    <t>Amipack, nos reunimos con Gabriel para ver el tema de como debería ser la tabla</t>
  </si>
  <si>
    <t>Adrian Patriarca - 03/04/2026 10:38:07</t>
  </si>
  <si>
    <t>832a3fe9</t>
  </si>
  <si>
    <t>Gestión, en general. Liquidación de sueldos, propuesta para Nation, etc</t>
  </si>
  <si>
    <t>Adrian Patriarca - 03/04/2026 10:38:59</t>
  </si>
  <si>
    <t>Adrian Patriarca - 03/04/2026 15:28:28</t>
  </si>
  <si>
    <t>2787ec1d</t>
  </si>
  <si>
    <t>Reunión con Julieta y Andrea para presentarle las dos alternativas</t>
  </si>
  <si>
    <t>Renata Morano - 03/04/2026 11:26:50</t>
  </si>
  <si>
    <t>Renata Morano - 03/06/2026 08:55:10</t>
  </si>
  <si>
    <t>Appsheet</t>
  </si>
  <si>
    <t>20ef505a</t>
  </si>
  <si>
    <t>Reunión con Cristian. Temas: Revisar diseño del tablero, funcionalidades principales</t>
  </si>
  <si>
    <t>Adrian Patriarca - 03/04/2026 12:05:25</t>
  </si>
  <si>
    <t>Antigravity , Herramientas No utilizadas</t>
  </si>
  <si>
    <t>b528390c</t>
  </si>
  <si>
    <t>Reunión con Cristian. Temas: Revisar diseño del tablero, maquinas, funcionalidades principales</t>
  </si>
  <si>
    <t>https://www.google.com/calendar/event?eid=YjUyODM5MGMgYXBhdHJpYXJjYS5hcHNvbEBt</t>
  </si>
  <si>
    <t>7d482687</t>
  </si>
  <si>
    <t>Desarrollo funcionalidades aplicación..............................</t>
  </si>
  <si>
    <t>Santiago Toscano - 03/05/2026 08:01:07</t>
  </si>
  <si>
    <t>Adrian Patriarca - 03/10/2026 08:34:14</t>
  </si>
  <si>
    <t>ef355721</t>
  </si>
  <si>
    <t>Capacitación sobre diseño en stich y aplicación prompt.............................................</t>
  </si>
  <si>
    <t>Santiago Toscano - 03/05/2026 08:02:57</t>
  </si>
  <si>
    <t>Santiago Toscano - 03/05/2026 08:03:24</t>
  </si>
  <si>
    <t>009e82fa</t>
  </si>
  <si>
    <t>Respuesta ticket, eliminación línea y se cargó la última pendiente</t>
  </si>
  <si>
    <t>Santiago Toscano - 03/05/2026 08:04:06</t>
  </si>
  <si>
    <t>f59b688a</t>
  </si>
  <si>
    <t>Consultora, revisión con Santiago cosas de Antigravity. No estamos pudiendo resolver el tema del diseño</t>
  </si>
  <si>
    <t>Adrian Patriarca - 03/05/2026 13:11:44</t>
  </si>
  <si>
    <t>582eaeba</t>
  </si>
  <si>
    <t>Reunión para ver los avances que lograron en la implementación</t>
  </si>
  <si>
    <t>Renata Morano - 03/05/2026 14:11:51</t>
  </si>
  <si>
    <t>Renata Morano - 03/12/2026 14:15:33</t>
  </si>
  <si>
    <t>48d16401</t>
  </si>
  <si>
    <t>Modificación en app: partes, el detalle de partes no mostraba correctamente la descripción del mismo. Ocurría lo mismo en el histórico de desvíos, por lo que se debe tomar la descripción correcta según el período, antes de realizar el cambio en la tabla de desvíos y después.</t>
  </si>
  <si>
    <t>Felipe Duarte - 03/05/2026 16:05:11</t>
  </si>
  <si>
    <t>02d3a752</t>
  </si>
  <si>
    <t>Día libre solicitado el día 05/03/2026 por motivos de inicio de clases.</t>
  </si>
  <si>
    <t>Felipe Duarte - 03/05/2026 14:45:56</t>
  </si>
  <si>
    <t>Mateo Courault - 03/16/2026 17:03:37</t>
  </si>
  <si>
    <t>669f7f55</t>
  </si>
  <si>
    <t>Felipe Duarte - 03/05/2026 14:46:05</t>
  </si>
  <si>
    <t>Mateo Courault - 03/16/2026 17:03:45</t>
  </si>
  <si>
    <t>ce12ad11</t>
  </si>
  <si>
    <t>Felipe Duarte - 03/05/2026 14:46:23</t>
  </si>
  <si>
    <t>4798ffc6</t>
  </si>
  <si>
    <t>Panel de liquidaciones antigravity, lo que voy a hacer es hacer un panel de liquidaciones en antigravity que se conecte a google sheet</t>
  </si>
  <si>
    <t>Adrian Patriarca - 03/05/2026 18:36:04</t>
  </si>
  <si>
    <t>Adrian Patriarca - 03/20/2026 15:23:12</t>
  </si>
  <si>
    <t>cc072e4f</t>
  </si>
  <si>
    <t>Refinamiento de todo lo que es la app de MD, mediante antigravity</t>
  </si>
  <si>
    <t>Adrian Patriarca - 03/06/2026 08:39:34</t>
  </si>
  <si>
    <t>4b16988d</t>
  </si>
  <si>
    <t>ISAA Cosas pequeñas que surjan en la Reunión (pequeñas mejoras estéticas + agregar cuota extra + mejoras que me comento Claudia en base a las pruebas que estuvo haciendo)</t>
  </si>
  <si>
    <t>Renata Morano - 03/06/2026 08:55:03</t>
  </si>
  <si>
    <t>6kqjgcj26gr66b9iccqjib9kc9ijabb2c5gjebb4cgpj8p1m6cqm4dpg74</t>
  </si>
  <si>
    <t>https://www.google.com/calendar/event?eid=NmtxamdjajI2Z3I2NmI5aWNjcWppYjlrYzlpamFiYjJjNWdqZWJiNGNncGo4cDFtNmNxbTRkcGc3NCBhcGF0cmlhcmNhLmFwc29sQG0</t>
  </si>
  <si>
    <t>5f131e17</t>
  </si>
  <si>
    <t>Modificación en tablero de control, antes no tenía en cuanto el momento en que una máquina había sido dada de baja, seguía sumando horas disponibles, lo cual no reflejaba correctamente los indicadores de productividad y OEE.</t>
  </si>
  <si>
    <t>Felipe Duarte - 03/06/2026 16:13:42</t>
  </si>
  <si>
    <t>4c1883fa</t>
  </si>
  <si>
    <t>Santiago Toscano - 03/09/2026 09:20:10</t>
  </si>
  <si>
    <t>fee47515</t>
  </si>
  <si>
    <t>Santiago Toscano - 03/09/2026 09:21:42</t>
  </si>
  <si>
    <t>81070067</t>
  </si>
  <si>
    <t>Interacciones de diseño y funcionalidades App MD (futbol y agencia)</t>
  </si>
  <si>
    <t>Adrian Patriarca - 03/09/2026 09:23:55</t>
  </si>
  <si>
    <t>Adrian Patriarca - 03/10/2026 08:34:26</t>
  </si>
  <si>
    <t>04de3d24</t>
  </si>
  <si>
    <t>Adrian Patriarca - 03/09/2026 09:24:04</t>
  </si>
  <si>
    <t>Adrian Patriarca - 03/10/2026 08:34:33</t>
  </si>
  <si>
    <t>1d9d4075</t>
  </si>
  <si>
    <t>Conceptualización del problema, Organizar Reunión, Miercoles en delante.</t>
  </si>
  <si>
    <t>Adrian Patriarca - 03/09/2026 09:46:17</t>
  </si>
  <si>
    <t>Adrian Patriarca - 03/10/2026 08:35:47</t>
  </si>
  <si>
    <t>fbc851eb</t>
  </si>
  <si>
    <t>Se cargaron plantillas ........................................</t>
  </si>
  <si>
    <t>Santiago Toscano - 03/10/2026 12:14:46</t>
  </si>
  <si>
    <t>N8N , Herramientas No utilizadas</t>
  </si>
  <si>
    <t>eb7f37c5</t>
  </si>
  <si>
    <t>Query Julieta + query para calcular automaticamente los costos del tablero (comentario Gonzalo reunión)</t>
  </si>
  <si>
    <t>Renata Morano - 03/09/2026 09:55:12</t>
  </si>
  <si>
    <t>Renata Morano - 03/09/2026 11:35:00</t>
  </si>
  <si>
    <t>53f1d9e0</t>
  </si>
  <si>
    <t>Adrian Patriarca - 03/09/2026 10:01:56</t>
  </si>
  <si>
    <t>Renata Morano - 03/10/2026 13:53:33</t>
  </si>
  <si>
    <t>b6014d00</t>
  </si>
  <si>
    <t>Escobar, Mejoras para tablero de control de stock (Que puedan visualizar cuantas ventas son por compañia de seguro)</t>
  </si>
  <si>
    <t>Adrian Patriarca - 03/09/2026 10:02:12</t>
  </si>
  <si>
    <t>Renata Morano - 03/16/2026 14:00:12</t>
  </si>
  <si>
    <t>69233493</t>
  </si>
  <si>
    <t>ISAA tratar de avanzar con todos los pedidos mas importantes antes de la reunión</t>
  </si>
  <si>
    <t>Adrian Patriarca - 03/09/2026 10:06:40</t>
  </si>
  <si>
    <t>Renata Morano - 03/11/2026 15:07:23</t>
  </si>
  <si>
    <t>4ba7e27c</t>
  </si>
  <si>
    <t>Adrian Patriarca - 03/09/2026 10:06:58</t>
  </si>
  <si>
    <t>0f87af62</t>
  </si>
  <si>
    <t>1. Exportación
2. Capacitación Antigravity para avanzar con la App de ATC mayoristas
3. Tablero</t>
  </si>
  <si>
    <t>Adrian Patriarca - 03/09/2026 10:21:09</t>
  </si>
  <si>
    <t>Renata Morano - 03/23/2026 13:01:34</t>
  </si>
  <si>
    <t>fc484293</t>
  </si>
  <si>
    <t>Capacitación Antigravity para avanzar con la App de ATC mayoristas</t>
  </si>
  <si>
    <t>Adrian Patriarca - 03/09/2026 10:21:18</t>
  </si>
  <si>
    <t>Renata Morano - 03/20/2026 13:49:22</t>
  </si>
  <si>
    <t>fb56378c</t>
  </si>
  <si>
    <t>Reunión para ver el nuevo liquidador de trabajos. https://refri.apsol-consultora.com.ar/</t>
  </si>
  <si>
    <t>Adrian Patriarca - 03/09/2026 17:58:48</t>
  </si>
  <si>
    <t>Adrian Patriarca - 03/10/2026 14:21:35</t>
  </si>
  <si>
    <t>dcf657eb</t>
  </si>
  <si>
    <t>Reunión conceptualización App Agencia de autos MD. Planteo de la solución</t>
  </si>
  <si>
    <t>Adrian Patriarca - 03/09/2026 18:01:40</t>
  </si>
  <si>
    <t>c37ce11a</t>
  </si>
  <si>
    <t>Adrian Patriarca - 03/10/2026 08:29:57</t>
  </si>
  <si>
    <t>Santiago Toscano - 03/10/2026 12:13:23</t>
  </si>
  <si>
    <t>5d96dd4a</t>
  </si>
  <si>
    <t>https://www.google.com/calendar/event?eid=NWQ5NmRkNGEgYXBhdHJpYXJjYS5hcHNvbEBt</t>
  </si>
  <si>
    <t>46cd0775</t>
  </si>
  <si>
    <t>ISAA charla con Claudia + reunión con Adrian (deben plantear mejoras)</t>
  </si>
  <si>
    <t>Renata Morano - 03/10/2026 10:12:27</t>
  </si>
  <si>
    <t>d6b8fbe1</t>
  </si>
  <si>
    <t>Escobar, ver el tema del problema con la base + charlar con Jose de las mejoras pendients</t>
  </si>
  <si>
    <t>Renata Morano - 03/10/2026 13:54:21</t>
  </si>
  <si>
    <t>Power Bi , Otros</t>
  </si>
  <si>
    <t>beb5ad60</t>
  </si>
  <si>
    <t>Agregar el mail solicitado por Claudia, hacer los cambios requeridos en base a las prioridades (editar inscripciones, que no se pueda inscribir una persona dos veces al mismo curso +  pagos cargados para la cuota futuro)</t>
  </si>
  <si>
    <t>Renata Morano - 03/10/2026 11:44:04</t>
  </si>
  <si>
    <t>Renata Morano - 03/10/2026 13:54:26</t>
  </si>
  <si>
    <t>4986509b</t>
  </si>
  <si>
    <t>Recomendaciones a la hora de exponer conceptualización .................</t>
  </si>
  <si>
    <t>Santiago Toscano - 03/10/2026 12:14:12</t>
  </si>
  <si>
    <t>bc514abb</t>
  </si>
  <si>
    <t>App antigravity para logística de El Norte .................................</t>
  </si>
  <si>
    <t>Santiago Toscano - 03/10/2026 12:15:36</t>
  </si>
  <si>
    <t>Adrian Patriarca - 03/19/2026 13:28:54</t>
  </si>
  <si>
    <t>Se desarrollo la solución de la pantalla y el tablero. Vale por 30 hs</t>
  </si>
  <si>
    <t>bcaf75a7</t>
  </si>
  <si>
    <t>Ticket pendiente: poder agregar un periodo de planta en el tablero para el mes de febrero 2026 donde se cuenten las horas como disponibles.</t>
  </si>
  <si>
    <t>Felipe Duarte - 03/10/2026 14:14:02</t>
  </si>
  <si>
    <t>a0bf50df</t>
  </si>
  <si>
    <t>Continuar con el sprint 3 2026, pendiente reunión 3/03/2026 y módulo de saldos.</t>
  </si>
  <si>
    <t>Felipe Duarte - 03/10/2026 14:13:42</t>
  </si>
  <si>
    <t>6csj8ohicpgjab9h69ijgb9kclijibb2ccpm8bb6c8o3gphj6soj4dpocc_20260317T170000Z</t>
  </si>
  <si>
    <t>https://www.google.com/calendar/event?eid=NmNzajhvaGljcGdqYWI5aDY5aWpnYjlrY2xpamliYjJjY3BtOGJiNmM4bzNncGhqNnNvajRkcG9jY18yMDI2MDMxN1QxNzAwMDBaIGFwYXRyaWFyY2EuYXBzb2xAbQ</t>
  </si>
  <si>
    <t>0c5e1ded</t>
  </si>
  <si>
    <t>Felipe Duarte - 03/10/2026 15:01:47</t>
  </si>
  <si>
    <t>Felipe Duarte - 03/11/2026 18:02:49</t>
  </si>
  <si>
    <t>dc87480a</t>
  </si>
  <si>
    <t>Pedido de Cristian: ver onenote reunión 10/03/2026 pestaña "cumplimiento de objetivos" -&gt; medición de OEE por empleado para premio productividad</t>
  </si>
  <si>
    <t>Felipe Duarte - 03/10/2026 15:03:18</t>
  </si>
  <si>
    <t>Felipe Duarte - 03/13/2026 16:59:03</t>
  </si>
  <si>
    <t>20f6a24f</t>
  </si>
  <si>
    <t>Felipe Duarte - 03/10/2026 15:03:40</t>
  </si>
  <si>
    <t>a45a74bc</t>
  </si>
  <si>
    <t>Conexión con CRM Ycloud &gt;&gt; ChtWoot, especificamente direccionamiento de lineas</t>
  </si>
  <si>
    <t>Adrian Patriarca - 03/10/2026 21:26:45</t>
  </si>
  <si>
    <t>00fc4549</t>
  </si>
  <si>
    <t>Adrian Patriarca - 03/11/2026 08:11:39</t>
  </si>
  <si>
    <t>Adrian Patriarca - 03/11/2026 12:25:51</t>
  </si>
  <si>
    <t>15b096db</t>
  </si>
  <si>
    <t>Ayuda a Santiago con Antigravity (Promteo) y a Renata con ISAA (Excedente en los pagos)</t>
  </si>
  <si>
    <t>Adrian Patriarca - 03/11/2026 12:27:25</t>
  </si>
  <si>
    <t>ef0da801</t>
  </si>
  <si>
    <t>Adrian Patriarca - 03/11/2026 12:27:20</t>
  </si>
  <si>
    <t>Adrian Patriarca - 03/12/2026 14:43:20</t>
  </si>
  <si>
    <t>dd68d4e7</t>
  </si>
  <si>
    <t>Reunión con Federico para ver el tema de los costos (centrarme en ver que dato necesita y el calculo. No entrar en detalle de como se enviara)</t>
  </si>
  <si>
    <t>Renata Morano - 03/11/2026 14:06:02</t>
  </si>
  <si>
    <t>Renata Morano - 03/13/2026 12:05:30</t>
  </si>
  <si>
    <t>f50ec2ef</t>
  </si>
  <si>
    <t>Completando funcionalides y probando prompts específicos para EL NORTE app</t>
  </si>
  <si>
    <t>Santiago Toscano - 03/11/2026 15:45:24</t>
  </si>
  <si>
    <t>Adrian Patriarca - 03/19/2026 13:29:00</t>
  </si>
  <si>
    <t>96b49154</t>
  </si>
  <si>
    <t>Probando prompts con adrian para EL NORTE app ....................</t>
  </si>
  <si>
    <t>Santiago Toscano - 03/11/2026 15:46:15</t>
  </si>
  <si>
    <t>e41d08af</t>
  </si>
  <si>
    <t>Reunión con Insuga para mostrar conceptualización e idea ya desarrollada en antigravity</t>
  </si>
  <si>
    <t>Santiago Toscano - 03/11/2026 15:48:32</t>
  </si>
  <si>
    <t>Santiago Toscano - 03/12/2026 08:24:20</t>
  </si>
  <si>
    <t>5f7fcb35</t>
  </si>
  <si>
    <t>Ticket pendiente: poder agregar un periodo de planta en el tablero para el mes de febrero 2026 donde se cuenten las horas como disponibles -&gt; Correcicón de errores.</t>
  </si>
  <si>
    <t>Felipe Duarte - 03/11/2026 18:04:20</t>
  </si>
  <si>
    <t>5dc06dd3</t>
  </si>
  <si>
    <t>REFRI: hacer modificaciones charladas en la reunión del 11/03 para dejar todo listo, ver anotaciones en onenote y excel de Adrian.
Fecha original 12/03... La paso al 14/2 para que entre en el proximo periodo</t>
  </si>
  <si>
    <t>Adrian Patriarca - 03/20/2026 18:49:40</t>
  </si>
  <si>
    <t>bbe05c39</t>
  </si>
  <si>
    <t>Iteraciones finales y problemas resueltos con imagen del logo</t>
  </si>
  <si>
    <t>Santiago Toscano - 03/12/2026 11:52:35</t>
  </si>
  <si>
    <t>Adrian Patriarca - 03/19/2026 13:29:05</t>
  </si>
  <si>
    <t>f31e4ff7</t>
  </si>
  <si>
    <t>Desarrollo de procedimientos para una nueva aplicación en Antigravity. Capacitación en N8N para resolver problemas en Conexion Market.</t>
  </si>
  <si>
    <t>Santiago Toscano - 03/12/2026 11:53:26</t>
  </si>
  <si>
    <t>N8N , Antigravity</t>
  </si>
  <si>
    <t>48f0301d</t>
  </si>
  <si>
    <t>Presentación conceptualización Proyecto de Digitalización partes de producción.</t>
  </si>
  <si>
    <t>Adrian Patriarca - 03/12/2026 15:13:19</t>
  </si>
  <si>
    <t>Adrian Patriarca - 03/13/2026 11:13:09</t>
  </si>
  <si>
    <t>575c19e7</t>
  </si>
  <si>
    <t>Reunión con Noelia para actualizar estado del proyecto y demas</t>
  </si>
  <si>
    <t>Adrian Patriarca - 03/12/2026 15:14:23</t>
  </si>
  <si>
    <t>cfe39ff6</t>
  </si>
  <si>
    <t>Presentación avances en el proyecto portal de proveedores de Open Pack</t>
  </si>
  <si>
    <t>Adrian Patriarca - 03/12/2026 15:17:34</t>
  </si>
  <si>
    <t>Adrian Patriarca - 03/13/2026 11:13:05</t>
  </si>
  <si>
    <t>bf4f13a2</t>
  </si>
  <si>
    <t>Gestión cuestiones varias: Ayuda a Renata, Felipe y Santiago. Gestión Administrativa</t>
  </si>
  <si>
    <t>Adrian Patriarca - 03/12/2026 15:50:27</t>
  </si>
  <si>
    <t>060884f2</t>
  </si>
  <si>
    <t>Destrabar problemas de implementación de ISAA, cliente complicado</t>
  </si>
  <si>
    <t>Adrian Patriarca - 03/12/2026 15:52:25</t>
  </si>
  <si>
    <t>47ad1449</t>
  </si>
  <si>
    <t>Adrian Patriarca - 03/12/2026 15:52:41</t>
  </si>
  <si>
    <t>db9c2f7e</t>
  </si>
  <si>
    <t>Gestiones varias, destrabar Renata y Santiago. Nor + ISAA, conceptualización asistente virtual Conexion Market</t>
  </si>
  <si>
    <t>Adrian Patriarca - 03/12/2026 15:54:03</t>
  </si>
  <si>
    <t>f4016f6e</t>
  </si>
  <si>
    <t>Adrian Patriarca - 03/12/2026 15:54:32</t>
  </si>
  <si>
    <t>ea1f7c4c</t>
  </si>
  <si>
    <t>Open pack empezar a integrar todo lo que es la lectura de facturas desde los distintos canales con lo que sería el portal de proveedores</t>
  </si>
  <si>
    <t>Adrian Patriarca - 03/12/2026 15:55:39</t>
  </si>
  <si>
    <t>2bf29532</t>
  </si>
  <si>
    <t>Adrian Patriarca - 03/12/2026 15:55:56</t>
  </si>
  <si>
    <t>Adrian Patriarca - 03/12/2026 21:26:36</t>
  </si>
  <si>
    <t>f1a7b4a0</t>
  </si>
  <si>
    <t>Adrian Patriarca - 03/12/2026 15:56:37</t>
  </si>
  <si>
    <t>6887a9d9</t>
  </si>
  <si>
    <t>Nor, ir a hablar con tato por el tema de los tableros de control + resolver pedidos diversos</t>
  </si>
  <si>
    <t>Adrian Patriarca - 03/12/2026 15:57:49</t>
  </si>
  <si>
    <t>90f247fb</t>
  </si>
  <si>
    <t>Terminar la cuestión de los intereses que sean sobre el saldo solamente y no sobre toda la cuota y generar los informes</t>
  </si>
  <si>
    <t>Renata Morano - 03/13/2026 12:05:26</t>
  </si>
  <si>
    <t>a2301117</t>
  </si>
  <si>
    <t>Renata Morano - 03/13/2026 12:05:40</t>
  </si>
  <si>
    <t>Renata Morano - 03/13/2026 15:13:10</t>
  </si>
  <si>
    <t>53a36e24</t>
  </si>
  <si>
    <t>REFRI: hacer modificaciones charladas en la reunión del 11/03 para dejar todo listo, ver anotaciones en onenote y excel de Adrian.
Fecha Original 13/03 se traslada a 15/03 para que entre en el nuevo periodo</t>
  </si>
  <si>
    <t>Felipe Duarte - 03/13/2026 15:53:12</t>
  </si>
  <si>
    <t>Adrian Patriarca - 03/20/2026 18:50:33</t>
  </si>
  <si>
    <t>3b9b4d82</t>
  </si>
  <si>
    <t>Felipe Duarte - 03/13/2026 16:59:26</t>
  </si>
  <si>
    <t>c1b24be8</t>
  </si>
  <si>
    <t>Iteración a pedido de cliente, se modificaron detalles fecha y opción pdf.</t>
  </si>
  <si>
    <t>Santiago Toscano - 03/16/2026 12:20:17</t>
  </si>
  <si>
    <t>342950b1</t>
  </si>
  <si>
    <t>Flujo N8N para chatbot para Conexión Market ...........................</t>
  </si>
  <si>
    <t>Santiago Toscano - 03/16/2026 12:21:03</t>
  </si>
  <si>
    <t>Adrian Patriarca - 03/18/2026 21:27:10</t>
  </si>
  <si>
    <t>e52ca377</t>
  </si>
  <si>
    <t>Desarrollo N8N chatbot, revisión documentación sobre procesos internos</t>
  </si>
  <si>
    <t>Santiago Toscano - 03/16/2026 12:22:49</t>
  </si>
  <si>
    <t>Adrian Patriarca - 03/18/2026 21:27:27</t>
  </si>
  <si>
    <t>ba1d09d9</t>
  </si>
  <si>
    <t>Adrian Patriarca - 03/18/2026 21:27:16</t>
  </si>
  <si>
    <t>116c7699</t>
  </si>
  <si>
    <t>Reunión para proyecto MD Agencia, se establecieron necesidades, diagramas de flujo y tiempos de implementación de conceptualización para próxima reunión.
Feedback de MD CAJA, donde se solicito revisar la funcionalidad stock, en especial cuando se hace un nuevo registro.
Se revisó con Adrián forma de hacer una presentación a un cliente y elementos a tener en cuenta.</t>
  </si>
  <si>
    <t>Santiago Toscano - 03/16/2026 12:36:19</t>
  </si>
  <si>
    <t>Santiago Toscano - 03/19/2026 08:54:05</t>
  </si>
  <si>
    <t>c28c98b6</t>
  </si>
  <si>
    <t>Cambios solicitados por Claudia + mandarle mensaje explicándole en detalle donde estuvieron los errores que me comentaba y como evitar que los vuelvan a cometer tanto ella como Gaby</t>
  </si>
  <si>
    <t>Renata Morano - 03/16/2026 14:01:08</t>
  </si>
  <si>
    <t>e44bf5a7</t>
  </si>
  <si>
    <t>Insuga: armarle el excel con los datos para Facundo + avanzar con las querys para calcular el precio de venta directamente del sistema</t>
  </si>
  <si>
    <t>Renata Morano - 03/16/2026 14:02:09</t>
  </si>
  <si>
    <t>Renata Morano - 03/16/2026 14:02:28</t>
  </si>
  <si>
    <t>4342e7f8</t>
  </si>
  <si>
    <t>Renata Morano - 03/16/2026 14:02:47</t>
  </si>
  <si>
    <t>Renata Morano - 03/17/2026 12:53:14</t>
  </si>
  <si>
    <t>1b1da416</t>
  </si>
  <si>
    <t>Renata Morano - 03/16/2026 14:03:17</t>
  </si>
  <si>
    <t>Renata Morano - 03/19/2026 13:58:25</t>
  </si>
  <si>
    <t>ff411e3b</t>
  </si>
  <si>
    <t>Capacitación introductoria n8n, nivel de avance esperado: 20%</t>
  </si>
  <si>
    <t>Mateo Courault - 03/16/2026 16:12:16</t>
  </si>
  <si>
    <t>4c302d3f</t>
  </si>
  <si>
    <t>Capacitación introductoria n8n, nivel de avance esperado: 40%</t>
  </si>
  <si>
    <t>Mateo Courault - 03/16/2026 16:12:48</t>
  </si>
  <si>
    <t>efd235b1</t>
  </si>
  <si>
    <t>Capacitación introductoria n8n, nivel de avance esperado: 60%</t>
  </si>
  <si>
    <t>Mateo Courault - 03/16/2026 16:12:54</t>
  </si>
  <si>
    <t>a7b83f5c</t>
  </si>
  <si>
    <t>Capacitación introductoria n8n, nivel de avance esperado: 80%</t>
  </si>
  <si>
    <t>Mateo Courault - 03/16/2026 16:13:11</t>
  </si>
  <si>
    <t>d82f4227</t>
  </si>
  <si>
    <t>Capacitación introductoria n8n, nivel de avance esperado: 100%</t>
  </si>
  <si>
    <t>Mateo Courault - 03/16/2026 17:07:46</t>
  </si>
  <si>
    <t>34321a7a</t>
  </si>
  <si>
    <t>Capacitación introductoria antigravity, nivel de avance esperado: 25%</t>
  </si>
  <si>
    <t>Mateo Courault - 03/16/2026 17:31:46</t>
  </si>
  <si>
    <t>76c9d553</t>
  </si>
  <si>
    <t>Capacitación introductoria antigravity, nivel de avance esperado: 50%</t>
  </si>
  <si>
    <t>Mateo Courault - 03/16/2026 17:32:02</t>
  </si>
  <si>
    <t>5392fae3</t>
  </si>
  <si>
    <t>Capacitación introductoria antigravity, nivel de avance esperado: 75%</t>
  </si>
  <si>
    <t>Mateo Courault - 03/16/2026 17:32:15</t>
  </si>
  <si>
    <t>24525c63</t>
  </si>
  <si>
    <t>Capacitación introductoria antigravity, nivel de avance esperado: 100%</t>
  </si>
  <si>
    <t>Mateo Courault - 03/16/2026 17:34:49</t>
  </si>
  <si>
    <t>Adrian Patriarca - 03/23/2026 08:56:05</t>
  </si>
  <si>
    <t>d0f3a988</t>
  </si>
  <si>
    <t>Renata Morano - 03/17/2026 12:53:26</t>
  </si>
  <si>
    <t>6csj8ohicpgjab9h69ijgb9kclijibb2ccpm8bb6c8o3gphj6soj4dpocc_20260324T170000Z</t>
  </si>
  <si>
    <t>https://www.google.com/calendar/event?eid=NmNzajhvaGljcGdqYWI5aDY5aWpnYjlrY2xpamliYjJjY3BtOGJiNmM4bzNncGhqNnNvajRkcG9jY18yMDI2MDMyNFQxNzAwMDBaIGFwYXRyaWFyY2EuYXBzb2xAbQ</t>
  </si>
  <si>
    <t>Adrian Patriarca - 03/24/2026 16:52:56</t>
  </si>
  <si>
    <t>8594c3cc</t>
  </si>
  <si>
    <t>NC: problemas en el módulo NC, no se pueden procesar por parte del sector destino. Verificaciones con Delfina y resolución de ticket.</t>
  </si>
  <si>
    <t>Felipe Duarte - 03/17/2026 15:22:26</t>
  </si>
  <si>
    <t>56112cb7</t>
  </si>
  <si>
    <t>Finalización sprint 3_2026: acción de ingresar códigos de barra.</t>
  </si>
  <si>
    <t>Felipe Duarte - 03/17/2026 15:23:01</t>
  </si>
  <si>
    <t>d5871a45</t>
  </si>
  <si>
    <t>Pedido de Cristian: premio por productividad a operarios. Ver tablero de producción y anotaciones en OneDrive.</t>
  </si>
  <si>
    <t>Felipe Duarte - 03/17/2026 15:25:04</t>
  </si>
  <si>
    <t>Felipe Duarte - 03/17/2026 17:05:26</t>
  </si>
  <si>
    <t>076beb51</t>
  </si>
  <si>
    <t>Felipe Duarte - 03/19/2026 16:18:18</t>
  </si>
  <si>
    <t>6718fe89</t>
  </si>
  <si>
    <t>Día libre (día no laborable por fines turísticos, previo al feriado nacional del día 24/03)</t>
  </si>
  <si>
    <t>Felipe Duarte - 03/17/2026 15:37:17</t>
  </si>
  <si>
    <t>8a06a950</t>
  </si>
  <si>
    <t>Reunión para ver integración portal de proveedores con sistema Tecla Open Pack</t>
  </si>
  <si>
    <t>Adrian Patriarca - 03/17/2026 17:42:54</t>
  </si>
  <si>
    <t>Adrian Patriarca - 03/19/2026 11:55:41</t>
  </si>
  <si>
    <t>f1ea53c6</t>
  </si>
  <si>
    <t>Avance con n8n, definición del agente clasificador y de los agentes en cada categoría</t>
  </si>
  <si>
    <t>Santiago Toscano - 03/18/2026 11:36:51</t>
  </si>
  <si>
    <t>Santiago Toscano - 03/19/2026 13:12:44</t>
  </si>
  <si>
    <t>de8f64bf</t>
  </si>
  <si>
    <t>Santiago Toscano - 03/18/2026 11:37:32</t>
  </si>
  <si>
    <t>Santiago Toscano - 03/19/2026 13:12:50</t>
  </si>
  <si>
    <t>Agente n8n</t>
  </si>
  <si>
    <t>cf822c49</t>
  </si>
  <si>
    <t>N8N agente de ia para conexion market, y definicion de pasos a seguir</t>
  </si>
  <si>
    <t>Santiago Toscano - 03/18/2026 12:17:51</t>
  </si>
  <si>
    <t>Adrian Patriarca - 03/18/2026 21:27:34</t>
  </si>
  <si>
    <t>54931017</t>
  </si>
  <si>
    <t>Reunión para mostrar las mejoras del tablero (tanto la parte de Ford como la de seguros). Con respecto a la app avisar que estamos trabajando en ella para optimizarla y a su vez se generaran los reportes de tac</t>
  </si>
  <si>
    <t>Renata Morano - 03/18/2026 13:47:37</t>
  </si>
  <si>
    <t>hgl9kv3alottemc55jnh4rtd7o</t>
  </si>
  <si>
    <t xml:space="preserve">Event Name: APSOL CONSULTORÍA
Conoce nuestra manera de trabajar. Agenda una reunión para explorar tus necesidades y descubrir cómo PODEMOS AYUDARTE. Reserva tu reunión gratuita y déjanos mostrarte cómo podemos potenciar tu éxito.
Location: This is a Google Meet web conference.
You can join this meeting from your computer, tablet, or smartphone.
https://calendly.com/events/89bca091-a3aa-471b-b076-fe1a9ae47310/google_meet
Telefono: +54 342 508-5568
Comparta cualquier información que considere relevante para la reunión (Eje: Nombre de la empresa, sector, Problematica a resolver, Mejora a abordar, etc): estudio jurídico, cobranzas, procesos
Que cantidad de empleados tiene su empresa?: Menos de 10 Empleados
Medio por el cual nos conociste: Recomendación
Need to make changes to this event?
Cancel: https://calendly.com/cancellations/6f655502-0cba-495a-99f6-7ebea092bc94
Reschedule: https://calendly.com/reschedulings/6f655502-0cba-495a-99f6-7ebea092bc94
Powered by Calendly.com
</t>
  </si>
  <si>
    <t>2e350db7</t>
  </si>
  <si>
    <t>Agente en N8N.
Modificaciones errores en tool de agente de IA, se puso fecha en JS cuando no corresponde expresión. Dicha expresión se llevó al agente de IA, en system message.
Prompts de agentes extensos e ineficientes, se redujeron de más de 1000 tokens cada uno a 500, buscando eficiencia y reducir costos.
Se recuperan datos de clientes en sheet cuando el mismo se comunica. Para eso se investigo además caso similar de cliente Laboratorio Roca.</t>
  </si>
  <si>
    <t>Adrian Patriarca - 03/20/2026 12:57:29</t>
  </si>
  <si>
    <t>45eeb5da</t>
  </si>
  <si>
    <t>Se agrego funcionalidad subworkflow de comprobante. En la misma se anota en la base de datos cuando el cliente dice que devolvió el equipo y adjunta comprobante o número de trámite. Se hicieron testeos</t>
  </si>
  <si>
    <t>Santiago Toscano - 03/19/2026 10:39:40</t>
  </si>
  <si>
    <t>Adrian Patriarca - 03/20/2026 12:57:35</t>
  </si>
  <si>
    <t>38ea7899</t>
  </si>
  <si>
    <t>Visualización videos internos de capacitación de n8n, contenido estándar para conectar flujo con wsp a través de Evolution Api.
Normalización con SET para instancia y contenido de chat. Normalización de tipos.</t>
  </si>
  <si>
    <t>Santiago Toscano - 03/19/2026 10:48:55</t>
  </si>
  <si>
    <t>Santiago Toscano - 03/19/2026 13:09:55</t>
  </si>
  <si>
    <t>feac1cd8</t>
  </si>
  <si>
    <t>Norte: Seguimiento de lo que es los tableros de Estadistica, ver lo que envio agustin 04/03/2026, ver lo que mandó gustavo 10/03/2026, ver lo de melisa</t>
  </si>
  <si>
    <t>Adrian Patriarca - 03/19/2026 11:48:32</t>
  </si>
  <si>
    <t>f2902740</t>
  </si>
  <si>
    <t>Gestión en genera, Onboarding Mateo, ayuda a Santiago, facturación, Ventas, Mantenimiento</t>
  </si>
  <si>
    <t>Adrian Patriarca - 03/19/2026 11:54:32</t>
  </si>
  <si>
    <t>2dba2df4</t>
  </si>
  <si>
    <t>Adrian Patriarca - 03/19/2026 11:54:47</t>
  </si>
  <si>
    <t>4ec04622</t>
  </si>
  <si>
    <t>Adrian Patriarca - 03/19/2026 11:54:58</t>
  </si>
  <si>
    <t>f0bd762b</t>
  </si>
  <si>
    <t>Adrian Patriarca - 03/19/2026 11:56:04</t>
  </si>
  <si>
    <t>b0a655eb</t>
  </si>
  <si>
    <t>Adrian Patriarca - 03/19/2026 11:56:21</t>
  </si>
  <si>
    <t>9bd4398e</t>
  </si>
  <si>
    <t>Se agregó recuperador y se vió como resolver bug, en flujo de grabar registros. No se guardaba la fecha porque no estaban publicados los subworkflows.</t>
  </si>
  <si>
    <t>Santiago Toscano - 03/19/2026 13:11:18</t>
  </si>
  <si>
    <t>Adrian Patriarca - 03/20/2026 12:57:41</t>
  </si>
  <si>
    <t>420604b9</t>
  </si>
  <si>
    <t>Adrian Patriarca - 03/19/2026 13:21:45</t>
  </si>
  <si>
    <t>061394b7</t>
  </si>
  <si>
    <t>Adrian Patriarca - 03/19/2026 13:23:06</t>
  </si>
  <si>
    <t>7c60f86e</t>
  </si>
  <si>
    <t>Adrian Patriarca - 03/19/2026 13:23:25</t>
  </si>
  <si>
    <t>Adrian Patriarca - 03/20/2026 13:49:08</t>
  </si>
  <si>
    <t>e0d0a6b5</t>
  </si>
  <si>
    <t>Adrian Patriarca - 03/19/2026 13:23:43</t>
  </si>
  <si>
    <t>a8e7016b</t>
  </si>
  <si>
    <t>Renata Morano - 03/19/2026 13:58:19</t>
  </si>
  <si>
    <t>d4e2b411</t>
  </si>
  <si>
    <t>Renata Morano - 03/19/2026 13:56:16</t>
  </si>
  <si>
    <t>db7dc7bb</t>
  </si>
  <si>
    <t>HQ - Alan me comunico un error con unos pedidos trate de encontrar el problema y en realidad todo esta andando correctamente. Entonces le consulte cual es el inconveniente porque quizas hay un error humano en seleccionar algo incorrectamente</t>
  </si>
  <si>
    <t>Renata Morano - 03/19/2026 13:57:33</t>
  </si>
  <si>
    <t>ae33d585</t>
  </si>
  <si>
    <t>Insuga: Investigación de como embeber el tablero de power bi en su azure</t>
  </si>
  <si>
    <t>Renata Morano - 03/19/2026 13:58:08</t>
  </si>
  <si>
    <t>aefc1418</t>
  </si>
  <si>
    <t>Error en sincronización de app, recovery mode y recuperación de fila con problemas.</t>
  </si>
  <si>
    <t>Felipe Duarte - 03/19/2026 16:19:01</t>
  </si>
  <si>
    <t>36389351</t>
  </si>
  <si>
    <t>Replicar columna estado 2 en estado físico, hay TACs que quedaron desactualizado luego del cambio y necesitaban tomar el nuevo valor.</t>
  </si>
  <si>
    <t>Felipe Duarte - 03/19/2026 16:33:02</t>
  </si>
  <si>
    <t>6tj32pj269i64b9icph6ab9k65i3abb16ko32b9g6os34e1ocop30dhl68</t>
  </si>
  <si>
    <t>https://www.google.com/calendar/event?eid=NnRqMzJwajI2OWk2NGI5aWNwaDZhYjlrNjVpM2FiYjE2a28zMmI5ZzZvczM0ZTFvY29wMzBkaGw2OCBhcGF0cmlhcmNhLmFwc29sQG0</t>
  </si>
  <si>
    <t>f028b8ba</t>
  </si>
  <si>
    <t>Renata Morano - 03/20/2026 09:35:37</t>
  </si>
  <si>
    <t>Renata Morano - 03/20/2026 13:55:05</t>
  </si>
  <si>
    <t>d1a8413a</t>
  </si>
  <si>
    <t>Se vieron videos de capacitación de n8n, como tratar texto, imagenes y audio recibidos de wsp.
Se conectó memoria de un nodo a nueva credencial de n8n.</t>
  </si>
  <si>
    <t>Santiago Toscano - 03/20/2026 10:04:15</t>
  </si>
  <si>
    <t>Santiago Toscano - 03/20/2026 13:13:37</t>
  </si>
  <si>
    <t>5bac3c9f</t>
  </si>
  <si>
    <t>Adrian Patriarca - 03/20/2026 10:05:01</t>
  </si>
  <si>
    <t>Renata Morano - 03/25/2026 13:40:14</t>
  </si>
  <si>
    <t>8488d069</t>
  </si>
  <si>
    <t>Adrian Patriarca - 03/20/2026 10:05:11</t>
  </si>
  <si>
    <t>Renata Morano - 03/26/2026 13:40:50</t>
  </si>
  <si>
    <t>90bb6086</t>
  </si>
  <si>
    <t>Organización con Adrian sobre los clientes y proyectos + cronograma</t>
  </si>
  <si>
    <t>Renata Morano - 03/20/2026 11:09:49</t>
  </si>
  <si>
    <t>b16d1fe5</t>
  </si>
  <si>
    <t>Cuando se editaban las cantidades en un ticket, ya sea para compra o venta, no tenían impacto en el stock. 
Se detectó además que al eliminar un registro, no se borraban sus valores atados al stock.
Se corregieron ambos comportamientos y se notifico al cliente.</t>
  </si>
  <si>
    <t>Santiago Toscano - 03/20/2026 11:34:24</t>
  </si>
  <si>
    <t>0aac2a5c</t>
  </si>
  <si>
    <t>Se avanzó en la conexión del bot con Evolution Api.
Se revisó y comento el flujo.</t>
  </si>
  <si>
    <t>Santiago Toscano - 03/20/2026 13:14:25</t>
  </si>
  <si>
    <t>Adrian Patriarca - 03/20/2026 13:47:19</t>
  </si>
  <si>
    <t>d74195f4</t>
  </si>
  <si>
    <t>Ver el tema del Error que le planteo Melissa a Adrian (en Infracciones)</t>
  </si>
  <si>
    <t>Renata Morano - 03/20/2026 13:49:17</t>
  </si>
  <si>
    <t>9c576de1</t>
  </si>
  <si>
    <t>HQ: Solucionar inconveniente de hoja de sheet + ver el problema que me comento Alan</t>
  </si>
  <si>
    <t>Renata Morano - 03/20/2026 13:55:00</t>
  </si>
  <si>
    <t>9e283a87</t>
  </si>
  <si>
    <t>Felipe Duarte - 03/20/2026 15:34:57</t>
  </si>
  <si>
    <t>Felipe Duarte - 03/20/2026 18:25:35</t>
  </si>
  <si>
    <t>549a7ff8</t>
  </si>
  <si>
    <t>Felipe Duarte - 03/20/2026 18:25:45</t>
  </si>
  <si>
    <t>Adrian Patriarca - 03/23/2026 09:05:45</t>
  </si>
  <si>
    <t>522f9cfc</t>
  </si>
  <si>
    <t>Reunión con Adrian, temas pendientes y sprint salida Felipe.</t>
  </si>
  <si>
    <t>Felipe Duarte - 03/20/2026 18:26:27</t>
  </si>
  <si>
    <t>277929c6</t>
  </si>
  <si>
    <t>Organizar semana, realizar varios Items pendientes, reunión con Santiago y Mateo</t>
  </si>
  <si>
    <t>Adrian Patriarca - 03/23/2026 08:41:54</t>
  </si>
  <si>
    <t>Adrian Patriarca - 03/23/2026 16:40:19</t>
  </si>
  <si>
    <t>d97ddab8</t>
  </si>
  <si>
    <t>Dejar el asistente virtual de Conexion Market listo para que arranque en el CRM</t>
  </si>
  <si>
    <t>Adrian Patriarca - 03/23/2026 08:42:49</t>
  </si>
  <si>
    <t>Adrian Patriarca - 03/24/2026 10:54:45</t>
  </si>
  <si>
    <t>d0c13b13</t>
  </si>
  <si>
    <t>Amipack, temas pendientes vistos con cristian. Cerrar todo lo que se pueda no abrir mas ningun tema nuevo. Cualquier tema nuevo derivar a Adrian</t>
  </si>
  <si>
    <t>Adrian Patriarca - 03/23/2026 09:02:40</t>
  </si>
  <si>
    <t>Felipe Duarte - 03/25/2026 15:40:10</t>
  </si>
  <si>
    <t>9a47de72</t>
  </si>
  <si>
    <t>Pedido de Estefanía, modificación en app de abastecimiento y Sprint de cierre.</t>
  </si>
  <si>
    <t>Felipe Duarte - 03/27/2026 18:12:05</t>
  </si>
  <si>
    <t>57ba46dd</t>
  </si>
  <si>
    <t>Tentativo de Reunión con Open Pack para ver temas de - Conceptualización de lo visto en la reunión
- Algunos avances como por ejemplo la integración del email 
- Empezar a trabajar en el otro proyecto que tenias en carpeta mientras que la gente del sistema nos entrega lo que necesitamos.</t>
  </si>
  <si>
    <t>Adrian Patriarca - 03/26/2026 16:44:30</t>
  </si>
  <si>
    <t>Utilice antigravity y es una bomba</t>
  </si>
  <si>
    <t>230e9b83</t>
  </si>
  <si>
    <t>Organizar semana, realizar varios Items pendientes, reunión con Santiago y Mateo. Facturación</t>
  </si>
  <si>
    <t>Adrian Patriarca - 03/25/2026 12:19:26</t>
  </si>
  <si>
    <t>cd2ab4ac</t>
  </si>
  <si>
    <t>Solución del modulo de Infracciones (el cual estaba teniendo inconvenientes en ejecutar correctamente el bot). Le escribí a Melissa para avisar de los cambios</t>
  </si>
  <si>
    <t>Renata Morano - 03/23/2026 10:23:15</t>
  </si>
  <si>
    <t>5162b92a</t>
  </si>
  <si>
    <t>Adrian Patriarca - 03/23/2026 11:47:26</t>
  </si>
  <si>
    <t>f15373a9</t>
  </si>
  <si>
    <t>Adrian Patriarca - 03/23/2026 11:47:36</t>
  </si>
  <si>
    <t>cdab93ed</t>
  </si>
  <si>
    <t>Se conectó workflow a whatsapp a través de Evolution API, tanto para lectura como escritura.
Se modificó comportamiento de agentes, para que una vez concretada la cita haga mensaje de despedida estándar, en lugar que sea una decisión.
Se conectó a BD de manera dinámica a través de JID remote, trayendo datos del cliente según su número de wsp.</t>
  </si>
  <si>
    <t>Santiago Toscano - 03/23/2026 13:15:27</t>
  </si>
  <si>
    <t>Adrian Patriarca - 03/25/2026 13:41:50</t>
  </si>
  <si>
    <t>7212df5a</t>
  </si>
  <si>
    <t>Estrategia de migración App DG y analisis de esquema de incentivos Vendedores nueva sucursal DG</t>
  </si>
  <si>
    <t>Adrian Patriarca - 03/23/2026 16:43:55</t>
  </si>
  <si>
    <t>0a11c8f3</t>
  </si>
  <si>
    <t>Adaptación Asistente virtual para que se pueda usar en Conexion Market mediante chatwoot</t>
  </si>
  <si>
    <t>Adrian Patriarca - 03/24/2026 10:55:46</t>
  </si>
  <si>
    <t>Adrian Patriarca - 03/24/2026 12:13:22</t>
  </si>
  <si>
    <t>b4fccf55</t>
  </si>
  <si>
    <t>Conexion Market, Incorporación de atributos de contacto para que el bot se pueda activar y desactivar</t>
  </si>
  <si>
    <t>Adrian Patriarca - 03/24/2026 13:29:24</t>
  </si>
  <si>
    <t>d33ec0c4</t>
  </si>
  <si>
    <t>Adrian Patriarca - 03/24/2026 16:52:47</t>
  </si>
  <si>
    <t>d495e9fc</t>
  </si>
  <si>
    <t>Renata Morano - 03/25/2026 08:04:06</t>
  </si>
  <si>
    <t>Renata Morano - 03/19/2026 13:55:45</t>
  </si>
  <si>
    <t>c36e8c86</t>
  </si>
  <si>
    <t>Reunión ISAA (solicitada por Sergio con Adrian, pero también estará Claudia y yo)</t>
  </si>
  <si>
    <t>Renata Morano - 03/25/2026 10:38:49</t>
  </si>
  <si>
    <t>Renata Morano - 03/30/2026 14:01:32</t>
  </si>
  <si>
    <t>9b30a13b</t>
  </si>
  <si>
    <t>Conceptualización de las notificaciones de los emails + Grabación de videos para mateo</t>
  </si>
  <si>
    <t>Adrian Patriarca - 03/25/2026 12:22:14</t>
  </si>
  <si>
    <t>Adrian Patriarca - 03/26/2026 13:04:19</t>
  </si>
  <si>
    <t>782c1eb1</t>
  </si>
  <si>
    <t>Le realice los cambios a los dos flujos de N8N para que en inscripciones solo aparezcan aquellos alumnos con inscripción activa y que en la parte de exportación de deuda también solo se tenga en cuenta a las inscripciones activas.</t>
  </si>
  <si>
    <t>Renata Morano - 03/25/2026 13:40:08</t>
  </si>
  <si>
    <t>d940a16b</t>
  </si>
  <si>
    <t>Conexión de flujo a Chatwood.
Se agregaron estados, por defecto pendiente y cuando se confirma la cita agendado. Si se modifica la logística queda como reprogramado.
Se agregaron en prompts forma de estilo y tono de comunicación.
Se modificaron subworkflows para apagar bot cuando finaliza el trabajo del agente y que corte comunicación con respuesta estándar. Para cita agendad/reprogramada/comprobante.
Queda pendiente la rama de envío de comprobantes.</t>
  </si>
  <si>
    <t>Adrian Patriarca - 03/25/2026 13:42:01</t>
  </si>
  <si>
    <t>Santiago Toscano - 03/25/2026 14:10:52</t>
  </si>
  <si>
    <t>54fb0f48</t>
  </si>
  <si>
    <t>DG, cuestiones pendientes + llevar adelante traspaso segun lo que se anotó</t>
  </si>
  <si>
    <t>Felipe Duarte - 03/25/2026 15:40:30</t>
  </si>
  <si>
    <t>Adrian Patriarca - 03/23/2026 09:07:31</t>
  </si>
  <si>
    <t>abbbcfdd</t>
  </si>
  <si>
    <t>Adrian Patriarca - 03/26/2026 10:44:11</t>
  </si>
  <si>
    <t>Adrian Patriarca - 03/25/2026 11:03:00</t>
  </si>
  <si>
    <t>ebc88fdb</t>
  </si>
  <si>
    <t>Reunión con Daniel Parra (Lunix) por el envio de los tableros para Insuga (invitación de meet en el mail)</t>
  </si>
  <si>
    <t>Renata Morano - 03/26/2026 12:11:34</t>
  </si>
  <si>
    <t>f6110e35</t>
  </si>
  <si>
    <t>Adrian Patriarca - 03/26/2026 13:03:49</t>
  </si>
  <si>
    <t>Adrian Patriarca - 03/27/2026 18:43:05</t>
  </si>
  <si>
    <t>75a8f09b</t>
  </si>
  <si>
    <t>Renata Morano - 03/26/2026 13:41:20</t>
  </si>
  <si>
    <t>3a4b742d</t>
  </si>
  <si>
    <t>Felipe Duarte - 03/26/2026 14:06:43</t>
  </si>
  <si>
    <t>Felipe Duarte - 03/31/2026 14:06:05</t>
  </si>
  <si>
    <t>cd61b845</t>
  </si>
  <si>
    <t>Conceptualización para MD Agencia. Diagrama de flujo y principales funcionalidades, teniendo en cuenta anotaciones, entrevista y planillas de excel compartidas.</t>
  </si>
  <si>
    <t>Santiago Toscano - 03/27/2026 08:00:14</t>
  </si>
  <si>
    <t>3b0715c3</t>
  </si>
  <si>
    <t>Puesta en común con bot de Conexión market, se modificó prompt de comprobantes y continua Adrián</t>
  </si>
  <si>
    <t>Santiago Toscano - 03/27/2026 08:01:18</t>
  </si>
  <si>
    <t>e65875f5</t>
  </si>
  <si>
    <t>En tablero de control se discriminaron ingresos por cancha o por bebidas, por sede, para poder asignar comisión a la persona que vende.
Además se discrimina por día y por sede, en gráfica de barra apiladas, cuánto del ingreso corresponde a cada actividad. Se agregaron horas jugadas por día en cada cancha.
Y se separaron estadísticas claramente, a la hora de seleccionar una sede o seleccionar ambas. Si se seleccionan ambas cuenta con información más general sobre cada sede, en lugar de una simple suma como era antes.</t>
  </si>
  <si>
    <t>Santiago Toscano - 03/27/2026 10:30:09</t>
  </si>
  <si>
    <t>Adrian Patriarca - 03/27/2026 11:19:26</t>
  </si>
  <si>
    <t>6c083215</t>
  </si>
  <si>
    <t>Comentarios sobre estándares para antigravity: implementación de plan secuencial. Comentarios sobre diagramas de flujo y presentarlos con HTML.</t>
  </si>
  <si>
    <t>Santiago Toscano - 03/27/2026 12:24:27</t>
  </si>
  <si>
    <t>fc95a8e6</t>
  </si>
  <si>
    <t>Se introdujeron los cambios: transferencia de stock entre sedes. Y se le suma la opción del bar.
Además en tablero se agregó el costo de comisiones por ventas.
Se guarda nueva versión en GIT, se comenta al cliente y se sube nueva versión a la nube.</t>
  </si>
  <si>
    <t>Santiago Toscano - 03/27/2026 12:25:57</t>
  </si>
  <si>
    <t>Adrian Patriarca - 03/27/2026 13:21:56</t>
  </si>
  <si>
    <t>5a181204</t>
  </si>
  <si>
    <t>Se va a presentar conceptualización de MD Agencia.
Se va a pedir feedback de cambios aplicados en MD Fútbol 5.</t>
  </si>
  <si>
    <t>Santiago Toscano - 03/27/2026 13:23:02</t>
  </si>
  <si>
    <t>Adrian Patriarca - 04/01/2026 13:41:29</t>
  </si>
  <si>
    <t>2114a273</t>
  </si>
  <si>
    <t>Ver el error que me comentaba Claudia (del cambio de comisión de una alumna) el mismo no era un error sino que habia quedado sin sincronizar la pagina. Cargar el nombre del profesor en el code de n8n para la exportación del excel.</t>
  </si>
  <si>
    <t>Renata Morano - 03/27/2026 14:19:22</t>
  </si>
  <si>
    <t>Appsheet , N8N</t>
  </si>
  <si>
    <t>534f0ac4</t>
  </si>
  <si>
    <t>https://www.google.com/calendar/event?eid=NTM0ZjBhYzQgYXBhdHJpYXJjYS5hcHNvbEBt</t>
  </si>
  <si>
    <t>26b265a2</t>
  </si>
  <si>
    <t>Adrian Patriarca - 03/27/2026 17:00:49</t>
  </si>
  <si>
    <t>Adrian Patriarca - 03/27/2026 18:43:22</t>
  </si>
  <si>
    <t>3834c641</t>
  </si>
  <si>
    <t>Open pack, terminar con lo que sería el portal de facturas y armar video</t>
  </si>
  <si>
    <t>Adrian Patriarca - 03/30/2026 08:01:15</t>
  </si>
  <si>
    <t>Adrian Patriarca - 03/30/2026 18:04:21</t>
  </si>
  <si>
    <t>2afb3d3c</t>
  </si>
  <si>
    <t>Comenzar a desarrollar en antigravity la página para clientes mayoristas</t>
  </si>
  <si>
    <t>Renata Morano - 03/30/2026 12:38:25</t>
  </si>
  <si>
    <t>a5674289</t>
  </si>
  <si>
    <t>Renata Morano - 03/30/2026 12:38:38</t>
  </si>
  <si>
    <t>Renata Morano - 03/30/2026 14:01:37</t>
  </si>
  <si>
    <t>1fb5ca65</t>
  </si>
  <si>
    <t>Antigravity volvió a versión anterior de github y no había guardado, tuve que volver a hacer las iteraciones del tablero</t>
  </si>
  <si>
    <t>Santiago Toscano - 03/30/2026 12:41:02</t>
  </si>
  <si>
    <t>e42b31b5</t>
  </si>
  <si>
    <t>Iteraciones finales de tablero: visuales y comisiones por ventas de bebidas. 
Además se agregó una funcionalidad compleja que implicó conectar con MCP de supabase, que es agregar ventas/compras en una sede y seleccionar "bar", para que grave allí el stock. 
Además se agrego botón/vista principal y detalle de transferencias y su historial, para poder transferir stock entre sedes y con el bar, y poder editar/copiar/borrar transferencias históricas. Además saber quién las hizo y cuándo.
Conceptualización final de agencia, diagramas de flujo en html con antigravity.</t>
  </si>
  <si>
    <t>Santiago Toscano - 03/30/2026 12:43:49</t>
  </si>
  <si>
    <t>9faa9843</t>
  </si>
  <si>
    <t>Adrian Patriarca - 03/30/2026 14:19:27</t>
  </si>
  <si>
    <t>Adrian Patriarca - 04/01/2026 10:30:05</t>
  </si>
  <si>
    <t>7fc5b8b6</t>
  </si>
  <si>
    <t>Open Pack finalización de todos los requerimientos Open Pack + Video</t>
  </si>
  <si>
    <t>Adrian Patriarca - 03/30/2026 18:05:01</t>
  </si>
  <si>
    <t>Adrian Patriarca - 03/30/2026 21:31:47</t>
  </si>
  <si>
    <t>2c3080df</t>
  </si>
  <si>
    <t>Adrian Patriarca - 03/30/2026 21:31:14</t>
  </si>
  <si>
    <t>551283a6</t>
  </si>
  <si>
    <t>Renata Morano - 03/31/2026 11:41:39</t>
  </si>
  <si>
    <t>2b4085c7</t>
  </si>
  <si>
    <t>Renata Morano - 03/31/2026 11:41:50</t>
  </si>
  <si>
    <t>Renata Morano - 03/31/2026 14:20:21</t>
  </si>
  <si>
    <t>e904d857</t>
  </si>
  <si>
    <t>Armado de emails ISAA en N8n, 2 emails para distintas fechas.</t>
  </si>
  <si>
    <t>Adrian Patriarca - 03/31/2026 12:33:16</t>
  </si>
  <si>
    <t>Renata Morano - 04/01/2026 15:11:28</t>
  </si>
  <si>
    <t>7a166749</t>
  </si>
  <si>
    <t>Emails TACs (Resumen dos veces a la semana), Coordinar reunión, MVP TACs, preparar reunión</t>
  </si>
  <si>
    <t>Adrian Patriarca - 03/31/2026 13:10:55</t>
  </si>
  <si>
    <t>Renata Morano - 04/06/2026 13:41:37</t>
  </si>
  <si>
    <t>325b6226</t>
  </si>
  <si>
    <t>Avanzar con todo el sprint de ATC, app, tablero, video y coordinación de reunión</t>
  </si>
  <si>
    <t>Renata Morano - 04/13/2026 14:23:31</t>
  </si>
  <si>
    <t>9f471180</t>
  </si>
  <si>
    <t>Finalizar tableros de Gonzalo, Coordinar reunión con Diego (Preguntarle previamente a gonzalo)</t>
  </si>
  <si>
    <t>Adrian Patriarca - 03/31/2026 13:16:43</t>
  </si>
  <si>
    <t>Renata Morano - 04/06/2026 09:52:53</t>
  </si>
  <si>
    <t>Power Bi , Herramientas No utilizadas</t>
  </si>
  <si>
    <t>106a6f97</t>
  </si>
  <si>
    <t>Adrian Patriarca - 03/31/2026 13:17:46</t>
  </si>
  <si>
    <t>Renata Morano - 04/10/2026 11:17:52</t>
  </si>
  <si>
    <t>dabca536</t>
  </si>
  <si>
    <t>Análisis detallado de primera versión que se hizo a Insuga Chaco.
Se hizo un plan detallado de modificaciones adaptadas a las necesidades de los usuarios: se agregaron procesos según operador, asignación de equipos de procesos, parámetros de procesos dinámicos, posibilidad de que se indiquen valores o tipo checklist, su vinculo a tableros de control, y la definición y carga de recetas de manufactura.</t>
  </si>
  <si>
    <t>Santiago Toscano - 03/31/2026 13:32:52</t>
  </si>
  <si>
    <t>Adrian Patriarca - 04/13/2026 20:38:38</t>
  </si>
  <si>
    <t>17bb9b1b</t>
  </si>
  <si>
    <t>Se definió con Adrián la forma de tratar cambios que piden los clientes. Indicar al cliente que se agruparán y formarán parte del costo.</t>
  </si>
  <si>
    <t>Santiago Toscano - 03/31/2026 13:33:58</t>
  </si>
  <si>
    <t>edff0cd2</t>
  </si>
  <si>
    <t>Corrección de la actualización del tablero. Daba error fatal al cargar las tablas y se habia detenido la actualización programada.</t>
  </si>
  <si>
    <t>Renata Morano - 03/31/2026 14:09:00</t>
  </si>
  <si>
    <t>Renata Morano - 03/31/2026 14:20:11</t>
  </si>
  <si>
    <t>17cfcbe9</t>
  </si>
  <si>
    <t>Reunión con Adrian para organizar la semana y hablar de proximos pasos en los proyectos</t>
  </si>
  <si>
    <t>Renata Morano - 03/31/2026 14:21:33</t>
  </si>
  <si>
    <t>637c7fc3</t>
  </si>
  <si>
    <t>Problema con el formulario de Materia Prima y puntos faltantes del sprint de cierre.</t>
  </si>
  <si>
    <t>Felipe Duarte - 03/31/2026 17:18:21</t>
  </si>
  <si>
    <t>Appsheet , Power Bi</t>
  </si>
  <si>
    <t>8d93353b</t>
  </si>
  <si>
    <t>Sprint de cierre: videos históricos y nuevos explicando el funcionamiento de la app.</t>
  </si>
  <si>
    <t>Felipe Duarte - 03/31/2026 17:18:52</t>
  </si>
  <si>
    <t>Felipe Duarte - 03/31/2026 17:20:14</t>
  </si>
  <si>
    <t>Appsheet , Otros</t>
  </si>
  <si>
    <t>333964b7</t>
  </si>
  <si>
    <t>Recopilación de videos y reunión para definir solución a los reclamos.</t>
  </si>
  <si>
    <t>Felipe Duarte - 03/31/2026 17:19:36</t>
  </si>
  <si>
    <t>Felipe Duarte - 03/31/2026 17:20:20</t>
  </si>
  <si>
    <t>aa8c822e</t>
  </si>
  <si>
    <t>Refri cambios pedidos en la reunión del 31/03 para reclamos.</t>
  </si>
  <si>
    <t>Felipe Duarte - 04/01/2026 17:42:57</t>
  </si>
  <si>
    <t>ab32aaed</t>
  </si>
  <si>
    <t>Reuniones con Mateo, Santiago y Renata sobre temas proyectos diversos. Entre otras cuestiones de gestión</t>
  </si>
  <si>
    <t>Adrian Patriarca - 04/01/2026 08:52:45</t>
  </si>
  <si>
    <t>2313ac53</t>
  </si>
  <si>
    <t>La reunión se extendió 20 minutos y se revisaron lineamientos de trabajo, horas extendidas para cliente MD y necesidad de seguir con Insuga.</t>
  </si>
  <si>
    <t>Santiago Toscano - 04/01/2026 13:28:13</t>
  </si>
  <si>
    <t>15000bf2</t>
  </si>
  <si>
    <t>Modificaciones finales en la implementación de plan en google antigravity: se agregaron más de 30 comentarios y se pidió implementación por fases. 
Implementado el plan, se iteró en la autenticación en supabase, porque no terminaba de tomarla bien al estar el schema privado.
En busca de MVP se deben iterar funcionalidades.</t>
  </si>
  <si>
    <t>Santiago Toscano - 04/01/2026 13:29:48</t>
  </si>
  <si>
    <t>Adrian Patriarca - 04/13/2026 20:38:44</t>
  </si>
  <si>
    <t>5085d06a</t>
  </si>
  <si>
    <t>Cierre conceptualización para Agencia, con ejemplo de uso. Repaso de cambios introducidos y pendientes para f5.</t>
  </si>
  <si>
    <t>Santiago Toscano - 04/01/2026 13:37:53</t>
  </si>
  <si>
    <t>aed4cd69</t>
  </si>
  <si>
    <t>Conexión Market, mejora Asistente virtual. Finalización y preparación para lo que es la primer prueba de producción</t>
  </si>
  <si>
    <t>Adrian Patriarca - 04/01/2026 18:30:13</t>
  </si>
  <si>
    <t>b5593115</t>
  </si>
  <si>
    <t>Adrian Patriarca - 04/02/2026 10:35:36</t>
  </si>
  <si>
    <t>Adrian Patriarca - 04/02/2026 12:55:53</t>
  </si>
  <si>
    <t>09f1fc67</t>
  </si>
  <si>
    <t>Correcciones sobre el envio de emails de ISAA, y demas cuestiones</t>
  </si>
  <si>
    <t>Adrian Patriarca - 04/06/2026 09:24:21</t>
  </si>
  <si>
    <t>cc7e07e5</t>
  </si>
  <si>
    <t>Reunión Presencial con German, Daniel, Pablo para presentar avances y próximos proyectos</t>
  </si>
  <si>
    <t>Renata Morano - 04/06/2026 10:00:49</t>
  </si>
  <si>
    <t>Renata Morano - 04/07/2026 11:30:46</t>
  </si>
  <si>
    <t>8ae8ca5b</t>
  </si>
  <si>
    <t>Terminar mail 2 (tener en cuenta el video que me mando Adrian)</t>
  </si>
  <si>
    <t>Renata Morano - 04/06/2026 10:01:18</t>
  </si>
  <si>
    <t>Renata Morano - 04/09/2026 13:56:05</t>
  </si>
  <si>
    <t>6581f80b</t>
  </si>
  <si>
    <t>Mantenimiento App Nation Problemas con la planilla de google se quedó bloqueada, aparentemente puede ser que n8n no la largaba</t>
  </si>
  <si>
    <t>Adrian Patriarca - 04/06/2026 11:17:52</t>
  </si>
  <si>
    <t>Adrian Patriarca - 04/06/2026 11:37:32</t>
  </si>
  <si>
    <t>8d8b8465</t>
  </si>
  <si>
    <t>Gestión, facturación, finanzas, organización de la semana entre otros</t>
  </si>
  <si>
    <t>Adrian Patriarca - 04/06/2026 11:43:00</t>
  </si>
  <si>
    <t>Adrian Patriarca - 04/06/2026 14:36:38</t>
  </si>
  <si>
    <t>bc16cd27</t>
  </si>
  <si>
    <t>Terminar de refinar el asistente virtual para mañana hacer una prueba real.</t>
  </si>
  <si>
    <t>Adrian Patriarca - 04/06/2026 11:47:55</t>
  </si>
  <si>
    <t>Adrian Patriarca - 04/08/2026 12:14:40</t>
  </si>
  <si>
    <t>654b6222</t>
  </si>
  <si>
    <t>Adrian Patriarca - 04/06/2026 11:48:11</t>
  </si>
  <si>
    <t>Adrian Patriarca - 04/06/2026 11:47:12</t>
  </si>
  <si>
    <t>62195647</t>
  </si>
  <si>
    <t>Norte, ver todo lo que me estuvieron mandando y que no resolví</t>
  </si>
  <si>
    <t>Adrian Patriarca - 04/06/2026 12:06:25</t>
  </si>
  <si>
    <t>Adrian Patriarca - 04/09/2026 19:25:09</t>
  </si>
  <si>
    <t>2bfecd73</t>
  </si>
  <si>
    <t>Se refinaron plantillas que cargan operadores, y se diferenció la pantalla de inicio claramente entre operador y superiores. Se testearon roles.</t>
  </si>
  <si>
    <t>Adrian Patriarca - 04/06/2026 12:24:11</t>
  </si>
  <si>
    <t>Adrian Patriarca - 04/13/2026 20:38:58</t>
  </si>
  <si>
    <t>533c463b</t>
  </si>
  <si>
    <t>Realizar tablero de control de producción para control de maquinas en tiempo real</t>
  </si>
  <si>
    <t>Adrian Patriarca - 04/06/2026 12:25:01</t>
  </si>
  <si>
    <t>Adrian Patriarca - 04/18/2026 14:09:44</t>
  </si>
  <si>
    <t>aa10a7c1</t>
  </si>
  <si>
    <t>Se completo la autenticación de usuarios en supabase, con schema en public y modificaciones de fórmulas en edge. Se completaron las funcionalidades del administrador: registro de producto y su receta, registro de los parámetros según el proceso tipo value/checklist, y se completaron funcionalidades del operador: planilla de control, de paradas y de receta. Se ven formatos y posibidad de imprimir como pdf, además con campos a firmar por operador y supervisor.</t>
  </si>
  <si>
    <t>Santiago Toscano - 04/06/2026 12:28:53</t>
  </si>
  <si>
    <t>Adrian Patriarca - 04/13/2026 20:38:48</t>
  </si>
  <si>
    <t>914f2d84</t>
  </si>
  <si>
    <t>Se agregó realizado y modificado por en planillas. Se arreglo bud de botones de eliminar que no cargaban por error en Vite.</t>
  </si>
  <si>
    <t>Adrian Patriarca - 04/06/2026 12:31:06</t>
  </si>
  <si>
    <t>Adrian Patriarca - 04/13/2026 20:38:54</t>
  </si>
  <si>
    <t>5c90e233</t>
  </si>
  <si>
    <t>Adrian Patriarca - 04/06/2026 12:59:51</t>
  </si>
  <si>
    <t>01b818a6</t>
  </si>
  <si>
    <t>Armado de lo que es el email de Resumen de TACs para Nation PostVenta</t>
  </si>
  <si>
    <t>Adrian Patriarca - 04/06/2026 13:16:52</t>
  </si>
  <si>
    <t>Mateo en fase de practicas</t>
  </si>
  <si>
    <t>35078cb0</t>
  </si>
  <si>
    <t>Adrian Patriarca - 04/06/2026 13:17:32</t>
  </si>
  <si>
    <t>5a8d0516</t>
  </si>
  <si>
    <t>Adrian Patriarca - 04/06/2026 13:17:48</t>
  </si>
  <si>
    <t>04bc6ba3</t>
  </si>
  <si>
    <t>Reunión con DG para ver como avanzamos con la app, proximos proyectos, etc</t>
  </si>
  <si>
    <t>Adrian Patriarca - 04/06/2026 13:20:47</t>
  </si>
  <si>
    <t>Adrian Patriarca - 04/09/2026 19:22:24</t>
  </si>
  <si>
    <t>9cc4d78b</t>
  </si>
  <si>
    <t>Reunión con DG (Pedro) para ver evolución de App, modulos faltantes y posible migración a BD Postgres para mejorar la usabilidad</t>
  </si>
  <si>
    <t>Adrian Patriarca - 04/06/2026 13:38:59</t>
  </si>
  <si>
    <t>Adrian Patriarca - 04/09/2026 19:25:18</t>
  </si>
  <si>
    <t>2eec2ad5</t>
  </si>
  <si>
    <t>Armar el sprint de Amipack para santiago en lo que respecta al tablero en tiempo real</t>
  </si>
  <si>
    <t>Adrian Patriarca - 04/06/2026 12:13:56</t>
  </si>
  <si>
    <t>Adrian Patriarca - 04/18/2026 14:09:39</t>
  </si>
  <si>
    <t>a758160b</t>
  </si>
  <si>
    <t>Julieta OTRV, grabación y envio de video + respuesta a consultas</t>
  </si>
  <si>
    <t>Renata Morano - 04/06/2026 13:42:31</t>
  </si>
  <si>
    <t>7214f41f</t>
  </si>
  <si>
    <t>Adrian Patriarca - 04/06/2026 14:37:39</t>
  </si>
  <si>
    <t>Adrian Patriarca - 04/08/2026 12:14:48</t>
  </si>
  <si>
    <t>775b298b</t>
  </si>
  <si>
    <t>Se arreglo bug de comisiones por venta de bebidas. Y se comunicó al cliente sobre la nueva versión.</t>
  </si>
  <si>
    <t>Santiago Toscano - 04/07/2026 10:44:17</t>
  </si>
  <si>
    <t>e9712eec</t>
  </si>
  <si>
    <t>Se revisó desconexión de línea de validación, se borraron registros en base de datos de google sheets.</t>
  </si>
  <si>
    <t>Santiago Toscano - 04/07/2026 10:45:12</t>
  </si>
  <si>
    <t>dd3ba7f9</t>
  </si>
  <si>
    <t>Renata Morano - 04/07/2026 14:06:27</t>
  </si>
  <si>
    <t>038ee5c1</t>
  </si>
  <si>
    <t>Mejoras estéticas en las pantallas: cambios en las visuales de botones, tablas y textos para tener pantallas coherentes entre sí.</t>
  </si>
  <si>
    <t>Santiago Toscano - 04/07/2026 13:14:05</t>
  </si>
  <si>
    <t>11d8fb0c</t>
  </si>
  <si>
    <t>Cambios en las visuales: se corrigen botones, tablas y textos en general para presentación estética y coherente en todo el sistema.</t>
  </si>
  <si>
    <t>Santiago Toscano - 04/07/2026 13:15:09</t>
  </si>
  <si>
    <t>Adrian Patriarca - 04/13/2026 20:39:03</t>
  </si>
  <si>
    <t>e0b59246</t>
  </si>
  <si>
    <t>Renata Morano - 04/07/2026 14:06:38</t>
  </si>
  <si>
    <t>e2595ce5</t>
  </si>
  <si>
    <t>Reunión Gonzalo (Insuga) presentar el tablero y comentar en que estamos trabajando + próximos proyectos (tablero compras, partes de producción de Recreo)</t>
  </si>
  <si>
    <t>Renata Morano - 04/08/2026 08:17:44</t>
  </si>
  <si>
    <t>Renata Morano - 04/15/2026 14:11:49</t>
  </si>
  <si>
    <t>9ee0f7de</t>
  </si>
  <si>
    <t>Adrian Patriarca - 04/08/2026 12:15:16</t>
  </si>
  <si>
    <t>5fed59e1</t>
  </si>
  <si>
    <t>Diseño de tablero de A todo color con Mateo (en Miro). Hoja de Clientes y saldos y de pedidos</t>
  </si>
  <si>
    <t>Renata Morano - 04/09/2026 10:52:51</t>
  </si>
  <si>
    <t>Renata Morano - 04/09/2026 13:55:28</t>
  </si>
  <si>
    <t>f08c6461</t>
  </si>
  <si>
    <t>Preparación de la reunión de presentación de avances y futuros proyectos (power + reunión con Adrian)</t>
  </si>
  <si>
    <t>Renata Morano - 04/09/2026 13:55:22</t>
  </si>
  <si>
    <t>83057489</t>
  </si>
  <si>
    <t>Renata Morano - 04/09/2026 13:55:59</t>
  </si>
  <si>
    <t>5353164e</t>
  </si>
  <si>
    <t>Preparación reunión con escobar, Reunión presencial Escobar. Plan de acción a seguir</t>
  </si>
  <si>
    <t>Adrian Patriarca - 04/09/2026 18:23:20</t>
  </si>
  <si>
    <t>f3a3f897</t>
  </si>
  <si>
    <t>Adrian Patriarca - 04/09/2026 19:21:11</t>
  </si>
  <si>
    <t>d2b6ca0e</t>
  </si>
  <si>
    <t>Adrian Patriarca - 04/09/2026 19:21:44</t>
  </si>
  <si>
    <t>c680fce2</t>
  </si>
  <si>
    <t>ATC Conceptualización de los tableros de control que vamos a realizar</t>
  </si>
  <si>
    <t>Adrian Patriarca - 04/09/2026 19:23:55</t>
  </si>
  <si>
    <t>c5348f89</t>
  </si>
  <si>
    <t>Adrian Patriarca - 04/09/2026 19:25:05</t>
  </si>
  <si>
    <t>8fa357ff</t>
  </si>
  <si>
    <t>Adrian Patriarca - 04/09/2026 19:26:11</t>
  </si>
  <si>
    <t>da6edc34</t>
  </si>
  <si>
    <t>Analisis del documento enviado por KaizenBI. Y propuesta de una reunión con ellos</t>
  </si>
  <si>
    <t>Adrian Patriarca - 04/09/2026 19:30:47</t>
  </si>
  <si>
    <t>df48ac6b</t>
  </si>
  <si>
    <t>Se corrigieron errores por schema privado que dificultaba authentication y acceso a bd, además se borró cache API para refrescar acceso. Iteraciones para obtener necesidades de usuario.</t>
  </si>
  <si>
    <t>Adrian Patriarca - 04/18/2026 14:09:54</t>
  </si>
  <si>
    <t>61f3379c</t>
  </si>
  <si>
    <t>Avance SRS para implementación de planning en antigravity. Se definieron en detalle las tablas para incorporar en postgreSQL.</t>
  </si>
  <si>
    <t>Santiago Toscano - 04/10/2026 08:10:40</t>
  </si>
  <si>
    <t>acbfddae</t>
  </si>
  <si>
    <t>Control de Producción - Primera versión del Sistema demostración</t>
  </si>
  <si>
    <t>Santiago Toscano - 04/10/2026 08:16:28</t>
  </si>
  <si>
    <t>29fd58e8</t>
  </si>
  <si>
    <t>Renata Morano - 04/10/2026 10:31:25</t>
  </si>
  <si>
    <t>Renata Morano - 04/10/2026 11:17:57</t>
  </si>
  <si>
    <t>48a98677</t>
  </si>
  <si>
    <t>Se corrigieron errores de login y acceso de authentication a base de datos, eran por dificil acceso de schema privado, se hicieron copias de vistas mirror. Se dejo la interfaz mas presentable.</t>
  </si>
  <si>
    <t>Adrian Patriarca - 04/13/2026 20:39:08</t>
  </si>
  <si>
    <t>6bc4c6cb</t>
  </si>
  <si>
    <t>Desarrollo versión inicial app de tablero en tiempo real. Se desplegó base de datos postgreSQL, autenticaciones de usuario, login, interfaces modernas en menu de inicio. Se corrigieron errores por schema privado. Versiones en github.</t>
  </si>
  <si>
    <t>Santiago Toscano - 04/10/2026 12:07:21</t>
  </si>
  <si>
    <t>Adrian Patriarca - 04/18/2026 14:09:48</t>
  </si>
  <si>
    <t>2a548e89</t>
  </si>
  <si>
    <t>Adrian Patriarca - 04/18/2026 14:09:58</t>
  </si>
  <si>
    <t>9afb07e1</t>
  </si>
  <si>
    <t>Reunión con DG para ver como seguimos y con los contadores para interiorizarme en el trabajo que realizan</t>
  </si>
  <si>
    <t>Adrian Patriarca - 04/10/2026 15:31:37</t>
  </si>
  <si>
    <t>Adrian Patriarca - 04/18/2026 10:49:29</t>
  </si>
  <si>
    <t>6a6dd681</t>
  </si>
  <si>
    <t>Se trabajo en la implementación de un tablero de control para el area de estadistica, se definieron los indicadores.</t>
  </si>
  <si>
    <t>Adrian Patriarca - 04/10/2026 16:34:47</t>
  </si>
  <si>
    <t>Adrian Patriarca - 04/18/2026 09:55:48</t>
  </si>
  <si>
    <t>0dbbcf7e</t>
  </si>
  <si>
    <t>Mantenimiento app refri, se habia quedado trabado algo entre la hoja de calculo y la app</t>
  </si>
  <si>
    <t>Adrian Patriarca - 04/11/2026 13:00:50</t>
  </si>
  <si>
    <t>6ssmae9nc9i64bb664pm8b9k68o32b9o64rj2bb66lj62dr2coq66d9oc4</t>
  </si>
  <si>
    <t>https://www.google.com/calendar/event?eid=NnNzbWFlOW5jOWk2NGJiNjY0cG04YjlrNjhvMzJiOW82NHJqMmJiNjZsajYyZHIyY29xNjZkOW9jNCBhcGF0cmlhcmNhLmFwc29sQG0</t>
  </si>
  <si>
    <t>c2aeb2f8</t>
  </si>
  <si>
    <t>Continuar con desarrollo. Se necesita funcionalidad de datos traídos de planta.</t>
  </si>
  <si>
    <t>Santiago Toscano - 04/13/2026 10:32:51</t>
  </si>
  <si>
    <t>Adrian Patriarca - 04/18/2026 14:09:12</t>
  </si>
  <si>
    <t>12ed39e1</t>
  </si>
  <si>
    <t>Revisión de App, corrección de errores en BD, validación de funcionalidades.</t>
  </si>
  <si>
    <t>Adrian Patriarca - 04/13/2026 10:34:01</t>
  </si>
  <si>
    <t>Adrian Patriarca - 04/13/2026 20:39:12</t>
  </si>
  <si>
    <t>83424d83</t>
  </si>
  <si>
    <t>Adrian Patriarca - 04/13/2026 10:34:14</t>
  </si>
  <si>
    <t>Adrian Patriarca - 04/13/2026 20:39:18</t>
  </si>
  <si>
    <t>64851762</t>
  </si>
  <si>
    <t>Adrian Patriarca - 04/13/2026 10:34:43</t>
  </si>
  <si>
    <t>Adrian Patriarca - 04/18/2026 14:09:17</t>
  </si>
  <si>
    <t>79352405</t>
  </si>
  <si>
    <t>Adrian Patriarca - 04/13/2026 10:35:07</t>
  </si>
  <si>
    <t>Adrian Patriarca - 04/20/2026 10:44:43</t>
  </si>
  <si>
    <t>201fd89f</t>
  </si>
  <si>
    <t>Actualizar el tablero manualmente + agrandar la parte del filtro de fechas para que se pueda visualizar (hoja ventas). Ver la base de datos y comparar con los valores del sistema (imagen enviada por German)</t>
  </si>
  <si>
    <t>Renata Morano - 04/13/2026 11:51:24</t>
  </si>
  <si>
    <t>3aa88ffe</t>
  </si>
  <si>
    <t>Avanzar con el plan de acción (email 3 + mejoras operativas inmediatas)</t>
  </si>
  <si>
    <t>Renata Morano - 04/13/2026 12:01:32</t>
  </si>
  <si>
    <t>Renata Morano - 04/13/2026 14:23:42</t>
  </si>
  <si>
    <t>b54970a9</t>
  </si>
  <si>
    <t>Renata Morano - 04/13/2026 12:01:49</t>
  </si>
  <si>
    <t>Renata Morano - 04/13/2026 14:07:13</t>
  </si>
  <si>
    <t>e92a9212</t>
  </si>
  <si>
    <t>Ver tema de actualización de tablero (opción BigQuery). Debido al error de actualización automática de powerbi</t>
  </si>
  <si>
    <t>Renata Morano - 04/13/2026 12:09:19</t>
  </si>
  <si>
    <t>Renata Morano - 04/15/2026 14:05:55</t>
  </si>
  <si>
    <t>4c174d10</t>
  </si>
  <si>
    <t>Realizar lo pactado en la reunión (partes de producción recreo, tablero costos, etc)</t>
  </si>
  <si>
    <t>Renata Morano - 04/13/2026 12:10:50</t>
  </si>
  <si>
    <t>Renata Morano - 04/15/2026 14:05:59</t>
  </si>
  <si>
    <t>7c3f47a9</t>
  </si>
  <si>
    <t>Realizar lo pactado en la reunión (modificaciones en margarina, en la formulación)</t>
  </si>
  <si>
    <t>Renata Morano - 04/13/2026 12:11:09</t>
  </si>
  <si>
    <t>Renata Morano - 04/17/2026 12:45:16</t>
  </si>
  <si>
    <t>e2b6c935</t>
  </si>
  <si>
    <t>Reunirme con Daniel (Lunix) + subir el tablero de costos a su powerbi</t>
  </si>
  <si>
    <t>Renata Morano - 04/13/2026 14:07:31</t>
  </si>
  <si>
    <t>Renata Morano - 04/14/2026 14:21:12</t>
  </si>
  <si>
    <t>68b063fc</t>
  </si>
  <si>
    <t>Renata Morano - 04/13/2026 14:07:41</t>
  </si>
  <si>
    <t>Renata Morano - 04/14/2026 14:21:29</t>
  </si>
  <si>
    <t>518c42a1</t>
  </si>
  <si>
    <t>Coordinación con Mateo, Santiago y Renata. + Organización de la semana</t>
  </si>
  <si>
    <t>Adrian Patriarca - 04/13/2026 16:34:05</t>
  </si>
  <si>
    <t>a8f5ce3b</t>
  </si>
  <si>
    <t>Arreglo de la parte de reclamos que fue lo ultimo que realizó Felipe + El tema de la eliminación de duplicados.</t>
  </si>
  <si>
    <t>Adrian Patriarca - 04/13/2026 16:35:16</t>
  </si>
  <si>
    <t>de69fb02</t>
  </si>
  <si>
    <t>Arreglo de todo lo que es contacto previo visita, en el punto donde busca en start/stop los nombres de las operadoras</t>
  </si>
  <si>
    <t>Adrian Patriarca - 04/13/2026 16:41:16</t>
  </si>
  <si>
    <t>9497c93c</t>
  </si>
  <si>
    <t>Coordinación de reunión. con la gente de Kaizen para la integración del portal de facturas</t>
  </si>
  <si>
    <t>Adrian Patriarca - 04/13/2026 18:59:36</t>
  </si>
  <si>
    <t>Adrian Patriarca - 04/13/2026 19:19:29</t>
  </si>
  <si>
    <t>3d1f2956</t>
  </si>
  <si>
    <t>Reunión con German de Natión para validar lo que es el reporte automatico de TACs</t>
  </si>
  <si>
    <t>Adrian Patriarca - 04/13/2026 19:24:47</t>
  </si>
  <si>
    <t>Adrian Patriarca - 04/18/2026 10:14:03</t>
  </si>
  <si>
    <t>2f8c8251</t>
  </si>
  <si>
    <t>Reunión de para presentar el tablero de control de producción (en tiempo real) vinculado a las maquinas.</t>
  </si>
  <si>
    <t>Adrian Patriarca - 04/13/2026 19:28:30</t>
  </si>
  <si>
    <t>Adrian Patriarca - 04/18/2026 14:09:27</t>
  </si>
  <si>
    <t>b339e0d8</t>
  </si>
  <si>
    <t>Conexion Market Finalización del Bot y preparación para que quede listo para producción</t>
  </si>
  <si>
    <t>Adrian Patriarca - 04/14/2026 08:34:55</t>
  </si>
  <si>
    <t>Adrian Patriarca - 04/18/2026 10:24:22</t>
  </si>
  <si>
    <t>2695d6d1</t>
  </si>
  <si>
    <t>Ayudar a Mateo con el tablero de ATC, tema credenciales, bases de datos, etc</t>
  </si>
  <si>
    <t>Renata Morano - 04/14/2026 13:38:34</t>
  </si>
  <si>
    <t>Renata Morano - 04/14/2026 14:21:24</t>
  </si>
  <si>
    <t>e2000abf</t>
  </si>
  <si>
    <t>Renata Morano - 04/14/2026 14:12:02</t>
  </si>
  <si>
    <t>Renata Morano - 04/15/2026 14:06:10</t>
  </si>
  <si>
    <t>e5594d7a</t>
  </si>
  <si>
    <t>Arreglo del Tablero de control de Power Bi, del Norte. A traves del servidor del Norte</t>
  </si>
  <si>
    <t>Adrian Patriarca - 04/14/2026 15:51:34</t>
  </si>
  <si>
    <t>Adrian Patriarca - 04/14/2026 17:05:41</t>
  </si>
  <si>
    <t>e7f620b8</t>
  </si>
  <si>
    <t>Adrian Patriarca - 04/14/2026 18:03:08</t>
  </si>
  <si>
    <t>Adrian Patriarca - 04/18/2026 10:15:26</t>
  </si>
  <si>
    <t>2a258f60</t>
  </si>
  <si>
    <t>Adrian Patriarca - 04/15/2026 08:34:06</t>
  </si>
  <si>
    <t>Adrian Patriarca - 04/15/2026 15:56:40</t>
  </si>
  <si>
    <t>f5dfb57e</t>
  </si>
  <si>
    <t>Se corrigió error de Usuarios. Se debia a que la función de edge apuntaba a una tabla que no tenía el prefijo "insuga". Se crearon usuarios para que el persona de Insuga pueda entrar a la aplicación y empezar a usarla y se compartió por mail.</t>
  </si>
  <si>
    <t>Santiago Toscano - 04/15/2026 08:35:05</t>
  </si>
  <si>
    <t>2bad3f14</t>
  </si>
  <si>
    <t>Reunión con Lorena y el encargado de Logistica para relevar procesos (del proyecto ML)</t>
  </si>
  <si>
    <t>Renata Morano - 04/15/2026 10:11:10</t>
  </si>
  <si>
    <t>c6f1b492</t>
  </si>
  <si>
    <t>Renata Morano - 04/15/2026 14:03:21</t>
  </si>
  <si>
    <t>Renata Morano - 04/16/2026 13:02:38</t>
  </si>
  <si>
    <t>2908c6be</t>
  </si>
  <si>
    <t>Reunión para comentar lo avanzado en base a la última reunión</t>
  </si>
  <si>
    <t>Renata Morano - 04/15/2026 14:04:39</t>
  </si>
  <si>
    <t>Renata Morano - 04/20/2026 12:18:21</t>
  </si>
  <si>
    <t>eb313060</t>
  </si>
  <si>
    <t>Reunión con Mateo para ver y validar el tablero (vistas saldos y productos) en base a la BD</t>
  </si>
  <si>
    <t>Renata Morano - 04/15/2026 14:12:25</t>
  </si>
  <si>
    <t>d316f7b8</t>
  </si>
  <si>
    <t>Reunión de relevado de procesos (APSOL - ESCOBAR)</t>
  </si>
  <si>
    <t>https://www.google.com/calendar/event?eid=ZDMxNmY3YjggYXBhdHJpYXJjYS5hcHNvbEBt</t>
  </si>
  <si>
    <t>Adrian Patriarca - 04/18/2026 13:51:49</t>
  </si>
  <si>
    <t>692f5323</t>
  </si>
  <si>
    <t>Solución de ajustes en filtrado y refresco del tablero. Corrección de detalles de gráficos. Carga en GitHub. Conexión con Base de datos en Google Sheets</t>
  </si>
  <si>
    <t>Mateo Courault - 04/16/2026 12:13:51</t>
  </si>
  <si>
    <t>27295f5a</t>
  </si>
  <si>
    <t>Reunión con Mariano Rodríguez para ver los requerimientos de la app (actualmente appsheet)</t>
  </si>
  <si>
    <t>Renata Morano - 04/16/2026 12:25:48</t>
  </si>
  <si>
    <t>0f4939ab</t>
  </si>
  <si>
    <t>Reunión con Mateo + Adrian para ver la conexión con la base de sheet</t>
  </si>
  <si>
    <t>Renata Morano - 04/16/2026 13:02:21</t>
  </si>
  <si>
    <t>Renata Morano - 04/16/2026 13:02:53</t>
  </si>
  <si>
    <t>820ccfbc</t>
  </si>
  <si>
    <t>Caso alumno mal cargados pagos (Gaby) + acomodar el excel en n8n de inscripciones (pedido Claudia)</t>
  </si>
  <si>
    <t>Renata Morano - 04/16/2026 13:31:56</t>
  </si>
  <si>
    <t>69694917</t>
  </si>
  <si>
    <t>Renata Morano - 04/16/2026 13:32:25</t>
  </si>
  <si>
    <t>5c554851</t>
  </si>
  <si>
    <t>MVP del dashboard, realicé el tablero con la BD del Sheets (Pedidos) falta hacer dos cambios de filtrado (por fecha) y ver los productos al seleccionar un pedido; y validar datos del ultimo tablero</t>
  </si>
  <si>
    <t>Mateo Courault - 04/17/2026 11:58:42</t>
  </si>
  <si>
    <t>ad081336</t>
  </si>
  <si>
    <t>Realizar lo pactado en la reunión (modificaciones en margarina, en la formulación) + Pasar en limpio las anotaciones de la reunión con Mariano (requerimientos de la app de compras)</t>
  </si>
  <si>
    <t>Renata Morano - 04/17/2026 14:15:54</t>
  </si>
  <si>
    <t>a87db5b7</t>
  </si>
  <si>
    <t>Armar en n8n el mail de recepción de pago y revisar lo de Gaby de ayer, dejando todo listo para la reunión</t>
  </si>
  <si>
    <t>Renata Morano - 04/17/2026 14:15:49</t>
  </si>
  <si>
    <t>fcf50c1b</t>
  </si>
  <si>
    <t>Adrian Patriarca - 04/18/2026 10:49:17</t>
  </si>
  <si>
    <t>ab4baea2</t>
  </si>
  <si>
    <t>Adrian Patriarca - 04/18/2026 09:57:38</t>
  </si>
  <si>
    <t>2b3f8dc1</t>
  </si>
  <si>
    <t>Adrian Patriarca - 04/18/2026 10:03:13</t>
  </si>
  <si>
    <t>131ec4fe</t>
  </si>
  <si>
    <t>Adrian Patriarca - 04/18/2026 10:03:24</t>
  </si>
  <si>
    <t>5a8bb9f8</t>
  </si>
  <si>
    <t>Arreglo del tablero de control de Mantenimiento, No andaba la actualización.</t>
  </si>
  <si>
    <t>Adrian Patriarca - 04/18/2026 10:09:57</t>
  </si>
  <si>
    <t>Adrian Patriarca - 04/18/2026 10:10:11</t>
  </si>
  <si>
    <t>6926b54d</t>
  </si>
  <si>
    <t>Adrian Patriarca - 04/18/2026 10:11:41</t>
  </si>
  <si>
    <t>Adrian Patriarca - 04/18/2026 10:14:08</t>
  </si>
  <si>
    <t>09ec8148</t>
  </si>
  <si>
    <t>Adrian Patriarca - 04/18/2026 10:24:16</t>
  </si>
  <si>
    <t>83cabc4c</t>
  </si>
  <si>
    <t>Adrian Patriarca - 04/18/2026 10:15:04</t>
  </si>
  <si>
    <t>72fb80bb</t>
  </si>
  <si>
    <t>Adrian Patriarca - 04/18/2026 10:15:50</t>
  </si>
  <si>
    <t>adf3b985</t>
  </si>
  <si>
    <t>Adrian Patriarca - 04/18/2026 10:17:01</t>
  </si>
  <si>
    <t>5d3d78b2</t>
  </si>
  <si>
    <t>Corrección de cosas del tablero de control on line de Amipack, no andaba el login, la hice PWA, no andaba el link,etc</t>
  </si>
  <si>
    <t>Adrian Patriarca - 04/18/2026 10:20:02</t>
  </si>
  <si>
    <t>Adrian Patriarca - 04/18/2026 14:09:34</t>
  </si>
  <si>
    <t>772aa521</t>
  </si>
  <si>
    <t>Arreglo de porque Insuga chaco no podía entrar a la app que le desarrollamos</t>
  </si>
  <si>
    <t>Adrian Patriarca - 04/18/2026 10:22:55</t>
  </si>
  <si>
    <t>Adrian Patriarca - 04/18/2026 10:39:43</t>
  </si>
  <si>
    <t>0a4c60f1</t>
  </si>
  <si>
    <t>Adrian Patriarca - 04/18/2026 10:24:01</t>
  </si>
  <si>
    <t>44cde719</t>
  </si>
  <si>
    <t>Primer Reunión con el Estudio Gustavo Echarte. Para analizar el caso. Prometimos reunirnos dentro de 10 días</t>
  </si>
  <si>
    <t>Adrian Patriarca - 04/18/2026 10:42:19</t>
  </si>
  <si>
    <t>Adrian Patriarca - 04/18/2026 10:49:13</t>
  </si>
  <si>
    <t>add01af0</t>
  </si>
  <si>
    <t>Adrian Patriarca - 04/18/2026 10:47:57</t>
  </si>
  <si>
    <t>Adrian Patriarca - 04/18/2026 10:48:32</t>
  </si>
  <si>
    <t>5c2809ea</t>
  </si>
  <si>
    <t>Reunión con Refri para relevar las cosas que hay que corregir</t>
  </si>
  <si>
    <t>Adrian Patriarca - 04/18/2026 10:54:34</t>
  </si>
  <si>
    <t>7bbf90f7</t>
  </si>
  <si>
    <t>Adrian Patriarca - 04/18/2026 13:49:34</t>
  </si>
  <si>
    <t>0ded7fda</t>
  </si>
  <si>
    <t>Adrian Patriarca - 04/18/2026 13:49:58</t>
  </si>
  <si>
    <t>fc9f9bdf</t>
  </si>
  <si>
    <t>Reunión con delfina, para ver requerimientos de área de calidad respecto a modulo de calidad</t>
  </si>
  <si>
    <t>Adrian Patriarca - 04/18/2026 14:17:35</t>
  </si>
  <si>
    <t>c3b54be2</t>
  </si>
  <si>
    <t>Arreglo en la sincronización del tablero de producción de Amipack</t>
  </si>
  <si>
    <t>Adrian Patriarca - 04/18/2026 14:23:34</t>
  </si>
  <si>
    <t>eedf0197</t>
  </si>
  <si>
    <t>Se mencionó sobre capacitaciones y metodología de trabajo en supabase.</t>
  </si>
  <si>
    <t>Santiago Toscano - 04/20/2026 07:59:31</t>
  </si>
  <si>
    <t>Santiago Toscano - 04/20/2026 08:01:47</t>
  </si>
  <si>
    <t>fa460bfd</t>
  </si>
  <si>
    <t>Santiago Toscano - 04/20/2026 08:01:31</t>
  </si>
  <si>
    <t>e92f2622</t>
  </si>
  <si>
    <t>Reunión con avances del tablero de control de piso de planta y próximos pasos a seguir</t>
  </si>
  <si>
    <t>Santiago Toscano - 04/20/2026 08:05:29</t>
  </si>
  <si>
    <t>3ec4478f</t>
  </si>
  <si>
    <t>Eliminar las cuotas de las inscripciones dadas de baja. Preparar la reunion</t>
  </si>
  <si>
    <t>Renata Morano - 04/20/2026 09:58:00</t>
  </si>
  <si>
    <t>fc8e842a</t>
  </si>
  <si>
    <t>Realizar lo pactado en la reunión (modificaciones en margarina, en la formulación) en base a las respuestas de Gonzalo</t>
  </si>
  <si>
    <t>Renata Morano - 04/20/2026 09:58:54</t>
  </si>
  <si>
    <t>a45b3d98</t>
  </si>
  <si>
    <t>Ajustes de filtrado. Diseño responsivo y Progresive Web App.
Demo de usuario y contraseña</t>
  </si>
  <si>
    <t>Mateo Courault - 04/20/2026 10:00:12</t>
  </si>
  <si>
    <t>f7b60019</t>
  </si>
  <si>
    <t>Reunión con Adrián
Vista de tablero ATC y Conceptualización de proyecto Estudio Gustavo Echarte</t>
  </si>
  <si>
    <t>Mateo Courault - 04/20/2026 10:01:50</t>
  </si>
  <si>
    <t>Mateo Courault - 04/20/2026 10:06:49</t>
  </si>
  <si>
    <t>95918dcb</t>
  </si>
  <si>
    <t>Completar tablero con diseño responsivo y progresive web app. 
Validación de tablero pedidos con Renata</t>
  </si>
  <si>
    <t>Mateo Courault - 04/20/2026 10:06:39</t>
  </si>
  <si>
    <t>ca5d26fc</t>
  </si>
  <si>
    <t>Comienzo de Sprint 1, ver One Note, conceptualización del proyecto</t>
  </si>
  <si>
    <t>Mateo Courault - 04/20/2026 10:08:58</t>
  </si>
  <si>
    <t>4ae250b1</t>
  </si>
  <si>
    <t>Mateo Courault - 04/20/2026 10:09:58</t>
  </si>
  <si>
    <t>e0362c93</t>
  </si>
  <si>
    <t>Sprint 1, ver One Note, conceptualización del proyecto.
Revisión con Adrián</t>
  </si>
  <si>
    <t>Mateo Courault - 04/20/2026 10:10:31</t>
  </si>
  <si>
    <t>8dd6ac95</t>
  </si>
  <si>
    <t>Conceptualizar nuevas soluciones DG. Administración, garantías, etc.</t>
  </si>
  <si>
    <t>Mateo Courault - 04/20/2026 10:14:05</t>
  </si>
  <si>
    <t>b5ef68a7</t>
  </si>
  <si>
    <t>Mateo Courault - 04/20/2026 10:14:27</t>
  </si>
  <si>
    <t>Mateo Courault - 04/24/2026 08:12:17</t>
  </si>
  <si>
    <t>dc04759a</t>
  </si>
  <si>
    <t>Mateo Courault - 04/20/2026 10:14:41</t>
  </si>
  <si>
    <t>2b86f428</t>
  </si>
  <si>
    <t>Video de Capacitación y otros arreglos App Insuga chaco (PWA y Responsive)</t>
  </si>
  <si>
    <t>Adrian Patriarca - 04/20/2026 10:47:23</t>
  </si>
  <si>
    <t>5630df62</t>
  </si>
  <si>
    <t>Adrian Patriarca - 04/20/2026 10:48:14</t>
  </si>
  <si>
    <t>12c53401</t>
  </si>
  <si>
    <t>En vista del menú, se agregaron detalles de tipo de costo y tipo de venta.
Se crearon promociones, y se relacionaron con las ventas y el stock.</t>
  </si>
  <si>
    <t>Adrian Patriarca - 04/20/2026 10:49:53</t>
  </si>
  <si>
    <t>6cc72c19</t>
  </si>
  <si>
    <t>Se modificó tablero Estadísticas: detalles de ingresos, costos, y bonificaciones. 
Se reparó botón de filtro fecha, que no se actualizaba automaticamente.
Para promociones se agregó al funcionalidad de completar con decimal o directamente el precio de la promoción. Por ejemplo promo 2x1.75 entonces cervezas 2 x 7000.
En costos se agregó subcategoría, que aparece tanto en el tablero como en la vista principal. Se completaron datos historicos y se asignaron a categorías: por ejemplo sueldo anita categoría Sueldos.
En tablero se agregó margen de ganancia por producto, como la diferencia entre precio venta y costo. Se debe mantener actualizado el costo en la pestaña de bebidas para que el calculo sea correcto.
Se agregó en apartado de productos-&gt; cancha, la posiblidad de definir el turno según la hora. Se define turno tarde y noche a partir de hora a configurar. Antes era calculo predefinido por desarrollador ahora se puede editar.
En tablero se agregó funcionalidad PDF.</t>
  </si>
  <si>
    <t>Santiago Toscano - 04/20/2026 11:15:54</t>
  </si>
  <si>
    <t>Santiago Toscano - 04/20/2026 12:01:36</t>
  </si>
  <si>
    <t>60701336</t>
  </si>
  <si>
    <t>Reunión de coordinación de la semana (diferentes proyectos) con Adrian</t>
  </si>
  <si>
    <t>Renata Morano - 04/20/2026 12:19:44</t>
  </si>
  <si>
    <t>79ab565b</t>
  </si>
  <si>
    <t>Validar con Mateo el tablero de pedidos (y revisar las demás vistas)</t>
  </si>
  <si>
    <t>Renata Morano - 04/20/2026 12:20:38</t>
  </si>
  <si>
    <t>0b41dd1b</t>
  </si>
  <si>
    <t>Terminar lo de Gonzalo (reformulación de formulación de Margarina)</t>
  </si>
  <si>
    <t>Renata Morano - 04/20/2026 12:25:12</t>
  </si>
  <si>
    <t>Renata Morano - 04/21/2026 13:14:08</t>
  </si>
  <si>
    <t>3b9c013f</t>
  </si>
  <si>
    <t>Renata Morano - 04/20/2026 12:27:10</t>
  </si>
  <si>
    <t>Renata Morano - 04/20/2026 13:02:25</t>
  </si>
  <si>
    <t>f4e7eb05</t>
  </si>
  <si>
    <t>Plantear la solución en base a la reunión con Mariano (luego de plantearlo reunirme con Adrian) --&gt; después reunirme con Santiago</t>
  </si>
  <si>
    <t>Renata Morano - 04/20/2026 12:43:22</t>
  </si>
  <si>
    <t>Renata Morano - 04/23/2026 13:49:35</t>
  </si>
  <si>
    <t>bb337a51</t>
  </si>
  <si>
    <t>-Reunirme con Mariano y Santiago para plantearle la solución sobre la app de compras + calendario
-Termine el tablero de Gonzalo (faltan los servicios)
Lo publique en su tenant</t>
  </si>
  <si>
    <t>Renata Morano - 04/20/2026 12:46:46</t>
  </si>
  <si>
    <t>Renata Morano - 04/24/2026 13:32:41</t>
  </si>
  <si>
    <t>47534c4c</t>
  </si>
  <si>
    <t>Plantear solución en base a lo relevado en la reunión del miércoles (Lorena + Logistica + otros interesados) 
También cargar los indicadores del tablero en la página</t>
  </si>
  <si>
    <t>Renata Morano - 04/20/2026 12:50:54</t>
  </si>
  <si>
    <t>Renata Morano - 04/23/2026 13:49:41</t>
  </si>
  <si>
    <t>Otros , Herramientas No utilizadas</t>
  </si>
  <si>
    <t>569d0f91</t>
  </si>
  <si>
    <t>Plantear solución en base a lo relevado en la reunión del miércoles (Lorena + Logistica + otros interesados)</t>
  </si>
  <si>
    <t>Renata Morano - 04/20/2026 12:51:03</t>
  </si>
  <si>
    <t>Renata Morano - 04/24/2026 13:32:11</t>
  </si>
  <si>
    <t>1d13cf99</t>
  </si>
  <si>
    <t>Renata Morano - 04/20/2026 13:02:44</t>
  </si>
  <si>
    <t>e5887067</t>
  </si>
  <si>
    <t>Reunión de coordinación y alineación de los  proximos pasos a seguir. Objetivo: Generar un plan de acción claro y Ejecutable</t>
  </si>
  <si>
    <t>Adrian Patriarca - 04/20/2026 18:18:17</t>
  </si>
  <si>
    <t>eb7765e1</t>
  </si>
  <si>
    <t>Demostración de cambios realizados MD complejo de canchas: promociones, tablero y costos.</t>
  </si>
  <si>
    <t>Santiago Toscano - 04/21/2026 08:07:31</t>
  </si>
  <si>
    <t>d50aead4</t>
  </si>
  <si>
    <t>Finalización de lo que es el Asistente de conexion market. Realización de frontend. Delegación a Santiago</t>
  </si>
  <si>
    <t>Adrian Patriarca - 04/21/2026 08:11:23</t>
  </si>
  <si>
    <t>Adrian Patriarca - 04/21/2026 09:29:48</t>
  </si>
  <si>
    <t>N8N , Antigravity , Herramientas No utilizadas</t>
  </si>
  <si>
    <t>7677a641</t>
  </si>
  <si>
    <t>Reunión con ISAA, para ver cuales son los pasos a seguir.  Coordinación con renata</t>
  </si>
  <si>
    <t>Adrian Patriarca - 04/21/2026 08:13:35</t>
  </si>
  <si>
    <t>c4cea2b8</t>
  </si>
  <si>
    <t>https://www.google.com/calendar/event?eid=YzRjZWEyYjggYXBhdHJpYXJjYS5hcHNvbEBt</t>
  </si>
  <si>
    <t>ab6dae35</t>
  </si>
  <si>
    <t>Se miraron videos de capacitación sobre la herramienta Antigravity: stack, seguridad, modelos y planning.</t>
  </si>
  <si>
    <t>Santiago Toscano - 04/21/2026 09:15:42</t>
  </si>
  <si>
    <t>fae7d20d</t>
  </si>
  <si>
    <t>Se replica aplicación en Antigravity para dejar de utilizar Appsheet.
Se realizó con supabase pero se quiere trabajar con Google Sheets.</t>
  </si>
  <si>
    <t>Santiago Toscano - 04/21/2026 09:16:50</t>
  </si>
  <si>
    <t>Santiago Toscano - 04/21/2026 13:34:45</t>
  </si>
  <si>
    <t>29c75d69</t>
  </si>
  <si>
    <t>Agregar el botón que fuerce la finalización de TAC y grabar video</t>
  </si>
  <si>
    <t>Renata Morano - 04/21/2026 13:18:44</t>
  </si>
  <si>
    <t>befefd85</t>
  </si>
  <si>
    <t>Renata Morano - 04/21/2026 13:26:18</t>
  </si>
  <si>
    <t>21ac80ce</t>
  </si>
  <si>
    <t>Desarrollo esqueleto Landing page. Investigacion funcionalidades y propuesta de soluciones</t>
  </si>
  <si>
    <t>Santiago Toscano - 04/21/2026 13:35:29</t>
  </si>
  <si>
    <t>444b9fbc</t>
  </si>
  <si>
    <t>Corrección error en carga de promociones. Se agrego funcionalidad pdf en tablero.</t>
  </si>
  <si>
    <t>Santiago Toscano - 04/21/2026 13:35:59</t>
  </si>
  <si>
    <t>6csj8ohicpgjab9h69ijgb9kclijibb2ccpm8bb6c8o3gphj6soj4dpocc_20260428T170000Z</t>
  </si>
  <si>
    <t>https://www.google.com/calendar/event?eid=NmNzajhvaGljcGdqYWI5aDY5aWpnYjlrY2xpamliYjJjY3BtOGJiNmM4bzNncGhqNnNvajRkcG9jY18yMDI2MDQyOFQxNzAwMDBaIGFwYXRyaWFyY2EuYXBzb2xAbQ</t>
  </si>
  <si>
    <t>af449fad</t>
  </si>
  <si>
    <t>Adrian Patriarca - 04/21/2026 15:10:41</t>
  </si>
  <si>
    <t>Adrian Patriarca - 04/21/2026 15:19:38</t>
  </si>
  <si>
    <t>15b796b6</t>
  </si>
  <si>
    <t>Reunión para ver nueva plataforma de Gestión y el comportamiento del Asistente</t>
  </si>
  <si>
    <t>Adrian Patriarca - 04/21/2026 15:13:01</t>
  </si>
  <si>
    <t>Adrian Patriarca - 04/23/2026 09:33:45</t>
  </si>
  <si>
    <t>4507042c</t>
  </si>
  <si>
    <t>Reunión para ver lo que es la reestruccturación de la empresa DG</t>
  </si>
  <si>
    <t>Adrian Patriarca - 04/21/2026 15:14:44</t>
  </si>
  <si>
    <t>60qj2e326lj6ab9h68o3gb9k74pm6bb16pi66bb36hj38cpo6comaor6c4</t>
  </si>
  <si>
    <t>https://www.google.com/calendar/event?eid=NjBxajJlMzI2bGo2YWI5aDY4bzNnYjlrNzRwbTZiYjE2cGk2NmJiMzZoajM4Y3BvNmNvbWFvcjZjNCBhcGF0cmlhcmNhLmFwc29sQG0</t>
  </si>
  <si>
    <t>4d6bccff</t>
  </si>
  <si>
    <t>https://www.google.com/calendar/event?eid=NGQ2YmNjZmYgYXBhdHJpYXJjYS5hcHNvbEBt</t>
  </si>
  <si>
    <t>563qib9dkvdhfuml5kb8t1mp83</t>
  </si>
  <si>
    <t>Revisar los pendientes para terminar de configurar la calculadora.</t>
  </si>
  <si>
    <t>https://www.google.com/calendar/event?eid=NTYzcWliOWRrdmRoZnVtbDVrYjh0MW1wODMgYXBhdHJpYXJjYS5hcHNvbEBt</t>
  </si>
  <si>
    <t>Adrian Patriarca - 04/21/2026 15:19:27</t>
  </si>
  <si>
    <t>8e022b2f</t>
  </si>
  <si>
    <t>https://www.google.com/calendar/event?eid=OGUwMjJiMmYgYXBhdHJpYXJjYS5hcHNvbEBt</t>
  </si>
  <si>
    <t>c7bd34a3</t>
  </si>
  <si>
    <t>Demostración de cambios realizados MD complejo de canchas</t>
  </si>
  <si>
    <t>https://www.google.com/calendar/event?eid=YzdiZDM0YTMgYXBhdHJpYXJjYS5hcHNvbEBt</t>
  </si>
  <si>
    <t>5837f54d</t>
  </si>
  <si>
    <t>https://www.google.com/calendar/event?eid=NTgzN2Y1NGQgYXBhdHJpYXJjYS5hcHNvbEBt</t>
  </si>
  <si>
    <t>cb932aa1</t>
  </si>
  <si>
    <t>Resumen de cambios a indicar a MD futbol 5, se testearon los últimos cambios y se corrigió error de interfaz de las promociones</t>
  </si>
  <si>
    <t>Santiago Toscano - 04/22/2026 12:24:47</t>
  </si>
  <si>
    <t>534ac59a</t>
  </si>
  <si>
    <t>Se mejoró la interfaz de Estadísticas, letras más grandes para valores de horas jugadas y totales-promedios por sede. 
Las ventas totales pasan a ser contribuciones totales: sumatoria de ingresos por alquileres + cantidad de productos vendidos * (precio venta - costo unitario). Teniendo directamente un resultado. Se corrige la forma en la que aparecen las contribuciones por bebida para que sea mas facil de leer.
En ventas se agregó funcionalidad alquileres: permite ingresar un alquiler no solo de cancha, sino cumpleaños, gimnasio, etc.
Se clasifican los ingresos de Estadísticas en distintos tipos de alquileres.</t>
  </si>
  <si>
    <t>Santiago Toscano - 04/22/2026 12:29:48</t>
  </si>
  <si>
    <t>e847ed56</t>
  </si>
  <si>
    <t>Minuta con detalles de modificaiones para entregar a cliente MD Futbol 5.
Se siguió historial de Apsol con el cliente para ello.</t>
  </si>
  <si>
    <t>Santiago Toscano - 04/22/2026 12:30:46</t>
  </si>
  <si>
    <t>98a2abfa</t>
  </si>
  <si>
    <t>Testeo de aplicación que se desconectó de supabase. Funciona en un sentido con la hoja de sheets y en el otro no. 
Se debe poder editar desde la app y agregar funcionalidades de escritura.
Se relevaron proximos pasos para sprint.</t>
  </si>
  <si>
    <t>Santiago Toscano - 04/22/2026 13:13:46</t>
  </si>
  <si>
    <t>7e1bee97</t>
  </si>
  <si>
    <t>Norte, hablar con tato por el tema del tablero de estadistica. Ver el tema del tablero de Martin</t>
  </si>
  <si>
    <t>Adrian Patriarca - 04/22/2026 13:25:03</t>
  </si>
  <si>
    <t>7135afff</t>
  </si>
  <si>
    <t>Avances tablero de control</t>
  </si>
  <si>
    <t>https://www.google.com/calendar/event?eid=NzEzNWFmZmYgYXBhdHJpYXJjYS5hcHNvbEBt</t>
  </si>
  <si>
    <t>0526c502</t>
  </si>
  <si>
    <t>Se agregó las 3 funcionalidades del video y la necesidad de editar/escribir en la parte de control y configuración. Las mismas son vinculación con línea corporativa a través de qr de wsp, usando Evolution Api. Luego Novedades y por último Agenda.</t>
  </si>
  <si>
    <t>Santiago Toscano - 04/23/2026 12:48:04</t>
  </si>
  <si>
    <t>5e7eba3d</t>
  </si>
  <si>
    <t>Refri arreglo de cosas varias y otras mejoras necesarias para cerrar el proyecto</t>
  </si>
  <si>
    <t>Adrian Patriarca - 04/23/2026 08:24:21</t>
  </si>
  <si>
    <t>Adrian Patriarca - 04/23/2026 09:33:39</t>
  </si>
  <si>
    <t>840c6c28</t>
  </si>
  <si>
    <t>Reunión de una hora con Conexión Market.
Puesta en común con Adrián y nuevas necesidades.</t>
  </si>
  <si>
    <t>Santiago Toscano - 04/23/2026 12:48:44</t>
  </si>
  <si>
    <t>f1e6030b</t>
  </si>
  <si>
    <t>Adrian Patriarca - 04/23/2026 18:21:36</t>
  </si>
  <si>
    <t>67bc6e6e</t>
  </si>
  <si>
    <t>Reunión con Estudio Gustavo Echarte para presentar avances de la etapa inicial del proyecto</t>
  </si>
  <si>
    <t>Mateo Courault - 04/24/2026 08:14:06</t>
  </si>
  <si>
    <t>e1c9de74</t>
  </si>
  <si>
    <t>Adrian Patriarca - 04/24/2026 08:27:04</t>
  </si>
  <si>
    <t>54eda3be</t>
  </si>
  <si>
    <t>Reunión con Mariano de Insuga Recreo.
Renata indicó diagrama de flujos y vistas de la app, para tener feedback.
Próximos pasos implementación en antigravity, coordinar con Adrián.</t>
  </si>
  <si>
    <t>Santiago Toscano - 04/24/2026 11:49:33</t>
  </si>
  <si>
    <t>72e217de</t>
  </si>
  <si>
    <t>Testeo de funcionalidades de nueva app.
Se agregaron KPIs relevantes de estados para cada opción de monitoreo, y la opción de seleccionar un KPI de estado para tener un filtro por estado. Lo mismo en la opción de canales.
Se corrigieron errores de carga de campo nro de gestión en Comprobantes.
Además el nro de comprobante se modificó para abrir en misma pag, y que sea editable la imagen (girar, mover).
Se completo la funcionalidad de abrir wsp, botón de vincular/desvincular correcto.
Usuarios sincronizado con sheets, por lo pronto acceso a vistas, resta definir acceso a botones de borrar según rol.</t>
  </si>
  <si>
    <t>Santiago Toscano - 04/24/2026 11:49:27</t>
  </si>
  <si>
    <t>2e89c6f8</t>
  </si>
  <si>
    <t>Culimnar desarrollo Conexion Market, video de capacitacion entregar.</t>
  </si>
  <si>
    <t>Santiago Toscano - 04/24/2026 13:00:45</t>
  </si>
  <si>
    <t>75f946f3</t>
  </si>
  <si>
    <t>Comenzar con desarrollo en antigravity.
Realizar planning detallado e implementar con Claude Opus.</t>
  </si>
  <si>
    <t>Santiago Toscano - 04/24/2026 13:01:25</t>
  </si>
  <si>
    <t>b88f7a3c</t>
  </si>
  <si>
    <t>Realizar cambios mas importantes: error eficiencia, o algún calculo.</t>
  </si>
  <si>
    <t>Santiago Toscano - 04/24/2026 13:05:07</t>
  </si>
  <si>
    <t>Santiago Toscano - 04/24/2026 13:05:59</t>
  </si>
  <si>
    <t>254f9b10</t>
  </si>
  <si>
    <t>Santiago Toscano - 04/24/2026 13:06:26</t>
  </si>
  <si>
    <t>2023-1</t>
  </si>
  <si>
    <t>2023-2</t>
  </si>
  <si>
    <t>2023-3</t>
  </si>
  <si>
    <t>2023-4</t>
  </si>
  <si>
    <t>2023-5</t>
  </si>
  <si>
    <t>2023-6</t>
  </si>
  <si>
    <t>2023-7</t>
  </si>
  <si>
    <t>2023-8</t>
  </si>
  <si>
    <t>2023-9</t>
  </si>
  <si>
    <t>2023-10</t>
  </si>
  <si>
    <t>2023-11</t>
  </si>
  <si>
    <t>2023-12</t>
  </si>
  <si>
    <t>2023-13</t>
  </si>
  <si>
    <t>2023-14</t>
  </si>
  <si>
    <t>2023-15</t>
  </si>
  <si>
    <t>2023-16</t>
  </si>
  <si>
    <t>2023-17</t>
  </si>
  <si>
    <t>2023-18</t>
  </si>
  <si>
    <t>2023-19</t>
  </si>
  <si>
    <t>2023-20</t>
  </si>
  <si>
    <t>2023-21</t>
  </si>
  <si>
    <t>2023-22</t>
  </si>
  <si>
    <t>2023-23</t>
  </si>
  <si>
    <t>2023-24</t>
  </si>
  <si>
    <t>2023-25</t>
  </si>
  <si>
    <t>2023-26</t>
  </si>
  <si>
    <t>2023-27</t>
  </si>
  <si>
    <t>2023-28</t>
  </si>
  <si>
    <t>2023-29</t>
  </si>
  <si>
    <t>2023-30</t>
  </si>
  <si>
    <t>2023-31</t>
  </si>
  <si>
    <t>2023-32</t>
  </si>
  <si>
    <t>2023-33</t>
  </si>
  <si>
    <t>2023-34</t>
  </si>
  <si>
    <t>2023-35</t>
  </si>
  <si>
    <t>2023-36</t>
  </si>
  <si>
    <t>2023-37</t>
  </si>
  <si>
    <t>2023-38</t>
  </si>
  <si>
    <t>2023-39</t>
  </si>
  <si>
    <t>2023-40</t>
  </si>
  <si>
    <t>2023-41</t>
  </si>
  <si>
    <t>2023-42</t>
  </si>
  <si>
    <t>2023-43</t>
  </si>
  <si>
    <t>2023-44</t>
  </si>
  <si>
    <t>2023-45</t>
  </si>
  <si>
    <t>2023-46</t>
  </si>
  <si>
    <t>2023-47</t>
  </si>
  <si>
    <t>2023-48</t>
  </si>
  <si>
    <t>2023-49</t>
  </si>
  <si>
    <t>2023-50</t>
  </si>
  <si>
    <t>2023-51</t>
  </si>
  <si>
    <t>2023-52</t>
  </si>
  <si>
    <t>2024-13</t>
  </si>
  <si>
    <t>2024-14</t>
  </si>
  <si>
    <t>2024-15</t>
  </si>
  <si>
    <t>2024-16</t>
  </si>
  <si>
    <t>2024-17</t>
  </si>
  <si>
    <t>2024-18</t>
  </si>
  <si>
    <t>2024-19</t>
  </si>
  <si>
    <t>2024-20</t>
  </si>
  <si>
    <t>2024-21</t>
  </si>
  <si>
    <t>2024-22</t>
  </si>
  <si>
    <t>2024-23</t>
  </si>
  <si>
    <t>2024-24</t>
  </si>
  <si>
    <t>2024-25</t>
  </si>
  <si>
    <t>2024-26</t>
  </si>
  <si>
    <t>2024-27</t>
  </si>
  <si>
    <t>2024-28</t>
  </si>
  <si>
    <t>2024-29</t>
  </si>
  <si>
    <t>2024-30</t>
  </si>
  <si>
    <t>2024-31</t>
  </si>
  <si>
    <t>2024-32</t>
  </si>
  <si>
    <t>2024-33</t>
  </si>
  <si>
    <t>2024-34</t>
  </si>
  <si>
    <t>2024-35</t>
  </si>
  <si>
    <t>2024-36</t>
  </si>
  <si>
    <t>2024-37</t>
  </si>
  <si>
    <t>2024-38</t>
  </si>
  <si>
    <t>2024-39</t>
  </si>
  <si>
    <t>2024-40</t>
  </si>
  <si>
    <t>2024-41</t>
  </si>
  <si>
    <t>2024-42</t>
  </si>
  <si>
    <t>2024-43</t>
  </si>
  <si>
    <t>2024-44</t>
  </si>
  <si>
    <t>2024-45</t>
  </si>
  <si>
    <t>2024-46</t>
  </si>
  <si>
    <t>2024-47</t>
  </si>
  <si>
    <t>2024-48</t>
  </si>
  <si>
    <t>2024-49</t>
  </si>
  <si>
    <t>2024-50</t>
  </si>
  <si>
    <t>2024-51</t>
  </si>
  <si>
    <t>2024-52</t>
  </si>
  <si>
    <t>Id_Observaciones</t>
  </si>
  <si>
    <t>Observación</t>
  </si>
  <si>
    <t>e66a6eae</t>
  </si>
  <si>
    <t>Observación 1</t>
  </si>
  <si>
    <t>09854bb1</t>
  </si>
  <si>
    <t>Es un puto come trapo que no responde los mensajes</t>
  </si>
  <si>
    <t>45576687</t>
  </si>
  <si>
    <t>La idea es que como compañera de curso me de un FeedBack de la propuesta de valor</t>
  </si>
  <si>
    <t>602a32ef</t>
  </si>
  <si>
    <t>El día de hoy, le mande un mensaje y ya me confirmo que vamos a arrancar. Pero que en estos momentos está inaugurando un nuevo local comercial.</t>
  </si>
  <si>
    <t>90060021</t>
  </si>
  <si>
    <t>El jueves tengo una nueva reunión para empezar ver los proyectos nuevos a encarar</t>
  </si>
  <si>
    <t>4f1dd113</t>
  </si>
  <si>
    <t>El día de Hoy Jueves 07/09/2023 hice la reunión con cristian. Estuvo bien y tienen 4 proyectos para realizar. Les envie una propuesta de servicio Continuo. Realizar el seguiemiento.</t>
  </si>
  <si>
    <t>dc03d0d6</t>
  </si>
  <si>
    <t>Le mandé un mensaje y me respondió al toque diciendo que estaban interesados en tener una entrevista</t>
  </si>
  <si>
    <t>3d019ec7</t>
  </si>
  <si>
    <t>Escribir a la tarde, durante el día esta medio ocupado. Igualmente este prospecto no tiene mucho presupuesto. Al tener poco presupuesto tiene que hacer una compra muy racional y asi se maneja midiendo todo lo que compra</t>
  </si>
  <si>
    <t>c4826113</t>
  </si>
  <si>
    <t>Le mandé, por que me habian dicho que quisieran tener una charla pero ya fue no les hago mas seguimiento.</t>
  </si>
  <si>
    <t>ab17dc46</t>
  </si>
  <si>
    <t>La reunión fue un desastre. Muy poco interes en lo que uno hace, básicamente fue para cumplir. Ni siquiera prendieron la camara</t>
  </si>
  <si>
    <t>a1949411</t>
  </si>
  <si>
    <t>Le escribí el viernes 06/10 a la mañana, me dijo que hablemos a la tarde y luego a la tarde le escribí pero no respondió mas. Meterle el ultimatum</t>
  </si>
  <si>
    <t>8dddab1c</t>
  </si>
  <si>
    <t>Le escribí el 09/10/2023 y basicamente me dijo que no sabia bien donde aplicarlo. Me aclaró que no me estaba rechazando. Sino que simplemente ahora no sabia bien en donde invertir ese trabajo</t>
  </si>
  <si>
    <t>053c1e47</t>
  </si>
  <si>
    <t>Tendría que enviarle algun caso de éxito</t>
  </si>
  <si>
    <t>59750de2</t>
  </si>
  <si>
    <t>Le mande el ultimatum, pasaron unos minutos y no respondió. Asi que lo doy de baja. Este es el mensaje que le mande: Hola Pablo como andas? Espero que estes muy bien, simplemente te escribo para consultarte si seguís interesado en iniciar el servicio con nosotros como lo habíamos hablado? Mi consulta viene dada ya que actualmente estamos experimentando bastante interés en nuestro servicio y como mi capacidad de brindar el mismo es limitada, necesito planificar con que clientes estaré trabajando los próximos meses.  Si por algun motivo este no es el momento, sería muy valioso para mi saberlo ya que libero la agenda para otros futuros clientes.  Desde ya muchas gracias Aguardo tu respuesta Saludos</t>
  </si>
  <si>
    <t>27d79870</t>
  </si>
  <si>
    <t>Le iba a consultar el presupuesto pero la verdad que no valia la pena consultar que onda. ya que cero interes</t>
  </si>
  <si>
    <t>8a06e3db</t>
  </si>
  <si>
    <t>Me pidio que le vuelva a mandar mensaje</t>
  </si>
  <si>
    <t>de2f27fb</t>
  </si>
  <si>
    <t>El vago me contactó gracias a mi pagina de LinkedIn y a los post que vengo haciendo</t>
  </si>
  <si>
    <t>a7d11994</t>
  </si>
  <si>
    <t>Tienen ganas de tercerizar servicios. "Te quería invitar a sumarte a el grupo de empresas y crecer juntos". El vago tiene una consultora de ing, Industrial y Mecanica . Y trabajan en Red. Haciendo mucho up selling me imagino</t>
  </si>
  <si>
    <t>addac665</t>
  </si>
  <si>
    <t>La entrevista duró como 1 hs y media. Entendió la importancia y el valor del servicio. Le pareció muy completo. Lo que si cuando le dije el presupuesto cambió la cara.</t>
  </si>
  <si>
    <t>49d20e55</t>
  </si>
  <si>
    <t>Al final la reunión que estaba programada me la canceló porque no podía. Asi que no se volvió a agendar. El día de hoy le volví a escribir.</t>
  </si>
  <si>
    <t>61cc79f5</t>
  </si>
  <si>
    <t>El día de hoy me escribió por el tema de la baja del servicio. Asi que le voy a dar 1 semana</t>
  </si>
  <si>
    <t>37c0eb19</t>
  </si>
  <si>
    <t>Hoy lunes le escribí a Laura a ver si pudo charlar la propuesta de valor que tanto le habia gustado a ella. Vamos a ver que onda. Si la respuesta es evasiva. Ver de hacer DownSelling.</t>
  </si>
  <si>
    <t>9bc4b8ad</t>
  </si>
  <si>
    <t>El 6 de noviembre tuvimos una reunión con Leandro y la verdad estuvo muy buena tengo que presupuestarle para venderle mis servicios al mayorista</t>
  </si>
  <si>
    <t>e5f19ef8</t>
  </si>
  <si>
    <t>Le mande el archivo con las condiciones de reventa, previamente lo investigue un poco. La verdad que terminó siendo un chamullero. Igualmente le hice una buena propuesta. Si se esfuerza puede llegar a un margen de hasta el 70%</t>
  </si>
  <si>
    <t>d45ce192</t>
  </si>
  <si>
    <t>Me mandó el siguiente mensaje el día de hoy: "Hola Adrian. Todavía no puede decidir que voy a hacer con tu propuesta. Por un lado, quiero hacerlo y por el otro no se si este es un buen momento del año para empezar este tipo de procesos. También hay una cuestión de incertidumbre general que también me frena. Lo sigo estudiando y pensando. Apenas tenga una respuesta por si o por no te confirmo."</t>
  </si>
  <si>
    <t>0abc7983</t>
  </si>
  <si>
    <t>El tipo está empecinado con que quiere que sea todo bajo su marca. En 15 días vemos... Podemos hacer una reunión y veo que onda.</t>
  </si>
  <si>
    <t>7052dc2c</t>
  </si>
  <si>
    <t>Hice una nueva reunión. La reunión duró 1 hs y media. La verdad que estuvo buena. Quedamos en que le iba a enviar material promosional. Ya le envié algo. Le dije que lo lea y que si necesite algo mas me lo diga. Si no me pide nada mas cuelgo ahi hasta dentro de una semana.</t>
  </si>
  <si>
    <t>7f3aebad</t>
  </si>
  <si>
    <t>Le volví a mandar un mensaje, coordinamos una reunión y en teoria arrancamos.</t>
  </si>
  <si>
    <t>98ef0cb0</t>
  </si>
  <si>
    <t>Me comprometí en hacerle un video "Promocional". En teoria cerramos y el va a empezar a vender. Pero nose.</t>
  </si>
  <si>
    <t>ccb2282c</t>
  </si>
  <si>
    <t>Le mande un link con un tablero "Personalizado". Y menos mal porque era lo que suponia. Una perdida de tiempo</t>
  </si>
  <si>
    <t>b35c1854</t>
  </si>
  <si>
    <t>bba2e846</t>
  </si>
  <si>
    <t>Le presupuesté un proceso RPA para envio automatico de WhatsApp</t>
  </si>
  <si>
    <t>57ed4a7b</t>
  </si>
  <si>
    <t>Le envié un mensaje de Navidad y Me dijo que justo estaba pensando en mi propuesta y que a principios de Enero me llamaba para empezar.</t>
  </si>
  <si>
    <t>572b5f03</t>
  </si>
  <si>
    <t>En la primer consulta me respondió lo siguiente: "Hola Adrian buenos días! Lo vimos con mi esposo y estamos a la espera de una reactivación en el transcurso del verano para contratar tu servicio, Por ahora viene todo muy tranquilo"</t>
  </si>
  <si>
    <t>8ffaf2be</t>
  </si>
  <si>
    <t>Le escribí para ver de coordinar una reunión y bueno me tiró que lo tiene que hablar con el socio etc etc. Le voy a volver a escribir</t>
  </si>
  <si>
    <t>e79a9b54</t>
  </si>
  <si>
    <t>Necesitan una App que pueda estar en Play Store y en la tienda en Apple para que pueda ser descargada como una app normal con toda la bola. Aparentemente el problema no es cargar una app al play store, sino mas bien que el apk mande las notificaciones.</t>
  </si>
  <si>
    <t>86dea437</t>
  </si>
  <si>
    <t>Le pase un presupuesto de 4 hs porque no creo que tengan plata para afrontar mas. Me preguntó por el tema de asesoramiento mas tipo consultor</t>
  </si>
  <si>
    <t>4cfaad5a</t>
  </si>
  <si>
    <t>La empresa fabrica y comercializa al por Mayor. Norali es administrativa, hace todo el chiquitaje de la empresa y el hermano está en producción. Se pelean porque El hermano le dice "Que no hace nada". TODO EL INTEREZ ESTÁ PUESTO EN SOLUCIONAR LA RELACIÓN DE ELLOS DOS</t>
  </si>
  <si>
    <t>8bd38f57</t>
  </si>
  <si>
    <t>Me respondió a la primera consulta como que habia pasado todo a sus superiores estimo. Y que cuando tenga una respuesta me iba a estar contactando. Contestó medianamente rapido</t>
  </si>
  <si>
    <t>af94e2ca</t>
  </si>
  <si>
    <t>Le volví a escribir, le escribí el siguiente mensaje: Buenas tardes Lucas, espero que andes muy bien. Te escribo para comentarte que estoy por empezar a trabajar a mes vencido con los clientes que más me interesa trabajar. Cómo es tu caso.. Si  te parece y estás interesado en encarar un proyecto como por ejemplo el de la app que habíamos hablado. Podemos organizar una reunión. Muchas gracias! A lo que me respondió que mas cerca de marzo le escriba</t>
  </si>
  <si>
    <t>b0dfda6a</t>
  </si>
  <si>
    <t>Le escribí y me respondió: "Hola! Si, cualquier cosa te consulto...gracias!"</t>
  </si>
  <si>
    <t>5a254b1f</t>
  </si>
  <si>
    <t>Le escribí al distribuidor de Miel, y me dijo que le interesa. (Le habia puesto que vamos a trabajar a mes vencido). Me dijo que quieren hacer unos cambios en el sistema de facturación y que querían hacer alguna integración.) Que le vuelva a escribir cerca de Marzo.</t>
  </si>
  <si>
    <t>de6499ba</t>
  </si>
  <si>
    <t>Le volví a escribir a ver si quería avanzar con lo que es RPA. No la ví muy interesada. Me dijo que está con Meta Ads y que se está enfocando en eso por el momento</t>
  </si>
  <si>
    <t>7eb93e0b</t>
  </si>
  <si>
    <t>Le volví a mandar a ver que onda.</t>
  </si>
  <si>
    <t>5f0907c2</t>
  </si>
  <si>
    <t>Le mandé me dijo que hay varios directivos de vacaciones y que cuando tenga novedades me va a estar avisando.</t>
  </si>
  <si>
    <t>c8384d51</t>
  </si>
  <si>
    <t>El vago está todo bien pero no.</t>
  </si>
  <si>
    <t>6af2e9a5</t>
  </si>
  <si>
    <t>Le volví a escribir diciendole que le habia estado enviando unos pequeños e-mails que le podian resultar de interes.</t>
  </si>
  <si>
    <t>039ab51c</t>
  </si>
  <si>
    <t>Le volví a escribir y si bien me siguió la conversación fue medio evasivo, le deje el link de la reunión para que saque un turno para "Empezar" si lo saca bien y sino fue. Que se encargue el nurturing de mantener el contacto</t>
  </si>
  <si>
    <t>99a07f7f</t>
  </si>
  <si>
    <t>Tuvimos la reunión y la verdad es que Necesitaba algo mas destinado a ventas. No sabía muy bien que era lo que quería</t>
  </si>
  <si>
    <t>5e14c962</t>
  </si>
  <si>
    <t>Tuvimos una segunda reunión muy fructifera. El problema puede llegar a estar por el lado del presupuesto. El Jueves consultar a ver que onda.</t>
  </si>
  <si>
    <t>124ab70a</t>
  </si>
  <si>
    <t>Le escribí para ver que onda el presupuesto pero nunca respondió. La proxima probar con enviarle un audio</t>
  </si>
  <si>
    <t>29107015</t>
  </si>
  <si>
    <t>El día Miercoles 28/03 le escribí y me clavó el visto. Volver a escribirle y sino cerrar</t>
  </si>
  <si>
    <t>add815df</t>
  </si>
  <si>
    <t>Le escribí y me dijo que no iba a arrancar el Lunes 04/03 sino que dentro de 20 días. Porque estaba interesado, sobre todo en armar una app. El 25 le propuse de arrancar. Vovler a consultar a ver si arrancamos el 25.</t>
  </si>
  <si>
    <t>c0c07254</t>
  </si>
  <si>
    <t>Es un superMercado con 7 sucursales. Tienen plata para pagar</t>
  </si>
  <si>
    <t>a646fe06</t>
  </si>
  <si>
    <t>Le mandé un audio y me clavó el visto por segunda vez.</t>
  </si>
  <si>
    <t>55c6a8d9</t>
  </si>
  <si>
    <t>Le mandé un audio, no lo escuchó y me clavó el visto. Por segunda vez.</t>
  </si>
  <si>
    <t>f5eb9d5b</t>
  </si>
  <si>
    <t>Le pasé el precio, me dijo que hoy me responde. Si no me responde, mañana me comunico y le pregunto</t>
  </si>
  <si>
    <t>17eeb122</t>
  </si>
  <si>
    <t>Me cancelo antes de la reunión porque aparentemente ya habia cerrado con otra empresa</t>
  </si>
  <si>
    <t>0a96c974</t>
  </si>
  <si>
    <t>Le mandé un "Hola Carolina como estas?" Y me respondió rapido y aclarandome todo. Re bien. Volver a contactar</t>
  </si>
  <si>
    <t>e45bbbaa</t>
  </si>
  <si>
    <t>Me respondió casi una semana despues. Diciendo que durante este mes iban a analizar otras alternativas. Pero que le interesa la propuesta.  Volver a escribirle antes de que termine el mes. Y hacer una especie de ultimatum.</t>
  </si>
  <si>
    <t>7ef267ab</t>
  </si>
  <si>
    <t>Siguien enquilombados con una empresa que le está haciendo la pagina Web y un instagram. Me pidió que le de tiempo. Dentro de un mes volver a escribirle y darle un ultimatum. Si no va ya fue</t>
  </si>
  <si>
    <t>3157ef62</t>
  </si>
  <si>
    <t>Despues del audio le mande que era un irrespetuoso por su silencio, y luego si ahi me respondió. Despues de unos idas y vuelta por mensaje hoy me respondió que eligió otra Opción. A lo cual le agradecí y además le pregunté cuanto cobraba la otra opción a lo que me respondió que un sueldo de auxiliar de comercio ($600.000) y que ademas iba a ir 3 veces a la semana e iba a entrevistar a todo su personal y equipos de trabajo. Como que a esto ultimo de visita personal y la reunión con los equipos de trabajo fue decisorio.</t>
  </si>
  <si>
    <t>09a877c8</t>
  </si>
  <si>
    <t>Le mandé un audio y a 24 hs todavía no me respondió. La proxima si no me responde o llamarla o mandarle un ultimatum o que es una irrespetuosa a ver si asi arranca</t>
  </si>
  <si>
    <t>fa282414</t>
  </si>
  <si>
    <t>Aparentemente está Ganado. Le tengo que cerrar la propuesta y coordinar cuando arrancamos la semana que viene</t>
  </si>
  <si>
    <t>cb559000</t>
  </si>
  <si>
    <t>Le escribí al pelotudo este que me hizo cotizar y nunca mas me respondió.</t>
  </si>
  <si>
    <t>c4af22fa</t>
  </si>
  <si>
    <t>Le escribí me respondió que seguian con entrevistas que a principió de mes se iban a decidir. Por lo cual volver a escribirle a principio de mes y hacerle un ultimatum</t>
  </si>
  <si>
    <t>d17d6dec</t>
  </si>
  <si>
    <t>Le mandé otro mensaje y me ghosteo</t>
  </si>
  <si>
    <t>bf38536b</t>
  </si>
  <si>
    <t>Le escribí y me dijo: "Hola adrian. A nosotros bien. Se lo pasamos el miercoles. Yo llegue hace un rato de viaje. Y por lo que me dijo edu. No tuvo novedades. Te tengo al tanto.. gracias". 
Volver a escribir en aproximadamente 15 días.</t>
  </si>
  <si>
    <t>bfd67d44</t>
  </si>
  <si>
    <t>Le envié el siguiente ultimatum: "Buen día Nicolás, cómo estás? Te escribo para saber si han podido definir algo sobre la propuesta, ya que actualmente estoy recibiendo otras consultas al respecto y como el servicio que ofrezco es limitado, me gustaría asegurarme de poder reservar un espacio para ustedes si deciden avanzar con la propuesta."</t>
  </si>
  <si>
    <t>fc9adb39</t>
  </si>
  <si>
    <t>Le tiré un ultimatum y me dijo "La semana que viene puede ser". Me pudrió</t>
  </si>
  <si>
    <t>2381a59b</t>
  </si>
  <si>
    <t>Tienen temas que resolver mas que nada de ordenar información</t>
  </si>
  <si>
    <t>fe55008e</t>
  </si>
  <si>
    <t>Le escribi, y me dijo que lo habian charlado pero que aun no habian decidido nada.</t>
  </si>
  <si>
    <t>be700deb</t>
  </si>
  <si>
    <t>Le escribí y nunca me respondió</t>
  </si>
  <si>
    <t>abe39bee</t>
  </si>
  <si>
    <t>Le pregunté a pedro si pudieron ver la propuesta y me dijo que no porque tuvieron una semana complicada y que capas que esta semana iba a ser igual. Asi que le voy a escribir la semana que viene</t>
  </si>
  <si>
    <t>cb4838f1</t>
  </si>
  <si>
    <t>Ahora le escribí un e-mail la proxima es ultimatum</t>
  </si>
  <si>
    <t>243f6cf1</t>
  </si>
  <si>
    <t>Le mandé el 22/04 y nunca respondió</t>
  </si>
  <si>
    <t>e43268d6</t>
  </si>
  <si>
    <t>Le escribí el 22/04 me dijo que todavía no tuvo oportunidad de comentarlo con los dueños. Pero que cuando tenga novedades me iba a visar.</t>
  </si>
  <si>
    <t>efc357cb</t>
  </si>
  <si>
    <t>El día de hoy le mande que sino están interesados que por favor me lo diga asi le doy espacio a otros interesados.</t>
  </si>
  <si>
    <t>2687b99a</t>
  </si>
  <si>
    <t>Le mandé que estoy empezando a trabajar a mes vencido.</t>
  </si>
  <si>
    <t>7375ff26</t>
  </si>
  <si>
    <t>Hoy le escribí a Guillermo y me dijo que el martes estuvieron Reunidos. Y que me va a estar avisando en estos días.</t>
  </si>
  <si>
    <t>f02663cb</t>
  </si>
  <si>
    <t>Le mandé mensaje y me dijo que está interezado en todo lo que es la parte de estructuración. Y además lo de Power Bi.
Quedamos en que en un mes le escribía</t>
  </si>
  <si>
    <t>f3db0a61</t>
  </si>
  <si>
    <t>Me clavó el visto 2 veces.</t>
  </si>
  <si>
    <t>da59758a</t>
  </si>
  <si>
    <t>Le ofrecí que paguen a mes vencido y si no estaban a gusto con el servicio que no paguen nada</t>
  </si>
  <si>
    <t>9948439f</t>
  </si>
  <si>
    <t>Es una empresa chiquita, la persona que me contrató tiene la intención pero no es el dueño. Está Dificil. Insistir solo una vez</t>
  </si>
  <si>
    <t>ea880291</t>
  </si>
  <si>
    <t>Le mandé un audio ofreciendole pagar a mes vencido. El audio lo formule con chat GPT</t>
  </si>
  <si>
    <t>3605d5ff</t>
  </si>
  <si>
    <t>Si no responde se va a la mierda</t>
  </si>
  <si>
    <t>3cafee43</t>
  </si>
  <si>
    <t>No vale la pena hacer seguimiento</t>
  </si>
  <si>
    <t>d7b72e30</t>
  </si>
  <si>
    <t>Me va a enviar un diagrama de Flujo sobre que es lo que necesita. Hasta se mostró abierto a que le haga una mini consultoría de cotización</t>
  </si>
  <si>
    <t>a6be814b</t>
  </si>
  <si>
    <t>Me envió la descripción del proceso, le voy a hacer una presentación personalizada porque la verdad que está muy bueno el proyecto. Y es muy delegable</t>
  </si>
  <si>
    <t>cdb8d357</t>
  </si>
  <si>
    <t>Me dijo que está evaluando otras 2 opciones mas</t>
  </si>
  <si>
    <t>717ef93d</t>
  </si>
  <si>
    <t>Me dijo que todavía no cerraron nada, Si en 15 días no cierran hacerles un ultimatum.</t>
  </si>
  <si>
    <t>804cce19</t>
  </si>
  <si>
    <t>Es el amigo de corcho</t>
  </si>
  <si>
    <t>8944ac48</t>
  </si>
  <si>
    <t>Me dijo que no lo pudo leer, pero bueno ya descartó el servicio continuo y vamos por el diagnostico y el lay-ou</t>
  </si>
  <si>
    <t>f7356bf1</t>
  </si>
  <si>
    <t>Supuestamente el miercoles 7 lo hablaban. Volver a preguntar en unos días</t>
  </si>
  <si>
    <t>6eec1c5e</t>
  </si>
  <si>
    <t>Le mandé el "Ultimatum" si no agarra fue.</t>
  </si>
  <si>
    <t>5260ba66</t>
  </si>
  <si>
    <t>Le mandé mensaje y no me respondió</t>
  </si>
  <si>
    <t>2eb97a82</t>
  </si>
  <si>
    <t>Le ofrecí tanto el diagnostico como el plan de acción</t>
  </si>
  <si>
    <t>3bd65207</t>
  </si>
  <si>
    <t>Ni le insistí. No tiene sentido</t>
  </si>
  <si>
    <t>d45e6f97</t>
  </si>
  <si>
    <t>Hice una reunión y volví a pasar el anexo.</t>
  </si>
  <si>
    <t>afd6ddf5</t>
  </si>
  <si>
    <t>Me confirmaron, el lunes le hablo a guillermo para coordinar la primer reunión. Lo que me está faltando es que me confirmen que presupuesto van a querer</t>
  </si>
  <si>
    <t>297a5622</t>
  </si>
  <si>
    <t>Le envié el presupuesto. con todas las garantías. Preguntarle que le pareció solo una vez</t>
  </si>
  <si>
    <t>87154115</t>
  </si>
  <si>
    <t>Segunda parte de la App de refri, precio base 327 Uvas</t>
  </si>
  <si>
    <t>c99ed4a0</t>
  </si>
  <si>
    <t>Prospecto de mantenimiento de Activos De Natión Marketing</t>
  </si>
  <si>
    <t>c4fc0894</t>
  </si>
  <si>
    <t>Le escribí un muy buen mensaje: "Te consulto porque estamos cerrando con otros cliente y no quería que se queden afuera si les interesa avanzar. Si tienen dudas o necesitan ajustar algo del presupuesto, decime y lo vemos."</t>
  </si>
  <si>
    <t>4d021e2c</t>
  </si>
  <si>
    <t>Le escribí y no respondió</t>
  </si>
  <si>
    <t>5f4a031f</t>
  </si>
  <si>
    <t>Es un bobo. No muevo un pelo mas</t>
  </si>
  <si>
    <t>e81d3b80</t>
  </si>
  <si>
    <t>Yo le aplicaba 7% de descuento</t>
  </si>
  <si>
    <t>9903768b</t>
  </si>
  <si>
    <t>Le mandé mensaje, me dieron que lo vieron con la jefatura. Que es exactamente lo que estaban buscando. Pero que aun no tomaron una desición. Este viernes 28/02 lo vuelven a ver. Y en teoria toman una desición</t>
  </si>
  <si>
    <t>897540ce</t>
  </si>
  <si>
    <t>Martin me dijo que estaban interesados, y que vamos a hacer una reunión para seguir charlando. Pero que les gusta la idea. Tratar de que esa reunión se concrete</t>
  </si>
  <si>
    <t>7c692359</t>
  </si>
  <si>
    <t>Necesitan integrar los ERP de sus clientes que son distribuidores a sus tableros de control. Para ello les voy a armar un DataWarehouse desde donde puedan chupar los datos.</t>
  </si>
  <si>
    <t>7e471d43</t>
  </si>
  <si>
    <t>Le mande el presupuesto me dijo que en 10 días me responde</t>
  </si>
  <si>
    <t>feb9b726</t>
  </si>
  <si>
    <t>Ahora me dijo que dan muchas vueltas y que ya no les preguntó mas. Que en agarre lo que tenga. Porque yo le habia hecho medio como un ultimatum y me salió mal.</t>
  </si>
  <si>
    <t>d9185e1b</t>
  </si>
  <si>
    <t>Le mande un e-mail con la garantía y demas</t>
  </si>
  <si>
    <t>51ddd38a</t>
  </si>
  <si>
    <t>Jueves 27 Reunión con la que hace la parte de transformación</t>
  </si>
  <si>
    <t>22b12f7f</t>
  </si>
  <si>
    <t>Hola Leandro, cómo estás?
No quiero molestarte, pero antes de dar por cerrada la propuesta quería consultarte si tienen intención de avanzar.
Y si no es así, confirmame así no te hago más seguimiento.</t>
  </si>
  <si>
    <t>96edcb1f</t>
  </si>
  <si>
    <t>No creo que prospere</t>
  </si>
  <si>
    <t>55be6670</t>
  </si>
  <si>
    <t>Le habia enviado mal el email. No le habia llegado asi que hoy se lo reenvie denuevo</t>
  </si>
  <si>
    <t>fe707f01</t>
  </si>
  <si>
    <t>Me dijo que tenia que ir a brasil a averiguar por otro software. aca yo tendría que avanzar en ayudarle a que tenga las necesidades.</t>
  </si>
  <si>
    <t>cd25dc30</t>
  </si>
  <si>
    <t>Me dijo que es la primera interesada, y que no pudo hablar con el jefe. Asi que le pregunté en cuantos días querria que le recuerde con un mensajito la oportunidad.</t>
  </si>
  <si>
    <t>ce7225ec</t>
  </si>
  <si>
    <t>Le hice un 10% de descuento extra porque tiene potencial</t>
  </si>
  <si>
    <t>38d3e595</t>
  </si>
  <si>
    <t>Me dijo que lo siguen analizando porque estan un poco complicados con el flujo de caja</t>
  </si>
  <si>
    <t>5a15b8c4</t>
  </si>
  <si>
    <t>Me respondió dijo que Lo está pensando el directorio. Ofreserle tener reuniones con el directorio</t>
  </si>
  <si>
    <t>61ed7ede</t>
  </si>
  <si>
    <t>Le ofrecí hablar con sus jefes</t>
  </si>
  <si>
    <t>eb9d9cd2</t>
  </si>
  <si>
    <t>Gaston es Ingeniero industrial. Pinta para ser buen cliente de largo plazo</t>
  </si>
  <si>
    <t>3c48268c</t>
  </si>
  <si>
    <t>Creo que ya está muy frio. dar un ultimatum</t>
  </si>
  <si>
    <t>79391f3e</t>
  </si>
  <si>
    <t>Los pajeros estos quedaron en nada.</t>
  </si>
  <si>
    <t>2b233b7e</t>
  </si>
  <si>
    <t>Si para el 19/05 aun no regularizó su deuda darlo de baja e informarle a riesgo de que que no pague mas. Por otro lado la semana del 21 le quise dar de baja y quedamos en hacerle 16 hs. No tengo fe que las pueda pagar.</t>
  </si>
  <si>
    <t>b2431c67</t>
  </si>
  <si>
    <t>Se rearma el presupuesto</t>
  </si>
  <si>
    <t>21041406</t>
  </si>
  <si>
    <t>Le alargué unos 3 meses de mantenimiento porque actualmente estan con otro servicio activo</t>
  </si>
  <si>
    <t>ba9879f8</t>
  </si>
  <si>
    <t>Tuve una segunda reunión, y le reenvie el presupuesto actualizado</t>
  </si>
  <si>
    <t>f849cc5d</t>
  </si>
  <si>
    <t>Ganado, van a arrancar el 17 de Junio</t>
  </si>
  <si>
    <t>806c9280</t>
  </si>
  <si>
    <t>Inician los primeros días de Julio</t>
  </si>
  <si>
    <t>dfa5a0e2</t>
  </si>
  <si>
    <t>El día 09/06/2025 di de baja ATC le dije que tienen unas 80 hs de desarrollo a su favor</t>
  </si>
  <si>
    <t>a68213c9</t>
  </si>
  <si>
    <t>Se da de baja por que se borró no contestó mas nada</t>
  </si>
  <si>
    <t>149e1d2a</t>
  </si>
  <si>
    <t>Ya le dí el ultimatum al boludo de Diego</t>
  </si>
  <si>
    <t>42a0d509</t>
  </si>
  <si>
    <t>Por 3 meses a 0 pesos</t>
  </si>
  <si>
    <t>4bd0a969</t>
  </si>
  <si>
    <t>Me dijo que iba a apurar la cosa a ver si podemos avanzar</t>
  </si>
  <si>
    <t>0eb8dd87</t>
  </si>
  <si>
    <t>Tratar de enviarle algo que no parezca presión</t>
  </si>
  <si>
    <t>0575e0d9</t>
  </si>
  <si>
    <t>Proponerle reevaluar alternativas</t>
  </si>
  <si>
    <t>7f07f83a</t>
  </si>
  <si>
    <t>Me va a mandar los detalles de lo que necesita para que le coticemos mejor</t>
  </si>
  <si>
    <t>c3e27b6e</t>
  </si>
  <si>
    <t>Me dijo que el hijo le tenia que pasar algo. Vovler a consultar</t>
  </si>
  <si>
    <t>0993a774</t>
  </si>
  <si>
    <t>Me dijo que el viernes confirma por si o por no</t>
  </si>
  <si>
    <t>b64a8d54</t>
  </si>
  <si>
    <t>Arrancamos el 01/09</t>
  </si>
  <si>
    <t>ec71ca9d</t>
  </si>
  <si>
    <t>Aca la idea era que ellos Empiecen a ofrecer mis servicios. Mandarles la Web</t>
  </si>
  <si>
    <t>cb7e7b2a</t>
  </si>
  <si>
    <t>ya me dijo que no</t>
  </si>
  <si>
    <t>7ed83b50</t>
  </si>
  <si>
    <t>La ultima vez me clavó el visto. Ver a ver si le puedo mandar algo de manera mas desinterezada</t>
  </si>
  <si>
    <t>9ca78f0a</t>
  </si>
  <si>
    <t>Le mande un videito, el de las facturas</t>
  </si>
  <si>
    <t>a7bdd463</t>
  </si>
  <si>
    <t>ya le mande no le doy mas seguimiento a este salame</t>
  </si>
  <si>
    <t>352d331c</t>
  </si>
  <si>
    <t>Le envie un video</t>
  </si>
  <si>
    <t>34bd68b4</t>
  </si>
  <si>
    <t>Le envié un nuevo presupuesto</t>
  </si>
  <si>
    <t>6acdba39</t>
  </si>
  <si>
    <t>Me dijo que le escriba en enero porque estaban con el ERP nuevo. Y que le querían meter a eso.</t>
  </si>
  <si>
    <t>b029b159</t>
  </si>
  <si>
    <t>Me dijo que en las proximas dos semanas definen</t>
  </si>
  <si>
    <t>2d52ca7c</t>
  </si>
  <si>
    <t>Me escribió el 21/09 para reflotar lo que ya habiamos hablado. volver a escribir</t>
  </si>
  <si>
    <t>a55de76d</t>
  </si>
  <si>
    <t>Me volvió a pedir presupuesto, no lo acepto</t>
  </si>
  <si>
    <t>f091ab80</t>
  </si>
  <si>
    <t>el 25-09 le mande mensaje no respondió</t>
  </si>
  <si>
    <t>ddd578c3</t>
  </si>
  <si>
    <t>Ya le mande el presupuesto. Vamos a ver.</t>
  </si>
  <si>
    <t>a1081a4e</t>
  </si>
  <si>
    <t>Preguntarle a ver si quiere que coordinemos una segunda reunión para definir mejor la solución</t>
  </si>
  <si>
    <t>4fd69eb6</t>
  </si>
  <si>
    <t>Le mande un Audio recordandole que el quería arrancar en noviembre. Y que ahora estamos con tiempo por lo cual estamos ofreciendo beneficios importantes</t>
  </si>
  <si>
    <t>f7702842</t>
  </si>
  <si>
    <t>Le mande un audio preguntandole como resolvieron el tema y que si los podía ayudar en algo bienvenido sea</t>
  </si>
  <si>
    <t>333a1b34</t>
  </si>
  <si>
    <t>Te escribo, para saber si habias podido revisar la propuesta y porque me quedé pensando en nuestra charla. Me llamó la atención que si bien sus problematicas actuales son las que solemos resolver, aún no tomaron una desición... Por lo cual asumo que no transmití bien el valor de la propuesta. Por eso te invito a expresar cuales son tus inquietudes? o bien si consideras que no es el momento te sientas en la libertad realizar las sugerencias que consideres. Siempre son bienvenidas</t>
  </si>
  <si>
    <t>5efdc65e</t>
  </si>
  <si>
    <t>Hola Carlos, cómo andás?
Disculpá que te joda, el otro día te envié a raiz de nuestra ultima charla. 
De igual modo, te comento que si todavía estás interesado, durante esta semana tenemos una promoción imperdible
Te interesa que te cuente un poco más?</t>
  </si>
  <si>
    <t>bbb47f58</t>
  </si>
  <si>
    <t>Buenas tardes Mariela como estas? te escribo por que capas no pudiste ver mi ultimo mensaje. 👆🏻
Le mande esto porque no me habia respondido</t>
  </si>
  <si>
    <t>b7d4fd32</t>
  </si>
  <si>
    <t>Le mandé 3 mensajes y nunca Respondió</t>
  </si>
  <si>
    <t>8c1c8e11</t>
  </si>
  <si>
    <t>Les escribí a los dos  a ver si alguno me responde</t>
  </si>
  <si>
    <t>789c7e44</t>
  </si>
  <si>
    <t>Le escribí, a ver que le pareció el presupuesto</t>
  </si>
  <si>
    <t>08fbbae7</t>
  </si>
  <si>
    <t>Le instalé Chatwoot para que lo pruebe por un mes</t>
  </si>
  <si>
    <t>d85113b5</t>
  </si>
  <si>
    <t>Preguntarles como vienen con su proyecto. Esta el detalle en el presupuesto. Basicamente lo que necesitan es que las transferencias que se reciben puedan ser automaticamente procesadas. Preguntarles si siguen con el mismo problema</t>
  </si>
  <si>
    <t>6d689053</t>
  </si>
  <si>
    <t>Ellos en Febrero es que presentan los proyectos para el 2026. Empezar a Romper las bolas</t>
  </si>
  <si>
    <t>330fe671</t>
  </si>
  <si>
    <t>Este es un descremado, hasta te diria que solo un curioso</t>
  </si>
  <si>
    <t>4f1581a6</t>
  </si>
  <si>
    <t>Le voy mandando 2 mensajes. a uno no me lo respondió. Que el proximo sea de integraciones</t>
  </si>
  <si>
    <t>83483b7b</t>
  </si>
  <si>
    <t>Buenas tardes Lucas como andas? espero que hayas tenido un excelente día. Paso a comentarte que estamos cerrando la incorporación de nuevos proyectos para febrero. Ustedes estan como para avanzar? Aguardo tu respuesta. Gracias!</t>
  </si>
  <si>
    <t>61090517</t>
  </si>
  <si>
    <t>Retomar el 15 de enero. Ver como quedé con el tema de las horas</t>
  </si>
  <si>
    <t>055d9283</t>
  </si>
  <si>
    <t>Retomar el 15 de enero. Ver que hay horas sin cobrar</t>
  </si>
  <si>
    <t>8ed39237</t>
  </si>
  <si>
    <t>Arrancan el 19 de Enero</t>
  </si>
  <si>
    <t>87aaadd2</t>
  </si>
  <si>
    <t>Subdivición de ISAA</t>
  </si>
  <si>
    <t>ff12b890</t>
  </si>
  <si>
    <t>110 USD/mes</t>
  </si>
  <si>
    <t>ID_contacto</t>
  </si>
  <si>
    <t xml:space="preserve">Nombre </t>
  </si>
  <si>
    <t>E-mail</t>
  </si>
  <si>
    <t>Area</t>
  </si>
  <si>
    <t>Ezequiel</t>
  </si>
  <si>
    <t>Cardozo</t>
  </si>
  <si>
    <t>ezequiel.cardoso@amipack.com</t>
  </si>
  <si>
    <t>Gerente General</t>
  </si>
  <si>
    <t>Administración</t>
  </si>
  <si>
    <t>Cristian</t>
  </si>
  <si>
    <t>Saucedo</t>
  </si>
  <si>
    <t>cristian.saucedo@amipack.com</t>
  </si>
  <si>
    <t>Gerente de área</t>
  </si>
  <si>
    <t>Producción</t>
  </si>
  <si>
    <t>Martin</t>
  </si>
  <si>
    <t>Butto</t>
  </si>
  <si>
    <t>bmartin@elnortemail.com.ar</t>
  </si>
  <si>
    <t>Ignacio</t>
  </si>
  <si>
    <t>Giagnoni</t>
  </si>
  <si>
    <t>igiagnoni30@gmail.com</t>
  </si>
  <si>
    <t>Pedro</t>
  </si>
  <si>
    <t>Ramirez</t>
  </si>
  <si>
    <t>dgdistribuciones.adm@gmail.com</t>
  </si>
  <si>
    <t>Encargado de sector</t>
  </si>
  <si>
    <t>3a03f513</t>
  </si>
  <si>
    <t>Ramiro</t>
  </si>
  <si>
    <t>1a5c2472</t>
  </si>
  <si>
    <t>Rodrigo</t>
  </si>
  <si>
    <t>Gonzalo</t>
  </si>
  <si>
    <t>Moleon</t>
  </si>
  <si>
    <t>gmoleon@insuga.com.ar</t>
  </si>
  <si>
    <t>2478442797</t>
  </si>
  <si>
    <t>Yani</t>
  </si>
  <si>
    <t>administracion@rrescapes.com.ar</t>
  </si>
  <si>
    <t>Ivan</t>
  </si>
  <si>
    <t>Inzunza Osses</t>
  </si>
  <si>
    <t>rinzu001@ingenieriainzunza.com</t>
  </si>
  <si>
    <t>Oscar</t>
  </si>
  <si>
    <t>Mario</t>
  </si>
  <si>
    <t>Somma</t>
  </si>
  <si>
    <t>neacolorpinturas@gmail.com</t>
  </si>
  <si>
    <t>Juan Jose</t>
  </si>
  <si>
    <t>Puppo</t>
  </si>
  <si>
    <t>899356963</t>
  </si>
  <si>
    <t>contacto@puppoarquitectos.com</t>
  </si>
  <si>
    <t>Javier</t>
  </si>
  <si>
    <t>Teixido</t>
  </si>
  <si>
    <t>autorepuestosteixido@gmail.com</t>
  </si>
  <si>
    <t>Pablo</t>
  </si>
  <si>
    <t>Incola</t>
  </si>
  <si>
    <t>pabloincola@gmail.com</t>
  </si>
  <si>
    <t>Estefania</t>
  </si>
  <si>
    <t>Caula</t>
  </si>
  <si>
    <t>‎estefania.caula@amipack.com</t>
  </si>
  <si>
    <t>Nahuel</t>
  </si>
  <si>
    <t>nahuelmiconi@gmail.com</t>
  </si>
  <si>
    <t>Lucas Gabriel</t>
  </si>
  <si>
    <t>Bracco</t>
  </si>
  <si>
    <t>lucasgbracco@api-rio.com.ar</t>
  </si>
  <si>
    <t>Leandro</t>
  </si>
  <si>
    <t>Tossoni</t>
  </si>
  <si>
    <t>novaconsultingindustria@gmail.com</t>
  </si>
  <si>
    <t>Laura</t>
  </si>
  <si>
    <t>Debarbora</t>
  </si>
  <si>
    <t>laura@blancohogarsrl.com.ar</t>
  </si>
  <si>
    <t>gonzalo.ramirez@nation.com.ar</t>
  </si>
  <si>
    <t>40679d6f</t>
  </si>
  <si>
    <t>Carolina</t>
  </si>
  <si>
    <t>Faveiro</t>
  </si>
  <si>
    <t>cfaverio4@gmail.com</t>
  </si>
  <si>
    <t>Gustavo</t>
  </si>
  <si>
    <t>Seguro</t>
  </si>
  <si>
    <t>gustavo.seguro@amipack.com</t>
  </si>
  <si>
    <t>marketing@nation.com.ar</t>
  </si>
  <si>
    <t>Franco</t>
  </si>
  <si>
    <t>Rios</t>
  </si>
  <si>
    <t>franco.rios@neumen.ar</t>
  </si>
  <si>
    <t>Bielewich</t>
  </si>
  <si>
    <t>refrigeracionintegrall@gmail.com</t>
  </si>
  <si>
    <t>Norali</t>
  </si>
  <si>
    <t>norali@couce.com.ar</t>
  </si>
  <si>
    <t>Karen</t>
  </si>
  <si>
    <t>Schmidt</t>
  </si>
  <si>
    <t>karenschmidt732@gmail.com</t>
  </si>
  <si>
    <t>Flavio</t>
  </si>
  <si>
    <t>Caputo</t>
  </si>
  <si>
    <t>info@maricre.com.ar</t>
  </si>
  <si>
    <t>Nicolas</t>
  </si>
  <si>
    <t>nico@rojasglutenfree.com</t>
  </si>
  <si>
    <t>Romero</t>
  </si>
  <si>
    <t>carorz85@hotmail.com</t>
  </si>
  <si>
    <t>German</t>
  </si>
  <si>
    <t>lem</t>
  </si>
  <si>
    <t>germanjlem@gmail.com</t>
  </si>
  <si>
    <t>Nino</t>
  </si>
  <si>
    <t>Ruffilli</t>
  </si>
  <si>
    <t>nino@delico.com.ar</t>
  </si>
  <si>
    <t>Mando Medio</t>
  </si>
  <si>
    <t>Silvana</t>
  </si>
  <si>
    <t>didone</t>
  </si>
  <si>
    <t>sdidone@elnortemail.com.ar</t>
  </si>
  <si>
    <t>Administrativo</t>
  </si>
  <si>
    <t>Fabrizio</t>
  </si>
  <si>
    <t>Farias</t>
  </si>
  <si>
    <t>fabriziofarina91@gmail.com</t>
  </si>
  <si>
    <t>Gerencia General</t>
  </si>
  <si>
    <t>guisorarui@gmail.com</t>
  </si>
  <si>
    <t>14efd9b8</t>
  </si>
  <si>
    <t>Decoberti</t>
  </si>
  <si>
    <t>om.decoberti@canalsenses.com</t>
  </si>
  <si>
    <t>Dario</t>
  </si>
  <si>
    <t>Toledo</t>
  </si>
  <si>
    <t>laboratorio.cotar@gmail.com</t>
  </si>
  <si>
    <t>Emilce</t>
  </si>
  <si>
    <t>Aguirre</t>
  </si>
  <si>
    <t>emilce.aguirre@verisure.com.ar</t>
  </si>
  <si>
    <t>RRHH</t>
  </si>
  <si>
    <t>Valentin</t>
  </si>
  <si>
    <t>Veterini</t>
  </si>
  <si>
    <t>valentin@grupolive.com.ar</t>
  </si>
  <si>
    <t>23e2b81d</t>
  </si>
  <si>
    <t>Bolciti</t>
  </si>
  <si>
    <t>guillermopizzuto@yahoo.com.ar</t>
  </si>
  <si>
    <t>1b8cbbf3</t>
  </si>
  <si>
    <t>Fernando</t>
  </si>
  <si>
    <t>info@bassegrafargentina.com.ar</t>
  </si>
  <si>
    <t>83e9205b</t>
  </si>
  <si>
    <t>Duek</t>
  </si>
  <si>
    <t>elihotextil@gmail.com</t>
  </si>
  <si>
    <t>Juan</t>
  </si>
  <si>
    <t>Carlos Venencia</t>
  </si>
  <si>
    <t>juancarlos.venencia@nation.com.ar</t>
  </si>
  <si>
    <t>Alan</t>
  </si>
  <si>
    <t>Quero</t>
  </si>
  <si>
    <t>ventas@metalurgicahq.com.ar</t>
  </si>
  <si>
    <t>David</t>
  </si>
  <si>
    <t>pablo@iodistribuidora.com</t>
  </si>
  <si>
    <t>Gianluca</t>
  </si>
  <si>
    <t>gianlucafiore@fiore.ar</t>
  </si>
  <si>
    <t>Diego</t>
  </si>
  <si>
    <t>Novello</t>
  </si>
  <si>
    <t>infogrupoaisa@gmail.com</t>
  </si>
  <si>
    <t>Giauque</t>
  </si>
  <si>
    <t>pablogiauque@hotmail.com</t>
  </si>
  <si>
    <t>info@ruedasrar.com</t>
  </si>
  <si>
    <t>Agustina</t>
  </si>
  <si>
    <t>Pando</t>
  </si>
  <si>
    <t>arqagustinapando@gmail.com</t>
  </si>
  <si>
    <t>Valeria</t>
  </si>
  <si>
    <t>asistenciavirtual.vale@gmail.com</t>
  </si>
  <si>
    <t>Daniela</t>
  </si>
  <si>
    <t>Oliviero</t>
  </si>
  <si>
    <t>dapoliviero@gmail.com</t>
  </si>
  <si>
    <t>0c32dfcc</t>
  </si>
  <si>
    <t>Carlotta</t>
  </si>
  <si>
    <t>gcarlotta@elnortemail.com.ar</t>
  </si>
  <si>
    <t>Compras</t>
  </si>
  <si>
    <t>084fcde9</t>
  </si>
  <si>
    <t>Ariel</t>
  </si>
  <si>
    <t>Bravo</t>
  </si>
  <si>
    <t>panol_sfe@elnortemail.com.ar</t>
  </si>
  <si>
    <t>Daiana</t>
  </si>
  <si>
    <t>Fernandez</t>
  </si>
  <si>
    <t>daianafernandez.lic@gmail.com</t>
  </si>
  <si>
    <t>Emanuel</t>
  </si>
  <si>
    <t>Bourdaroux</t>
  </si>
  <si>
    <t>auxiliar.mantenimiento@amipack.com</t>
  </si>
  <si>
    <t>Gino</t>
  </si>
  <si>
    <t>Zinni</t>
  </si>
  <si>
    <t>jcgzinni@gmail.com</t>
  </si>
  <si>
    <t>Hector</t>
  </si>
  <si>
    <t>Cañadas</t>
  </si>
  <si>
    <t>hector.canadas@gmail.com</t>
  </si>
  <si>
    <t>Delfina</t>
  </si>
  <si>
    <t>Fanetti</t>
  </si>
  <si>
    <t>delfina.fanetti@amipack.com</t>
  </si>
  <si>
    <t>Calidad</t>
  </si>
  <si>
    <t>725407cf</t>
  </si>
  <si>
    <t>Giuliano</t>
  </si>
  <si>
    <t>tuliincola@gmail.com</t>
  </si>
  <si>
    <t>Facturación Insuga</t>
  </si>
  <si>
    <t>facturacion@insuga.com.ar</t>
  </si>
  <si>
    <t>Cavaliere</t>
  </si>
  <si>
    <t>administracion@vasquezsrl.com.ar</t>
  </si>
  <si>
    <t>notiene@hotmail.com</t>
  </si>
  <si>
    <t>Consultor</t>
  </si>
  <si>
    <t>Facundo</t>
  </si>
  <si>
    <t>alvarez</t>
  </si>
  <si>
    <t>falvarez@puratos.com</t>
  </si>
  <si>
    <t>Área IT</t>
  </si>
  <si>
    <t>pedrolucasramirez@gmail.com</t>
  </si>
  <si>
    <t>Biss</t>
  </si>
  <si>
    <t>privadabiss2023@gmail.com</t>
  </si>
  <si>
    <t>Intendente</t>
  </si>
  <si>
    <t>Yanina</t>
  </si>
  <si>
    <t>yanina@bernardis.com.ar</t>
  </si>
  <si>
    <t>Andrea</t>
  </si>
  <si>
    <t>López</t>
  </si>
  <si>
    <t>info@ontheroadviajes.com</t>
  </si>
  <si>
    <t>+59895573516</t>
  </si>
  <si>
    <t>felipe.nossar@nossar.com</t>
  </si>
  <si>
    <t>Arzu</t>
  </si>
  <si>
    <t>narzu@riosma.com</t>
  </si>
  <si>
    <t>Gastón</t>
  </si>
  <si>
    <t>PiedraBuena</t>
  </si>
  <si>
    <t>glpiedrabuena@gmail.com</t>
  </si>
  <si>
    <t>Rodriguez</t>
  </si>
  <si>
    <t>german.rodriguez@nation.com.ar</t>
  </si>
  <si>
    <t>PostVenta</t>
  </si>
  <si>
    <t>88b617b3</t>
  </si>
  <si>
    <t>Vallejos</t>
  </si>
  <si>
    <t>diegovallejo@insuga.com.ar</t>
  </si>
  <si>
    <t>Korniczuk</t>
  </si>
  <si>
    <t>autopartessolsrl@gmail.com</t>
  </si>
  <si>
    <t>Nelson</t>
  </si>
  <si>
    <t>lampert</t>
  </si>
  <si>
    <t>nelsonlampert@yahoo.com.ar</t>
  </si>
  <si>
    <t>Noelia</t>
  </si>
  <si>
    <t>Tori</t>
  </si>
  <si>
    <t>info@conexionmarket.com.ar</t>
  </si>
  <si>
    <t>Omar</t>
  </si>
  <si>
    <t>omar.ortega@terralogistica.cl</t>
  </si>
  <si>
    <t>Vallejo</t>
  </si>
  <si>
    <t>Mascheroni</t>
  </si>
  <si>
    <t>pmascheroni@escobarstafe.com.ar</t>
  </si>
  <si>
    <t>Perez Calbo</t>
  </si>
  <si>
    <t>sperezcalbo@novis.com.ar</t>
  </si>
  <si>
    <t>Administración y Pagos</t>
  </si>
  <si>
    <t>Adm</t>
  </si>
  <si>
    <t>distribuidoratoriad@hotmail.com</t>
  </si>
  <si>
    <t>Alejandro</t>
  </si>
  <si>
    <t>Luciani</t>
  </si>
  <si>
    <t>alejandroluciani@homseguros.com.ar</t>
  </si>
  <si>
    <t>Enrico</t>
  </si>
  <si>
    <t>enrico.lamotofeca@gmail.com</t>
  </si>
  <si>
    <t>Sanchís</t>
  </si>
  <si>
    <t>gsanchis@escobarautomotores.com.ar</t>
  </si>
  <si>
    <t>Postventa</t>
  </si>
  <si>
    <t>Maccabe</t>
  </si>
  <si>
    <t>luissantiagomaccabe@gmail.com</t>
  </si>
  <si>
    <t>fulanosrosario@gmail.com</t>
  </si>
  <si>
    <t>Cesar</t>
  </si>
  <si>
    <t>cesaralsamuel@gmail.com</t>
  </si>
  <si>
    <t>Sagardoy</t>
  </si>
  <si>
    <t>beamargrup@gmail.com</t>
  </si>
  <si>
    <t>Donoso</t>
  </si>
  <si>
    <t>adonoso@gamaitaly.com</t>
  </si>
  <si>
    <t>Procesos</t>
  </si>
  <si>
    <t>Guillermina</t>
  </si>
  <si>
    <t>Nicola</t>
  </si>
  <si>
    <t>guillenicola14@gmail.com</t>
  </si>
  <si>
    <t>Florencia</t>
  </si>
  <si>
    <t>Florencia Oliva</t>
  </si>
  <si>
    <t>foliva@bavosi.com</t>
  </si>
  <si>
    <t>COSTA</t>
  </si>
  <si>
    <t>acosta@nutriar.com</t>
  </si>
  <si>
    <t>Sergio</t>
  </si>
  <si>
    <t>Sanchez</t>
  </si>
  <si>
    <t>isaa.argentina@gmail.com</t>
  </si>
  <si>
    <t>Mariela</t>
  </si>
  <si>
    <t>dorsi</t>
  </si>
  <si>
    <t>micaela.paglia@ingredients-solutions.com</t>
  </si>
  <si>
    <t>Carlos</t>
  </si>
  <si>
    <t>11 4410-9492</t>
  </si>
  <si>
    <t>ctli36@gmail.com</t>
  </si>
  <si>
    <t>Marcelo</t>
  </si>
  <si>
    <t>Bon</t>
  </si>
  <si>
    <t>marcelo@atodocolor.com.ar</t>
  </si>
  <si>
    <t>Szpektor</t>
  </si>
  <si>
    <t>alejandro@openpack.com.ar</t>
  </si>
  <si>
    <t>Mandolesi</t>
  </si>
  <si>
    <t>ventas@grupobmh.com.ar</t>
  </si>
  <si>
    <t>Martina</t>
  </si>
  <si>
    <t>martina@vigorita.com.ar</t>
  </si>
  <si>
    <t>Jhon</t>
  </si>
  <si>
    <t>Alejandro Martinez</t>
  </si>
  <si>
    <t>gerencia@cooquitrans.com</t>
  </si>
  <si>
    <t>Lucas</t>
  </si>
  <si>
    <t>Bussolotti</t>
  </si>
  <si>
    <t>soporte@entrenuts.com.ar</t>
  </si>
  <si>
    <t>11 5579-0100</t>
  </si>
  <si>
    <t>leandromisonik@gmail.com</t>
  </si>
  <si>
    <t>Claudia</t>
  </si>
  <si>
    <t>Merlo</t>
  </si>
  <si>
    <t>cmerlo@otamendiycia.com</t>
  </si>
  <si>
    <t>Maximiliano</t>
  </si>
  <si>
    <t>info@tenisclubargentino.com</t>
  </si>
  <si>
    <t>Duran</t>
  </si>
  <si>
    <t>auditoriamarcelo@hotmail.com</t>
  </si>
  <si>
    <t>Trabadelo</t>
  </si>
  <si>
    <t>gustavo.t@openpack.com.ar</t>
  </si>
  <si>
    <t>Campioni</t>
  </si>
  <si>
    <t>pabloc@ciati.com.ar</t>
  </si>
  <si>
    <t>Sistemas</t>
  </si>
  <si>
    <t>c684ac0c</t>
  </si>
  <si>
    <t>Federico</t>
  </si>
  <si>
    <t>oehm</t>
  </si>
  <si>
    <t>federico.oehm@insuga.com.ar</t>
  </si>
  <si>
    <t>Ariana</t>
  </si>
  <si>
    <t>Curima</t>
  </si>
  <si>
    <t>ariana.curima@amipack.com</t>
  </si>
  <si>
    <t>Echarte</t>
  </si>
  <si>
    <t>g.echarte@estudioecharte-abogados.com</t>
  </si>
  <si>
    <t>Numero</t>
  </si>
  <si>
    <t>Responde</t>
  </si>
  <si>
    <t>Mio</t>
  </si>
  <si>
    <t>Bot</t>
  </si>
  <si>
    <t>Humano</t>
  </si>
  <si>
    <t>Curioso</t>
  </si>
  <si>
    <t>Maria José</t>
  </si>
  <si>
    <t>Lencina</t>
  </si>
  <si>
    <t>almacendeidiomas1@gmail.com</t>
  </si>
  <si>
    <t>Papá</t>
  </si>
  <si>
    <t>omegasonido@gmail.com</t>
  </si>
  <si>
    <t>Adriancho</t>
  </si>
  <si>
    <t>Eduardo</t>
  </si>
  <si>
    <t>Corazza</t>
  </si>
  <si>
    <t>Educorazza@hotmail.com</t>
  </si>
  <si>
    <t>Luciano</t>
  </si>
  <si>
    <t>luciano@atodocolor.com.ar</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</si>
</sst>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d/m/yyyy"/>
    <numFmt numFmtId="166" formatCode="dd/mm/yyyy h:mm:ss"/>
    <numFmt numFmtId="167" formatCode="dddd d&quot; de &quot;mmmm"/>
    <numFmt numFmtId="168" formatCode="d/m/yyyy h:mm:ss"/>
    <numFmt numFmtId="169" formatCode="m/d/yyyy h:mm:ss"/>
    <numFmt numFmtId="170" formatCode="0.000"/>
    <numFmt numFmtId="171" formatCode="dd/mm/yyyy h:mm"/>
    <numFmt numFmtId="172" formatCode="d/m/yyyy h:mm"/>
    <numFmt numFmtId="173" formatCode="yyyy-m"/>
  </numFmts>
  <fonts count="18">
    <font>
      <sz val="10.0"/>
      <color rgb="FF000000"/>
      <name val="Arial"/>
      <scheme val="minor"/>
    </font>
    <font>
      <b/>
      <color theme="1"/>
      <name val="Arial"/>
      <scheme val="minor"/>
    </font>
    <font>
      <color theme="1"/>
      <name val="Arial"/>
      <scheme val="minor"/>
    </font>
    <font>
      <u/>
      <color rgb="FF0000FF"/>
    </font>
    <font>
      <color rgb="FF000000"/>
      <name val="Arial"/>
      <scheme val="minor"/>
    </font>
    <font>
      <color theme="1"/>
      <name val="Arial"/>
    </font>
    <font>
      <i/>
      <sz val="11.0"/>
      <color rgb="FF3C4043"/>
      <name val="Roboto"/>
    </font>
    <font>
      <sz val="11.0"/>
      <color theme="1"/>
      <name val="Arial"/>
    </font>
    <font>
      <sz val="9.0"/>
      <color rgb="FF1F1F1F"/>
      <name val="&quot;Google Sans&quot;"/>
    </font>
    <font>
      <u/>
      <color rgb="FF0000FF"/>
    </font>
    <font>
      <color rgb="FF000000"/>
      <name val="Arial"/>
    </font>
    <font>
      <i/>
      <color theme="1"/>
      <name val="Arial"/>
      <scheme val="minor"/>
    </font>
    <font>
      <b/>
      <sz val="12.0"/>
      <color theme="1"/>
      <name val="Arial"/>
      <scheme val="minor"/>
    </font>
    <font>
      <sz val="11.0"/>
      <color rgb="FF000000"/>
      <name val="&quot;Aptos Narrow&quot;"/>
    </font>
    <font>
      <sz val="11.0"/>
      <color rgb="FF000000"/>
      <name val="Arial"/>
    </font>
    <font>
      <sz val="9.0"/>
      <color rgb="FF1F1F1F"/>
      <name val="Arial"/>
      <scheme val="minor"/>
    </font>
    <font>
      <u/>
      <color rgb="FF0000FF"/>
    </font>
    <font>
      <b/>
      <sz val="8.0"/>
      <color rgb="FF4C4C4C"/>
      <name val="&quot;Segoe UI&quot;"/>
    </font>
  </fonts>
  <fills count="8">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FFFF00"/>
        <bgColor rgb="FFFFFF00"/>
      </patternFill>
    </fill>
    <fill>
      <patternFill patternType="solid">
        <fgColor rgb="FF00FF00"/>
        <bgColor rgb="FF00FF00"/>
      </patternFill>
    </fill>
    <fill>
      <patternFill patternType="solid">
        <fgColor rgb="FFFCE5CD"/>
        <bgColor rgb="FFFCE5CD"/>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quotePrefix="1" borderId="0" fillId="0" fontId="2" numFmtId="0" xfId="0" applyAlignment="1" applyFont="1">
      <alignment readingOrder="0"/>
    </xf>
    <xf borderId="0" fillId="0" fontId="2" numFmtId="0" xfId="0" applyAlignment="1" applyFont="1">
      <alignment horizontal="center" readingOrder="0"/>
    </xf>
    <xf borderId="0" fillId="0" fontId="4" numFmtId="0" xfId="0" applyAlignment="1" applyFont="1">
      <alignment readingOrder="0"/>
    </xf>
    <xf borderId="0" fillId="0" fontId="2" numFmtId="0" xfId="0" applyAlignment="1" applyFont="1">
      <alignment readingOrder="0"/>
    </xf>
    <xf borderId="0" fillId="0" fontId="5" numFmtId="0" xfId="0" applyAlignment="1" applyFont="1">
      <alignment horizontal="center" readingOrder="0" vertical="bottom"/>
    </xf>
    <xf borderId="0" fillId="0" fontId="1" numFmtId="0" xfId="0" applyAlignment="1" applyFont="1">
      <alignment horizontal="center" readingOrder="0"/>
    </xf>
    <xf borderId="0" fillId="2" fontId="6" numFmtId="0" xfId="0" applyAlignment="1" applyFill="1" applyFont="1">
      <alignment readingOrder="0"/>
    </xf>
    <xf borderId="1" fillId="3" fontId="7" numFmtId="0" xfId="0" applyAlignment="1" applyBorder="1" applyFill="1" applyFont="1">
      <alignment vertical="bottom"/>
    </xf>
    <xf borderId="0" fillId="0" fontId="2" numFmtId="0" xfId="0" applyAlignment="1" applyFont="1">
      <alignment readingOrder="0"/>
    </xf>
    <xf borderId="0" fillId="0" fontId="1" numFmtId="0" xfId="0" applyAlignment="1" applyFont="1">
      <alignment horizontal="center"/>
    </xf>
    <xf borderId="0" fillId="0" fontId="2" numFmtId="165" xfId="0" applyAlignment="1" applyFont="1" applyNumberFormat="1">
      <alignment readingOrder="0"/>
    </xf>
    <xf borderId="0" fillId="0" fontId="2" numFmtId="166" xfId="0" applyAlignment="1" applyFont="1" applyNumberFormat="1">
      <alignment readingOrder="0"/>
    </xf>
    <xf quotePrefix="1" borderId="0" fillId="0" fontId="2" numFmtId="0" xfId="0" applyAlignment="1" applyFont="1">
      <alignment horizontal="center" readingOrder="0"/>
    </xf>
    <xf borderId="0" fillId="0" fontId="2" numFmtId="0" xfId="0" applyAlignment="1" applyFont="1">
      <alignment horizontal="right" readingOrder="0"/>
    </xf>
    <xf borderId="0" fillId="0" fontId="2" numFmtId="0" xfId="0" applyAlignment="1" applyFont="1">
      <alignment horizontal="center"/>
    </xf>
    <xf borderId="0" fillId="2" fontId="8" numFmtId="0" xfId="0" applyAlignment="1" applyFont="1">
      <alignment readingOrder="0"/>
    </xf>
    <xf borderId="0" fillId="0" fontId="1" numFmtId="0" xfId="0" applyFont="1"/>
    <xf borderId="0" fillId="0" fontId="2" numFmtId="164" xfId="0" applyAlignment="1" applyFont="1" applyNumberFormat="1">
      <alignment horizontal="center" readingOrder="0"/>
    </xf>
    <xf borderId="0" fillId="0" fontId="2" numFmtId="165" xfId="0" applyAlignment="1" applyFont="1" applyNumberFormat="1">
      <alignment horizontal="center" readingOrder="0"/>
    </xf>
    <xf borderId="0" fillId="0" fontId="2" numFmtId="11" xfId="0" applyAlignment="1" applyFont="1" applyNumberFormat="1">
      <alignment horizontal="center"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0" xfId="0" applyAlignment="1" applyFont="1" applyNumberFormat="1">
      <alignment readingOrder="0"/>
    </xf>
    <xf borderId="0" fillId="0" fontId="2" numFmtId="9" xfId="0" applyAlignment="1" applyFont="1" applyNumberFormat="1">
      <alignment readingOrder="0"/>
    </xf>
    <xf borderId="0" fillId="0" fontId="2" numFmtId="164" xfId="0" applyAlignment="1" applyFont="1" applyNumberFormat="1">
      <alignment horizontal="center" readingOrder="0" shrinkToFit="0" wrapText="0"/>
    </xf>
    <xf borderId="0" fillId="0" fontId="9" numFmtId="0" xfId="0" applyAlignment="1" applyFont="1">
      <alignment readingOrder="0"/>
    </xf>
    <xf borderId="0" fillId="0" fontId="2" numFmtId="169" xfId="0" applyAlignment="1" applyFont="1" applyNumberFormat="1">
      <alignment readingOrder="0"/>
    </xf>
    <xf borderId="0" fillId="0" fontId="10" numFmtId="0" xfId="0" applyAlignment="1" applyFont="1">
      <alignment horizontal="right" readingOrder="0" vertical="bottom"/>
    </xf>
    <xf borderId="0" fillId="0" fontId="10" numFmtId="0" xfId="0" applyAlignment="1" applyFont="1">
      <alignment readingOrder="0" vertical="bottom"/>
    </xf>
    <xf borderId="0" fillId="0" fontId="10" numFmtId="164" xfId="0" applyAlignment="1" applyFont="1" applyNumberFormat="1">
      <alignment horizontal="right" readingOrder="0" vertical="bottom"/>
    </xf>
    <xf borderId="0" fillId="0" fontId="10" numFmtId="0" xfId="0" applyAlignment="1" applyFont="1">
      <alignment horizontal="center" readingOrder="0" vertical="bottom"/>
    </xf>
    <xf borderId="0" fillId="0" fontId="10" numFmtId="164" xfId="0" applyAlignment="1" applyFont="1" applyNumberFormat="1">
      <alignment readingOrder="0" shrinkToFit="0" wrapText="0"/>
    </xf>
    <xf borderId="0" fillId="0" fontId="10" numFmtId="0" xfId="0" applyAlignment="1" applyFont="1">
      <alignment readingOrder="0" shrinkToFit="0" wrapText="0"/>
    </xf>
    <xf borderId="0" fillId="0" fontId="10" numFmtId="0" xfId="0" applyAlignment="1" applyFont="1">
      <alignment vertical="bottom"/>
    </xf>
    <xf quotePrefix="1" borderId="0" fillId="0" fontId="2" numFmtId="0" xfId="0" applyAlignment="1" applyFont="1">
      <alignment horizontal="right" readingOrder="0"/>
    </xf>
    <xf borderId="0" fillId="0" fontId="2" numFmtId="0" xfId="0" applyAlignment="1" applyFont="1">
      <alignment horizontal="right"/>
    </xf>
    <xf borderId="0" fillId="2" fontId="6" numFmtId="164" xfId="0" applyAlignment="1" applyFont="1" applyNumberFormat="1">
      <alignment readingOrder="0"/>
    </xf>
    <xf borderId="0" fillId="0" fontId="11" numFmtId="0" xfId="0" applyAlignment="1" applyFont="1">
      <alignment readingOrder="0"/>
    </xf>
    <xf borderId="0" fillId="4" fontId="2" numFmtId="0" xfId="0" applyAlignment="1" applyFill="1" applyFont="1">
      <alignment readingOrder="0"/>
    </xf>
    <xf borderId="0" fillId="5" fontId="2" numFmtId="164" xfId="0" applyAlignment="1" applyFill="1" applyFont="1" applyNumberFormat="1">
      <alignment readingOrder="0"/>
    </xf>
    <xf borderId="0" fillId="2" fontId="2" numFmtId="0" xfId="0" applyAlignment="1" applyFont="1">
      <alignment readingOrder="0"/>
    </xf>
    <xf borderId="0" fillId="5" fontId="2" numFmtId="0" xfId="0" applyAlignment="1" applyFont="1">
      <alignment readingOrder="0"/>
    </xf>
    <xf borderId="0" fillId="2" fontId="2" numFmtId="0" xfId="0" applyFont="1"/>
    <xf borderId="0" fillId="6" fontId="12" numFmtId="0" xfId="0" applyAlignment="1" applyFill="1" applyFont="1">
      <alignment horizontal="center" readingOrder="0"/>
    </xf>
    <xf borderId="0" fillId="0" fontId="13" numFmtId="0" xfId="0" applyAlignment="1" applyFont="1">
      <alignment horizontal="left" readingOrder="0" shrinkToFit="0" vertical="bottom" wrapText="0"/>
    </xf>
    <xf borderId="0" fillId="0" fontId="14" numFmtId="0" xfId="0" applyAlignment="1" applyFont="1">
      <alignment readingOrder="0" shrinkToFit="0" vertical="bottom" wrapText="0"/>
    </xf>
    <xf borderId="0" fillId="0" fontId="13" numFmtId="0" xfId="0" applyAlignment="1" applyFont="1">
      <alignment readingOrder="0" shrinkToFit="0" vertical="bottom" wrapText="0"/>
    </xf>
    <xf borderId="0" fillId="0" fontId="2" numFmtId="170" xfId="0" applyFont="1" applyNumberFormat="1"/>
    <xf borderId="0" fillId="0" fontId="14" numFmtId="0" xfId="0" applyAlignment="1" applyFont="1">
      <alignment horizontal="left" readingOrder="0" shrinkToFit="0" vertical="bottom" wrapText="0"/>
    </xf>
    <xf borderId="0" fillId="0" fontId="14" numFmtId="168" xfId="0" applyAlignment="1" applyFont="1" applyNumberFormat="1">
      <alignment horizontal="right" readingOrder="0" shrinkToFit="0" vertical="bottom" wrapText="0"/>
    </xf>
    <xf quotePrefix="1" borderId="0" fillId="0" fontId="13" numFmtId="0" xfId="0" applyAlignment="1" applyFont="1">
      <alignment horizontal="right" readingOrder="0" shrinkToFit="0" vertical="bottom" wrapText="0"/>
    </xf>
    <xf borderId="0" fillId="0" fontId="5" numFmtId="166" xfId="0" applyAlignment="1" applyFont="1" applyNumberFormat="1">
      <alignment horizontal="right" vertical="bottom"/>
    </xf>
    <xf quotePrefix="1" borderId="0" fillId="0" fontId="5" numFmtId="0" xfId="0" applyAlignment="1" applyFont="1">
      <alignment vertical="bottom"/>
    </xf>
    <xf borderId="0" fillId="0" fontId="13" numFmtId="171" xfId="0" applyAlignment="1" applyFont="1" applyNumberFormat="1">
      <alignment horizontal="right" readingOrder="0" shrinkToFit="0" vertical="bottom" wrapText="0"/>
    </xf>
    <xf borderId="0" fillId="0" fontId="13" numFmtId="0" xfId="0" applyAlignment="1" applyFont="1">
      <alignment horizontal="right" readingOrder="0" shrinkToFit="0" vertical="bottom" wrapText="0"/>
    </xf>
    <xf borderId="0" fillId="0" fontId="13" numFmtId="0" xfId="0" applyAlignment="1" applyFont="1">
      <alignment shrinkToFit="0" vertical="bottom" wrapText="0"/>
    </xf>
    <xf borderId="0" fillId="0" fontId="15" numFmtId="0" xfId="0" applyAlignment="1" applyFont="1">
      <alignment readingOrder="0"/>
    </xf>
    <xf borderId="0" fillId="0" fontId="13" numFmtId="172" xfId="0" applyAlignment="1" applyFont="1" applyNumberFormat="1">
      <alignment horizontal="right" readingOrder="0" shrinkToFit="0" vertical="bottom" wrapText="0"/>
    </xf>
    <xf borderId="0" fillId="0" fontId="14" numFmtId="171" xfId="0" applyAlignment="1" applyFont="1" applyNumberFormat="1">
      <alignment horizontal="right" readingOrder="0" shrinkToFit="0" vertical="bottom" wrapText="0"/>
    </xf>
    <xf quotePrefix="1" borderId="0" fillId="0" fontId="14" numFmtId="0" xfId="0" applyAlignment="1" applyFont="1">
      <alignment horizontal="left" readingOrder="0" shrinkToFit="0" vertical="bottom" wrapText="0"/>
    </xf>
    <xf quotePrefix="1" borderId="0" fillId="0" fontId="14" numFmtId="0" xfId="0" applyAlignment="1" applyFont="1">
      <alignment readingOrder="0" shrinkToFit="0" vertical="bottom" wrapText="0"/>
    </xf>
    <xf borderId="0" fillId="7" fontId="14" numFmtId="0" xfId="0" applyAlignment="1" applyFill="1" applyFont="1">
      <alignment horizontal="left" readingOrder="0" shrinkToFit="0" vertical="bottom" wrapText="0"/>
    </xf>
    <xf borderId="0" fillId="7" fontId="14" numFmtId="0" xfId="0" applyAlignment="1" applyFont="1">
      <alignment readingOrder="0" shrinkToFit="0" vertical="bottom" wrapText="0"/>
    </xf>
    <xf borderId="0" fillId="7" fontId="14" numFmtId="166" xfId="0" applyAlignment="1" applyFont="1" applyNumberFormat="1">
      <alignment horizontal="right" readingOrder="0" shrinkToFit="0" vertical="bottom" wrapText="0"/>
    </xf>
    <xf borderId="0" fillId="7" fontId="13" numFmtId="0" xfId="0" applyAlignment="1" applyFont="1">
      <alignment horizontal="right" readingOrder="0" shrinkToFit="0" vertical="bottom" wrapText="0"/>
    </xf>
    <xf borderId="0" fillId="7" fontId="2" numFmtId="0" xfId="0" applyAlignment="1" applyFont="1">
      <alignment readingOrder="0"/>
    </xf>
    <xf borderId="0" fillId="7" fontId="7" numFmtId="166" xfId="0" applyAlignment="1" applyFont="1" applyNumberFormat="1">
      <alignment horizontal="right" vertical="bottom"/>
    </xf>
    <xf borderId="0" fillId="7" fontId="2" numFmtId="0" xfId="0" applyFont="1"/>
    <xf borderId="0" fillId="7" fontId="7" numFmtId="166" xfId="0" applyAlignment="1" applyFont="1" applyNumberFormat="1">
      <alignment horizontal="right" readingOrder="0" vertical="bottom"/>
    </xf>
    <xf borderId="0" fillId="0" fontId="7" numFmtId="166" xfId="0" applyAlignment="1" applyFont="1" applyNumberFormat="1">
      <alignment horizontal="right" readingOrder="0" vertical="bottom"/>
    </xf>
    <xf borderId="0" fillId="5" fontId="14" numFmtId="0" xfId="0" applyAlignment="1" applyFont="1">
      <alignment readingOrder="0" shrinkToFit="0" vertical="bottom" wrapText="0"/>
    </xf>
    <xf borderId="0" fillId="0" fontId="2" numFmtId="173" xfId="0" applyAlignment="1" applyFont="1" applyNumberFormat="1">
      <alignment horizontal="left" readingOrder="0"/>
    </xf>
    <xf borderId="0" fillId="0" fontId="2" numFmtId="0" xfId="0" applyAlignment="1" applyFont="1">
      <alignment horizontal="left" readingOrder="0"/>
    </xf>
    <xf borderId="0" fillId="5" fontId="2" numFmtId="0" xfId="0" applyAlignment="1" applyFont="1">
      <alignment horizontal="right" readingOrder="0"/>
    </xf>
    <xf borderId="0" fillId="0" fontId="16" numFmtId="0" xfId="0" applyFont="1"/>
    <xf borderId="0" fillId="0" fontId="17" numFmtId="168"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1</xdr:row>
      <xdr:rowOff>19050</xdr:rowOff>
    </xdr:from>
    <xdr:ext cx="1533525" cy="885825"/>
    <xdr:sp>
      <xdr:nvSpPr>
        <xdr:cNvPr id="3" name="Shape 3"/>
        <xdr:cNvSpPr/>
      </xdr:nvSpPr>
      <xdr:spPr>
        <a:xfrm>
          <a:off x="2438275" y="1544975"/>
          <a:ext cx="1512600" cy="8628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Generar Indice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465352166917-ua3fin80k4rspjok3ta29mo2o649fi8d.apps.googleusercontent.com" TargetMode="External"/><Relationship Id="rId2" Type="http://schemas.openxmlformats.org/officeDocument/2006/relationships/hyperlink" Target="http://207.180.220.111:3000/settings/server/license" TargetMode="External"/><Relationship Id="rId3" Type="http://schemas.openxmlformats.org/officeDocument/2006/relationships/hyperlink" Target="https://api.openai.com/v1" TargetMode="External"/><Relationship Id="rId4" Type="http://schemas.openxmlformats.org/officeDocument/2006/relationships/hyperlink" Target="http://aws-0-sa-east-1.pooler.supabase.com" TargetMode="External"/><Relationship Id="rId10" Type="http://schemas.openxmlformats.org/officeDocument/2006/relationships/drawing" Target="../drawings/drawing2.xml"/><Relationship Id="rId9" Type="http://schemas.openxmlformats.org/officeDocument/2006/relationships/hyperlink" Target="https://cloud.redis.io/" TargetMode="External"/><Relationship Id="rId5" Type="http://schemas.openxmlformats.org/officeDocument/2006/relationships/hyperlink" Target="https://prueba-evolution-api.uxxqdc.easypanel.host" TargetMode="External"/><Relationship Id="rId6" Type="http://schemas.openxmlformats.org/officeDocument/2006/relationships/hyperlink" Target="https://prueba-evolution-api.uxxqdc.easypanel.host/manager/" TargetMode="External"/><Relationship Id="rId7" Type="http://schemas.openxmlformats.org/officeDocument/2006/relationships/hyperlink" Target="https://prueba-evolution-api.uxxqdc.easypanel.host/manager/" TargetMode="External"/><Relationship Id="rId8" Type="http://schemas.openxmlformats.org/officeDocument/2006/relationships/hyperlink" Target="http://redis-18376.c99.us-east-1-4.ec2.redns.redis-cloud.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api.textmebot.com/send.php?recipient=5492665036264&amp;apikey=xoF6EUkK31se&amp;document=https%3A%2F%2Fdrive.google.com%2Ffile%2Fd%2F1pwZ-APkcolrlHslgKIVDGeSYYn9qmxLs" TargetMode="External"/><Relationship Id="rId194" Type="http://schemas.openxmlformats.org/officeDocument/2006/relationships/hyperlink" Target="https://api.textmebot.com/send.php?recipient=5493425380483&amp;apikey=xoF6EUkK31se&amp;document=https%3A%2F%2Fdrive.google.com%2Ffile%2Fd%2F1heR5mEeqBYfof-i-dWXN0Us0z7ESX5iA" TargetMode="External"/><Relationship Id="rId193" Type="http://schemas.openxmlformats.org/officeDocument/2006/relationships/hyperlink" Target="https://api.textmebot.com/send.php?recipient=5493425295451&amp;apikey=xoF6EUkK31se&amp;document=https%3A%2F%2Fdrive.google.com%2Ffile%2Fd%2F1oJZg-qwsWXOt2DsEfBrKnXCDAEgXV8ZN" TargetMode="External"/><Relationship Id="rId192" Type="http://schemas.openxmlformats.org/officeDocument/2006/relationships/hyperlink" Target="https://api.textmebot.com/send.php?recipient=5493425295451&amp;apikey=xoF6EUkK31se&amp;document=https%3A%2F%2Fdrive.google.com%2Ffile%2Fd%2F1qRVGqPqrHm5QoExb2zQgeb6Z-v8pIPM9" TargetMode="External"/><Relationship Id="rId191" Type="http://schemas.openxmlformats.org/officeDocument/2006/relationships/hyperlink" Target="https://api.textmebot.com/send.php?recipient=5492665036264&amp;apikey=xoF6EUkK31se&amp;text=Hola%20Santiago!%20%F0%9F%91%8B%20%0ATe%20env%C3%ADo%20la%20factura%20correspondiente%20por%20la%20prestaci%C3%B3n%20de%20servicios%20durante%20el%20per%C3%ADodo%2001%2F09%2F25%20al%2003%2F09%2F25.%20%0A%0A%F0%9F%93%8B%20*Detalles%20de%20la%20factura%3A*%20%0A%E2%80%A2%20N%C3%BAmero%3A%20%20%0A%E2%80%A2%20Fecha%20de%20Emisi%C3%B3n%3A%2015%2F09%2F25%20%0A%E2%80%A2%20Fecha%20de%20Vencimiento%3A%2019%2F09%2F25%20%0A%E2%80%A2%20Monto%20Total%3A%20%24%203705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187" Type="http://schemas.openxmlformats.org/officeDocument/2006/relationships/hyperlink" Target="https://api.textmebot.com/send.php?recipient=5493424476596&amp;apikey=xoF6EUkK31se&amp;text=Hola%20Adrian!%20%F0%9F%91%8B%20%0ATe%20env%C3%ADo%20la%20factura%20correspondiente%20por%20la%20prestaci%C3%B3n%20de%20servicios%20durante%20el%20per%C3%ADodo%2003%2F08%2F25%20al%2003%2F09%2F25.%20%0A%0A%F0%9F%93%8B%20*Detalles%20de%20la%20factura%3A*%20%0A%E2%80%A2%20N%C3%BAmero%3A%20%20%0A%E2%80%A2%20Fecha%20de%20Emisi%C3%B3n%3A%2011%2F09%2F25%20%0A%E2%80%A2%20Fecha%20de%20Vencimiento%3A%2018%2F09%2F25%20%0A%E2%80%A2%20Monto%20Total%3A%20%24%202778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86" Type="http://schemas.openxmlformats.org/officeDocument/2006/relationships/hyperlink" Target="https://api.textmebot.com/send.php?recipient=5493424476596&amp;apikey=xoF6EUkK31se&amp;document=https%3A%2F%2Fdrive.google.com%2Ffile%2Fd%2F1BRIwp-hHATJUFOL3ck02T5RLUF8SH2Vq" TargetMode="External"/><Relationship Id="rId185" Type="http://schemas.openxmlformats.org/officeDocument/2006/relationships/hyperlink" Target="https://api.textmebot.com/send.php?recipient=5493521639222&amp;apikey=xoF6EUkK31se&amp;text=Hola%20Alan!%20%F0%9F%91%8B%20%0ATe%20env%C3%ADo%20la%20factura%20correspondiente%20por%20la%20prestaci%C3%B3n%20de%20servicios%20durante%20el%20per%C3%ADodo%2007%2F08%2F25%20al%2007%2F09%2F25.%20%0A%0A%F0%9F%93%8B%20*Detalles%20de%20la%20factura%3A*%20%0A%E2%80%A2%20N%C3%BAmero%3A%20%20%0A%E2%80%A2%20Fecha%20de%20Emisi%C3%B3n%3A%2011%2F09%2F25%20%0A%E2%80%A2%20Fecha%20de%20Vencimiento%3A%2018%2F09%2F25%20%0A%E2%80%A2%20Monto%20Total%3A%20%24%2044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184" Type="http://schemas.openxmlformats.org/officeDocument/2006/relationships/hyperlink" Target="https://api.textmebot.com/send.php?recipient=5493521639222&amp;apikey=xoF6EUkK31se&amp;document=https%3A%2F%2Fdrive.google.com%2Ffile%2Fd%2F1iZQwzjEJY3Ju8NuJ463UTtqHo-awnqNg" TargetMode="External"/><Relationship Id="rId189" Type="http://schemas.openxmlformats.org/officeDocument/2006/relationships/hyperlink" Target="https://api.textmebot.com/send.php?recipient=5491171282725&amp;apikey=xoF6EUkK31se&amp;document=https%3A%2F%2Fdrive.google.com%2Ffile%2Fd%2F1cbHCIeJWOCH2BEtqykBVY5lNXpHq9qSW" TargetMode="External"/><Relationship Id="rId188" Type="http://schemas.openxmlformats.org/officeDocument/2006/relationships/hyperlink" Target="https://api.textmebot.com/send.php?recipient=5491171282725&amp;apikey=xoF6EUkK31se&amp;document=https%3A%2F%2Fdrive.google.com%2Ffile%2Fd%2F1stQ1DzY9zyE5j96xxQZaR8su6_SN2BWO" TargetMode="External"/><Relationship Id="rId183" Type="http://schemas.openxmlformats.org/officeDocument/2006/relationships/hyperlink" Target="https://api.textmebot.com/send.php?recipient=5493521639222&amp;apikey=xoF6EUkK31se&amp;document=https%3A%2F%2Fdrive.google.com%2Ffile%2Fd%2F1k2z9alo7v-ZUss9EUnUA7qXV_lcp5whD" TargetMode="External"/><Relationship Id="rId182" Type="http://schemas.openxmlformats.org/officeDocument/2006/relationships/hyperlink" Target="https://api.textmebot.com/send.php?recipient=5493425389073&amp;apikey=xoF6EUkK31se&amp;text=Hola%20Martin!%20%F0%9F%91%8B%20%0ATe%20env%C3%ADo%20la%20factura%20correspondiente%20por%20la%20prestaci%C3%B3n%20de%20servicios%20durante%20el%20per%C3%ADodo%2006%2F08%2F25%20al%2006%2F09%2F25.%20%0A%0A%F0%9F%93%8B%20*Detalles%20de%20la%20factura%3A*%20%0A%E2%80%A2%20N%C3%BAmero%3A%2051%20%0A%E2%80%A2%20Fecha%20de%20Emisi%C3%B3n%3A%2011%2F09%2F25%20%0A%E2%80%A2%20Fecha%20de%20Vencimiento%3A%2022%2F09%2F25%20%0A%E2%80%A2%20Monto%20Total%3A%20%24%20642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181" Type="http://schemas.openxmlformats.org/officeDocument/2006/relationships/hyperlink" Target="https://api.textmebot.com/send.php?recipient=5493425389073&amp;apikey=xoF6EUkK31se&amp;document=https%3A%2F%2Fdrive.google.com%2Ffile%2Fd%2F1YQDvDvwfEbBHxm1wj4PL0LXj_-3BccbQ" TargetMode="External"/><Relationship Id="rId180" Type="http://schemas.openxmlformats.org/officeDocument/2006/relationships/hyperlink" Target="https://api.textmebot.com/send.php?recipient=5493425389073&amp;apikey=xoF6EUkK31se&amp;document=https%3A%2F%2Fdrive.google.com%2Ffile%2Fd%2F1NAUdx_QjyanQSbf2EvgyWj9QrnaAb3Y3" TargetMode="External"/><Relationship Id="rId176" Type="http://schemas.openxmlformats.org/officeDocument/2006/relationships/hyperlink" Target="https://api.textmebot.com/send.php?recipient=5491141908925&amp;apikey=xoF6EUkK31se&amp;text=Hola%20Nelson!%20%F0%9F%91%8B%20%0ATe%20env%C3%ADo%20la%20factura%20correspondiente%20por%20la%20prestaci%C3%B3n%20de%20servicios%20durante%20el%20per%C3%ADodo%2011%2F08%2F25%20al%2011%2F09%2F25.%20%0A%0A%F0%9F%93%8B%20*Detalles%20de%20la%20factura%3A*%20%0A%E2%80%A2%20N%C3%BAmero%3A%2049%20%0A%E2%80%A2%20Fecha%20de%20Emisi%C3%B3n%3A%2011%2F09%2F25%20%0A%E2%80%A2%20Fecha%20de%20Vencimiento%3A%2017%2F09%2F25%20%0A%E2%80%A2%20Monto%20Total%3A%20%24%2050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297" Type="http://schemas.openxmlformats.org/officeDocument/2006/relationships/hyperlink" Target="https://api.textmebot.com/send.php?recipient=5493425295451&amp;apikey=xoF6EUkK31se&amp;document=https%3A%2F%2Fdrive.google.com%2Ffile%2Fd%2F1iiFWsIKd-p4lkvMd7Asq5NFJL-qNZLGi" TargetMode="External"/><Relationship Id="rId175" Type="http://schemas.openxmlformats.org/officeDocument/2006/relationships/hyperlink" Target="https://api.textmebot.com/send.php?recipient=5491141908925&amp;apikey=xoF6EUkK31se&amp;document=https%3A%2F%2Fdrive.google.com%2Ffile%2Fd%2F1gJdrzoeV1CubtqGXiOrWY0As4Ql3W8gj" TargetMode="External"/><Relationship Id="rId296" Type="http://schemas.openxmlformats.org/officeDocument/2006/relationships/hyperlink" Target="https://api.textmebot.com/send.php?recipient=5493425295451&amp;apikey=xoF6EUkK31se&amp;document=https%3A%2F%2Fdrive.google.com%2Ffile%2Fd%2F1dzTAGA8Qm66S0vMz6MtdTSlZuL1yfaGq" TargetMode="External"/><Relationship Id="rId174" Type="http://schemas.openxmlformats.org/officeDocument/2006/relationships/hyperlink" Target="https://api.textmebot.com/send.php?recipient=5491141908925&amp;apikey=xoF6EUkK31se&amp;document=https%3A%2F%2Fdrive.google.com%2Ffile%2Fd%2F1Czs8e3RKans1rizgmacSLjTQbyvr6DpT" TargetMode="External"/><Relationship Id="rId295" Type="http://schemas.openxmlformats.org/officeDocument/2006/relationships/hyperlink" Target="https://api.textmebot.com/send.php?recipient=5493425389073&amp;apikey=xoF6EUkK31se&amp;text=Hola%20Martin!%20%F0%9F%91%8B%20%0ATe%20env%C3%ADo%20la%20factura%20correspondiente%20por%20la%20prestaci%C3%B3n%20de%20servicios%20durante%20el%20per%C3%ADodo%2006%2F10%2F25%20al%2006%2F11%2F25.%20%0A%0A%F0%9F%93%8B%20*Detalles%20de%20la%20factura%3A*%20%0A%E2%80%A2%20N%C3%BAmero%3A%2060%20%0A%E2%80%A2%20Fecha%20de%20Emisi%C3%B3n%3A%2010%2F11%2F25%20%0A%E2%80%A2%20Fecha%20de%20Vencimiento%3A%2019%2F11%2F25%20%0A%E2%80%A2%20Monto%20Total%3A%20%24%20668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173" Type="http://schemas.openxmlformats.org/officeDocument/2006/relationships/hyperlink" Target="https://api.textmebot.com/send.php?recipient=5493493661975&amp;apikey=xoF6EUkK31se&amp;text=Hola%20Estefania!%20%F0%9F%91%8B%20%0ATe%20env%C3%ADo%20la%20factura%20correspondiente%20por%20la%20prestaci%C3%B3n%20de%20servicios%20durante%20el%20per%C3%ADodo%2011%2F08%2F25%20al%2011%2F09%2F25.%20%0A%0A%F0%9F%93%8B%20*Detalles%20de%20la%20factura%3A*%20%0A%E2%80%A2%20N%C3%BAmero%3A%20%20%0A%E2%80%A2%20Fecha%20de%20Emisi%C3%B3n%3A%2011%2F09%2F25%20%0A%E2%80%A2%20Fecha%20de%20Vencimiento%3A%2023%2F09%2F25%20%0A%E2%80%A2%20Monto%20Total%3A%20%24%20851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 TargetMode="External"/><Relationship Id="rId294" Type="http://schemas.openxmlformats.org/officeDocument/2006/relationships/hyperlink" Target="https://api.textmebot.com/send.php?recipient=5493425389073&amp;apikey=xoF6EUkK31se&amp;document=https%3A%2F%2Fdrive.google.com%2Ffile%2Fd%2F1MWUMls1h1xudZOj6vLNbVzuTKFCa9q43" TargetMode="External"/><Relationship Id="rId179" Type="http://schemas.openxmlformats.org/officeDocument/2006/relationships/hyperlink" Target="https://api.textmebot.com/send.php?recipient=5493425225459&amp;apikey=xoF6EUkK31se&amp;text=Hola%20Ignacio!%20%F0%9F%91%8B%20%0ATe%20env%C3%ADo%20la%20factura%20correspondiente%20por%20la%20prestaci%C3%B3n%20de%20servicios%20durante%20el%20per%C3%ADodo%2004%2F08%2F25%20al%2004%2F09%2F25.%20%0A%0A%F0%9F%93%8B%20*Detalles%20de%20la%20factura%3A*%20%0A%E2%80%A2%20N%C3%BAmero%3A%2050%20%0A%E2%80%A2%20Fecha%20de%20Emisi%C3%B3n%3A%2011%2F09%2F25%20%0A%E2%80%A2%20Fecha%20de%20Vencimiento%3A%2018%2F09%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178" Type="http://schemas.openxmlformats.org/officeDocument/2006/relationships/hyperlink" Target="https://api.textmebot.com/send.php?recipient=5493425225459&amp;apikey=xoF6EUkK31se&amp;document=https%3A%2F%2Fdrive.google.com%2Ffile%2Fd%2F14nlhBD0A5S2ebSXHEyTXcRI6jNi7ML_O" TargetMode="External"/><Relationship Id="rId299" Type="http://schemas.openxmlformats.org/officeDocument/2006/relationships/hyperlink" Target="https://api.textmebot.com/send.php?recipient=5493425225459&amp;apikey=xoF6EUkK31se&amp;document=https%3A%2F%2Fdrive.google.com%2Ffile%2Fd%2F1gkwW8402UYGDSsGxPW4ITzmiJddQvmNb" TargetMode="External"/><Relationship Id="rId177" Type="http://schemas.openxmlformats.org/officeDocument/2006/relationships/hyperlink" Target="https://api.textmebot.com/send.php?recipient=5493425225459&amp;apikey=xoF6EUkK31se&amp;document=https%3A%2F%2Fdrive.google.com%2Ffile%2Fd%2F1OLfjIcmzpgVPzsuEQh7VTTSSvR7nupv3" TargetMode="External"/><Relationship Id="rId298" Type="http://schemas.openxmlformats.org/officeDocument/2006/relationships/hyperlink" Target="https://api.textmebot.com/send.php?recipient=5493425295451&amp;apikey=xoF6EUkK31se&amp;text=Hola%20Gonzalo!%20%F0%9F%91%8B%20%0ATe%20env%C3%ADo%20la%20factura%20correspondiente%20por%20la%20prestaci%C3%B3n%20de%20servicios%20durante%20el%20per%C3%ADodo%2028%2F09%2F25%20al%2028%2F10%2F25.%20%0A%0A%F0%9F%93%8B%20*Detalles%20de%20la%20factura%3A*%20%0A%E2%80%A2%20N%C3%BAmero%3A%20209%20%0A%E2%80%A2%20Fecha%20de%20Emisi%C3%B3n%3A%2010%2F11%2F25%20%0A%E2%80%A2%20Fecha%20de%20Vencimiento%3A%2019%2F11%2F25%20%0A%E2%80%A2%20Monto%20Total%3A%20%24%2095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98" Type="http://schemas.openxmlformats.org/officeDocument/2006/relationships/hyperlink" Target="https://api.textmebot.com/send.php?recipient=5493424791582&amp;apikey=xoF6EUkK31se&amp;document=https%3A%2F%2Fdrive.google.com%2Ffile%2Fd%2F11-UT0TbOmWGrLAZ3PmyL6kIpHLFrxaDC" TargetMode="External"/><Relationship Id="rId197" Type="http://schemas.openxmlformats.org/officeDocument/2006/relationships/hyperlink" Target="https://api.textmebot.com/send.php?recipient=5493424791582&amp;apikey=xoF6EUkK31se&amp;document=https%3A%2F%2Fdrive.google.com%2Ffile%2Fd%2F1xcksCBZ00NDU3vgqUGb1GeNN5slFFqEl" TargetMode="External"/><Relationship Id="rId196" Type="http://schemas.openxmlformats.org/officeDocument/2006/relationships/hyperlink" Target="https://api.textmebot.com/send.php?recipient=5491164872810&amp;apikey=xoF6EUkK31se&amp;document=https%3A%2F%2Fdrive.google.com%2Ffile%2Fd%2F117QeFfsS4iEwV53uQRPMlnVREE38Rro8" TargetMode="External"/><Relationship Id="rId195" Type="http://schemas.openxmlformats.org/officeDocument/2006/relationships/hyperlink" Target="https://api.textmebot.com/send.php?recipient=5493425380483&amp;apikey=xoF6EUkK31se&amp;document=https%3A%2F%2Fdrive.google.com%2Ffile%2Fd%2F16BA9vzMqo_h57TYjFdLAql15Q9UogBVE" TargetMode="External"/><Relationship Id="rId199" Type="http://schemas.openxmlformats.org/officeDocument/2006/relationships/hyperlink" Target="https://api.textmebot.com/send.php?recipient=5491171282725&amp;apikey=xoF6EUkK31se&amp;document=https%3A%2F%2Fdrive.google.com%2Ffile%2Fd%2F1stQ1DzY9zyE5j96xxQZaR8su6_SN2BWO" TargetMode="External"/><Relationship Id="rId150" Type="http://schemas.openxmlformats.org/officeDocument/2006/relationships/hyperlink" Target="https://api.textmebot.com/send.php?recipient=5493424770891&amp;apikey=xoF6EUkK31se&amp;document=https%3A%2F%2Fdrive.google.com%2Ffile%2Fd%2F1fwgPl0TgLApyUXAMjp0TCkqJF2r_2KYI" TargetMode="External"/><Relationship Id="rId271" Type="http://schemas.openxmlformats.org/officeDocument/2006/relationships/hyperlink" Target="https://api.textmebot.com/send.php?recipient=5493493661975&amp;apikey=xoF6EUkK31se&amp;text=Hola%20Estefania!%20%F0%9F%91%8B%20%0A%20Espero%20que%20todo%20est%C3%A9%20yendo%20bien.%20Quisiera%20recordarte%20que%20a%C3%BAn%20no%20hemos%20recibido%20el%20pago%20correspondiente%20a%20la%20factura%20N%C2%B0%20%20emitida%20el%2016%2F10%2F25.%20%0A%0A%F0%9F%93%8B%20*Detalles%20de%20la%20factura%3A*%20%0A%E2%80%A2%20N%C3%BAmero%3A%20%20%0A%E2%80%A2%20Vencimiento%3A%2028%2F10%2F25%20%0A%E2%80%A2%20Monto%20total%3A%20%241127000.%20%0A%0A%F0%9F%92%BC%20*Cuenta%20a%20depositar%3A*-%20CUIT%3A%202033122879%0A-%20Titular%3A%20Adrian%20Patriarca%0A-%20Alias%3A%20Efectivo%0A-%20Banco%3A%20Efectivo%0AAdjunto%20encontrar%C3%A1s%20la%20factura%20para%20tu%20referencia.%20%0A%0ASi%20ya%20has%20realizado%20el%20pago%2C%20por%20favor%2C%20ignora%20este%20mensaje.%20%0A%0AGracias%20por%20tu%20pronta%20atenci%C3%B3n%20a%20este%20asunto.%20%0A%0AAPSOL%20-%20Consultor%C3%ADa%20Empresarial" TargetMode="External"/><Relationship Id="rId392" Type="http://schemas.openxmlformats.org/officeDocument/2006/relationships/hyperlink" Target="https://drive.google.com/uc?export=download&amp;id=1jIAQSBYbiFN078ix0ebGJSF9zHJXYS1e" TargetMode="External"/><Relationship Id="rId270" Type="http://schemas.openxmlformats.org/officeDocument/2006/relationships/hyperlink" Target="https://api.textmebot.com/send.php?recipient=5493493661975&amp;apikey=xoF6EUkK31se&amp;document=https%3A%2F%2Fdrive.google.com%2Ffile%2Fd%2F1WLLSA43t8txAj8dFBuJuLSys2utLvl6p" TargetMode="External"/><Relationship Id="rId391" Type="http://schemas.openxmlformats.org/officeDocument/2006/relationships/hyperlink" Target="https://drive.google.com/uc?export=download&amp;id=1C-8r3rcYuk99dF6d6Pqz3zwvNcUqKn8Y" TargetMode="External"/><Relationship Id="rId390" Type="http://schemas.openxmlformats.org/officeDocument/2006/relationships/hyperlink" Target="https://drive.google.com/uc?export=download&amp;id=1XDrUwGklJOd3gXjc4w0HwfZRBoIlq5-2" TargetMode="External"/><Relationship Id="rId1" Type="http://schemas.openxmlformats.org/officeDocument/2006/relationships/hyperlink" Target="https://api.textmebot.com/send.php?recipient=5493426293881&amp;apikey=xoF6EUkK31se&amp;document=https%3A%2F%2Fdrive.google.com%2Ffile%2Fd%2F1GG5PS5WkHu28JVzXBtSnDbTXNZexVe8V" TargetMode="External"/><Relationship Id="rId2" Type="http://schemas.openxmlformats.org/officeDocument/2006/relationships/hyperlink" Target="https://api.textmebot.com/send.php?recipient=5493426293881&amp;apikey=xoF6EUkK31se&amp;document=https%3A%2F%2Fdrive.google.com%2Ffile%2Fd%2F1Nyxqp9yLNMintYAMoRjP7swR6RgBniRJ" TargetMode="External"/><Relationship Id="rId3" Type="http://schemas.openxmlformats.org/officeDocument/2006/relationships/hyperlink" Target="https://api.textmebot.com/send.php?recipient=5491164872810&amp;apikey=xoF6EUkK31se&amp;document=https%3A%2F%2Fdrive.google.com%2Ffile%2Fd%2F1XPIKQIattiFfTIuToVbd5B0x0vV4azRp" TargetMode="External"/><Relationship Id="rId149" Type="http://schemas.openxmlformats.org/officeDocument/2006/relationships/hyperlink" Target="https://api.textmebot.com/send.php?recipient=5491171282725&amp;apikey=xoF6EUkK31se&amp;text=Hola%20Martin!%20%F0%9F%91%8B%20%0ATe%20env%C3%ADo%20la%20factura%20correspondiente%20por%20la%20prestaci%C3%B3n%20de%20servicios%20durante%20el%20per%C3%ADodo%2001%2F07%2F25%20al%2001%2F08%2F25.%20%0A%0A%F0%9F%93%8B%20*Detalles%20de%20la%20factura%3A*%20%0A%E2%80%A2%20N%C3%BAmero%3A%20FC%2044%20-%20NC%2002%20%0A%E2%80%A2%20Fecha%20de%20Emisi%C3%B3n%3A%2022%2F08%2F25%20%0A%E2%80%A2%20Fecha%20de%20Vencimiento%3A%2029%2F08%2F25%20%0A%E2%80%A2%20Monto%20Total%3A%20%24%20305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4" Type="http://schemas.openxmlformats.org/officeDocument/2006/relationships/hyperlink" Target="https://api.textmebot.com/send.php?recipient=5492267434320&amp;apikey=xoF6EUkK31se&amp;document=https%3A%2F%2Fdrive.google.com%2Ffile%2Fd%2F11zm1k9Rh2ZgELJo_cPuCEINuiv9aVxJk" TargetMode="External"/><Relationship Id="rId148" Type="http://schemas.openxmlformats.org/officeDocument/2006/relationships/hyperlink" Target="https://api.textmebot.com/send.php?recipient=5491171282725&amp;apikey=xoF6EUkK31se&amp;document=https%3A%2F%2Fdrive.google.com%2Ffile%2Fd%2F1arfTz7JLcJE_8v4IFdv34DZc3L_akot6" TargetMode="External"/><Relationship Id="rId269" Type="http://schemas.openxmlformats.org/officeDocument/2006/relationships/hyperlink" Target="https://api.textmebot.com/send.php?recipient=5491171282725&amp;apikey=xoF6EUkK31se&amp;document=https%3A%2F%2Fdrive.google.com%2Ffile%2Fd%2F1aQs34noU9M9USEn5wL08tsHN-m7XQLri" TargetMode="External"/><Relationship Id="rId9" Type="http://schemas.openxmlformats.org/officeDocument/2006/relationships/hyperlink" Target="https://api.textmebot.com/send.php?recipient=5493424770891&amp;apikey=xoF6EUkK31se&amp;text=Hola%20Juan!%20%F0%9F%91%8B%20%0ATe%20env%C3%ADo%20la%20factura%20correspondiente%20por%20la%20prestaci%C3%B3n%20de%20servicios%20durante%20el%20per%C3%ADodo%2023%2F05%2F25%20al%2023%2F06%2F25.%20%0A%0A%F0%9F%93%8B%20*Detalles%20de%20la%20factura%3A*%20%0A%E2%80%A2%20N%C3%BAmero%3A%20186%20%0A%E2%80%A2%20Fecha%20de%20Emisi%C3%B3n%3A%2027%2F06%2F25%20%0A%E2%80%A2%20Fecha%20de%20Vencimiento%3A%2009%2F07%2F25%20%0A%E2%80%A2%20Monto%20Total%3A%20%24%20998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43" Type="http://schemas.openxmlformats.org/officeDocument/2006/relationships/hyperlink" Target="https://api.textmebot.com/send.php?recipient=5493413077374&amp;apikey=xoF6EUkK31se&amp;document=https%3A%2F%2Fdrive.google.com%2Ffile%2Fd%2F16iCexN-v4EjAEICYrgloBg0HmrGVaI_R" TargetMode="External"/><Relationship Id="rId264" Type="http://schemas.openxmlformats.org/officeDocument/2006/relationships/hyperlink" Target="https://api.textmebot.com/send.php?recipient=5493492527138&amp;apikey=xoF6EUkK31se&amp;text=Hola%20Gast%C3%B3n!%20%F0%9F%91%8B%20%0ATe%20env%C3%ADo%20la%20factura%20correspondiente%20por%20la%20prestaci%C3%B3n%20de%20servicios%20durante%20el%20per%C3%ADodo%2021%2F09%2F25%20al%2021%2F10%2F25.%20%0A%0A%F0%9F%93%8B%20*Detalles%20de%20la%20factura%3A*%20%0A%E2%80%A2%20N%C3%BAmero%3A%20%20%0A%E2%80%A2%20Fecha%20de%20Emisi%C3%B3n%3A%2023%2F10%2F25%20%0A%E2%80%A2%20Fecha%20de%20Vencimiento%3A%2031%2F10%2F25%20%0A%E2%80%A2%20Monto%20Total%3A%20%24%20593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85" Type="http://schemas.openxmlformats.org/officeDocument/2006/relationships/hyperlink" Target="https://drive.google.com/uc?export=download&amp;id=1E_7sh86YvoCBH7sIKPCHPiDm84vTZigY" TargetMode="External"/><Relationship Id="rId142" Type="http://schemas.openxmlformats.org/officeDocument/2006/relationships/hyperlink" Target="https://api.textmebot.com/send.php?recipient=5493413077374&amp;apikey=xoF6EUkK31se&amp;document=https%3A%2F%2Fdrive.google.com%2Ffile%2Fd%2F1JJbqUWUSzgwzCqMY5SFPo7dgd09QVU-p" TargetMode="External"/><Relationship Id="rId263" Type="http://schemas.openxmlformats.org/officeDocument/2006/relationships/hyperlink" Target="https://api.textmebot.com/send.php?recipient=5493492527138&amp;apikey=xoF6EUkK31se&amp;document=https%3A%2F%2Fdrive.google.com%2Ffile%2Fd%2F1amyFm-cm6JC2eK0cjOJmhltZY1xsysf8" TargetMode="External"/><Relationship Id="rId384" Type="http://schemas.openxmlformats.org/officeDocument/2006/relationships/hyperlink" Target="https://drive.google.com/uc?export=download&amp;id=1X9NE8N6NLvbGW5dz6YS4GcEbR5KdLo-A" TargetMode="External"/><Relationship Id="rId141" Type="http://schemas.openxmlformats.org/officeDocument/2006/relationships/hyperlink" Target="https://api.textmebot.com/send.php?recipient=5493425295451&amp;apikey=xoF6EUkK31se&amp;document=https%3A%2F%2Fdrive.google.com%2Ffile%2Fd%2F1Ot4hIG4-Au8WPchUEpEGduJw1Pc1GS34" TargetMode="External"/><Relationship Id="rId262" Type="http://schemas.openxmlformats.org/officeDocument/2006/relationships/hyperlink" Target="https://api.textmebot.com/send.php?recipient=5491164872810&amp;apikey=xoF6EUkK31se&amp;document=https%3A%2F%2Fdrive.google.com%2Ffile%2Fd%2F117QeFfsS4iEwV53uQRPMlnVREE38Rro8" TargetMode="External"/><Relationship Id="rId383" Type="http://schemas.openxmlformats.org/officeDocument/2006/relationships/hyperlink" Target="https://drive.google.com/uc?export=download&amp;id=1tEoaMp9HNoujcQjtMsxiMCe69DH9K4Vg" TargetMode="External"/><Relationship Id="rId140" Type="http://schemas.openxmlformats.org/officeDocument/2006/relationships/hyperlink" Target="https://api.textmebot.com/send.php?recipient=5493425295451&amp;apikey=xoF6EUkK31se&amp;document=https%3A%2F%2Fdrive.google.com%2Ffile%2Fd%2F15P9YDHf2dfu9ym3rF4Jw9S0ulLw7brcR" TargetMode="External"/><Relationship Id="rId261" Type="http://schemas.openxmlformats.org/officeDocument/2006/relationships/hyperlink" Target="https://api.textmebot.com/send.php?recipient=5491164872810&amp;apikey=xoF6EUkK31se&amp;document=https%3A%2F%2Fdrive.google.com%2Ffile%2Fd%2F1If-SrHV7hlZ5DN243cd0VYw7BhIE9nxr" TargetMode="External"/><Relationship Id="rId382" Type="http://schemas.openxmlformats.org/officeDocument/2006/relationships/hyperlink" Target="https://drive.google.com/uc?export=download&amp;id=1AM41YUNj1V2zKrV04mDNE_HoBFP_jGX8" TargetMode="External"/><Relationship Id="rId5" Type="http://schemas.openxmlformats.org/officeDocument/2006/relationships/hyperlink" Target="https://api.textmebot.com/send.php?recipient=5492267434320&amp;apikey=xoF6EUkK31se&amp;document=https%3A%2F%2Fdrive.google.com%2Ffile%2Fd%2F1VGm10HnRrlrtCsYLtJxNhEYPcbdDMBL_" TargetMode="External"/><Relationship Id="rId147" Type="http://schemas.openxmlformats.org/officeDocument/2006/relationships/hyperlink" Target="https://api.textmebot.com/send.php?recipient=5491171282725&amp;apikey=xoF6EUkK31se&amp;document=https%3A%2F%2Fdrive.google.com%2Ffile%2Fd%2F1XTAlXgVsR1XlpP7V5XPfcdVnEJunKj2B" TargetMode="External"/><Relationship Id="rId268" Type="http://schemas.openxmlformats.org/officeDocument/2006/relationships/hyperlink" Target="https://api.textmebot.com/send.php?recipient=5491171282725&amp;apikey=xoF6EUkK31se&amp;document=https%3A%2F%2Fdrive.google.com%2Ffile%2Fd%2F1b0J5slmL7m1-9e9yN-dcPhdo41isoT5E" TargetMode="External"/><Relationship Id="rId389" Type="http://schemas.openxmlformats.org/officeDocument/2006/relationships/hyperlink" Target="https://drive.google.com/uc?export=download&amp;id=1OAEx5DiHjP6DdAK6_VZazEqfM6SOkpzm" TargetMode="External"/><Relationship Id="rId6"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146" Type="http://schemas.openxmlformats.org/officeDocument/2006/relationships/hyperlink" Target="https://api.textmebot.com/send.php?recipient=5491171282725&amp;apikey=xoF6EUkK31se&amp;document=https%3A%2F%2Fdrive.google.com%2Ffile%2Fd%2F1VjL4j6s4NK1GJgOfSw0BF7ksxUdh_8Wu" TargetMode="External"/><Relationship Id="rId267" Type="http://schemas.openxmlformats.org/officeDocument/2006/relationships/hyperlink" Target="https://api.textmebot.com/send.php?recipient=5493424770891&amp;apikey=xoF6EUkK31se&amp;text=Hola%20Juan!%20%F0%9F%91%8B%20%0ATe%20env%C3%ADo%20la%20factura%20correspondiente%20por%20la%20prestaci%C3%B3n%20de%20servicios%20durante%20el%20per%C3%ADodo%2022%2F09%2F25%20al%2022%2F10%2F25.%20%0A%0A%F0%9F%93%8B%20*Detalles%20de%20la%20factura%3A*%20%0A%E2%80%A2%20N%C3%BAmero%3A%20%20%0A%E2%80%A2%20Fecha%20de%20Emisi%C3%B3n%3A%2027%2F10%2F25%20%0A%E2%80%A2%20Fecha%20de%20Vencimiento%3A%2006%2F11%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88" Type="http://schemas.openxmlformats.org/officeDocument/2006/relationships/hyperlink" Target="https://drive.google.com/uc?export=download&amp;id=1HvpMK6Ae8ERpaasWENDKvJDyGLSw2i8x" TargetMode="External"/><Relationship Id="rId7" Type="http://schemas.openxmlformats.org/officeDocument/2006/relationships/hyperlink" Target="https://api.textmebot.com/send.php?recipient=5493424770891&amp;apikey=xoF6EUkK31se&amp;document=https%3A%2F%2Fdrive.google.com%2Ffile%2Fd%2F1E-yr7cZCuTyx_rim4EVHHtKrI84dfa3w" TargetMode="External"/><Relationship Id="rId145" Type="http://schemas.openxmlformats.org/officeDocument/2006/relationships/hyperlink" Target="https://api.textmebot.com/send.php?recipient=5491164872810&amp;apikey=xoF6EUkK31se&amp;document=https%3A%2F%2Fdrive.google.com%2Ffile%2Fd%2F1p_FZ65awXx9sas9EWQwFN2UWH5F2mPKS" TargetMode="External"/><Relationship Id="rId266" Type="http://schemas.openxmlformats.org/officeDocument/2006/relationships/hyperlink" Target="https://api.textmebot.com/send.php?recipient=5493424770891&amp;apikey=xoF6EUkK31se&amp;document=https%3A%2F%2Fdrive.google.com%2Ffile%2Fd%2F1QMZNH_2pnKHQdXFADUpG-AY2gRzzQPFk" TargetMode="External"/><Relationship Id="rId387" Type="http://schemas.openxmlformats.org/officeDocument/2006/relationships/hyperlink" Target="https://drive.google.com/uc?export=download&amp;id=10l2504_nnITMKZTSMoA-UTjfMDJEmSRR" TargetMode="External"/><Relationship Id="rId8" Type="http://schemas.openxmlformats.org/officeDocument/2006/relationships/hyperlink" Target="https://api.textmebot.com/send.php?recipient=5493424770891&amp;apikey=xoF6EUkK31se&amp;document=https%3A%2F%2Fdrive.google.com%2Ffile%2Fd%2F147npmBcCA__d9T1N_fYCpvL0GZ0tuLcu" TargetMode="External"/><Relationship Id="rId144" Type="http://schemas.openxmlformats.org/officeDocument/2006/relationships/hyperlink" Target="https://api.textmebot.com/send.php?recipient=5493413077374&amp;apikey=xoF6EUkK31se&amp;text=Hola%20Noelia!%20%F0%9F%91%8B%20%0ATe%20env%C3%ADo%20la%20factura%20correspondiente%20por%20la%20prestaci%C3%B3n%20de%20servicios%20durante%20el%20per%C3%ADodo%2018%2F07%2F25%20al%2018%2F08%2F25.%20%0A%0A%F0%9F%93%8B%20*Detalles%20de%20la%20factura%3A*%20%0A%E2%80%A2%20N%C3%BAmero%3A%20193%20%0A%E2%80%A2%20Fecha%20de%20Emisi%C3%B3n%3A%2020%2F08%2F25%20%0A%E2%80%A2%20Fecha%20de%20Vencimiento%3A%2026%2F08%2F25%20%0A%E2%80%A2%20Monto%20Total%3A%20%24%2010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65" Type="http://schemas.openxmlformats.org/officeDocument/2006/relationships/hyperlink" Target="https://api.textmebot.com/send.php?recipient=5493424770891&amp;apikey=xoF6EUkK31se&amp;document=https%3A%2F%2Fdrive.google.com%2Ffile%2Fd%2F1ECqumtB9LutHdX9f6GGCXRwK2ec12K_k" TargetMode="External"/><Relationship Id="rId386" Type="http://schemas.openxmlformats.org/officeDocument/2006/relationships/hyperlink" Target="https://drive.google.com/uc?export=download&amp;id=1zThyIPtrTY5hrZgxiAIGcW3LUkPmh7Ur" TargetMode="External"/><Relationship Id="rId260" Type="http://schemas.openxmlformats.org/officeDocument/2006/relationships/hyperlink" Target="https://api.textmebot.com/send.php?recipient=5493425380483&amp;apikey=xoF6EUkK31se&amp;text=Hola%20Marketing!%20%F0%9F%91%8B%20%0ATe%20env%C3%ADo%20la%20factura%20correspondiente%20por%20la%20prestaci%C3%B3n%20de%20servicios%20durante%20el%20per%C3%ADodo%2016%2F09%2F25%20al%2016%2F10%2F25.%20%0A%0A%F0%9F%93%8B%20*Detalles%20de%20la%20factura%3A*%20%0A%E2%80%A2%20N%C3%BAmero%3A%20204%20%0A%E2%80%A2%20Fecha%20de%20Emisi%C3%B3n%3A%2022%2F10%2F25%20%0A%E2%80%A2%20Fecha%20de%20Vencimiento%3A%2003%2F11%2F25%20%0A%E2%80%A2%20Monto%20Total%3A%20%24%20151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81" Type="http://schemas.openxmlformats.org/officeDocument/2006/relationships/hyperlink" Target="https://drive.google.com/uc?export=download&amp;id=19KQw1r5JdlhJgqZ61Sc89-cJVtxJ_Cfx" TargetMode="External"/><Relationship Id="rId380" Type="http://schemas.openxmlformats.org/officeDocument/2006/relationships/hyperlink" Target="https://drive.google.com/uc?export=download&amp;id=1Kbb7I8rNHvvSeURprJkK-MtQugEUrgfA" TargetMode="External"/><Relationship Id="rId139" Type="http://schemas.openxmlformats.org/officeDocument/2006/relationships/hyperlink" Target="https://api.textmebot.com/send.php?recipient=5491164872810&amp;apikey=xoF6EUkK31se&amp;document=https%3A%2F%2Fdrive.google.com%2Ffile%2Fd%2F1Re_bvmR1JE4ArI7fYWWFf0iFVtTMjEN7" TargetMode="External"/><Relationship Id="rId138" Type="http://schemas.openxmlformats.org/officeDocument/2006/relationships/hyperlink" Target="https://api.textmebot.com/send.php?recipient=5491171282725&amp;apikey=xoF6EUkK31se&amp;document=https%3A%2F%2Fdrive.google.com%2Ffile%2Fd%2F1EwM-DWxmFSb4IZszLwIvavWK5-X10gMg" TargetMode="External"/><Relationship Id="rId259" Type="http://schemas.openxmlformats.org/officeDocument/2006/relationships/hyperlink" Target="https://api.textmebot.com/send.php?recipient=5493425380483&amp;apikey=xoF6EUkK31se&amp;document=https%3A%2F%2Fdrive.google.com%2Ffile%2Fd%2F1Xn_6duJ3d8G-NKW_nkGWs_DUpuUZnEtL" TargetMode="External"/><Relationship Id="rId137" Type="http://schemas.openxmlformats.org/officeDocument/2006/relationships/hyperlink" Target="https://api.textmebot.com/send.php?recipient=5491171282725&amp;apikey=xoF6EUkK31se&amp;document=https%3A%2F%2Fdrive.google.com%2Ffile%2Fd%2F1BDkw_UqZ9WKG9kRYI_aX95fmPq4JQNc8" TargetMode="External"/><Relationship Id="rId258" Type="http://schemas.openxmlformats.org/officeDocument/2006/relationships/hyperlink" Target="https://api.textmebot.com/send.php?recipient=5493425380483&amp;apikey=xoF6EUkK31se&amp;document=https%3A%2F%2Fdrive.google.com%2Ffile%2Fd%2F1fnAqoa1_mMFqcH7XksXgzv4zmLWezcbw" TargetMode="External"/><Relationship Id="rId379" Type="http://schemas.openxmlformats.org/officeDocument/2006/relationships/hyperlink" Target="https://drive.google.com/uc?export=download&amp;id=134mkZkWQucd3U4l3_uGcsajgqUEGghoh" TargetMode="External"/><Relationship Id="rId132" Type="http://schemas.openxmlformats.org/officeDocument/2006/relationships/hyperlink" Target="https://api.textmebot.com/send.php?recipient=5493425389073&amp;apikey=xoF6EUkK31se&amp;text=Hola%20Martin!%20%F0%9F%91%8B%20%0ATe%20env%C3%ADo%20la%20factura%20correspondiente%20por%20la%20prestaci%C3%B3n%20de%20servicios%20durante%20el%20per%C3%ADodo%2006%2F07%2F25%20al%2006%2F08%2F25.%20%0A%0A%F0%9F%93%8B%20*Detalles%20de%20la%20factura%3A*%20%0A%E2%80%A2%20N%C3%BAmero%3A%2047%20%0A%E2%80%A2%20Fecha%20de%20Emisi%C3%B3n%3A%2012%2F08%2F25%20%0A%E2%80%A2%20Fecha%20de%20Vencimiento%3A%2021%2F08%2F25%20%0A%E2%80%A2%20Monto%20Total%3A%20%24%20631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253" Type="http://schemas.openxmlformats.org/officeDocument/2006/relationships/hyperlink" Target="https://api.textmebot.com/send.php?recipient=5492665036264&amp;apikey=xoF6EUkK31se&amp;text=Hola%20Santiago!%20%F0%9F%91%8B%20%0ATe%20env%C3%ADo%20la%20factura%20correspondiente%20por%20la%20prestaci%C3%B3n%20de%20servicios%20durante%20el%20per%C3%ADodo%2015%2F09%2F25%20al%2015%2F10%2F25.%20%0A%0A%F0%9F%93%8B%20*Detalles%20de%20la%20factura%3A*%20%0A%E2%80%A2%20N%C3%BAmero%3A%20%20%0A%E2%80%A2%20Fecha%20de%20Emisi%C3%B3n%3A%2020%2F10%2F25%20%0A%E2%80%A2%20Fecha%20de%20Vencimiento%3A%2024%2F10%2F25%20%0A%E2%80%A2%20Monto%20Total%3A%20%24%20236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374" Type="http://schemas.openxmlformats.org/officeDocument/2006/relationships/hyperlink" Target="https://drive.google.com/uc?export=download&amp;id=1Cy4Xz5ET6sPyipiDLNMjjaS8ZqwM3dAm" TargetMode="External"/><Relationship Id="rId495" Type="http://schemas.openxmlformats.org/officeDocument/2006/relationships/hyperlink" Target="https://drive.google.com/uc?export=download&amp;id=1Y0ye0pBUxZpmDsUHOwAHPZKqB9G1JnYQ" TargetMode="External"/><Relationship Id="rId131" Type="http://schemas.openxmlformats.org/officeDocument/2006/relationships/hyperlink" Target="https://api.textmebot.com/send.php?recipient=5493425389073&amp;apikey=xoF6EUkK31se&amp;document=https%3A%2F%2Fdrive.google.com%2Ffile%2Fd%2F1KdIUaVL7YuPzhaMAGBMHMgYRwlHJ68aU" TargetMode="External"/><Relationship Id="rId252" Type="http://schemas.openxmlformats.org/officeDocument/2006/relationships/hyperlink" Target="https://api.textmebot.com/send.php?recipient=5492665036264&amp;apikey=xoF6EUkK31se&amp;document=https%3A%2F%2Fdrive.google.com%2Ffile%2Fd%2F1b0adcv9O6sjAg0p92iwl_LP2S3AUI-_R" TargetMode="External"/><Relationship Id="rId373" Type="http://schemas.openxmlformats.org/officeDocument/2006/relationships/hyperlink" Target="https://drive.google.com/uc?export=download&amp;id=1go07VIG8-MXbf-VbYDv6g2iJVukz8ux1" TargetMode="External"/><Relationship Id="rId494" Type="http://schemas.openxmlformats.org/officeDocument/2006/relationships/hyperlink" Target="https://drive.google.com/uc?export=download&amp;id=1vPJkUNSKlQIzOktfU2ZbWOXepiGflkTD" TargetMode="External"/><Relationship Id="rId130" Type="http://schemas.openxmlformats.org/officeDocument/2006/relationships/hyperlink" Target="https://api.textmebot.com/send.php?recipient=5493425389073&amp;apikey=xoF6EUkK31se&amp;document=https%3A%2F%2Fdrive.google.com%2Ffile%2Fd%2F15TBO3wFI-SQ-jUpAYYJUqtqSWRYbkvPc" TargetMode="External"/><Relationship Id="rId251" Type="http://schemas.openxmlformats.org/officeDocument/2006/relationships/hyperlink" Target="https://api.textmebot.com/send.php?recipient=5493425295451&amp;apikey=xoF6EUkK31se&amp;text=Hola%20Gonzalo!%20%F0%9F%91%8B%20%0ATe%20env%C3%ADo%20la%20factura%20correspondiente%20por%20la%20prestaci%C3%B3n%20de%20servicios%20durante%20el%20per%C3%ADodo%2028%2F08%2F25%20al%2028%2F09%2F25.%20%0A%0A%F0%9F%93%8B%20*Detalles%20de%20la%20factura%3A*%20%0A%E2%80%A2%20N%C3%BAmero%3A%20203%20%0A%E2%80%A2%20Fecha%20de%20Emisi%C3%B3n%3A%2020%2F10%2F25%20%0A%E2%80%A2%20Fecha%20de%20Vencimiento%3A%2029%2F10%2F25%20%0A%E2%80%A2%20Monto%20Total%3A%20%24%20950000.%0A%20%20%0A%0A%F0%9F%92%BC%20*Cuenta%20para%20el%20dep%C3%B3sito%3A*Te%20agradecer%C3%ADa%20si%20me%20confirm%C3%A1s%20la%20recepci%C3%B3n%20y%20me%20avis%C3%A1s%20una%20fecha%20estimada%20de%20pago.%20%F0%9F%98%8A%20%0A%0ADesde%20ya%2C%20muchas%20gracias!" TargetMode="External"/><Relationship Id="rId372" Type="http://schemas.openxmlformats.org/officeDocument/2006/relationships/hyperlink" Target="https://drive.google.com/uc?export=download&amp;id=1Nyxqp9yLNMintYAMoRjP7swR6RgBniRJ" TargetMode="External"/><Relationship Id="rId493" Type="http://schemas.openxmlformats.org/officeDocument/2006/relationships/hyperlink" Target="https://drive.google.com/uc?export=download&amp;id=104Va2inmgD_SrdL6W6CY3zCqGjlmhxWn" TargetMode="External"/><Relationship Id="rId250" Type="http://schemas.openxmlformats.org/officeDocument/2006/relationships/hyperlink" Target="https://api.textmebot.com/send.php?recipient=5493425295451&amp;apikey=xoF6EUkK31se&amp;document=https%3A%2F%2Fdrive.google.com%2Ffile%2Fd%2F1tehsQZ1n2RFZwxQoD82Eu-6PaT8Bhqz5" TargetMode="External"/><Relationship Id="rId371" Type="http://schemas.openxmlformats.org/officeDocument/2006/relationships/hyperlink" Target="https://drive.google.com/uc?export=download&amp;id=1beSjxHgeRt7btvQUtmuqgkNmbXAN591g" TargetMode="External"/><Relationship Id="rId492" Type="http://schemas.openxmlformats.org/officeDocument/2006/relationships/hyperlink" Target="https://drive.google.com/uc?export=download&amp;id=13IQcnN5srCNlrpE1SWtM_KE2hnEVgKQX" TargetMode="External"/><Relationship Id="rId136" Type="http://schemas.openxmlformats.org/officeDocument/2006/relationships/hyperlink" Target="https://api.textmebot.com/send.php?recipient=5491164872810&amp;apikey=xoF6EUkK31se&amp;document=https%3A%2F%2Fdrive.google.com%2Ffile%2Fd%2F1p_FZ65awXx9sas9EWQwFN2UWH5F2mPKS" TargetMode="External"/><Relationship Id="rId257" Type="http://schemas.openxmlformats.org/officeDocument/2006/relationships/hyperlink" Target="https://api.textmebot.com/send.php?recipient=5493425389073&amp;apikey=xoF6EUkK31se&amp;document=https%3A%2F%2Fdrive.google.com%2Ffile%2Fd%2F1Mf2zJVJeSpA5AnxV6_UhP5TFMHqFQcd7" TargetMode="External"/><Relationship Id="rId378" Type="http://schemas.openxmlformats.org/officeDocument/2006/relationships/hyperlink" Target="https://drive.google.com/uc?export=download&amp;id=10LvyziZ2rgSN3DcwDLaYyg1N7kq9l4Jm" TargetMode="External"/><Relationship Id="rId499" Type="http://schemas.openxmlformats.org/officeDocument/2006/relationships/hyperlink" Target="https://drive.google.com/uc?export=download&amp;id=1rXj2rknUbhlQEcxw3lCYB6hjEL8UV77r" TargetMode="External"/><Relationship Id="rId135" Type="http://schemas.openxmlformats.org/officeDocument/2006/relationships/hyperlink" Target="https://api.textmebot.com/send.php?recipient=5493424791582&amp;apikey=xoF6EUkK31se&amp;text=Hola%20Pablo!%20%F0%9F%91%8B%20%0ATe%20env%C3%ADo%20la%20factura%20correspondiente%20por%20la%20prestaci%C3%B3n%20de%20servicios%20durante%20el%20per%C3%ADodo%2008%2F07%2F25%20al%2008%2F08%2F25.%20%0A%0A%F0%9F%93%8B%20*Detalles%20de%20la%20factura%3A*%20%0A%E2%80%A2%20N%C3%BAmero%3A%20192%20%0A%E2%80%A2%20Fecha%20de%20Emisi%C3%B3n%3A%2012%2F08%2F25%20%0A%E2%80%A2%20Fecha%20de%20Vencimiento%3A%2020%2F08%2F25%20%0A%E2%80%A2%20Monto%20Total%3A%20%24%201274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56" Type="http://schemas.openxmlformats.org/officeDocument/2006/relationships/hyperlink" Target="https://api.textmebot.com/send.php?recipient=5493425389073&amp;apikey=xoF6EUkK31se&amp;document=https%3A%2F%2Fdrive.google.com%2Ffile%2Fd%2F1BT6H-eyi5ZpD7X43KvbnVNX5lnfPgmgr" TargetMode="External"/><Relationship Id="rId377" Type="http://schemas.openxmlformats.org/officeDocument/2006/relationships/hyperlink" Target="https://drive.google.com/uc?export=download&amp;id=1eqSqSHQ9NWfTBJx4D7u6GvlE9VTRaPXU" TargetMode="External"/><Relationship Id="rId498" Type="http://schemas.openxmlformats.org/officeDocument/2006/relationships/hyperlink" Target="https://drive.google.com/uc?export=download&amp;id=1PnptARwD8gxV28vUk_t9SdDbbi87z3he" TargetMode="External"/><Relationship Id="rId134" Type="http://schemas.openxmlformats.org/officeDocument/2006/relationships/hyperlink" Target="https://api.textmebot.com/send.php?recipient=5493424791582&amp;apikey=xoF6EUkK31se&amp;document=https%3A%2F%2Fdrive.google.com%2Ffile%2Fd%2F1MJlsZmgSnMGVfTEsZ0pdiizg_PFsYfC_" TargetMode="External"/><Relationship Id="rId255" Type="http://schemas.openxmlformats.org/officeDocument/2006/relationships/hyperlink" Target="https://api.textmebot.com/send.php?recipient=5493424791582&amp;apikey=xoF6EUkK31se&amp;document=https%3A%2F%2Fdrive.google.com%2Ffile%2Fd%2F11i8Qd2Rn6ZSjgPJvfkjVKExuZArw1dS1" TargetMode="External"/><Relationship Id="rId376" Type="http://schemas.openxmlformats.org/officeDocument/2006/relationships/hyperlink" Target="https://drive.google.com/uc?export=download&amp;id=16mL0VauyhWfGXODz-WpCDSbQzAZRBXqV" TargetMode="External"/><Relationship Id="rId497" Type="http://schemas.openxmlformats.org/officeDocument/2006/relationships/hyperlink" Target="https://drive.google.com/uc?export=download&amp;id=1Zm9V3JnVA8TM08iiHzTauXxw5OlkbzH5" TargetMode="External"/><Relationship Id="rId133" Type="http://schemas.openxmlformats.org/officeDocument/2006/relationships/hyperlink" Target="https://api.textmebot.com/send.php?recipient=5493424791582&amp;apikey=xoF6EUkK31se&amp;document=https%3A%2F%2Fdrive.google.com%2Ffile%2Fd%2F1URHhxc74Gm3OyOAqJ5tJOl9CSggxZguN" TargetMode="External"/><Relationship Id="rId254" Type="http://schemas.openxmlformats.org/officeDocument/2006/relationships/hyperlink" Target="https://api.textmebot.com/send.php?recipient=5493424791582&amp;apikey=xoF6EUkK31se&amp;document=https%3A%2F%2Fdrive.google.com%2Ffile%2Fd%2F1fhgBbRQtyNiqCdxhNIb4wa-kHgsMGviD" TargetMode="External"/><Relationship Id="rId375" Type="http://schemas.openxmlformats.org/officeDocument/2006/relationships/hyperlink" Target="https://api.textmebot.com/send.php?recipient=5493425225459&amp;apikey=xoF6EUkK31se&amp;text=Hola%20Ignacio!%20%F0%9F%91%8B%20%0ATe%20env%C3%ADo%20la%20factura%20correspondiente%20por%20la%20prestaci%C3%B3n%20de%20servicios%20durante%20el%20per%C3%ADodo%2004%2F11%2F25%20al%2004%2F12%2F25.%20%0A%0A%F0%9F%93%8B%20*Detalles%20de%20la%20factura%3A*%20%0A%E2%80%A2%20N%C3%BAmero%3A%2063%20%0A%E2%80%A2%20Fecha%20de%20Emisi%C3%B3n%3A%2009%2F12%2F25%20%0A%E2%80%A2%20Fecha%20de%20Vencimiento%3A%2016%2F12%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496" Type="http://schemas.openxmlformats.org/officeDocument/2006/relationships/hyperlink" Target="https://drive.google.com/uc?export=download&amp;id=1FeHmROGTHDGdpMXPgOln0xiinKY6GsWm" TargetMode="External"/><Relationship Id="rId172" Type="http://schemas.openxmlformats.org/officeDocument/2006/relationships/hyperlink" Target="https://api.textmebot.com/send.php?recipient=5493493661975&amp;apikey=xoF6EUkK31se&amp;document=https%3A%2F%2Fdrive.google.com%2Ffile%2Fd%2F1fOsMfIVeBQ3AA8mk6dOkHz3VXQrzmPeA" TargetMode="External"/><Relationship Id="rId293" Type="http://schemas.openxmlformats.org/officeDocument/2006/relationships/hyperlink" Target="https://api.textmebot.com/send.php?recipient=5493425389073&amp;apikey=xoF6EUkK31se&amp;document=https%3A%2F%2Fdrive.google.com%2Ffile%2Fd%2F1H_wdOSRkL17NxoL20NNCwQrfrklsPYGi" TargetMode="External"/><Relationship Id="rId171" Type="http://schemas.openxmlformats.org/officeDocument/2006/relationships/hyperlink" Target="https://api.textmebot.com/send.php?recipient=5491164872810&amp;apikey=xoF6EUkK31se&amp;document=https%3A%2F%2Fdrive.google.com%2Ffile%2Fd%2F1Re_bvmR1JE4ArI7fYWWFf0iFVtTMjEN7" TargetMode="External"/><Relationship Id="rId292" Type="http://schemas.openxmlformats.org/officeDocument/2006/relationships/hyperlink" Target="https://api.textmebot.com/send.php?recipient=5493424791582&amp;apikey=xoF6EUkK31se&amp;text=Hola%20Pablo!%20%F0%9F%91%8B%20%0ATe%20env%C3%ADo%20la%20factura%20correspondiente%20por%20la%20prestaci%C3%B3n%20de%20servicios%20durante%20el%20per%C3%ADodo%2008%2F10%2F25%20al%2008%2F11%2F25.%20%0A%0A%F0%9F%93%8B%20*Detalles%20de%20la%20factura%3A*%20%0A%E2%80%A2%20N%C3%BAmero%3A%20208%20%0A%E2%80%A2%20Fecha%20de%20Emisi%C3%B3n%3A%2010%2F11%2F25%20%0A%E2%80%A2%20Fecha%20de%20Vencimiento%3A%2018%2F11%2F25%20%0A%E2%80%A2%20Monto%20Total%3A%20%24%201342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70" Type="http://schemas.openxmlformats.org/officeDocument/2006/relationships/hyperlink" Target="https://api.textmebot.com/send.php?recipient=5493424791582&amp;apikey=xoF6EUkK31se&amp;text=Hola%20Pablo!%20%F0%9F%91%8B%20%0ATe%20env%C3%ADo%20la%20factura%20correspondiente%20por%20la%20prestaci%C3%B3n%20de%20servicios%20durante%20el%20per%C3%ADodo%2008%2F08%2F25%20al%2008%2F09%2F25.%20%0A%0A%F0%9F%93%8B%20*Detalles%20de%20la%20factura%3A*%20%0A%E2%80%A2%20N%C3%BAmero%3A%20197%20%0A%E2%80%A2%20Fecha%20de%20Emisi%C3%B3n%3A%2009%2F09%2F25%20%0A%E2%80%A2%20Fecha%20de%20Vencimiento%3A%2017%2F09%2F25%20%0A%E2%80%A2%20Monto%20Total%3A%20%24%201274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91" Type="http://schemas.openxmlformats.org/officeDocument/2006/relationships/hyperlink" Target="https://api.textmebot.com/send.php?recipient=5493424791582&amp;apikey=xoF6EUkK31se&amp;document=https%3A%2F%2Fdrive.google.com%2Ffile%2Fd%2F1qCXaboA-Xlbvu9pagwdccrLkPv0nCJnX" TargetMode="External"/><Relationship Id="rId290" Type="http://schemas.openxmlformats.org/officeDocument/2006/relationships/hyperlink" Target="https://api.textmebot.com/send.php?recipient=5493424791582&amp;apikey=xoF6EUkK31se&amp;document=https%3A%2F%2Fdrive.google.com%2Ffile%2Fd%2F1FMGe9GP3WFVNcaHXpRQ52S9AlEjNVIka" TargetMode="External"/><Relationship Id="rId165" Type="http://schemas.openxmlformats.org/officeDocument/2006/relationships/hyperlink" Target="https://api.textmebot.com/send.php?recipient=5491171282725&amp;apikey=xoF6EUkK31se&amp;document=https%3A%2F%2Fdrive.google.com%2Ffile%2Fd%2F1stQ1DzY9zyE5j96xxQZaR8su6_SN2BWO" TargetMode="External"/><Relationship Id="rId286" Type="http://schemas.openxmlformats.org/officeDocument/2006/relationships/hyperlink" Target="https://api.textmebot.com/send.php?recipient=5491164872810&amp;apikey=xoF6EUkK31se&amp;document=https%3A%2F%2Fdrive.google.com%2Ffile%2Fd%2F1If-SrHV7hlZ5DN243cd0VYw7BhIE9nxr" TargetMode="External"/><Relationship Id="rId164" Type="http://schemas.openxmlformats.org/officeDocument/2006/relationships/hyperlink" Target="https://api.textmebot.com/send.php?recipient=5493425380483&amp;apikey=xoF6EUkK31se&amp;text=Hola%20Marketing!%20%F0%9F%91%8B%20%0ATe%20env%C3%ADo%20la%20factura%20correspondiente%20por%20la%20prestaci%C3%B3n%20de%20servicios%20durante%20el%20per%C3%ADodo%2017%2F07%2F25%20al%2017%2F08%2F25.%20%0A%0A%F0%9F%93%8B%20*Detalles%20de%20la%20factura%3A*%20%0A%E2%80%A2%20N%C3%BAmero%3A%20196%20%0A%E2%80%A2%20Fecha%20de%20Emisi%C3%B3n%3A%2003%2F09%2F25%20%0A%E2%80%A2%20Fecha%20de%20Vencimiento%3A%2015%2F09%2F25%20%0A%E2%80%A2%20Monto%20Total%3A%20%24%20148000.%0A%20%20%0A%0A%F0%9F%92%BC%20*Cuenta%20para%20el%20dep%C3%B3sito%3A*Te%20agradecer%C3%ADa%20si%20me%20confirm%C3%A1s%20la%20recepci%C3%B3n%20y%20me%20avis%C3%A1s%20una%20fecha%20estimada%20de%20pago.%20%F0%9F%98%8A%20%0A%0ADesde%20ya%2C%20muchas%20gracias!" TargetMode="External"/><Relationship Id="rId285" Type="http://schemas.openxmlformats.org/officeDocument/2006/relationships/hyperlink" Target="https://api.textmebot.com/send.php?recipient=5491171282725&amp;apikey=xoF6EUkK31se&amp;document=https%3A%2F%2Fdrive.google.com%2Ffile%2Fd%2F1aQs34noU9M9USEn5wL08tsHN-m7XQLri" TargetMode="External"/><Relationship Id="rId163" Type="http://schemas.openxmlformats.org/officeDocument/2006/relationships/hyperlink" Target="https://api.textmebot.com/send.php?recipient=5493425380483&amp;apikey=xoF6EUkK31se&amp;document=https%3A%2F%2Fdrive.google.com%2Ffile%2Fd%2F16BA9vzMqo_h57TYjFdLAql15Q9UogBVE" TargetMode="External"/><Relationship Id="rId284" Type="http://schemas.openxmlformats.org/officeDocument/2006/relationships/hyperlink" Target="https://api.textmebot.com/send.php?recipient=5491171282725&amp;apikey=xoF6EUkK31se&amp;document=https%3A%2F%2Fdrive.google.com%2Ffile%2Fd%2F1b0J5slmL7m1-9e9yN-dcPhdo41isoT5E" TargetMode="External"/><Relationship Id="rId162" Type="http://schemas.openxmlformats.org/officeDocument/2006/relationships/hyperlink" Target="https://api.textmebot.com/send.php?recipient=5493425380483&amp;apikey=xoF6EUkK31se&amp;document=https%3A%2F%2Fdrive.google.com%2Ffile%2Fd%2F1heR5mEeqBYfof-i-dWXN0Us0z7ESX5iA" TargetMode="External"/><Relationship Id="rId283" Type="http://schemas.openxmlformats.org/officeDocument/2006/relationships/hyperlink" Target="https://api.textmebot.com/send.php?recipient=5493498478357&amp;apikey=xoF6EUkK31se&amp;text=Hola%20Marcelo!%20%F0%9F%91%8B%20%0ATe%20env%C3%ADo%20la%20factura%20correspondiente%20por%20la%20prestaci%C3%B3n%20de%20servicios%20durante%20el%20per%C3%ADodo%2001%2F10%2F25%20al%2001%2F11%2F25.%20%0A%0A%F0%9F%93%8B%20*Detalles%20de%20la%20factura%3A*%20%0A%E2%80%A2%20N%C3%BAmero%3A%20207%20%0A%E2%80%A2%20Fecha%20de%20Emisi%C3%B3n%3A%2004%2F11%2F25%20%0A%E2%80%A2%20Fecha%20de%20Vencimiento%3A%2011%2F11%2F25%20%0A%E2%80%A2%20Monto%20Total%3A%20%24%2097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69" Type="http://schemas.openxmlformats.org/officeDocument/2006/relationships/hyperlink" Target="https://api.textmebot.com/send.php?recipient=5493424791582&amp;apikey=xoF6EUkK31se&amp;document=https%3A%2F%2Fdrive.google.com%2Ffile%2Fd%2F11-UT0TbOmWGrLAZ3PmyL6kIpHLFrxaDC" TargetMode="External"/><Relationship Id="rId168" Type="http://schemas.openxmlformats.org/officeDocument/2006/relationships/hyperlink" Target="https://api.textmebot.com/send.php?recipient=5493424791582&amp;apikey=xoF6EUkK31se&amp;document=https%3A%2F%2Fdrive.google.com%2Ffile%2Fd%2F1xcksCBZ00NDU3vgqUGb1GeNN5slFFqEl" TargetMode="External"/><Relationship Id="rId289" Type="http://schemas.openxmlformats.org/officeDocument/2006/relationships/hyperlink" Target="https://api.textmebot.com/send.php?recipient=5493521639222&amp;apikey=xoF6EUkK31se&amp;text=Hola%20Alan!%20%F0%9F%91%8B%20%0ATe%20env%C3%ADo%20la%20factura%20correspondiente%20por%20la%20prestaci%C3%B3n%20de%20servicios%20durante%20el%20per%C3%ADodo%2007%2F10%2F25%20al%2007%2F11%2F25.%20%0A%0A%F0%9F%93%8B%20*Detalles%20de%20la%20factura%3A*%20%0A%E2%80%A2%20N%C3%BAmero%3A%2059%20%0A%E2%80%A2%20Fecha%20de%20Emisi%C3%B3n%3A%2010%2F11%2F25%20%0A%E2%80%A2%20Fecha%20de%20Vencimiento%3A%2017%2F11%2F25%20%0A%E2%80%A2%20Monto%20Total%3A%20%24%20459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167" Type="http://schemas.openxmlformats.org/officeDocument/2006/relationships/hyperlink" Target="https://api.textmebot.com/send.php?recipient=5491171282725&amp;apikey=xoF6EUkK31se&amp;text=Hola%20Martin!%20%F0%9F%91%8B%20%0ATe%20env%C3%ADo%20la%20factura%20correspondiente%20por%20la%20prestaci%C3%B3n%20de%20servicios%20durante%20el%20per%C3%ADodo%2001%2F08%2F25%20al%2001%2F09%2F25.%20%0A%0A%F0%9F%93%8B%20*Detalles%20de%20la%20factura%3A*%20%0A%E2%80%A2%20N%C3%BAmero%3A%2048%20%0A%E2%80%A2%20Fecha%20de%20Emisi%C3%B3n%3A%2003%2F09%2F25%20%0A%E2%80%A2%20Fecha%20de%20Vencimiento%3A%2010%2F09%2F25%20%0A%E2%80%A2%20Monto%20Total%3A%20%24%2029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288" Type="http://schemas.openxmlformats.org/officeDocument/2006/relationships/hyperlink" Target="https://api.textmebot.com/send.php?recipient=5493521639222&amp;apikey=xoF6EUkK31se&amp;document=https%3A%2F%2Fdrive.google.com%2Ffile%2Fd%2F1EKkklvUK-7mlYRWPgUN98lM2GTDIQ9uR" TargetMode="External"/><Relationship Id="rId166" Type="http://schemas.openxmlformats.org/officeDocument/2006/relationships/hyperlink" Target="https://api.textmebot.com/send.php?recipient=5491171282725&amp;apikey=xoF6EUkK31se&amp;document=https%3A%2F%2Fdrive.google.com%2Ffile%2Fd%2F1cbHCIeJWOCH2BEtqykBVY5lNXpHq9qSW" TargetMode="External"/><Relationship Id="rId287" Type="http://schemas.openxmlformats.org/officeDocument/2006/relationships/hyperlink" Target="https://api.textmebot.com/send.php?recipient=5493521639222&amp;apikey=xoF6EUkK31se&amp;document=https%3A%2F%2Fdrive.google.com%2Ffile%2Fd%2F1ALl3i7qvb74mZBh3oSAGkqXwYn2j6Yq4" TargetMode="External"/><Relationship Id="rId161" Type="http://schemas.openxmlformats.org/officeDocument/2006/relationships/hyperlink" Target="https://api.textmebot.com/send.php?recipient=5493425468752&amp;apikey=xoF6EUkK31se&amp;text=Hola%20Luciano!%20%F0%9F%91%8B%20%0ATe%20env%C3%ADo%20la%20factura%20correspondiente%20por%20la%20prestaci%C3%B3n%20de%20servicios%20durante%20el%20per%C3%ADodo%2001%2F08%2F25%20al%2001%2F09%2F25.%20%0A%0A%F0%9F%93%8B%20*Detalles%20de%20la%20factura%3A*%20%0A%E2%80%A2%20N%C3%BAmero%3A%20%20%0A%E2%80%A2%20Fecha%20de%20Emisi%C3%B3n%3A%2003%2F09%2F25%20%0A%E2%80%A2%20Fecha%20de%20Vencimiento%3A%2010%2F09%2F25%20%0A%E2%80%A2%20Monto%20Total%3A%20%24%2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82" Type="http://schemas.openxmlformats.org/officeDocument/2006/relationships/hyperlink" Target="https://api.textmebot.com/send.php?recipient=5493498478357&amp;apikey=xoF6EUkK31se&amp;document=https%3A%2F%2Fdrive.google.com%2Ffile%2Fd%2F1SM4q7mLDDzU0gHVjs95gZ3RkYxuweJc_" TargetMode="External"/><Relationship Id="rId160" Type="http://schemas.openxmlformats.org/officeDocument/2006/relationships/hyperlink" Target="https://api.textmebot.com/send.php?recipient=5493425468752&amp;apikey=xoF6EUkK31se&amp;document=https%3A%2F%2Fdrive.google.com%2Ffile%2Fd%2F1M01DZMkXKuI_sHnZAOrhPql1RA1PpqmG" TargetMode="External"/><Relationship Id="rId281" Type="http://schemas.openxmlformats.org/officeDocument/2006/relationships/hyperlink" Target="https://api.textmebot.com/send.php?recipient=5493498478357&amp;apikey=xoF6EUkK31se&amp;document=https%3A%2F%2Fdrive.google.com%2Ffile%2Fd%2F1QMxC53QO_kyB-t5k1aOVOnQXppq2LYf-" TargetMode="External"/><Relationship Id="rId280" Type="http://schemas.openxmlformats.org/officeDocument/2006/relationships/hyperlink" Target="https://api.textmebot.com/send.php?recipient=5491166128341&amp;apikey=xoF6EUkK31se&amp;text=Hola%20Sergio!%20%F0%9F%91%8B%20%0ATe%20env%C3%ADo%20la%20factura%20correspondiente%20por%20la%20prestaci%C3%B3n%20de%20servicios%20durante%20el%20per%C3%ADodo%2018%2F10%2F25%20al%2019%2F11%2F25.%20%0A%0A%F0%9F%93%8B%20*Detalles%20de%20la%20factura%3A*%20%0A%E2%80%A2%20N%C3%BAmero%3A%20206%20%0A%E2%80%A2%20Fecha%20de%20Emisi%C3%B3n%3A%2004%2F11%2F25%20%0A%E2%80%A2%20Fecha%20de%20Vencimiento%3A%2010%2F11%2F25%20%0A%E2%80%A2%20Monto%20Total%3A%20%24%207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59" Type="http://schemas.openxmlformats.org/officeDocument/2006/relationships/hyperlink" Target="https://api.textmebot.com/send.php?recipient=5493425295451&amp;apikey=xoF6EUkK31se&amp;text=Hola%20Gonzalo!%20%F0%9F%91%8B%20%0ATe%20env%C3%ADo%20la%20factura%20correspondiente%20por%20la%20prestaci%C3%B3n%20de%20servicios%20durante%20el%20per%C3%ADodo%2028%2F07%2F25%20al%2028%2F08%2F25.%20%0A%0A%F0%9F%93%8B%20*Detalles%20de%20la%20factura%3A*%20%0A%E2%80%A2%20N%C3%BAmero%3A%20195%20%0A%E2%80%A2%20Fecha%20de%20Emisi%C3%B3n%3A%2003%2F09%2F25%20%0A%E2%80%A2%20Fecha%20de%20Vencimiento%3A%2012%2F09%2F25%20%0A%E2%80%A2%20Monto%20Total%3A%20%24%20691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54" Type="http://schemas.openxmlformats.org/officeDocument/2006/relationships/hyperlink" Target="https://api.textmebot.com/send.php?recipient=5493492527138&amp;apikey=xoF6EUkK31se&amp;document=https%3A%2F%2Fdrive.google.com%2Ffile%2Fd%2F1KcFm2KSj6OX9ntuGlovdh45dE52tOHJP" TargetMode="External"/><Relationship Id="rId275" Type="http://schemas.openxmlformats.org/officeDocument/2006/relationships/hyperlink" Target="https://api.textmebot.com/send.php?recipient=5493425225459&amp;apikey=xoF6EUkK31se&amp;document=https%3A%2F%2Fdrive.google.com%2Ffile%2Fd%2F1gkwW8402UYGDSsGxPW4ITzmiJddQvmNb" TargetMode="External"/><Relationship Id="rId396" Type="http://schemas.openxmlformats.org/officeDocument/2006/relationships/hyperlink" Target="https://drive.google.com/uc?export=download&amp;id=1e5ePtKS59O_b7NKApAZqlikjvuKdF7xy" TargetMode="External"/><Relationship Id="rId153" Type="http://schemas.openxmlformats.org/officeDocument/2006/relationships/hyperlink" Target="https://api.textmebot.com/send.php?recipient=5491164872810&amp;apikey=xoF6EUkK31se&amp;document=https%3A%2F%2Fdrive.google.com%2Ffile%2Fd%2F1Re_bvmR1JE4ArI7fYWWFf0iFVtTMjEN7" TargetMode="External"/><Relationship Id="rId274" Type="http://schemas.openxmlformats.org/officeDocument/2006/relationships/hyperlink" Target="https://api.textmebot.com/send.php?recipient=5493425295451&amp;apikey=xoF6EUkK31se&amp;document=https%3A%2F%2Fdrive.google.com%2Ffile%2Fd%2F1tehsQZ1n2RFZwxQoD82Eu-6PaT8Bhqz5" TargetMode="External"/><Relationship Id="rId395" Type="http://schemas.openxmlformats.org/officeDocument/2006/relationships/hyperlink" Target="https://drive.google.com/uc?export=download&amp;id=1ypcxNebEUFoqDiC8NJKcP7GKh22po0GA" TargetMode="External"/><Relationship Id="rId152" Type="http://schemas.openxmlformats.org/officeDocument/2006/relationships/hyperlink" Target="https://api.textmebot.com/send.php?recipient=5493424770891&amp;apikey=xoF6EUkK31se&amp;text=Hola%20Juan!%20%F0%9F%91%8B%20%0ATe%20env%C3%ADo%20la%20factura%20correspondiente%20por%20la%20prestaci%C3%B3n%20de%20servicios%20durante%20el%20per%C3%ADodo%2023%2F07%2F25%20al%2023%2F08%2F25.%20%0A%0A%F0%9F%93%8B%20*Detalles%20de%20la%20factura%3A*%20%0A%E2%80%A2%20N%C3%BAmero%3A%20194%20%0A%E2%80%A2%20Fecha%20de%20Emisi%C3%B3n%3A%2025%2F08%2F25%20%0A%E2%80%A2%20Fecha%20de%20Vencimiento%3A%2004%2F09%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73" Type="http://schemas.openxmlformats.org/officeDocument/2006/relationships/hyperlink" Target="https://api.textmebot.com/send.php?recipient=5493425295451&amp;apikey=xoF6EUkK31se&amp;document=https%3A%2F%2Fdrive.google.com%2Ffile%2Fd%2F1Ve483u4VsUGjTTOjLrVeV_MmsqIFiAHz" TargetMode="External"/><Relationship Id="rId394" Type="http://schemas.openxmlformats.org/officeDocument/2006/relationships/hyperlink" Target="https://drive.google.com/uc?export=download&amp;id=1fN6QDCsSaBvqPqTGdhwjXDewkbB-SxKH" TargetMode="External"/><Relationship Id="rId151" Type="http://schemas.openxmlformats.org/officeDocument/2006/relationships/hyperlink" Target="https://api.textmebot.com/send.php?recipient=5493424770891&amp;apikey=xoF6EUkK31se&amp;document=https%3A%2F%2Fdrive.google.com%2Ffile%2Fd%2F1MpC4e92KGrW-mm4LxlXwMfT3hLcUikmh" TargetMode="External"/><Relationship Id="rId272" Type="http://schemas.openxmlformats.org/officeDocument/2006/relationships/hyperlink" Target="https://api.textmebot.com/send.php?recipient=5491164872810&amp;apikey=xoF6EUkK31se&amp;document=https%3A%2F%2Fdrive.google.com%2Ffile%2Fd%2F1If-SrHV7hlZ5DN243cd0VYw7BhIE9nxr" TargetMode="External"/><Relationship Id="rId393" Type="http://schemas.openxmlformats.org/officeDocument/2006/relationships/hyperlink" Target="https://drive.google.com/uc?export=download&amp;id=1WSp3QPEIWkC8lc8a8EN6spGQtz1V4jjL" TargetMode="External"/><Relationship Id="rId158" Type="http://schemas.openxmlformats.org/officeDocument/2006/relationships/hyperlink" Target="https://api.textmebot.com/send.php?recipient=5493425295451&amp;apikey=xoF6EUkK31se&amp;document=https%3A%2F%2Fdrive.google.com%2Ffile%2Fd%2F1oJZg-qwsWXOt2DsEfBrKnXCDAEgXV8ZN" TargetMode="External"/><Relationship Id="rId279" Type="http://schemas.openxmlformats.org/officeDocument/2006/relationships/hyperlink" Target="https://api.textmebot.com/send.php?recipient=5491166128341&amp;apikey=xoF6EUkK31se&amp;document=https%3A%2F%2Fdrive.google.com%2Ffile%2Fd%2F1CBGcRjzpPHnzOpAjNnXsqkTIXhWiBu6I" TargetMode="External"/><Relationship Id="rId157" Type="http://schemas.openxmlformats.org/officeDocument/2006/relationships/hyperlink" Target="https://api.textmebot.com/send.php?recipient=5493425295451&amp;apikey=xoF6EUkK31se&amp;document=https%3A%2F%2Fdrive.google.com%2Ffile%2Fd%2F1qRVGqPqrHm5QoExb2zQgeb6Z-v8pIPM9" TargetMode="External"/><Relationship Id="rId278" Type="http://schemas.openxmlformats.org/officeDocument/2006/relationships/hyperlink" Target="https://api.textmebot.com/send.php?recipient=5491166128341&amp;apikey=xoF6EUkK31se&amp;document=https%3A%2F%2Fdrive.google.com%2Ffile%2Fd%2F1QLm-Nae8wBVwmnmNGyJK_C6C-lWZPAuL" TargetMode="External"/><Relationship Id="rId399" Type="http://schemas.openxmlformats.org/officeDocument/2006/relationships/hyperlink" Target="https://drive.google.com/uc?export=download&amp;id=1E_7sh86YvoCBH7sIKPCHPiDm84vTZigY" TargetMode="External"/><Relationship Id="rId156" Type="http://schemas.openxmlformats.org/officeDocument/2006/relationships/hyperlink" Target="https://api.textmebot.com/send.php?recipient=5491164872810&amp;apikey=xoF6EUkK31se&amp;document=https%3A%2F%2Fdrive.google.com%2Ffile%2Fd%2F1Re_bvmR1JE4ArI7fYWWFf0iFVtTMjEN7" TargetMode="External"/><Relationship Id="rId277" Type="http://schemas.openxmlformats.org/officeDocument/2006/relationships/hyperlink" Target="https://api.textmebot.com/send.php?recipient=5493425225459&amp;apikey=xoF6EUkK31se&amp;text=Hola%20Ignacio!%20%F0%9F%91%8B%20%0ATe%20env%C3%ADo%20la%20factura%20correspondiente%20por%20la%20prestaci%C3%B3n%20de%20servicios%20durante%20el%20per%C3%ADodo%2004%2F10%2F25%20al%2004%2F11%2F25.%20%0A%0A%F0%9F%93%8B%20*Detalles%20de%20la%20factura%3A*%20%0A%E2%80%A2%20N%C3%BAmero%3A%2058%20%0A%E2%80%A2%20Fecha%20de%20Emisi%C3%B3n%3A%2004%2F11%2F25%20%0A%E2%80%A2%20Fecha%20de%20Vencimiento%3A%2011%2F11%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398" Type="http://schemas.openxmlformats.org/officeDocument/2006/relationships/hyperlink" Target="https://drive.google.com/uc?export=download&amp;id=1X9NE8N6NLvbGW5dz6YS4GcEbR5KdLo-A" TargetMode="External"/><Relationship Id="rId155" Type="http://schemas.openxmlformats.org/officeDocument/2006/relationships/hyperlink" Target="https://api.textmebot.com/send.php?recipient=5493492527138&amp;apikey=xoF6EUkK31se&amp;text=Hola%20Gast%C3%B3n!%20%F0%9F%91%8B%20%0ATe%20env%C3%ADo%20la%20factura%20correspondiente%20por%20la%20prestaci%C3%B3n%20de%20servicios%20durante%20el%20per%C3%ADodo%2022%2F07%2F25%20al%2022%2F08%2F25.%20%0A%0A%F0%9F%93%8B%20*Detalles%20de%20la%20factura%3A*%20%0A%E2%80%A2%20N%C3%BAmero%3A%20%20%0A%E2%80%A2%20Fecha%20de%20Emisi%C3%B3n%3A%2001%2F09%2F25%20%0A%E2%80%A2%20Fecha%20de%20Vencimiento%3A%2009%2F09%2F25%20%0A%E2%80%A2%20Monto%20Total%3A%20%24%20593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76" Type="http://schemas.openxmlformats.org/officeDocument/2006/relationships/hyperlink" Target="https://api.textmebot.com/send.php?recipient=5493425225459&amp;apikey=xoF6EUkK31se&amp;document=https%3A%2F%2Fdrive.google.com%2Ffile%2Fd%2F1kjGisovSakCHMTpEGaZxhd9XW-vod2Hr" TargetMode="External"/><Relationship Id="rId397" Type="http://schemas.openxmlformats.org/officeDocument/2006/relationships/hyperlink" Target="https://drive.google.com/uc?export=download&amp;id=1UMQxg71EfHyakQy6nIp7oCVjvoa_GcB2" TargetMode="External"/><Relationship Id="rId40" Type="http://schemas.openxmlformats.org/officeDocument/2006/relationships/hyperlink" Target="https://api.textmebot.com/send.php?recipient=5493425225459&amp;apikey=xoF6EUkK31se&amp;document=https%3A%2F%2Fdrive.google.com%2Ffile%2Fd%2F1gztiwiGd9ssTKH6n5HOFuPOyoYFSZ_tB" TargetMode="External"/><Relationship Id="rId42" Type="http://schemas.openxmlformats.org/officeDocument/2006/relationships/hyperlink" Target="https://api.textmebot.com/send.php?recipient=5493426293881&amp;apikey=xoF6EUkK31se&amp;document=https%3A%2F%2Fdrive.google.com%2Ffile%2Fd%2F1tMS6XXa9ovnpuSwsN3A5ScFn4ZRGcjBZ" TargetMode="External"/><Relationship Id="rId41" Type="http://schemas.openxmlformats.org/officeDocument/2006/relationships/hyperlink" Target="https://api.textmebot.com/send.php?recipient=5493425225459&amp;apikey=xoF6EUkK31se&amp;text=Hola%20Ignacio!%20%F0%9F%91%8B%20%0ATe%20env%C3%ADo%20la%20factura%20correspondiente%20por%20la%20prestaci%C3%B3n%20de%20servicios%20durante%20el%20per%C3%ADodo%2004%2F06%2F25%20al%2004%2F07%2F25.%20%0A%0A%F0%9F%93%8B%20*Detalles%20de%20la%20factura%3A*%20%0A%E2%80%A2%20N%C3%BAmero%3A%2040%20%0A%E2%80%A2%20Fecha%20de%20Emisi%C3%B3n%3A%2008%2F07%2F25%20%0A%E2%80%A2%20Fecha%20de%20Vencimiento%3A%2015%2F07%2F25%20%0A%E2%80%A2%20Monto%20Total%3A%20%24%201364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44" Type="http://schemas.openxmlformats.org/officeDocument/2006/relationships/hyperlink" Target="https://api.textmebot.com/send.php?recipient=5493426293881&amp;apikey=xoF6EUkK31se&amp;document=https%3A%2F%2Fdrive.google.com%2Ffile%2Fd%2F1G-4HtnhMLBQ9zsa5LV0o97ecTm0S1zsA" TargetMode="External"/><Relationship Id="rId43"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8%2F06%2F25%20al%2008%2F07%2F25.%20%0A%0A%F0%9F%93%8B%20*Detalles%20de%20la%20factura%3A*%20%0A%E2%80%A2%20N%C3%BAmero%3A%2012%20%0A%E2%80%A2%20Fecha%20de%20Emisi%C3%B3n%3A%2008%2F07%2F25%20%0A%E2%80%A2%20Fecha%20de%20Vencimiento%3A%2015%2F07%2F25%20%0A%E2%80%A2%20Monto%20Total%3A%20%24%201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6" Type="http://schemas.openxmlformats.org/officeDocument/2006/relationships/hyperlink" Target="https://api.textmebot.com/send.php?recipient=5493426293881&amp;apikey=xoF6EUkK31se&amp;document=https%3A%2F%2Fdrive.google.com%2Ffile%2Fd%2F1G-4HtnhMLBQ9zsa5LV0o97ecTm0S1zsA" TargetMode="External"/><Relationship Id="rId45"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8%2F06%2F25%20al%2008%2F07%2F25.%20%0A%0A%F0%9F%93%8B%20*Detalles%20de%20la%20factura%3A*%20%0A%E2%80%A2%20N%C3%BAmero%3A%20123%20%0A%E2%80%A2%20Fecha%20de%20Emisi%C3%B3n%3A%2009%2F07%2F25%20%0A%E2%80%A2%20Fecha%20de%20Vencimiento%3A%2016%2F07%2F25%20%0A%E2%80%A2%20Monto%20Total%3A%20%24%201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509" Type="http://schemas.openxmlformats.org/officeDocument/2006/relationships/hyperlink" Target="https://drive.google.com/uc?export=download&amp;id=10vZt7Gq-ks4wtC6_dHvEMFTxBUud6GNz" TargetMode="External"/><Relationship Id="rId508" Type="http://schemas.openxmlformats.org/officeDocument/2006/relationships/hyperlink" Target="https://drive.google.com/uc?export=download&amp;id=16IY8Vy7YvhfvDW8dmFzz0cPImXF7WBvV" TargetMode="External"/><Relationship Id="rId503" Type="http://schemas.openxmlformats.org/officeDocument/2006/relationships/hyperlink" Target="https://drive.google.com/uc?export=download&amp;id=13QO_ge2RXIxn5POFLbBnu0WJrMprmvMl" TargetMode="External"/><Relationship Id="rId502" Type="http://schemas.openxmlformats.org/officeDocument/2006/relationships/hyperlink" Target="https://drive.google.com/uc?export=download&amp;id=1mBthfhK4E16DUvwzt8XcX0QnXGGa0VUW" TargetMode="External"/><Relationship Id="rId501" Type="http://schemas.openxmlformats.org/officeDocument/2006/relationships/hyperlink" Target="https://drive.google.com/uc?export=download&amp;id=1vrGDP0iwohjd7WyPsm5C_2aB2ExC3J3z" TargetMode="External"/><Relationship Id="rId500" Type="http://schemas.openxmlformats.org/officeDocument/2006/relationships/hyperlink" Target="https://drive.google.com/uc?export=download&amp;id=1DLXOy9mOoApoRmX2zyzYEMsaE4WRgWUi" TargetMode="External"/><Relationship Id="rId507" Type="http://schemas.openxmlformats.org/officeDocument/2006/relationships/hyperlink" Target="https://drive.google.com/uc?export=download&amp;id=1r7UTceuxnd0RuQra9Fm6B6jZlMzOJ4ds" TargetMode="External"/><Relationship Id="rId506" Type="http://schemas.openxmlformats.org/officeDocument/2006/relationships/hyperlink" Target="https://drive.google.com/uc?export=download&amp;id=1IYQKYDXEgyjv7aK1LNCS5AWjN1oD7oze" TargetMode="External"/><Relationship Id="rId505" Type="http://schemas.openxmlformats.org/officeDocument/2006/relationships/hyperlink" Target="https://drive.google.com/uc?export=download&amp;id=1i4fRbpM1zYH65wU-ROHEzH6p6KtO5iK-" TargetMode="External"/><Relationship Id="rId504" Type="http://schemas.openxmlformats.org/officeDocument/2006/relationships/hyperlink" Target="https://drive.google.com/uc?export=download&amp;id=1eHAzy8gGr56FO6naS9oN0HY5I_v8cfbV" TargetMode="External"/><Relationship Id="rId48" Type="http://schemas.openxmlformats.org/officeDocument/2006/relationships/hyperlink" Target="https://api.textmebot.com/send.php?recipient=5493426293881&amp;apikey=xoF6EUkK31se&amp;document=https%3A%2F%2Fdrive.google.com%2Ffile%2Fd%2F1G-4HtnhMLBQ9zsa5LV0o97ecTm0S1zsA" TargetMode="External"/><Relationship Id="rId47"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8%2F06%2F25%20al%2008%2F07%2F25.%20%0A%0A%F0%9F%93%8B%20*Detalles%20de%20la%20factura%3A*%20%0A%E2%80%A2%20N%C3%BAmero%3A%20%20%0A%E2%80%A2%20Fecha%20de%20Emisi%C3%B3n%3A%2009%2F07%2F25%20%0A%E2%80%A2%20Fecha%20de%20Vencimiento%3A%2016%2F07%2F25%20%0A%E2%80%A2%20Monto%20Total%3A%20%24%201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9"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8%2F06%2F25%20al%2008%2F07%2F25.%20%0A%0A%F0%9F%93%8B%20*Detalles%20de%20la%20factura%3A*%20%0A%E2%80%A2%20N%C3%BAmero%3A%20%20%0A%E2%80%A2%20Fecha%20de%20Emisi%C3%B3n%3A%2009%2F07%2F25%20%0A%E2%80%A2%20Fecha%20de%20Vencimiento%3A%2016%2F07%2F25%20%0A%E2%80%A2%20Monto%20Total%3A%20%24%201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1" Type="http://schemas.openxmlformats.org/officeDocument/2006/relationships/hyperlink" Target="https://api.textmebot.com/send.php?recipient=5493493661975&amp;apikey=xoF6EUkK31se&amp;document=https%3A%2F%2Fdrive.google.com%2Ffile%2Fd%2F17RjVrnguRzTjRzw-yqB78ExN7uYvog2I" TargetMode="External"/><Relationship Id="rId30" Type="http://schemas.openxmlformats.org/officeDocument/2006/relationships/hyperlink" Target="https://api.textmebot.com/send.php?recipient=5493493661975&amp;apikey=xoF6EUkK31se&amp;document=https%3A%2F%2Fdrive.google.com%2Ffile%2Fd%2F1dZVRjw0WUuyAMXFHG8CO1vvG5q6SAopA" TargetMode="External"/><Relationship Id="rId33" Type="http://schemas.openxmlformats.org/officeDocument/2006/relationships/hyperlink" Target="https://api.textmebot.com/send.php?recipient=5492267434320&amp;apikey=xoF6EUkK31se&amp;document=https%3A%2F%2Fdrive.google.com%2Ffile%2Fd%2F1jrzteOJI4QQoLVHYst75TXeo3dO200Z6" TargetMode="External"/><Relationship Id="rId32" Type="http://schemas.openxmlformats.org/officeDocument/2006/relationships/hyperlink" Target="https://api.textmebot.com/send.php?recipient=5492267434320&amp;apikey=xoF6EUkK31se&amp;document=https%3A%2F%2Fdrive.google.com%2Ffile%2Fd%2F11zm1k9Rh2ZgELJo_cPuCEINuiv9aVxJk" TargetMode="External"/><Relationship Id="rId35"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34" Type="http://schemas.openxmlformats.org/officeDocument/2006/relationships/hyperlink" Target="https://api.textmebot.com/send.php?recipient=5492267434320&amp;apikey=xoF6EUkK31se&amp;document=https%3A%2F%2Fdrive.google.com%2Ffile%2Fd%2F1Tdw7nwkNH9QkCRMsXY4ZMGVlarJAqLNF" TargetMode="External"/><Relationship Id="rId37" Type="http://schemas.openxmlformats.org/officeDocument/2006/relationships/hyperlink" Target="https://api.textmebot.com/send.php?recipient=5493521639222&amp;apikey=xoF6EUkK31se&amp;document=https%3A%2F%2Fdrive.google.com%2Ffile%2Fd%2F1PABliKwRoSPM2VruUbXhfiVxUh-OJrpW" TargetMode="External"/><Relationship Id="rId36" Type="http://schemas.openxmlformats.org/officeDocument/2006/relationships/hyperlink" Target="https://api.textmebot.com/send.php?recipient=5493521639222&amp;apikey=xoF6EUkK31se&amp;document=https%3A%2F%2Fdrive.google.com%2Ffile%2Fd%2F1rEghPrsnKTcRqH7FuBYll_u1s1LWnUeA" TargetMode="External"/><Relationship Id="rId39" Type="http://schemas.openxmlformats.org/officeDocument/2006/relationships/hyperlink" Target="https://api.textmebot.com/send.php?recipient=5493425225459&amp;apikey=xoF6EUkK31se&amp;document=https%3A%2F%2Fdrive.google.com%2Ffile%2Fd%2F16wuphuZGZNfXD0cplMEiANcIpVu6fZBw" TargetMode="External"/><Relationship Id="rId38" Type="http://schemas.openxmlformats.org/officeDocument/2006/relationships/hyperlink" Target="https://api.textmebot.com/send.php?recipient=5493521639222&amp;apikey=xoF6EUkK31se&amp;text=Hola%20Alan!%20%F0%9F%91%8B%20%0ATe%20env%C3%ADo%20la%20factura%20correspondiente%20por%20la%20prestaci%C3%B3n%20de%20servicios%20durante%20el%20per%C3%ADodo%2007%2F06%2F25%20al%2007%2F07%2F25.%20%0A%0A%F0%9F%93%8B%20*Detalles%20de%20la%20factura%3A*%20%0A%E2%80%A2%20N%C3%BAmero%3A%2039%20%0A%E2%80%A2%20Fecha%20de%20Emisi%C3%B3n%3A%2008%2F07%2F25%20%0A%E2%80%A2%20Fecha%20de%20Vencimiento%3A%2015%2F07%2F25%20%0A%E2%80%A2%20Monto%20Total%3A%20%24%20642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20" Type="http://schemas.openxmlformats.org/officeDocument/2006/relationships/hyperlink" Target="https://api.textmebot.com/send.php?recipient=5493426293881&amp;apikey=xoF6EUkK31se&amp;document=https%3A%2F%2Fdrive.google.com%2Ffile%2Fd%2F1Nyxqp9yLNMintYAMoRjP7swR6RgBniRJ" TargetMode="External"/><Relationship Id="rId22" Type="http://schemas.openxmlformats.org/officeDocument/2006/relationships/hyperlink" Target="https://api.textmebot.com/send.php?recipient=5491164872810&amp;apikey=xoF6EUkK31se&amp;document=https%3A%2F%2Fdrive.google.com%2Ffile%2Fd%2F12OzAUmYfySHYYd4c62xLNa-aNhl0NiKT" TargetMode="External"/><Relationship Id="rId21" Type="http://schemas.openxmlformats.org/officeDocument/2006/relationships/hyperlink" Target="https://api.textmebot.com/send.php?recipient=5491164872810&amp;apikey=xoF6EUkK31se&amp;document=https%3A%2F%2Fdrive.google.com%2Ffile%2Fd%2F1QdbGT71UJzLa0LHJxY5NcRPcA6BLCsUW" TargetMode="External"/><Relationship Id="rId24" Type="http://schemas.openxmlformats.org/officeDocument/2006/relationships/hyperlink" Target="https://api.textmebot.com/send.php?recipient=5492267434320&amp;apikey=xoF6EUkK31se&amp;document=https%3A%2F%2Fdrive.google.com%2Ffile%2Fd%2F11zm1k9Rh2ZgELJo_cPuCEINuiv9aVxJk" TargetMode="External"/><Relationship Id="rId23" Type="http://schemas.openxmlformats.org/officeDocument/2006/relationships/hyperlink" Target="https://api.textmebot.com/send.php?recipient=5491164872810&amp;apikey=xoF6EUkK31se&amp;text=Hola%20Andrea!%20%F0%9F%91%8B%20%0A%20Espero%20que%20todo%20est%C3%A9%20yendo%20bien.%20Quisiera%20recordarte%20que%20a%C3%BAn%20no%20hemos%20recibido%20el%20pago%20correspondiente%20a%20la%20factura%20N%C2%B0%20-%20emitida%20el%2015%2F05%2F25.%20%0A%0A%F0%9F%93%8B%20*Detalles%20de%20la%20factura%3A*%20%0A%E2%80%A2%20N%C3%BAmero%3A%20-%20%0A%E2%80%A2%20Vencimiento%3A%2021%2F05%2F25%20%0A%E2%80%A2%20Monto%20total%3A%20%24423.%20%0A%0A%F0%9F%92%BC%20*Cuenta%20a%20depositar%3A*-%20Moneda%3A%20USDT%0A-%20Wallet%20address%3A%20TC5fTBZgcAKAFvKUwB1JSfsKWjktkNA4Sj%0A-%20Red%3A%20Tron%20-%20TRX%20-%20TRC20%0AAdjunto%20encontrar%C3%A1s%20la%20factura%20para%20tu%20referencia.%20%0A%0ASi%20ya%20has%20realizado%20el%20pago%2C%20por%20favor%2C%20ignora%20este%20mensaje.%20%0A%0AGracias%20por%20tu%20pronta%20atenci%C3%B3n%20a%20este%20asunto.%20%0A%0AAPSOL%20-%20Consultor%C3%ADa%20Empresarial" TargetMode="External"/><Relationship Id="rId409" Type="http://schemas.openxmlformats.org/officeDocument/2006/relationships/hyperlink" Target="https://drive.google.com/uc?export=download&amp;id=1OyW25IucWRV279rVeK9m9UcYonRfnUIm" TargetMode="External"/><Relationship Id="rId404" Type="http://schemas.openxmlformats.org/officeDocument/2006/relationships/hyperlink" Target="https://drive.google.com/uc?export=download&amp;id=1fN6QDCsSaBvqPqTGdhwjXDewkbB-SxKH" TargetMode="External"/><Relationship Id="rId525" Type="http://schemas.openxmlformats.org/officeDocument/2006/relationships/hyperlink" Target="https://drive.google.com/uc?export=download&amp;id=1cwyk8E17vKQx9a39I4QgyWiz0r3cUTvL" TargetMode="External"/><Relationship Id="rId403" Type="http://schemas.openxmlformats.org/officeDocument/2006/relationships/hyperlink" Target="https://drive.google.com/uc?export=download&amp;id=1f8pfP7y75_-9swNFPF2WBnuaCTwZbJU5" TargetMode="External"/><Relationship Id="rId524" Type="http://schemas.openxmlformats.org/officeDocument/2006/relationships/hyperlink" Target="https://drive.google.com/uc?export=download&amp;id=1sonc4uk7ov6UhcqUQzp0xMT7ymwPvsWT" TargetMode="External"/><Relationship Id="rId402" Type="http://schemas.openxmlformats.org/officeDocument/2006/relationships/hyperlink" Target="https://drive.google.com/uc?export=download&amp;id=1C-8r3rcYuk99dF6d6Pqz3zwvNcUqKn8Y" TargetMode="External"/><Relationship Id="rId523" Type="http://schemas.openxmlformats.org/officeDocument/2006/relationships/hyperlink" Target="https://drive.google.com/uc?export=download&amp;id=1YrfV_2OsW4HK2S5lJG9ahRpbdlAJVnnw" TargetMode="External"/><Relationship Id="rId401" Type="http://schemas.openxmlformats.org/officeDocument/2006/relationships/hyperlink" Target="https://drive.google.com/uc?export=download&amp;id=1eqSqSHQ9NWfTBJx4D7u6GvlE9VTRaPXU" TargetMode="External"/><Relationship Id="rId522" Type="http://schemas.openxmlformats.org/officeDocument/2006/relationships/hyperlink" Target="https://drive.google.com/uc?export=download&amp;id=171q6YfKRcj4ht1cdIDQlVU87O1P9ssXn" TargetMode="External"/><Relationship Id="rId408" Type="http://schemas.openxmlformats.org/officeDocument/2006/relationships/hyperlink" Target="https://drive.google.com/uc?export=download&amp;id=1UMQxg71EfHyakQy6nIp7oCVjvoa_GcB2" TargetMode="External"/><Relationship Id="rId529" Type="http://schemas.openxmlformats.org/officeDocument/2006/relationships/hyperlink" Target="https://drive.google.com/uc?export=download&amp;id=13d07qPRuQTFMDqIZHXJNS_JCSLaypTAC" TargetMode="External"/><Relationship Id="rId407" Type="http://schemas.openxmlformats.org/officeDocument/2006/relationships/hyperlink" Target="https://drive.google.com/uc?export=download&amp;id=1e5ePtKS59O_b7NKApAZqlikjvuKdF7xy" TargetMode="External"/><Relationship Id="rId528" Type="http://schemas.openxmlformats.org/officeDocument/2006/relationships/hyperlink" Target="https://drive.google.com/uc?export=download&amp;id=1vlxHsJgo42RnFLCV2ebzWeIuHY2nfF9o" TargetMode="External"/><Relationship Id="rId406" Type="http://schemas.openxmlformats.org/officeDocument/2006/relationships/hyperlink" Target="https://drive.google.com/uc?export=download&amp;id=1C-8r3rcYuk99dF6d6Pqz3zwvNcUqKn8Y" TargetMode="External"/><Relationship Id="rId527" Type="http://schemas.openxmlformats.org/officeDocument/2006/relationships/hyperlink" Target="https://drive.google.com/uc?export=download&amp;id=1DWnTW-9CD1kU1ojCSwRB98f9zpiWz9Gs" TargetMode="External"/><Relationship Id="rId405" Type="http://schemas.openxmlformats.org/officeDocument/2006/relationships/hyperlink" Target="https://drive.google.com/uc?export=download&amp;id=1ypcxNebEUFoqDiC8NJKcP7GKh22po0GA" TargetMode="External"/><Relationship Id="rId526" Type="http://schemas.openxmlformats.org/officeDocument/2006/relationships/hyperlink" Target="https://drive.google.com/uc?export=download&amp;id=1l4x3AOz2W8BV7Vlo4xapohGXKSRlTCwR" TargetMode="External"/><Relationship Id="rId26"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25" Type="http://schemas.openxmlformats.org/officeDocument/2006/relationships/hyperlink" Target="https://api.textmebot.com/send.php?recipient=5492267434320&amp;apikey=xoF6EUkK31se&amp;document=https%3A%2F%2Fdrive.google.com%2Ffile%2Fd%2F1VGm10HnRrlrtCsYLtJxNhEYPcbdDMBL_" TargetMode="External"/><Relationship Id="rId28" Type="http://schemas.openxmlformats.org/officeDocument/2006/relationships/hyperlink" Target="https://api.textmebot.com/send.php?recipient=5493425295451&amp;apikey=xoF6EUkK31se&amp;document=https%3A%2F%2Fdrive.google.com%2Ffile%2Fd%2F1K4TDUeYt4ho5L6PdbBsMe5u5sYTEG4BO" TargetMode="External"/><Relationship Id="rId27" Type="http://schemas.openxmlformats.org/officeDocument/2006/relationships/hyperlink" Target="https://api.textmebot.com/send.php?recipient=5493425295451&amp;apikey=xoF6EUkK31se&amp;document=https%3A%2F%2Fdrive.google.com%2Ffile%2Fd%2F1BfNP3hrQDv_aaaA5qFXV5noFRYmODdLq" TargetMode="External"/><Relationship Id="rId400" Type="http://schemas.openxmlformats.org/officeDocument/2006/relationships/hyperlink" Target="https://drive.google.com/uc?export=download&amp;id=16mL0VauyhWfGXODz-WpCDSbQzAZRBXqV" TargetMode="External"/><Relationship Id="rId521" Type="http://schemas.openxmlformats.org/officeDocument/2006/relationships/hyperlink" Target="https://drive.google.com/uc?export=download&amp;id=1HEU-QAhWmZTKNhxLugTeQXve0f44IlmB" TargetMode="External"/><Relationship Id="rId29" Type="http://schemas.openxmlformats.org/officeDocument/2006/relationships/hyperlink" Target="https://api.textmebot.com/send.php?recipient=5491164872810&amp;apikey=xoF6EUkK31se&amp;document=https%3A%2F%2Fdrive.google.com%2Ffile%2Fd%2F1XPIKQIattiFfTIuToVbd5B0x0vV4azRp" TargetMode="External"/><Relationship Id="rId520" Type="http://schemas.openxmlformats.org/officeDocument/2006/relationships/hyperlink" Target="https://drive.google.com/uc?export=download&amp;id=1mnWx_I48-t4cocJZxE_DwwsLN_4Tyhyd" TargetMode="External"/><Relationship Id="rId11" Type="http://schemas.openxmlformats.org/officeDocument/2006/relationships/hyperlink" Target="https://api.textmebot.com/send.php?recipient=5493424770891&amp;apikey=xoF6EUkK31se&amp;document=https%3A%2F%2Fdrive.google.com%2Ffile%2Fd%2F1UbXEfh2asKIlXNcinIQ8FVvcsDwVlHgb" TargetMode="External"/><Relationship Id="rId10" Type="http://schemas.openxmlformats.org/officeDocument/2006/relationships/hyperlink" Target="https://api.textmebot.com/send.php?recipient=5493424770891&amp;apikey=xoF6EUkK31se&amp;document=https%3A%2F%2Fdrive.google.com%2Ffile%2Fd%2F1X_yhh1PuaNtYefjLfOYcBjbMO7L2akga" TargetMode="External"/><Relationship Id="rId13" Type="http://schemas.openxmlformats.org/officeDocument/2006/relationships/hyperlink" Target="https://api.textmebot.com/send.php?recipient=5493492527138&amp;apikey=xoF6EUkK31se&amp;document=https%3A%2F%2Fdrive.google.com%2Ffile%2Fd%2F1N4mWJgMG-f38cArSA2Mx4PltcagiIIUk" TargetMode="External"/><Relationship Id="rId12" Type="http://schemas.openxmlformats.org/officeDocument/2006/relationships/hyperlink" Target="https://api.textmebot.com/send.php?recipient=5493424770891&amp;apikey=xoF6EUkK31se&amp;text=Hola%20Juan!%20%F0%9F%91%8B%20%0ATe%20env%C3%ADo%20la%20factura%20correspondiente%20por%20la%20prestaci%C3%B3n%20de%20servicios%20durante%20el%20per%C3%ADodo%2023%2F05%2F25%20al%2023%2F06%2F25.%20%0A%0A%F0%9F%93%8B%20*Detalles%20de%20la%20factura%3A*%20%0A%E2%80%A2%20N%C3%BAmero%3A%20186%20%0A%E2%80%A2%20Fecha%20de%20Emisi%C3%B3n%3A%2027%2F06%2F25%20%0A%E2%80%A2%20Fecha%20de%20Vencimiento%3A%2009%2F07%2F25%20%0A%E2%80%A2%20Monto%20Total%3A%20%24%2087325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519" Type="http://schemas.openxmlformats.org/officeDocument/2006/relationships/hyperlink" Target="https://drive.google.com/uc?export=download&amp;id=1xq7MeQDQTUyeitWRHAexEpVtsjcIbmak" TargetMode="External"/><Relationship Id="rId514" Type="http://schemas.openxmlformats.org/officeDocument/2006/relationships/hyperlink" Target="https://drive.google.com/uc?export=download&amp;id=1r7UTceuxnd0RuQra9Fm6B6jZlMzOJ4ds" TargetMode="External"/><Relationship Id="rId513" Type="http://schemas.openxmlformats.org/officeDocument/2006/relationships/hyperlink" Target="https://drive.google.com/uc?export=download&amp;id=1IYQKYDXEgyjv7aK1LNCS5AWjN1oD7oze" TargetMode="External"/><Relationship Id="rId512" Type="http://schemas.openxmlformats.org/officeDocument/2006/relationships/hyperlink" Target="https://drive.google.com/uc?export=download&amp;id=1aCEmwer-QgUynQRJQugUhDikAlezNtBy" TargetMode="External"/><Relationship Id="rId511" Type="http://schemas.openxmlformats.org/officeDocument/2006/relationships/hyperlink" Target="https://drive.google.com/uc?export=download&amp;id=1ixWtIaE687F4RFNHheh_K_aPYc0lvffr" TargetMode="External"/><Relationship Id="rId518" Type="http://schemas.openxmlformats.org/officeDocument/2006/relationships/hyperlink" Target="https://drive.google.com/uc?export=download&amp;id=1i4fRbpM1zYH65wU-ROHEzH6p6KtO5iK-" TargetMode="External"/><Relationship Id="rId517" Type="http://schemas.openxmlformats.org/officeDocument/2006/relationships/hyperlink" Target="https://drive.google.com/uc?export=download&amp;id=1eHAzy8gGr56FO6naS9oN0HY5I_v8cfbV" TargetMode="External"/><Relationship Id="rId516" Type="http://schemas.openxmlformats.org/officeDocument/2006/relationships/hyperlink" Target="https://drive.google.com/uc?export=download&amp;id=1ovbCUwp8KP5EAducqNyrT0Dt2PtWznYi" TargetMode="External"/><Relationship Id="rId515" Type="http://schemas.openxmlformats.org/officeDocument/2006/relationships/hyperlink" Target="https://drive.google.com/uc?export=download&amp;id=1zlrZUoO-FYxZ5wFQbwy8PNOEOTIOuVcx" TargetMode="External"/><Relationship Id="rId15" Type="http://schemas.openxmlformats.org/officeDocument/2006/relationships/hyperlink" Target="https://api.textmebot.com/send.php?recipient=5493426293881&amp;apikey=xoF6EUkK31se&amp;document=https%3A%2F%2Fdrive.google.com%2Ffile%2Fd%2F1A9FxDJlZqQ22p0M_3wgHEo9Oekzi97yM" TargetMode="External"/><Relationship Id="rId14" Type="http://schemas.openxmlformats.org/officeDocument/2006/relationships/hyperlink" Target="https://api.textmebot.com/send.php?recipient=5493492527138&amp;apikey=xoF6EUkK31se&amp;text=Hola%20Gast%C3%B3n!%20%F0%9F%91%8B%20%0ATe%20env%C3%ADo%20la%20factura%20correspondiente%20por%20la%20prestaci%C3%B3n%20de%20servicios%20durante%20el%20per%C3%ADodo%2022%2F05%2F25%20al%2022%2F06%2F25.%20%0A%0A%F0%9F%93%8B%20*Detalles%20de%20la%20factura%3A*%20%0A%E2%80%A2%20N%C3%BAmero%3A%20%20%0A%E2%80%A2%20Fecha%20de%20Emisi%C3%B3n%3A%2030%2F06%2F25%20%0A%E2%80%A2%20Fecha%20de%20Vencimiento%3A%2008%2F07%2F25%20%0A%E2%80%A2%20Monto%20Total%3A%20%24%20549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7" Type="http://schemas.openxmlformats.org/officeDocument/2006/relationships/hyperlink" Target="https://api.textmebot.com/send.php?recipient=5493426293881&amp;apikey=xoF6EUkK31se&amp;document=https%3A%2F%2Fdrive.google.com%2Ffile%2Fd%2F15SnIsxcmNt9N7jPNHnBcwI5Jdr0DRINc" TargetMode="External"/><Relationship Id="rId16"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20%0A%E2%80%A2%20Fecha%20de%20Emisi%C3%B3n%3A%2030%2F06%2F25%20%0A%E2%80%A2%20Fecha%20de%20Vencimiento%3A%2007%2F07%2F25%20%0A%E2%80%A2%20Monto%20Total%3A%20%24%202778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9" Type="http://schemas.openxmlformats.org/officeDocument/2006/relationships/hyperlink" Target="https://api.textmebot.com/send.php?recipient=5493426293881&amp;apikey=xoF6EUkK31se&amp;document=https%3A%2F%2Fdrive.google.com%2Ffile%2Fd%2F1Nyxqp9yLNMintYAMoRjP7swR6RgBniRJ" TargetMode="External"/><Relationship Id="rId510" Type="http://schemas.openxmlformats.org/officeDocument/2006/relationships/hyperlink" Target="https://drive.google.com/uc?export=download&amp;id=18cBboU2Ngdzbr8TcQEaAZbVS1JTGJVhF" TargetMode="External"/><Relationship Id="rId18"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20%0A%E2%80%A2%20Fecha%20de%20Emisi%C3%B3n%3A%2030%2F06%2F25%20%0A%E2%80%A2%20Fecha%20de%20Vencimiento%3A%2007%2F07%2F25%20%0A%E2%80%A2%20Monto%20Total%3A%20%24%202778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84"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6%2F25%20al%2003%2F07%2F25.%20%0A%0A%F0%9F%93%8B%20*Detalles%20de%20la%20factura%3A*%20%0A%E2%80%A2%20N%C3%BAmero%3A%2012%20%0A%E2%80%A2%20Fecha%20de%20Emisi%C3%B3n%3A%2021%2F07%2F25%20%0A%E2%80%A2%20Fecha%20de%20Vencimiento%3A%2028%2F07%2F25%20%0A%E2%80%A2%20Monto%20Total%3A%20%24%202778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83" Type="http://schemas.openxmlformats.org/officeDocument/2006/relationships/hyperlink" Target="https://api.textmebot.com/send.php?recipient=5493426293881&amp;apikey=xoF6EUkK31se&amp;document=https%3A%2F%2Fdrive.google.com%2Ffile%2Fd%2F1K2fZli4t0fYnV6XnnKPJU1Sj0VrKAYt5" TargetMode="External"/><Relationship Id="rId86" Type="http://schemas.openxmlformats.org/officeDocument/2006/relationships/hyperlink" Target="https://api.textmebot.com/send.php?recipient=5493425380483&amp;apikey=xoF6EUkK31se&amp;document=https%3A%2F%2Fdrive.google.com%2Ffile%2Fd%2F1NxRsLpLy8U_oYht_3RV8t6rE3El81OTt" TargetMode="External"/><Relationship Id="rId85" Type="http://schemas.openxmlformats.org/officeDocument/2006/relationships/hyperlink" Target="https://api.textmebot.com/send.php?recipient=5493425380483&amp;apikey=xoF6EUkK31se&amp;document=https%3A%2F%2Fdrive.google.com%2Ffile%2Fd%2F1ZsFVad_Ua2R37iG2DzxKa1HEoEkX4FJB" TargetMode="External"/><Relationship Id="rId88" Type="http://schemas.openxmlformats.org/officeDocument/2006/relationships/hyperlink" Target="https://api.textmebot.com/send.php?recipient=5492267434320&amp;apikey=xoF6EUkK31se&amp;document=https%3A%2F%2Fdrive.google.com%2Ffile%2Fd%2F1MzXpNNFNSe_aErf5jHdNf9OTxiC0IrTI" TargetMode="External"/><Relationship Id="rId87" Type="http://schemas.openxmlformats.org/officeDocument/2006/relationships/hyperlink" Target="https://api.textmebot.com/send.php?recipient=5493425380483&amp;apikey=xoF6EUkK31se&amp;text=Hola%20Marketing!%20%F0%9F%91%8B%20%0ATe%20env%C3%ADo%20la%20factura%20correspondiente%20por%20la%20prestaci%C3%B3n%20de%20servicios%20durante%20el%20per%C3%ADodo%2018%2F06%2F25%20al%2018%2F07%2F25.%20%0A%0A%F0%9F%93%8B%20*Detalles%20de%20la%20factura%3A*%20%0A%E2%80%A2%20N%C3%BAmero%3A%20189%20%0A%E2%80%A2%20Fecha%20de%20Emisi%C3%B3n%3A%2022%2F07%2F25%20%0A%E2%80%A2%20Fecha%20de%20Vencimiento%3A%2001%2F08%2F25%20%0A%E2%80%A2%20Monto%20Total%3A%20%24%20378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89" Type="http://schemas.openxmlformats.org/officeDocument/2006/relationships/hyperlink" Target="https://api.textmebot.com/send.php?recipient=5492267434320&amp;apikey=xoF6EUkK31se&amp;document=https%3A%2F%2Fdrive.google.com%2Ffile%2Fd%2F1Vp1MMlN6MQhPH89Y0_amoMyR53UR4ZxP" TargetMode="External"/><Relationship Id="rId80" Type="http://schemas.openxmlformats.org/officeDocument/2006/relationships/hyperlink" Target="https://api.textmebot.com/send.php?recipient=5493426293881&amp;apikey=xoF6EUkK31se&amp;document=https%3A%2F%2Fdrive.google.com%2Ffile%2Fd%2F1Evn-ZpKGl01OdUhcOwoUqgrjXSKTAU6i" TargetMode="External"/><Relationship Id="rId82" Type="http://schemas.openxmlformats.org/officeDocument/2006/relationships/hyperlink" Target="https://api.textmebot.com/send.php?recipient=5493426293881&amp;apikey=xoF6EUkK31se&amp;document=https%3A%2F%2Fdrive.google.com%2Ffile%2Fd%2F145GGU2P_K3DHRTEAkZ8qEfMGnljfcrk-" TargetMode="External"/><Relationship Id="rId81"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6%2F25%20al%2003%2F07%2F25.%20%0A%0A%F0%9F%93%8B%20*Detalles%20de%20la%20factura%3A*%20%0A%E2%80%A2%20N%C3%BAmero%3A%2012%20%0A%E2%80%A2%20Fecha%20de%20Emisi%C3%B3n%3A%2021%2F07%2F25%20%0A%E2%80%A2%20Fecha%20de%20Vencimiento%3A%2028%2F07%2F25%20%0A%E2%80%A2%20Monto%20Total%3A%20%24%202778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73"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72" Type="http://schemas.openxmlformats.org/officeDocument/2006/relationships/hyperlink" Target="https://api.textmebot.com/send.php?recipient=5492267434320&amp;apikey=xoF6EUkK31se&amp;document=https%3A%2F%2Fdrive.google.com%2Ffile%2Fd%2F1Tdw7nwkNH9QkCRMsXY4ZMGVlarJAqLNF" TargetMode="External"/><Relationship Id="rId75" Type="http://schemas.openxmlformats.org/officeDocument/2006/relationships/hyperlink" Target="https://api.textmebot.com/send.php?recipient=5493521639222&amp;apikey=xoF6EUkK31se&amp;document=https%3A%2F%2Fdrive.google.com%2Ffile%2Fd%2F1PABliKwRoSPM2VruUbXhfiVxUh-OJrpW" TargetMode="External"/><Relationship Id="rId74" Type="http://schemas.openxmlformats.org/officeDocument/2006/relationships/hyperlink" Target="https://api.textmebot.com/send.php?recipient=5493521639222&amp;apikey=xoF6EUkK31se&amp;document=https%3A%2F%2Fdrive.google.com%2Ffile%2Fd%2F1rEghPrsnKTcRqH7FuBYll_u1s1LWnUeA" TargetMode="External"/><Relationship Id="rId77" Type="http://schemas.openxmlformats.org/officeDocument/2006/relationships/hyperlink" Target="https://api.textmebot.com/send.php?recipient=5493425225459&amp;apikey=xoF6EUkK31se&amp;document=https%3A%2F%2Fdrive.google.com%2Ffile%2Fd%2F1gztiwiGd9ssTKH6n5HOFuPOyoYFSZ_tB" TargetMode="External"/><Relationship Id="rId76" Type="http://schemas.openxmlformats.org/officeDocument/2006/relationships/hyperlink" Target="https://api.textmebot.com/send.php?recipient=5493425225459&amp;apikey=xoF6EUkK31se&amp;document=https%3A%2F%2Fdrive.google.com%2Ffile%2Fd%2F16wuphuZGZNfXD0cplMEiANcIpVu6fZBw" TargetMode="External"/><Relationship Id="rId79" Type="http://schemas.openxmlformats.org/officeDocument/2006/relationships/hyperlink" Target="https://api.textmebot.com/send.php?recipient=5493426293881&amp;apikey=xoF6EUkK31se&amp;document=https%3A%2F%2Fdrive.google.com%2Ffile%2Fd%2F1tjWYlmAcYiUlURuKr6HHVxVdPXBPVn80" TargetMode="External"/><Relationship Id="rId78" Type="http://schemas.openxmlformats.org/officeDocument/2006/relationships/hyperlink" Target="https://api.textmebot.com/send.php?recipient=5491164872810&amp;apikey=xoF6EUkK31se&amp;document=https%3A%2F%2Fdrive.google.com%2Ffile%2Fd%2F1p_FZ65awXx9sas9EWQwFN2UWH5F2mPKS" TargetMode="External"/><Relationship Id="rId71" Type="http://schemas.openxmlformats.org/officeDocument/2006/relationships/hyperlink" Target="https://api.textmebot.com/send.php?recipient=5492267434320&amp;apikey=xoF6EUkK31se&amp;document=https%3A%2F%2Fdrive.google.com%2Ffile%2Fd%2F1jrzteOJI4QQoLVHYst75TXeo3dO200Z6" TargetMode="External"/><Relationship Id="rId70" Type="http://schemas.openxmlformats.org/officeDocument/2006/relationships/hyperlink" Target="https://api.textmebot.com/send.php?recipient=5492267434320&amp;apikey=xoF6EUkK31se&amp;document=https%3A%2F%2Fdrive.google.com%2Ffile%2Fd%2F11zm1k9Rh2ZgELJo_cPuCEINuiv9aVxJk" TargetMode="External"/><Relationship Id="rId62"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61" Type="http://schemas.openxmlformats.org/officeDocument/2006/relationships/hyperlink" Target="https://api.textmebot.com/send.php?recipient=5492267434320&amp;apikey=xoF6EUkK31se&amp;document=https%3A%2F%2Fdrive.google.com%2Ffile%2Fd%2F1Tdw7nwkNH9QkCRMsXY4ZMGVlarJAqLNF" TargetMode="External"/><Relationship Id="rId64" Type="http://schemas.openxmlformats.org/officeDocument/2006/relationships/hyperlink" Target="https://api.textmebot.com/send.php?recipient=5493424770891&amp;apikey=xoF6EUkK31se&amp;document=https%3A%2F%2Fdrive.google.com%2Ffile%2Fd%2F1UbXEfh2asKIlXNcinIQ8FVvcsDwVlHgb" TargetMode="External"/><Relationship Id="rId63" Type="http://schemas.openxmlformats.org/officeDocument/2006/relationships/hyperlink" Target="https://api.textmebot.com/send.php?recipient=5493424770891&amp;apikey=xoF6EUkK31se&amp;document=https%3A%2F%2Fdrive.google.com%2Ffile%2Fd%2F1X_yhh1PuaNtYefjLfOYcBjbMO7L2akga" TargetMode="External"/><Relationship Id="rId66" Type="http://schemas.openxmlformats.org/officeDocument/2006/relationships/hyperlink" Target="https://api.textmebot.com/send.php?recipient=5493493661975&amp;apikey=xoF6EUkK31se&amp;text=Hola%20Estefania!%20%F0%9F%91%8B%20%0ATe%20env%C3%ADo%20la%20factura%20correspondiente%20por%20la%20prestaci%C3%B3n%20de%20servicios%20durante%20el%20per%C3%ADodo%2011%2F06%2F25%20al%2011%2F07%2F25.%20%0A%0A%F0%9F%93%8B%20*Detalles%20de%20la%20factura%3A*%20%0A%E2%80%A2%20N%C3%BAmero%3A%20%20%0A%E2%80%A2%20Fecha%20de%20Emisi%C3%B3n%3A%2014%2F07%2F25%20%0A%E2%80%A2%20Fecha%20de%20Vencimiento%3A%2024%2F07%2F25%20%0A%E2%80%A2%20Monto%20Total%3A%20%24%20822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 TargetMode="External"/><Relationship Id="rId65" Type="http://schemas.openxmlformats.org/officeDocument/2006/relationships/hyperlink" Target="https://api.textmebot.com/send.php?recipient=5493493661975&amp;apikey=xoF6EUkK31se&amp;document=https%3A%2F%2Fdrive.google.com%2Ffile%2Fd%2F1jhZd13_z45SkmcuPbhJdol7Ec-kKYjs0" TargetMode="External"/><Relationship Id="rId68" Type="http://schemas.openxmlformats.org/officeDocument/2006/relationships/hyperlink" Target="https://api.textmebot.com/send.php?recipient=5491141908925&amp;apikey=xoF6EUkK31se&amp;document=https%3A%2F%2Fdrive.google.com%2Ffile%2Fd%2F1MSYZN4o1P4JIJHsJXhQSUWFDpH9fxl-X" TargetMode="External"/><Relationship Id="rId67" Type="http://schemas.openxmlformats.org/officeDocument/2006/relationships/hyperlink" Target="https://api.textmebot.com/send.php?recipient=5491141908925&amp;apikey=xoF6EUkK31se&amp;document=https%3A%2F%2Fdrive.google.com%2Ffile%2Fd%2F11VpsegzAndX4aW2SEM6X_-n73GqhADRL" TargetMode="External"/><Relationship Id="rId60" Type="http://schemas.openxmlformats.org/officeDocument/2006/relationships/hyperlink" Target="https://api.textmebot.com/send.php?recipient=5492267434320&amp;apikey=xoF6EUkK31se&amp;document=https%3A%2F%2Fdrive.google.com%2Ffile%2Fd%2F1jrzteOJI4QQoLVHYst75TXeo3dO200Z6" TargetMode="External"/><Relationship Id="rId69" Type="http://schemas.openxmlformats.org/officeDocument/2006/relationships/hyperlink" Target="https://api.textmebot.com/send.php?recipient=5491141908925&amp;apikey=xoF6EUkK31se&amp;text=Hola%20Nelson!%20%F0%9F%91%8B%20%0ATe%20env%C3%ADo%20la%20factura%20correspondiente%20por%20la%20prestaci%C3%B3n%20de%20servicios%20durante%20el%20per%C3%ADodo%2011%2F06%2F25%20al%2011%2F07%2F25.%20%0A%0A%F0%9F%93%8B%20*Detalles%20de%20la%20factura%3A*%20%0A%E2%80%A2%20N%C3%BAmero%3A%2042%20%0A%E2%80%A2%20Fecha%20de%20Emisi%C3%B3n%3A%2014%2F07%2F25%20%0A%E2%80%A2%20Fecha%20de%20Vencimiento%3A%2018%2F07%2F25%20%0A%E2%80%A2%20Monto%20Total%3A%20%24%2050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51" Type="http://schemas.openxmlformats.org/officeDocument/2006/relationships/hyperlink" Target="https://api.textmebot.com/send.php?recipient=5493425295451&amp;apikey=xoF6EUkK31se&amp;document=https%3A%2F%2Fdrive.google.com%2Ffile%2Fd%2F1sY4zAxgcVuAn1NXki320jDGZHEM_zpnS" TargetMode="External"/><Relationship Id="rId50" Type="http://schemas.openxmlformats.org/officeDocument/2006/relationships/hyperlink" Target="https://api.textmebot.com/send.php?recipient=5493425295451&amp;apikey=xoF6EUkK31se&amp;document=https%3A%2F%2Fdrive.google.com%2Ffile%2Fd%2F1TPbok4XAVCY_ROBvAp8qKt6sKVmcP5jo" TargetMode="External"/><Relationship Id="rId53" Type="http://schemas.openxmlformats.org/officeDocument/2006/relationships/hyperlink" Target="https://api.textmebot.com/send.php?recipient=5493425389073&amp;apikey=xoF6EUkK31se&amp;document=https%3A%2F%2Fdrive.google.com%2Ffile%2Fd%2F1GnB_4dmE8iJxCIv02cZdH_u8-VyGiHrt" TargetMode="External"/><Relationship Id="rId52" Type="http://schemas.openxmlformats.org/officeDocument/2006/relationships/hyperlink" Target="https://api.textmebot.com/send.php?recipient=5493425295451&amp;apikey=xoF6EUkK31se&amp;text=Hola%20Gonzalo!%20%F0%9F%91%8B%20%0ATe%20env%C3%ADo%20la%20factura%20correspondiente%20por%20la%20prestaci%C3%B3n%20de%20servicios%20durante%20el%20per%C3%ADodo%2028%2F06%2F25%20al%2028%2F07%2F25.%20%0A%0A%F0%9F%93%8B%20*Detalles%20de%20la%20factura%3A*%20%0A%E2%80%A2%20N%C3%BAmero%3A%20187%20%0A%E2%80%A2%20Fecha%20de%20Emisi%C3%B3n%3A%2010%2F07%2F25%20%0A%E2%80%A2%20Fecha%20de%20Vencimiento%3A%2021%2F07%2F25%20%0A%E2%80%A2%20Monto%20Total%3A%20%24%20669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55" Type="http://schemas.openxmlformats.org/officeDocument/2006/relationships/hyperlink" Target="https://api.textmebot.com/send.php?recipient=5493425389073&amp;apikey=xoF6EUkK31se&amp;text=Hola%20Martin!%20%F0%9F%91%8B%20%0ATe%20env%C3%ADo%20la%20factura%20correspondiente%20por%20la%20prestaci%C3%B3n%20de%20servicios%20durante%20el%20per%C3%ADodo%2006%2F06%2F25%20al%2006%2F07%2F25.%20%0A%0A%F0%9F%93%8B%20*Detalles%20de%20la%20factura%3A*%20%0A%E2%80%A2%20N%C3%BAmero%3A%2041%20%0A%E2%80%A2%20Fecha%20de%20Emisi%C3%B3n%3A%2010%2F07%2F25%20%0A%E2%80%A2%20Fecha%20de%20Vencimiento%3A%2021%2F07%2F25%20%0A%E2%80%A2%20Monto%20Total%3A%20%24%20621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54" Type="http://schemas.openxmlformats.org/officeDocument/2006/relationships/hyperlink" Target="https://api.textmebot.com/send.php?recipient=5493425389073&amp;apikey=xoF6EUkK31se&amp;document=https%3A%2F%2Fdrive.google.com%2Ffile%2Fd%2F1WHRMYAEa2LNalwH81Bxwf7vW1eFWdQqO" TargetMode="External"/><Relationship Id="rId57" Type="http://schemas.openxmlformats.org/officeDocument/2006/relationships/hyperlink" Target="https://api.textmebot.com/send.php?recipient=5493425389073&amp;apikey=xoF6EUkK31se&amp;document=https%3A%2F%2Fdrive.google.com%2Ffile%2Fd%2F1WHRMYAEa2LNalwH81Bxwf7vW1eFWdQqO" TargetMode="External"/><Relationship Id="rId56" Type="http://schemas.openxmlformats.org/officeDocument/2006/relationships/hyperlink" Target="https://api.textmebot.com/send.php?recipient=5493425389073&amp;apikey=xoF6EUkK31se&amp;document=https%3A%2F%2Fdrive.google.com%2Ffile%2Fd%2F1R3taaLx8KJzfHIL7UDO14m83FZhCJ6i_" TargetMode="External"/><Relationship Id="rId59" Type="http://schemas.openxmlformats.org/officeDocument/2006/relationships/hyperlink" Target="https://api.textmebot.com/send.php?recipient=5492267434320&amp;apikey=xoF6EUkK31se&amp;document=https%3A%2F%2Fdrive.google.com%2Ffile%2Fd%2F11zm1k9Rh2ZgELJo_cPuCEINuiv9aVxJk" TargetMode="External"/><Relationship Id="rId58" Type="http://schemas.openxmlformats.org/officeDocument/2006/relationships/hyperlink" Target="https://api.textmebot.com/send.php?recipient=5493425389073&amp;apikey=xoF6EUkK31se&amp;text=Hola%20Martin!%20%F0%9F%91%8B%20%0ATe%20env%C3%ADo%20la%20factura%20correspondiente%20por%20la%20prestaci%C3%B3n%20de%20servicios%20durante%20el%20per%C3%ADodo%2006%2F06%2F25%20al%2006%2F07%2F25.%20%0A%0A%F0%9F%93%8B%20*Detalles%20de%20la%20factura%3A*%20%0A%E2%80%A2%20N%C3%BAmero%3A%2041%20%0A%E2%80%A2%20Fecha%20de%20Emisi%C3%B3n%3A%2010%2F07%2F25%20%0A%E2%80%A2%20Fecha%20de%20Vencimiento%3A%2021%2F07%2F25%20%0A%E2%80%A2%20Monto%20Total%3A%20%24%20621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107" Type="http://schemas.openxmlformats.org/officeDocument/2006/relationships/hyperlink" Target="https://api.textmebot.com/send.php?recipient=5493425468752&amp;apikey=xoF6EUkK31se&amp;text=Hola%20Luciano!%20%F0%9F%91%8B%20%0ATe%20env%C3%ADo%20la%20factura%20correspondiente%20por%20la%20prestaci%C3%B3n%20de%20servicios%20durante%20el%20per%C3%ADodo%2001%2F07%2F25%20al%2001%2F08%2F25.%20%0A%0A%F0%9F%93%8B%20*Detalles%20de%20la%20factura%3A*%20%0A%E2%80%A2%20N%C3%BAmero%3A%20%20%0A%E2%80%A2%20Fecha%20de%20Emisi%C3%B3n%3A%2001%2F08%2F25%20%0A%E2%80%A2%20Fecha%20de%20Vencimiento%3A%2008%2F08%2F25%20%0A%E2%80%A2%20Monto%20Total%3A%20%24%2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28" Type="http://schemas.openxmlformats.org/officeDocument/2006/relationships/hyperlink" Target="https://api.textmebot.com/send.php?recipient=5493425389073&amp;apikey=xoF6EUkK31se&amp;document=https%3A%2F%2Fdrive.google.com%2Ffile%2Fd%2F1Mf2zJVJeSpA5AnxV6_UhP5TFMHqFQcd7" TargetMode="External"/><Relationship Id="rId349" Type="http://schemas.openxmlformats.org/officeDocument/2006/relationships/hyperlink" Target="https://api.textmebot.com/send.php?recipient=5493424476596&amp;apikey=xoF6EUkK31se&amp;text=Hola%20Adrian!%20%F0%9F%91%8B%20%0ATe%20env%C3%ADo%20la%20factura%20correspondiente%20por%20la%20prestaci%C3%B3n%20de%20servicios%20durante%20el%20per%C3%ADodo%2003%2F11%2F25%20al%2003%2F12%2F25.%20%0A%0A%F0%9F%93%8B%20*Detalles%20de%20la%20factura%3A*%20%0A%E2%80%A2%20N%C3%BAmero%3A%2012%20%0A%E2%80%A2%20Fecha%20de%20Emisi%C3%B3n%3A%2012%2F12%2F25%20%0A%E2%80%A2%20Fecha%20de%20Vencimiento%3A%2019%2F12%2F25%20%0A%E2%80%A2%20Monto%20Total%3A%20%24%204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106" Type="http://schemas.openxmlformats.org/officeDocument/2006/relationships/hyperlink" Target="https://api.textmebot.com/send.php?recipient=5493425468752&amp;apikey=xoF6EUkK31se&amp;document=https%3A%2F%2Fdrive.google.com%2Ffile%2Fd%2F1cC743lF7FOaPjzgtMIOpt2v1566Vepsg" TargetMode="External"/><Relationship Id="rId227" Type="http://schemas.openxmlformats.org/officeDocument/2006/relationships/hyperlink" Target="https://api.textmebot.com/send.php?recipient=5493425389073&amp;apikey=xoF6EUkK31se&amp;document=https%3A%2F%2Fdrive.google.com%2Ffile%2Fd%2F1BT6H-eyi5ZpD7X43KvbnVNX5lnfPgmgr" TargetMode="External"/><Relationship Id="rId348" Type="http://schemas.openxmlformats.org/officeDocument/2006/relationships/hyperlink" Target="https://api.textmebot.com/send.php?recipient=5493424476596&amp;apikey=xoF6EUkK31se&amp;document=https%3A%2F%2Fdrive.google.com%2Ffile%2Fd%2F1_WCqci7h9ZqIMVngYMkUGYugKUFqWs5y" TargetMode="External"/><Relationship Id="rId469" Type="http://schemas.openxmlformats.org/officeDocument/2006/relationships/hyperlink" Target="https://drive.google.com/uc?export=download&amp;id=1DAbOHBNYxCYCB6VxahKFSDnghPELX8qd" TargetMode="External"/><Relationship Id="rId105"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226" Type="http://schemas.openxmlformats.org/officeDocument/2006/relationships/hyperlink" Target="https://api.textmebot.com/send.php?recipient=5493424791582&amp;apikey=xoF6EUkK31se&amp;text=Hola%20Pablo!%20%F0%9F%91%8B%20%0ATe%20env%C3%ADo%20la%20factura%20correspondiente%20por%20la%20prestaci%C3%B3n%20de%20servicios%20durante%20el%20per%C3%ADodo%2008%2F09%2F25%20al%2008%2F10%2F25.%20%0A%0A%F0%9F%93%8B%20*Detalles%20de%20la%20factura%3A*%20%0A%E2%80%A2%20N%C3%BAmero%3A%20201%20%0A%E2%80%A2%20Fecha%20de%20Emisi%C3%B3n%3A%2009%2F10%2F25%20%0A%E2%80%A2%20Fecha%20de%20Vencimiento%3A%2017%2F10%2F25%20%0A%E2%80%A2%20Monto%20Total%3A%20%24%201274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47" Type="http://schemas.openxmlformats.org/officeDocument/2006/relationships/hyperlink" Target="https://api.textmebot.com/send.php?recipient=5493424476596&amp;apikey=xoF6EUkK31se&amp;document=https%3A%2F%2Fdrive.google.com%2Ffile%2Fd%2F15orl0jURJOHSdrarWZh50B1YLAaKX9z_" TargetMode="External"/><Relationship Id="rId468" Type="http://schemas.openxmlformats.org/officeDocument/2006/relationships/hyperlink" Target="https://drive.google.com/uc?export=download&amp;id=1d0TCIR5uFjA2wdR0-QM56ZUGt5aaNWMf" TargetMode="External"/><Relationship Id="rId104" Type="http://schemas.openxmlformats.org/officeDocument/2006/relationships/hyperlink" Target="https://api.textmebot.com/send.php?recipient=5492267434320&amp;apikey=xoF6EUkK31se&amp;document=https%3A%2F%2Fdrive.google.com%2Ffile%2Fd%2F1Tdw7nwkNH9QkCRMsXY4ZMGVlarJAqLNF" TargetMode="External"/><Relationship Id="rId225" Type="http://schemas.openxmlformats.org/officeDocument/2006/relationships/hyperlink" Target="https://api.textmebot.com/send.php?recipient=5493424791582&amp;apikey=xoF6EUkK31se&amp;document=https%3A%2F%2Fdrive.google.com%2Ffile%2Fd%2F11i8Qd2Rn6ZSjgPJvfkjVKExuZArw1dS1" TargetMode="External"/><Relationship Id="rId346" Type="http://schemas.openxmlformats.org/officeDocument/2006/relationships/hyperlink" Target="https://api.textmebot.com/send.php?recipient=5491164872810&amp;apikey=xoF6EUkK31se&amp;document=https%3A%2F%2Fdrive.google.com%2Ffile%2Fd%2F1duGlqdqr8NLbUFFYmZBYU7YxSYtuX1w5" TargetMode="External"/><Relationship Id="rId467" Type="http://schemas.openxmlformats.org/officeDocument/2006/relationships/hyperlink" Target="https://drive.google.com/uc?export=download&amp;id=1M1CBbJoRJXBLfLwt-q7PBJlUw3IcnfA9" TargetMode="External"/><Relationship Id="rId109" Type="http://schemas.openxmlformats.org/officeDocument/2006/relationships/hyperlink" Target="https://api.textmebot.com/send.php?recipient=5492267434320&amp;apikey=xoF6EUkK31se&amp;document=https%3A%2F%2Fdrive.google.com%2Ffile%2Fd%2F1Vp1MMlN6MQhPH89Y0_amoMyR53UR4ZxP" TargetMode="External"/><Relationship Id="rId108" Type="http://schemas.openxmlformats.org/officeDocument/2006/relationships/hyperlink" Target="https://api.textmebot.com/send.php?recipient=5492267434320&amp;apikey=xoF6EUkK31se&amp;document=https%3A%2F%2Fdrive.google.com%2Ffile%2Fd%2F1MzXpNNFNSe_aErf5jHdNf9OTxiC0IrTI" TargetMode="External"/><Relationship Id="rId229" Type="http://schemas.openxmlformats.org/officeDocument/2006/relationships/hyperlink" Target="https://api.textmebot.com/send.php?recipient=5493425389073&amp;apikey=xoF6EUkK31se&amp;text=Hola%20Martin!%20%F0%9F%91%8B%20%0ATe%20env%C3%ADo%20la%20factura%20correspondiente%20por%20la%20prestaci%C3%B3n%20de%20servicios%20durante%20el%20per%C3%ADodo%2006%2F09%2F25%20al%2006%2F10%2F25.%20%0A%0A%F0%9F%93%8B%20*Detalles%20de%20la%20factura%3A*%20%0A%E2%80%A2%20N%C3%BAmero%3A%2054%20%0A%E2%80%A2%20Fecha%20de%20Emisi%C3%B3n%3A%2009%2F10%2F25%20%0A%E2%80%A2%20Fecha%20de%20Vencimiento%3A%2020%2F10%2F25%20%0A%E2%80%A2%20Monto%20Total%3A%20%24%20655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220" Type="http://schemas.openxmlformats.org/officeDocument/2006/relationships/hyperlink" Target="https://api.textmebot.com/send.php?recipient=5493425380483&amp;apikey=xoF6EUkK31se&amp;document=https%3A%2F%2Fdrive.google.com%2Ffile%2Fd%2F1q8R5L3IzOCRvrCOehJm_9tjVf3a6b_0s" TargetMode="External"/><Relationship Id="rId341" Type="http://schemas.openxmlformats.org/officeDocument/2006/relationships/hyperlink" Target="https://api.textmebot.com/send.php?recipient=5493425380483&amp;apikey=xoF6EUkK31se&amp;document=https%3A%2F%2Fdrive.google.com%2Ffile%2Fd%2F1zMtsRKrGdjjb0-PjbA1KwIcIgN39SUMA" TargetMode="External"/><Relationship Id="rId462" Type="http://schemas.openxmlformats.org/officeDocument/2006/relationships/hyperlink" Target="https://drive.google.com/uc?export=download&amp;id=1qy4ObhU7_w_Zq4duuHsJYFeWkwaHOFHE" TargetMode="External"/><Relationship Id="rId340" Type="http://schemas.openxmlformats.org/officeDocument/2006/relationships/hyperlink" Target="https://api.textmebot.com/send.php?recipient=5491164872810&amp;apikey=xoF6EUkK31se&amp;document=https%3A%2F%2Fdrive.google.com%2Ffile%2Fd%2F1duGlqdqr8NLbUFFYmZBYU7YxSYtuX1w5" TargetMode="External"/><Relationship Id="rId461" Type="http://schemas.openxmlformats.org/officeDocument/2006/relationships/hyperlink" Target="https://drive.google.com/uc?export=download&amp;id=1G8lw2XwBvayWuYVYTZiTBkTDdUr-70bU" TargetMode="External"/><Relationship Id="rId460" Type="http://schemas.openxmlformats.org/officeDocument/2006/relationships/hyperlink" Target="https://drive.google.com/uc?export=download&amp;id=1X1oH8B12j64XRxsiPvkaqwHwfNr-m63z" TargetMode="External"/><Relationship Id="rId103" Type="http://schemas.openxmlformats.org/officeDocument/2006/relationships/hyperlink" Target="https://api.textmebot.com/send.php?recipient=5492267434320&amp;apikey=xoF6EUkK31se&amp;document=https%3A%2F%2Fdrive.google.com%2Ffile%2Fd%2F1Vp1MMlN6MQhPH89Y0_amoMyR53UR4ZxP" TargetMode="External"/><Relationship Id="rId224" Type="http://schemas.openxmlformats.org/officeDocument/2006/relationships/hyperlink" Target="https://api.textmebot.com/send.php?recipient=5493424791582&amp;apikey=xoF6EUkK31se&amp;document=https%3A%2F%2Fdrive.google.com%2Ffile%2Fd%2F1fhgBbRQtyNiqCdxhNIb4wa-kHgsMGviD" TargetMode="External"/><Relationship Id="rId345" Type="http://schemas.openxmlformats.org/officeDocument/2006/relationships/hyperlink" Target="https://api.textmebot.com/send.php?recipient=5493498478357&amp;apikey=xoF6EUkK31se&amp;text=Hola%20Marcelo!%20%F0%9F%91%8B%20%0ATe%20env%C3%ADo%20la%20factura%20correspondiente%20por%20la%20prestaci%C3%B3n%20de%20servicios%20durante%20el%20per%C3%ADodo%2001%2F11%2F25%20al%2001%2F12%2F25.%20%0A%0A%F0%9F%93%8B%20*Detalles%20de%20la%20factura%3A*%20%0A%E2%80%A2%20N%C3%BAmero%3A%20213%20%0A%E2%80%A2%20Fecha%20de%20Emisi%C3%B3n%3A%2003%2F12%2F25%20%0A%E2%80%A2%20Fecha%20de%20Vencimiento%3A%2010%2F12%2F25%20%0A%E2%80%A2%20Monto%20Total%3A%20%24%2097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66" Type="http://schemas.openxmlformats.org/officeDocument/2006/relationships/hyperlink" Target="https://drive.google.com/uc?export=download&amp;id=1w2uq5IFKTVxRNTmkpN4O8_ZsrflLw_TW" TargetMode="External"/><Relationship Id="rId102" Type="http://schemas.openxmlformats.org/officeDocument/2006/relationships/hyperlink" Target="https://api.textmebot.com/send.php?recipient=5492267434320&amp;apikey=xoF6EUkK31se&amp;document=https%3A%2F%2Fdrive.google.com%2Ffile%2Fd%2F1MzXpNNFNSe_aErf5jHdNf9OTxiC0IrTI" TargetMode="External"/><Relationship Id="rId223" Type="http://schemas.openxmlformats.org/officeDocument/2006/relationships/hyperlink" Target="https://api.textmebot.com/send.php?recipient=5493425225459&amp;apikey=xoF6EUkK31se&amp;text=Hola%20Ignacio!%20%F0%9F%91%8B%20%0ATe%20env%C3%ADo%20la%20factura%20correspondiente%20por%20la%20prestaci%C3%B3n%20de%20servicios%20durante%20el%20per%C3%ADodo%2004%2F09%2F25%20al%2004%2F10%2F25.%20%0A%0A%F0%9F%93%8B%20*Detalles%20de%20la%20factura%3A*%20%0A%E2%80%A2%20N%C3%BAmero%3A%2053%20%0A%E2%80%A2%20Fecha%20de%20Emisi%C3%B3n%3A%2009%2F10%2F25%20%0A%E2%80%A2%20Fecha%20de%20Vencimiento%3A%2016%2F10%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344" Type="http://schemas.openxmlformats.org/officeDocument/2006/relationships/hyperlink" Target="https://api.textmebot.com/send.php?recipient=5493498478357&amp;apikey=xoF6EUkK31se&amp;document=https%3A%2F%2Fdrive.google.com%2Ffile%2Fd%2F1fBKr57659G5AfsFep2_zzyTQ6J2HQl5B" TargetMode="External"/><Relationship Id="rId465" Type="http://schemas.openxmlformats.org/officeDocument/2006/relationships/hyperlink" Target="https://drive.google.com/uc?export=download&amp;id=1y_8LDiHQBptIgjOtZvwUbMxeOh40gFHY" TargetMode="External"/><Relationship Id="rId101" Type="http://schemas.openxmlformats.org/officeDocument/2006/relationships/hyperlink" Target="https://api.textmebot.com/send.php?recipient=5493492527138&amp;apikey=xoF6EUkK31se&amp;text=Hola%20Gast%C3%B3n!%20%F0%9F%91%8B%20%0ATe%20env%C3%ADo%20la%20factura%20correspondiente%20por%20la%20prestaci%C3%B3n%20de%20servicios%20durante%20el%20per%C3%ADodo%2022%2F06%2F25%20al%2022%2F07%2F25.%20%0A%0A%F0%9F%93%8B%20*Detalles%20de%20la%20factura%3A*%20%0A%E2%80%A2%20N%C3%BAmero%3A%20%20%0A%E2%80%A2%20Fecha%20de%20Emisi%C3%B3n%3A%2028%2F07%2F25%20%0A%E2%80%A2%20Fecha%20de%20Vencimiento%3A%2005%2F08%2F25%20%0A%E2%80%A2%20Monto%20Total%3A%20%24%20549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22" Type="http://schemas.openxmlformats.org/officeDocument/2006/relationships/hyperlink" Target="https://api.textmebot.com/send.php?recipient=5493425225459&amp;apikey=xoF6EUkK31se&amp;document=https%3A%2F%2Fdrive.google.com%2Ffile%2Fd%2F1fquPduaWHb6clpbw9Y73hFsFFeP4Yn6n" TargetMode="External"/><Relationship Id="rId343" Type="http://schemas.openxmlformats.org/officeDocument/2006/relationships/hyperlink" Target="https://api.textmebot.com/send.php?recipient=5493498478357&amp;apikey=xoF6EUkK31se&amp;document=https%3A%2F%2Fdrive.google.com%2Ffile%2Fd%2F1sEIUUXsrcRcgJH4mwXqVIPgFcy31Ff9x" TargetMode="External"/><Relationship Id="rId464" Type="http://schemas.openxmlformats.org/officeDocument/2006/relationships/hyperlink" Target="https://drive.google.com/uc?export=download&amp;id=1PrVHI7t6nbR5axvuA5wYMaBms9zT4CKX" TargetMode="External"/><Relationship Id="rId100" Type="http://schemas.openxmlformats.org/officeDocument/2006/relationships/hyperlink" Target="https://api.textmebot.com/send.php?recipient=5493492527138&amp;apikey=xoF6EUkK31se&amp;document=https%3A%2F%2Fdrive.google.com%2Ffile%2Fd%2F1pvNUj22CuJrVOfafnMRiuhlezrDeX2st" TargetMode="External"/><Relationship Id="rId221" Type="http://schemas.openxmlformats.org/officeDocument/2006/relationships/hyperlink" Target="https://api.textmebot.com/send.php?recipient=5493425225459&amp;apikey=xoF6EUkK31se&amp;document=https%3A%2F%2Fdrive.google.com%2Ffile%2Fd%2F1_WMivFyDZt3UcUeUbBPO_NzVc0PZJoJ_" TargetMode="External"/><Relationship Id="rId342" Type="http://schemas.openxmlformats.org/officeDocument/2006/relationships/hyperlink" Target="https://api.textmebot.com/send.php?recipient=5493425380483&amp;apikey=xoF6EUkK31se&amp;document=https%3A%2F%2Fdrive.google.com%2Ffile%2Fd%2F1FospdJ3n7P_-Ro1MTf7HAywKKrcroTqH" TargetMode="External"/><Relationship Id="rId463" Type="http://schemas.openxmlformats.org/officeDocument/2006/relationships/hyperlink" Target="https://drive.google.com/uc?export=download&amp;id=1_RsBJNu-kAlURtJxfOnWJfGwn8Qnz6B9" TargetMode="External"/><Relationship Id="rId217" Type="http://schemas.openxmlformats.org/officeDocument/2006/relationships/hyperlink" Target="https://api.textmebot.com/send.php?recipient=5493424770891&amp;apikey=xoF6EUkK31se&amp;document=https%3A%2F%2Fdrive.google.com%2Ffile%2Fd%2F1b0da06TJDGdaMd0PynMSfIIp7dpZXAB7" TargetMode="External"/><Relationship Id="rId338" Type="http://schemas.openxmlformats.org/officeDocument/2006/relationships/hyperlink" Target="https://api.textmebot.com/send.php?recipient=5491166128341&amp;apikey=xoF6EUkK31se&amp;document=https%3A%2F%2Fdrive.google.com%2Ffile%2Fd%2F1QLm-Nae8wBVwmnmNGyJK_C6C-lWZPAuL" TargetMode="External"/><Relationship Id="rId459" Type="http://schemas.openxmlformats.org/officeDocument/2006/relationships/hyperlink" Target="https://drive.google.com/uc?export=download&amp;id=1MEzknNcJfm6grkJu1DFo37xifOuX0Ksi" TargetMode="External"/><Relationship Id="rId216" Type="http://schemas.openxmlformats.org/officeDocument/2006/relationships/hyperlink" Target="https://api.textmebot.com/send.php?recipient=5491164872810&amp;apikey=xoF6EUkK31se&amp;document=https%3A%2F%2Fdrive.google.com%2Ffile%2Fd%2F117QeFfsS4iEwV53uQRPMlnVREE38Rro8" TargetMode="External"/><Relationship Id="rId337" Type="http://schemas.openxmlformats.org/officeDocument/2006/relationships/hyperlink" Target="https://api.textmebot.com/send.php?recipient=5493424770891&amp;apikey=xoF6EUkK31se&amp;text=Hola%20Juan!%20%F0%9F%91%8B%20%0ATe%20env%C3%ADo%20la%20factura%20correspondiente%20por%20la%20prestaci%C3%B3n%20de%20servicios%20durante%20el%20per%C3%ADodo%2021%2F10%2F25%20al%2022%2F11%2F25.%20%0A%0A%F0%9F%93%8B%20*Detalles%20de%20la%20factura%3A*%20%0A%E2%80%A2%20N%C3%BAmero%3A%20212%20%0A%E2%80%A2%20Fecha%20de%20Emisi%C3%B3n%3A%2025%2F11%2F25%20%0A%E2%80%A2%20Fecha%20de%20Vencimiento%3A%2005%2F12%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58" Type="http://schemas.openxmlformats.org/officeDocument/2006/relationships/hyperlink" Target="https://drive.google.com/uc?export=download&amp;id=1_RsBJNu-kAlURtJxfOnWJfGwn8Qnz6B9" TargetMode="External"/><Relationship Id="rId215" Type="http://schemas.openxmlformats.org/officeDocument/2006/relationships/hyperlink" Target="https://api.textmebot.com/send.php?recipient=5491164872810&amp;apikey=xoF6EUkK31se&amp;document=https%3A%2F%2Fdrive.google.com%2Ffile%2Fd%2F117QeFfsS4iEwV53uQRPMlnVREE38Rro8" TargetMode="External"/><Relationship Id="rId336" Type="http://schemas.openxmlformats.org/officeDocument/2006/relationships/hyperlink" Target="https://api.textmebot.com/send.php?recipient=5493424770891&amp;apikey=xoF6EUkK31se&amp;document=https%3A%2F%2Fdrive.google.com%2Ffile%2Fd%2F168RY4h8nTUZ2obgBM1pP9FXQupenkwZ9" TargetMode="External"/><Relationship Id="rId457" Type="http://schemas.openxmlformats.org/officeDocument/2006/relationships/hyperlink" Target="https://drive.google.com/uc?export=download&amp;id=1wDnUvDD8Uu9UDjQCZni5mzWJf5-f-XAE" TargetMode="External"/><Relationship Id="rId214" Type="http://schemas.openxmlformats.org/officeDocument/2006/relationships/hyperlink" Target="https://api.textmebot.com/send.php?recipient=5493492527138&amp;apikey=xoF6EUkK31se&amp;text=Hola%20Gast%C3%B3n!%20%F0%9F%91%8B%20%0ATe%20env%C3%ADo%20la%20factura%20correspondiente%20por%20la%20prestaci%C3%B3n%20de%20servicios%20durante%20el%20per%C3%ADodo%2022%2F08%2F25%20al%2022%2F09%2F25.%20%0A%0A%F0%9F%93%8B%20*Detalles%20de%20la%20factura%3A*%20%0A%E2%80%A2%20N%C3%BAmero%3A%20%20%0A%E2%80%A2%20Fecha%20de%20Emisi%C3%B3n%3A%2029%2F09%2F25%20%0A%E2%80%A2%20Fecha%20de%20Vencimiento%3A%2007%2F10%2F25%20%0A%E2%80%A2%20Monto%20Total%3A%20%24%20593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35" Type="http://schemas.openxmlformats.org/officeDocument/2006/relationships/hyperlink" Target="https://api.textmebot.com/send.php?recipient=5493424770891&amp;apikey=xoF6EUkK31se&amp;document=https%3A%2F%2Fdrive.google.com%2Ffile%2Fd%2F1Pl_NGoDPPRrCrngL0GVp-Z2TqfvnqX3i" TargetMode="External"/><Relationship Id="rId456" Type="http://schemas.openxmlformats.org/officeDocument/2006/relationships/hyperlink" Target="https://drive.google.com/uc?export=download&amp;id=1biL3SoTA7_iB88dU0_v8C3IfKSP_lBNB" TargetMode="External"/><Relationship Id="rId219" Type="http://schemas.openxmlformats.org/officeDocument/2006/relationships/hyperlink" Target="https://api.textmebot.com/send.php?recipient=5493425380483&amp;apikey=xoF6EUkK31se&amp;document=https%3A%2F%2Fdrive.google.com%2Ffile%2Fd%2F1oM1uiPVs811RxFWQXVXOCX0gHLtzIr1M" TargetMode="External"/><Relationship Id="rId218" Type="http://schemas.openxmlformats.org/officeDocument/2006/relationships/hyperlink" Target="https://api.textmebot.com/send.php?recipient=5493424770891&amp;apikey=xoF6EUkK31se&amp;document=https%3A%2F%2Fdrive.google.com%2Ffile%2Fd%2F1dY4OmPE_W68euC6UdAUka_4KqoFIMUxK" TargetMode="External"/><Relationship Id="rId339" Type="http://schemas.openxmlformats.org/officeDocument/2006/relationships/hyperlink" Target="https://api.textmebot.com/send.php?recipient=5491166128341&amp;apikey=xoF6EUkK31se&amp;document=https%3A%2F%2Fdrive.google.com%2Ffile%2Fd%2F1CBGcRjzpPHnzOpAjNnXsqkTIXhWiBu6I" TargetMode="External"/><Relationship Id="rId330" Type="http://schemas.openxmlformats.org/officeDocument/2006/relationships/hyperlink" Target="https://api.textmebot.com/send.php?recipient=5491141908925&amp;apikey=xoF6EUkK31se&amp;text=Hola%20Nelson!%20%F0%9F%91%8B%20%0ATe%20env%C3%ADo%20la%20factura%20correspondiente%20por%20la%20prestaci%C3%B3n%20de%20servicios%20durante%20el%20per%C3%ADodo%2009%2F10%2F25%20al%2010%2F11%2F25.%20%0A%0A%F0%9F%93%8B%20*Detalles%20de%20la%20factura%3A*%20%0A%E2%80%A2%20N%C3%BAmero%3A%2062%20%0A%E2%80%A2%20Fecha%20de%20Emisi%C3%B3n%3A%2020%2F11%2F25%20%0A%E2%80%A2%20Fecha%20de%20Vencimiento%3A%2026%2F11%2F25%20%0A%E2%80%A2%20Monto%20Total%3A%20%24%2052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451" Type="http://schemas.openxmlformats.org/officeDocument/2006/relationships/hyperlink" Target="https://drive.google.com/uc?export=download&amp;id=1CcMZXaecRvyknUd0LJmMXwfNDa27f0WF" TargetMode="External"/><Relationship Id="rId450" Type="http://schemas.openxmlformats.org/officeDocument/2006/relationships/hyperlink" Target="https://drive.google.com/uc?export=download&amp;id=1u_eDJ78IwGUCiOUlRMbfdybgkWCIwRsC" TargetMode="External"/><Relationship Id="rId213" Type="http://schemas.openxmlformats.org/officeDocument/2006/relationships/hyperlink" Target="https://api.textmebot.com/send.php?recipient=5493492527138&amp;apikey=xoF6EUkK31se&amp;document=https%3A%2F%2Fdrive.google.com%2Ffile%2Fd%2F1KBE_nMVety6je4l6pi0TTy5hRfu5NPwA" TargetMode="External"/><Relationship Id="rId334" Type="http://schemas.openxmlformats.org/officeDocument/2006/relationships/hyperlink" Target="https://api.textmebot.com/send.php?recipient=5491171282725&amp;apikey=xoF6EUkK31se&amp;document=https%3A%2F%2Fdrive.google.com%2Ffile%2Fd%2F1XHlUpuSpK9S4YXqFk2pycLRpwD8vMs3v" TargetMode="External"/><Relationship Id="rId455" Type="http://schemas.openxmlformats.org/officeDocument/2006/relationships/hyperlink" Target="https://drive.google.com/uc?export=download&amp;id=1M1CBbJoRJXBLfLwt-q7PBJlUw3IcnfA9" TargetMode="External"/><Relationship Id="rId212" Type="http://schemas.openxmlformats.org/officeDocument/2006/relationships/hyperlink" Target="https://api.textmebot.com/send.php?recipient=5491164872810&amp;apikey=xoF6EUkK31se&amp;document=https%3A%2F%2Fdrive.google.com%2Ffile%2Fd%2F117QeFfsS4iEwV53uQRPMlnVREE38Rro8" TargetMode="External"/><Relationship Id="rId333" Type="http://schemas.openxmlformats.org/officeDocument/2006/relationships/hyperlink" Target="https://api.textmebot.com/send.php?recipient=5491171282725&amp;apikey=xoF6EUkK31se&amp;document=https%3A%2F%2Fdrive.google.com%2Ffile%2Fd%2F1H12nA_LSJEqtdiTmKLY2J5nJWAqrVGTT" TargetMode="External"/><Relationship Id="rId454" Type="http://schemas.openxmlformats.org/officeDocument/2006/relationships/hyperlink" Target="https://drive.google.com/uc?export=download&amp;id=1w2uq5IFKTVxRNTmkpN4O8_ZsrflLw_TW" TargetMode="External"/><Relationship Id="rId211" Type="http://schemas.openxmlformats.org/officeDocument/2006/relationships/hyperlink" Target="https://api.textmebot.com/send.php?recipient=5493424476596&amp;apikey=xoF6EUkK31se&amp;text=Hola%20Adrian!%20%F0%9F%91%8B%20%0ATe%20env%C3%ADo%20la%20factura%20correspondiente%20por%20la%20prestaci%C3%B3n%20de%20servicios%20durante%20el%20per%C3%ADodo%2003%2F08%2F25%20al%2003%2F09%2F25.%20%0A%0A%F0%9F%93%8B%20*Detalles%20de%20la%20factura%3A*%20%0A%E2%80%A2%20N%C3%BAmero%3A%20%20%0A%E2%80%A2%20Fecha%20de%20Emisi%C3%B3n%3A%2025%2F09%2F25%20%0A%E2%80%A2%20Fecha%20de%20Vencimiento%3A%2002%2F10%2F25%20%0A%E2%80%A2%20Monto%20Total%3A%20%24%20277800.%0A%20%20%0A%0A%F0%9F%92%BC%20*Cuenta%20para%20el%20dep%C3%B3sito%3A*Te%20agradecer%C3%ADa%20si%20me%20confirm%C3%A1s%20la%20recepci%C3%B3n%20y%20me%20avis%C3%A1s%20una%20fecha%20estimada%20de%20pago.%20%F0%9F%98%8A%20%0A%0ADesde%20ya%2C%20muchas%20gracias!" TargetMode="External"/><Relationship Id="rId332" Type="http://schemas.openxmlformats.org/officeDocument/2006/relationships/hyperlink" Target="https://api.textmebot.com/send.php?recipient=5493425295451&amp;apikey=xoF6EUkK31se&amp;document=https%3A%2F%2Fdrive.google.com%2Ffile%2Fd%2F1iiFWsIKd-p4lkvMd7Asq5NFJL-qNZLGi" TargetMode="External"/><Relationship Id="rId453" Type="http://schemas.openxmlformats.org/officeDocument/2006/relationships/hyperlink" Target="https://drive.google.com/uc?export=download&amp;id=1rXanWz5SQ7-kpnTLaI8_q_enbINXBDEc" TargetMode="External"/><Relationship Id="rId210" Type="http://schemas.openxmlformats.org/officeDocument/2006/relationships/hyperlink" Target="https://api.textmebot.com/send.php?recipient=5493424476596&amp;apikey=xoF6EUkK31se&amp;document=https%3A%2F%2Fdrive.google.com%2Ffile%2Fd%2F1aUVyPIWNVVXzFCuAW2APRIiHQxT7sQxt" TargetMode="External"/><Relationship Id="rId331" Type="http://schemas.openxmlformats.org/officeDocument/2006/relationships/hyperlink" Target="https://api.textmebot.com/send.php?recipient=5493425295451&amp;apikey=xoF6EUkK31se&amp;document=https%3A%2F%2Fdrive.google.com%2Ffile%2Fd%2F1dzTAGA8Qm66S0vMz6MtdTSlZuL1yfaGq" TargetMode="External"/><Relationship Id="rId452" Type="http://schemas.openxmlformats.org/officeDocument/2006/relationships/hyperlink" Target="https://drive.google.com/uc?export=download&amp;id=1Ci3YN7oj9SYytYTixfKfQaF-K96hOqC7" TargetMode="External"/><Relationship Id="rId370" Type="http://schemas.openxmlformats.org/officeDocument/2006/relationships/hyperlink" Target="https://drive.google.com/uc?export=download&amp;id=1Cew50zbj-tbCovFkWvgg02hwfGJxFP-0" TargetMode="External"/><Relationship Id="rId491" Type="http://schemas.openxmlformats.org/officeDocument/2006/relationships/hyperlink" Target="https://drive.google.com/uc?export=download&amp;id=1E3s-Dhg81mlZerSNKifBx26jT_j2NTSJ" TargetMode="External"/><Relationship Id="rId490" Type="http://schemas.openxmlformats.org/officeDocument/2006/relationships/hyperlink" Target="https://drive.google.com/uc?export=download&amp;id=13kdsNRwMLmnxVm2RLRBhjEo8Eex4pcK2" TargetMode="External"/><Relationship Id="rId129" Type="http://schemas.openxmlformats.org/officeDocument/2006/relationships/hyperlink" Target="https://api.textmebot.com/send.php?recipient=5491141908925&amp;apikey=xoF6EUkK31se&amp;text=Hola%20Nelson!%20%F0%9F%91%8B%20%0ATe%20env%C3%ADo%20la%20factura%20correspondiente%20por%20la%20prestaci%C3%B3n%20de%20servicios%20durante%20el%20per%C3%ADodo%2011%2F07%2F25%20al%2011%2F08%2F25.%20%0A%0A%F0%9F%93%8B%20*Detalles%20de%20la%20factura%3A*%20%0A%E2%80%A2%20N%C3%BAmero%3A%2046%20%0A%E2%80%A2%20Fecha%20de%20Emisi%C3%B3n%3A%2011%2F08%2F25%20%0A%E2%80%A2%20Fecha%20de%20Vencimiento%3A%2015%2F08%2F25%20%0A%E2%80%A2%20Monto%20Total%3A%20%24%2050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128" Type="http://schemas.openxmlformats.org/officeDocument/2006/relationships/hyperlink" Target="https://api.textmebot.com/send.php?recipient=5491141908925&amp;apikey=xoF6EUkK31se&amp;document=https%3A%2F%2Fdrive.google.com%2Ffile%2Fd%2F17CHhQLLEE0K7J1c3t6xBI8Gkh1u2B9S2" TargetMode="External"/><Relationship Id="rId249" Type="http://schemas.openxmlformats.org/officeDocument/2006/relationships/hyperlink" Target="https://api.textmebot.com/send.php?recipient=5493425295451&amp;apikey=xoF6EUkK31se&amp;document=https%3A%2F%2Fdrive.google.com%2Ffile%2Fd%2F1Ve483u4VsUGjTTOjLrVeV_MmsqIFiAHz" TargetMode="External"/><Relationship Id="rId127" Type="http://schemas.openxmlformats.org/officeDocument/2006/relationships/hyperlink" Target="https://api.textmebot.com/send.php?recipient=5491141908925&amp;apikey=xoF6EUkK31se&amp;document=https%3A%2F%2Fdrive.google.com%2Ffile%2Fd%2F1ixnjPDRZbxU2Wa3Uc-jlb-Y673LgJ75d" TargetMode="External"/><Relationship Id="rId248" Type="http://schemas.openxmlformats.org/officeDocument/2006/relationships/hyperlink" Target="https://api.textmebot.com/send.php?recipient=5493413077374&amp;apikey=xoF6EUkK31se&amp;text=Hola%20Noelia!%20%F0%9F%91%8B%20%0ATe%20env%C3%ADo%20la%20factura%20correspondiente%20por%20la%20prestaci%C3%B3n%20de%20servicios%20durante%20el%20per%C3%ADodo%2018%2F09%2F25%20al%2018%2F10%2F25.%20%0A%0A%F0%9F%93%8B%20*Detalles%20de%20la%20factura%3A*%20%0A%E2%80%A2%20N%C3%BAmero%3A%20202%20%0A%E2%80%A2%20Fecha%20de%20Emisi%C3%B3n%3A%2020%2F10%2F25%20%0A%E2%80%A2%20Fecha%20de%20Vencimiento%3A%2024%2F10%2F25%20%0A%E2%80%A2%20Monto%20Total%3A%20%24%20105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69" Type="http://schemas.openxmlformats.org/officeDocument/2006/relationships/hyperlink" Target="https://drive.google.com/uc?export=download&amp;id=15L6YQ8Cex6H4tMYHkNXL8lqwjW8ih1OE" TargetMode="External"/><Relationship Id="rId126" Type="http://schemas.openxmlformats.org/officeDocument/2006/relationships/hyperlink" Target="https://api.textmebot.com/send.php?recipient=5493493661975&amp;apikey=xoF6EUkK31se&amp;text=Hola%20Estefania!%20%F0%9F%91%8B%20%0ATe%20env%C3%ADo%20la%20factura%20correspondiente%20por%20la%20prestaci%C3%B3n%20de%20servicios%20durante%20el%20per%C3%ADodo%2011%2F07%2F25%20al%2011%2F08%2F25.%20%0A%0A%F0%9F%93%8B%20*Detalles%20de%20la%20factura%3A*%20%0A%E2%80%A2%20N%C3%BAmero%3A%20%20%0A%E2%80%A2%20Fecha%20de%20Emisi%C3%B3n%3A%2011%2F08%2F25%20%0A%E2%80%A2%20Fecha%20de%20Vencimiento%3A%2021%2F08%2F25%20%0A%E2%80%A2%20Monto%20Total%3A%20%24%20835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 TargetMode="External"/><Relationship Id="rId247" Type="http://schemas.openxmlformats.org/officeDocument/2006/relationships/hyperlink" Target="https://api.textmebot.com/send.php?recipient=5493413077374&amp;apikey=xoF6EUkK31se&amp;document=https%3A%2F%2Fdrive.google.com%2Ffile%2Fd%2F1LK5dL3REA_SSdtCRYmKaRVZ45eBPLkq5" TargetMode="External"/><Relationship Id="rId368" Type="http://schemas.openxmlformats.org/officeDocument/2006/relationships/hyperlink" Target="https://drive.google.com/uc?export=download&amp;id=1Nyxqp9yLNMintYAMoRjP7swR6RgBniRJ" TargetMode="External"/><Relationship Id="rId489" Type="http://schemas.openxmlformats.org/officeDocument/2006/relationships/hyperlink" Target="https://drive.google.com/uc?export=download&amp;id=1QmL2y8gMaY__9apmvyPPqZPHm-JLXgse" TargetMode="External"/><Relationship Id="rId121" Type="http://schemas.openxmlformats.org/officeDocument/2006/relationships/hyperlink" Target="https://api.textmebot.com/send.php?recipient=5491171282725&amp;apikey=xoF6EUkK31se&amp;text=Hola%20Martin!%20%F0%9F%91%8B%20%0ATe%20env%C3%ADo%20la%20factura%20correspondiente%20por%20la%20prestaci%C3%B3n%20de%20servicios%20durante%20el%20per%C3%ADodo%2001%2F07%2F25%20al%2001%2F08%2F25.%20%0A%0A%F0%9F%93%8B%20*Detalles%20de%20la%20factura%3A*%20%0A%E2%80%A2%20N%C3%BAmero%3A%2044%20%0A%E2%80%A2%20Fecha%20de%20Emisi%C3%B3n%3A%2006%2F08%2F25%20%0A%E2%80%A2%20Fecha%20de%20Vencimiento%3A%2013%2F08%2F25%20%0A%E2%80%A2%20Monto%20Total%3A%20%24%20436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242" Type="http://schemas.openxmlformats.org/officeDocument/2006/relationships/hyperlink" Target="https://api.textmebot.com/send.php?recipient=5491171282725&amp;apikey=xoF6EUkK31se&amp;document=https%3A%2F%2Fdrive.google.com%2Ffile%2Fd%2F1aQs34noU9M9USEn5wL08tsHN-m7XQLri" TargetMode="External"/><Relationship Id="rId363" Type="http://schemas.openxmlformats.org/officeDocument/2006/relationships/hyperlink" Target="https://drive.google.com/uc?export=download&amp;id=1r7zrPWE1Tq-c8N2MKutnJrNZbZmDWcc6" TargetMode="External"/><Relationship Id="rId484" Type="http://schemas.openxmlformats.org/officeDocument/2006/relationships/hyperlink" Target="https://drive.google.com/uc?export=download&amp;id=18cBboU2Ngdzbr8TcQEaAZbVS1JTGJVhF" TargetMode="External"/><Relationship Id="rId120" Type="http://schemas.openxmlformats.org/officeDocument/2006/relationships/hyperlink" Target="https://api.textmebot.com/send.php?recipient=5491171282725&amp;apikey=xoF6EUkK31se&amp;document=https%3A%2F%2Fdrive.google.com%2Ffile%2Fd%2F1EwM-DWxmFSb4IZszLwIvavWK5-X10gMg" TargetMode="External"/><Relationship Id="rId241" Type="http://schemas.openxmlformats.org/officeDocument/2006/relationships/hyperlink" Target="https://api.textmebot.com/send.php?recipient=5491171282725&amp;apikey=xoF6EUkK31se&amp;document=https%3A%2F%2Fdrive.google.com%2Ffile%2Fd%2F1b0J5slmL7m1-9e9yN-dcPhdo41isoT5E" TargetMode="External"/><Relationship Id="rId362" Type="http://schemas.openxmlformats.org/officeDocument/2006/relationships/hyperlink" Target="https://drive.google.com/uc?export=download&amp;id=1JGjPlUrXLmACOt8dXR3SnYHdh2H6dKTB" TargetMode="External"/><Relationship Id="rId483" Type="http://schemas.openxmlformats.org/officeDocument/2006/relationships/hyperlink" Target="https://drive.google.com/uc?export=download&amp;id=1vPJkUNSKlQIzOktfU2ZbWOXepiGflkTD" TargetMode="External"/><Relationship Id="rId240" Type="http://schemas.openxmlformats.org/officeDocument/2006/relationships/hyperlink" Target="https://api.textmebot.com/send.php?recipient=5491141908925&amp;apikey=xoF6EUkK31se&amp;text=Hola%20Nelson!%20%F0%9F%91%8B%20%0ATe%20env%C3%ADo%20la%20factura%20correspondiente%20por%20la%20prestaci%C3%B3n%20de%20servicios%20durante%20el%20per%C3%ADodo%2010%2F09%2F25%20al%2010%2F10%2F25.%20%0A%0A%F0%9F%93%8B%20*Detalles%20de%20la%20factura%3A*%20%0A%E2%80%A2%20N%C3%BAmero%3A%2056%20%0A%E2%80%A2%20Fecha%20de%20Emisi%C3%B3n%3A%2016%2F10%2F25%20%0A%E2%80%A2%20Fecha%20de%20Vencimiento%3A%2022%2F10%2F25%20%0A%E2%80%A2%20Monto%20Total%3A%20%24%2050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361" Type="http://schemas.openxmlformats.org/officeDocument/2006/relationships/hyperlink" Target="https://drive.google.com/uc?export=download&amp;id=1beSjxHgeRt7btvQUtmuqgkNmbXAN591g" TargetMode="External"/><Relationship Id="rId482" Type="http://schemas.openxmlformats.org/officeDocument/2006/relationships/hyperlink" Target="https://drive.google.com/uc?export=download&amp;id=104Va2inmgD_SrdL6W6CY3zCqGjlmhxWn" TargetMode="External"/><Relationship Id="rId360" Type="http://schemas.openxmlformats.org/officeDocument/2006/relationships/hyperlink" Target="https://drive.google.com/uc?export=download&amp;id=11yH93sjsvefda26N-78NOxwYcJYWbBr8" TargetMode="External"/><Relationship Id="rId481" Type="http://schemas.openxmlformats.org/officeDocument/2006/relationships/hyperlink" Target="https://drive.google.com/uc?export=download&amp;id=14W_5Yk7fnI5peN9tCNWH6FrXaApLNkIG" TargetMode="External"/><Relationship Id="rId125" Type="http://schemas.openxmlformats.org/officeDocument/2006/relationships/hyperlink" Target="https://api.textmebot.com/send.php?recipient=5493493661975&amp;apikey=xoF6EUkK31se&amp;document=https%3A%2F%2Fdrive.google.com%2Ffile%2Fd%2F1U8Z1wciYVe580gKDe0LHicX1v5L0pTCQ" TargetMode="External"/><Relationship Id="rId246" Type="http://schemas.openxmlformats.org/officeDocument/2006/relationships/hyperlink" Target="https://api.textmebot.com/send.php?recipient=5493413077374&amp;apikey=xoF6EUkK31se&amp;document=https%3A%2F%2Fdrive.google.com%2Ffile%2Fd%2F1z3RuM3xm4ujfxcHVZCPpeTyl3UBi_K3B" TargetMode="External"/><Relationship Id="rId367" Type="http://schemas.openxmlformats.org/officeDocument/2006/relationships/hyperlink" Target="https://drive.google.com/uc?export=download&amp;id=1r7zrPWE1Tq-c8N2MKutnJrNZbZmDWcc6" TargetMode="External"/><Relationship Id="rId488" Type="http://schemas.openxmlformats.org/officeDocument/2006/relationships/hyperlink" Target="https://drive.google.com/uc?export=download&amp;id=1Zm9V3JnVA8TM08iiHzTauXxw5OlkbzH5" TargetMode="External"/><Relationship Id="rId124" Type="http://schemas.openxmlformats.org/officeDocument/2006/relationships/hyperlink" Target="https://api.textmebot.com/send.php?recipient=5493521639222&amp;apikey=xoF6EUkK31se&amp;text=Hola%20Alan!%20%F0%9F%91%8B%20%0ATe%20env%C3%ADo%20la%20factura%20correspondiente%20por%20la%20prestaci%C3%B3n%20de%20servicios%20durante%20el%20per%C3%ADodo%2007%2F07%2F25%20al%2007%2F08%2F25.%20%0A%0A%F0%9F%93%8B%20*Detalles%20de%20la%20factura%3A*%20%0A%E2%80%A2%20N%C3%BAmero%3A%2045%20%0A%E2%80%A2%20Fecha%20de%20Emisi%C3%B3n%3A%2011%2F08%2F25%20%0A%E2%80%A2%20Fecha%20de%20Vencimiento%3A%2018%2F08%2F25%20%0A%E2%80%A2%20Monto%20Total%3A%20%24%2044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245" Type="http://schemas.openxmlformats.org/officeDocument/2006/relationships/hyperlink" Target="https://api.textmebot.com/send.php?recipient=5493425225459&amp;apikey=xoF6EUkK31se&amp;document=https%3A%2F%2Fdrive.google.com%2Ffile%2Fd%2F1fquPduaWHb6clpbw9Y73hFsFFeP4Yn6n" TargetMode="External"/><Relationship Id="rId366" Type="http://schemas.openxmlformats.org/officeDocument/2006/relationships/hyperlink" Target="https://drive.google.com/uc?export=download&amp;id=1JGjPlUrXLmACOt8dXR3SnYHdh2H6dKTB" TargetMode="External"/><Relationship Id="rId487" Type="http://schemas.openxmlformats.org/officeDocument/2006/relationships/hyperlink" Target="https://drive.google.com/uc?export=download&amp;id=1FeHmROGTHDGdpMXPgOln0xiinKY6GsWm" TargetMode="External"/><Relationship Id="rId123" Type="http://schemas.openxmlformats.org/officeDocument/2006/relationships/hyperlink" Target="https://api.textmebot.com/send.php?recipient=5493521639222&amp;apikey=xoF6EUkK31se&amp;document=https%3A%2F%2Fdrive.google.com%2Ffile%2Fd%2F1V9SlOyZ75CXtpoPFSidiUsHYOn00o1am" TargetMode="External"/><Relationship Id="rId244" Type="http://schemas.openxmlformats.org/officeDocument/2006/relationships/hyperlink" Target="https://api.textmebot.com/send.php?recipient=5493425225459&amp;apikey=xoF6EUkK31se&amp;document=https%3A%2F%2Fdrive.google.com%2Ffile%2Fd%2F1_WMivFyDZt3UcUeUbBPO_NzVc0PZJoJ_" TargetMode="External"/><Relationship Id="rId365" Type="http://schemas.openxmlformats.org/officeDocument/2006/relationships/hyperlink" Target="https://drive.google.com/uc?export=download&amp;id=1beSjxHgeRt7btvQUtmuqgkNmbXAN591g" TargetMode="External"/><Relationship Id="rId486" Type="http://schemas.openxmlformats.org/officeDocument/2006/relationships/hyperlink" Target="https://drive.google.com/uc?export=download&amp;id=1aCEmwer-QgUynQRJQugUhDikAlezNtBy" TargetMode="External"/><Relationship Id="rId122" Type="http://schemas.openxmlformats.org/officeDocument/2006/relationships/hyperlink" Target="https://api.textmebot.com/send.php?recipient=5493521639222&amp;apikey=xoF6EUkK31se&amp;document=https%3A%2F%2Fdrive.google.com%2Ffile%2Fd%2F1BDcPJ-OaAkQgd4ob2C4Fr1pxTcyJSaoD" TargetMode="External"/><Relationship Id="rId243" Type="http://schemas.openxmlformats.org/officeDocument/2006/relationships/hyperlink" Target="https://api.textmebot.com/send.php?recipient=5491171282725&amp;apikey=xoF6EUkK31se&amp;text=Hola%20Martin!%20%F0%9F%91%8B%20%0ATe%20env%C3%ADo%20la%20factura%20correspondiente%20por%20la%20prestaci%C3%B3n%20de%20servicios%20durante%20el%20per%C3%ADodo%2001%2F09%2F25%20al%2001%2F10%2F25.%20%0A%0A%F0%9F%93%8B%20*Detalles%20de%20la%20factura%3A*%20%0A%E2%80%A2%20N%C3%BAmero%3A%2057%20%0A%E2%80%A2%20Fecha%20de%20Emisi%C3%B3n%3A%2016%2F10%2F25%20%0A%E2%80%A2%20Fecha%20de%20Vencimiento%3A%2023%2F10%2F25%20%0A%E2%80%A2%20Monto%20Total%3A%20%24%20288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364" Type="http://schemas.openxmlformats.org/officeDocument/2006/relationships/hyperlink" Target="https://drive.google.com/uc?export=download&amp;id=1Nyxqp9yLNMintYAMoRjP7swR6RgBniRJ" TargetMode="External"/><Relationship Id="rId485" Type="http://schemas.openxmlformats.org/officeDocument/2006/relationships/hyperlink" Target="https://drive.google.com/uc?export=download&amp;id=1ixWtIaE687F4RFNHheh_K_aPYc0lvffr" TargetMode="External"/><Relationship Id="rId95" Type="http://schemas.openxmlformats.org/officeDocument/2006/relationships/hyperlink" Target="https://api.textmebot.com/send.php?recipient=5493424770891&amp;apikey=xoF6EUkK31se&amp;document=https%3A%2F%2Fdrive.google.com%2Ffile%2Fd%2F1fmH-Wt3HLIsAMWIuLceRwTuPfyIFbBn5" TargetMode="External"/><Relationship Id="rId94" Type="http://schemas.openxmlformats.org/officeDocument/2006/relationships/hyperlink" Target="https://api.textmebot.com/send.php?recipient=5493424770891&amp;apikey=xoF6EUkK31se&amp;document=https%3A%2F%2Fdrive.google.com%2Ffile%2Fd%2F1pOKhXR4EAmxpovUosVoUmOp-s8S5IqdI" TargetMode="External"/><Relationship Id="rId97" Type="http://schemas.openxmlformats.org/officeDocument/2006/relationships/hyperlink" Target="https://api.textmebot.com/send.php?recipient=5491164872810&amp;apikey=xoF6EUkK31se&amp;document=https%3A%2F%2Fdrive.google.com%2Ffile%2Fd%2F1p_FZ65awXx9sas9EWQwFN2UWH5F2mPKS" TargetMode="External"/><Relationship Id="rId96" Type="http://schemas.openxmlformats.org/officeDocument/2006/relationships/hyperlink" Target="https://api.textmebot.com/send.php?recipient=5493424770891&amp;apikey=xoF6EUkK31se&amp;text=Hola%20Juan!%20%F0%9F%91%8B%20%0ATe%20env%C3%ADo%20la%20factura%20correspondiente%20por%20la%20prestaci%C3%B3n%20de%20servicios%20durante%20el%20per%C3%ADodo%2023%2F06%2F25%20al%2023%2F07%2F25.%20%0A%0A%F0%9F%93%8B%20*Detalles%20de%20la%20factura%3A*%20%0A%E2%80%A2%20N%C3%BAmero%3A%20%20%0A%E2%80%A2%20Fecha%20de%20Emisi%C3%B3n%3A%2024%2F07%2F25%20%0A%E2%80%A2%20Fecha%20de%20Vencimiento%3A%2005%2F08%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99" Type="http://schemas.openxmlformats.org/officeDocument/2006/relationships/hyperlink" Target="https://api.textmebot.com/send.php?recipient=5493493661975&amp;apikey=xoF6EUkK31se&amp;text=Hola%20Estefania!%20%F0%9F%91%8B%20%0A%20Espero%20que%20todo%20est%C3%A9%20yendo%20bien.%20Quisiera%20recordarte%20que%20a%C3%BAn%20no%20hemos%20recibido%20el%20pago%20correspondiente%20a%20la%20factura%20N%C2%B0%20%20emitida%20el%2014%2F07%2F25.%20%0A%0A%F0%9F%93%8B%20*Detalles%20de%20la%20factura%3A*%20%0A%E2%80%A2%20N%C3%BAmero%3A%20%20%0A%E2%80%A2%20Vencimiento%3A%2024%2F07%2F25%20%0A%E2%80%A2%20Monto%20total%3A%20%24822000.%20%0A%0A%F0%9F%92%BC%20*Cuenta%20a%20depositar%3A*-%20CUIT%3A%202033122879%0A-%20Titular%3A%20Adrian%20Patriarca%0A-%20Alias%3A%20Efectivo%0A-%20Banco%3A%20Efectivo%0AAdjunto%20encontrar%C3%A1s%20la%20factura%20para%20tu%20referencia.%20%0A%0ASi%20ya%20has%20realizado%20el%20pago%2C%20por%20favor%2C%20ignora%20este%20mensaje.%20%0A%0AGracias%20por%20tu%20pronta%20atenci%C3%B3n%20a%20este%20asunto.%20%0A%0AAPSOL%20-%20Consultor%C3%ADa%20Empresarial" TargetMode="External"/><Relationship Id="rId480" Type="http://schemas.openxmlformats.org/officeDocument/2006/relationships/hyperlink" Target="https://drive.google.com/uc?export=download&amp;id=1uAXgcvbC2pJB6Shmlm9LuMyBQjUGI42_" TargetMode="External"/><Relationship Id="rId98" Type="http://schemas.openxmlformats.org/officeDocument/2006/relationships/hyperlink" Target="https://api.textmebot.com/send.php?recipient=5493493661975&amp;apikey=xoF6EUkK31se&amp;document=https%3A%2F%2Fdrive.google.com%2Ffile%2Fd%2F1jhZd13_z45SkmcuPbhJdol7Ec-kKYjs0" TargetMode="External"/><Relationship Id="rId91"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90" Type="http://schemas.openxmlformats.org/officeDocument/2006/relationships/hyperlink" Target="https://api.textmebot.com/send.php?recipient=5492267434320&amp;apikey=xoF6EUkK31se&amp;document=https%3A%2F%2Fdrive.google.com%2Ffile%2Fd%2F1Tdw7nwkNH9QkCRMsXY4ZMGVlarJAqLNF" TargetMode="External"/><Relationship Id="rId93" Type="http://schemas.openxmlformats.org/officeDocument/2006/relationships/hyperlink" Target="https://api.textmebot.com/send.php?recipient=5493425295451&amp;apikey=xoF6EUkK31se&amp;document=https%3A%2F%2Fdrive.google.com%2Ffile%2Fd%2F1sY4zAxgcVuAn1NXki320jDGZHEM_zpnS" TargetMode="External"/><Relationship Id="rId92" Type="http://schemas.openxmlformats.org/officeDocument/2006/relationships/hyperlink" Target="https://api.textmebot.com/send.php?recipient=5493425295451&amp;apikey=xoF6EUkK31se&amp;document=https%3A%2F%2Fdrive.google.com%2Ffile%2Fd%2F1bxYDweNi5fg-vMSG792QAOaKHFTCL6km" TargetMode="External"/><Relationship Id="rId118" Type="http://schemas.openxmlformats.org/officeDocument/2006/relationships/hyperlink" Target="https://api.textmebot.com/send.php?recipient=5493425225459&amp;apikey=xoF6EUkK31se&amp;text=Hola%20Ignacio!%20%F0%9F%91%8B%20%0ATe%20env%C3%ADo%20la%20factura%20correspondiente%20por%20la%20prestaci%C3%B3n%20de%20servicios%20durante%20el%20per%C3%ADodo%2004%2F07%2F25%20al%2004%2F08%2F25.%20%0A%0A%F0%9F%93%8B%20*Detalles%20de%20la%20factura%3A*%20%0A%E2%80%A2%20N%C3%BAmero%3A%2043%20%0A%E2%80%A2%20Fecha%20de%20Emisi%C3%B3n%3A%2006%2F08%2F25%20%0A%E2%80%A2%20Fecha%20de%20Vencimiento%3A%2013%2F08%2F25%20%0A%E2%80%A2%20Monto%20Total%3A%20%24%201437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239" Type="http://schemas.openxmlformats.org/officeDocument/2006/relationships/hyperlink" Target="https://api.textmebot.com/send.php?recipient=5491141908925&amp;apikey=xoF6EUkK31se&amp;document=https%3A%2F%2Fdrive.google.com%2Ffile%2Fd%2F1gpRYhWhpcgRGzbVwwDUiZA7VkKzwI0xw" TargetMode="External"/><Relationship Id="rId117" Type="http://schemas.openxmlformats.org/officeDocument/2006/relationships/hyperlink" Target="https://api.textmebot.com/send.php?recipient=5493425225459&amp;apikey=xoF6EUkK31se&amp;document=https%3A%2F%2Fdrive.google.com%2Ffile%2Fd%2F1MYvDXB6_M7xkODKfX1MydoQ7txpu7nG3" TargetMode="External"/><Relationship Id="rId238" Type="http://schemas.openxmlformats.org/officeDocument/2006/relationships/hyperlink" Target="https://api.textmebot.com/send.php?recipient=5491141908925&amp;apikey=xoF6EUkK31se&amp;document=https%3A%2F%2Fdrive.google.com%2Ffile%2Fd%2F1efF86zFnRmwMAHA79isMY3F14fQajr2y" TargetMode="External"/><Relationship Id="rId359" Type="http://schemas.openxmlformats.org/officeDocument/2006/relationships/hyperlink" Target="https://drive.google.com/uc?export=download&amp;id=1r7zrPWE1Tq-c8N2MKutnJrNZbZmDWcc6" TargetMode="External"/><Relationship Id="rId116" Type="http://schemas.openxmlformats.org/officeDocument/2006/relationships/hyperlink" Target="https://api.textmebot.com/send.php?recipient=5493425225459&amp;apikey=xoF6EUkK31se&amp;document=https%3A%2F%2Fdrive.google.com%2Ffile%2Fd%2F1Ig0AuSpTTv7cVHcTmCRBA9gOXAXGwgrS" TargetMode="External"/><Relationship Id="rId237" Type="http://schemas.openxmlformats.org/officeDocument/2006/relationships/hyperlink" Target="https://api.textmebot.com/send.php?recipient=5493493661975&amp;apikey=xoF6EUkK31se&amp;text=Hola%20Estefania!%20%F0%9F%91%8B%20%0ATe%20env%C3%ADo%20la%20factura%20correspondiente%20por%20la%20prestaci%C3%B3n%20de%20servicios%20durante%20el%20per%C3%ADodo%2010%2F09%2F25%20al%2010%2F10%2F25.%20%0A%0A%F0%9F%93%8B%20*Detalles%20de%20la%20factura%3A*%20%0A%E2%80%A2%20N%C3%BAmero%3A%20%20%0A%E2%80%A2%20Fecha%20de%20Emisi%C3%B3n%3A%2016%2F10%2F25%20%0A%E2%80%A2%20Fecha%20de%20Vencimiento%3A%2028%2F10%2F25%20%0A%E2%80%A2%20Monto%20Total%3A%20%24%201127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 TargetMode="External"/><Relationship Id="rId358" Type="http://schemas.openxmlformats.org/officeDocument/2006/relationships/hyperlink" Target="https://drive.google.com/uc?export=download&amp;id=1JGjPlUrXLmACOt8dXR3SnYHdh2H6dKTB" TargetMode="External"/><Relationship Id="rId479" Type="http://schemas.openxmlformats.org/officeDocument/2006/relationships/hyperlink" Target="https://drive.google.com/uc?export=download&amp;id=1KQ8cXPmyEIyitK9z1idG6BSBu_UVRaND" TargetMode="External"/><Relationship Id="rId115" Type="http://schemas.openxmlformats.org/officeDocument/2006/relationships/hyperlink" Target="https://api.textmebot.com/send.php?recipient=5493425295451&amp;apikey=xoF6EUkK31se&amp;text=Hola%20Gonzalo!%20%F0%9F%91%8B%20%0ATe%20env%C3%ADo%20la%20factura%20correspondiente%20por%20la%20prestaci%C3%B3n%20de%20servicios%20durante%20el%20per%C3%ADodo%2028%2F07%2F25%20al%2028%2F08%2F25.%20%0A%0A%F0%9F%93%8B%20*Detalles%20de%20la%20factura%3A*%20%0A%E2%80%A2%20N%C3%BAmero%3A%20191%20%0A%E2%80%A2%20Fecha%20de%20Emisi%C3%B3n%3A%2006%2F08%2F25%20%0A%E2%80%A2%20Fecha%20de%20Vencimiento%3A%2015%2F08%2F25%20%0A%E2%80%A2%20Monto%20Total%3A%20%24%20678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36" Type="http://schemas.openxmlformats.org/officeDocument/2006/relationships/hyperlink" Target="https://api.textmebot.com/send.php?recipient=5493493661975&amp;apikey=xoF6EUkK31se&amp;document=https%3A%2F%2Fdrive.google.com%2Ffile%2Fd%2F1WLLSA43t8txAj8dFBuJuLSys2utLvl6p" TargetMode="External"/><Relationship Id="rId357" Type="http://schemas.openxmlformats.org/officeDocument/2006/relationships/hyperlink" Target="https://drive.google.com/uc?export=download&amp;id=1beSjxHgeRt7btvQUtmuqgkNmbXAN591g" TargetMode="External"/><Relationship Id="rId478" Type="http://schemas.openxmlformats.org/officeDocument/2006/relationships/hyperlink" Target="https://drive.google.com/uc?export=download&amp;id=1qy4ObhU7_w_Zq4duuHsJYFeWkwaHOFHE" TargetMode="External"/><Relationship Id="rId119" Type="http://schemas.openxmlformats.org/officeDocument/2006/relationships/hyperlink" Target="https://api.textmebot.com/send.php?recipient=5491171282725&amp;apikey=xoF6EUkK31se&amp;document=https%3A%2F%2Fdrive.google.com%2Ffile%2Fd%2F1BDkw_UqZ9WKG9kRYI_aX95fmPq4JQNc8" TargetMode="External"/><Relationship Id="rId110" Type="http://schemas.openxmlformats.org/officeDocument/2006/relationships/hyperlink" Target="https://api.textmebot.com/send.php?recipient=5492267434320&amp;apikey=xoF6EUkK31se&amp;document=https%3A%2F%2Fdrive.google.com%2Ffile%2Fd%2F1Tdw7nwkNH9QkCRMsXY4ZMGVlarJAqLNF" TargetMode="External"/><Relationship Id="rId231" Type="http://schemas.openxmlformats.org/officeDocument/2006/relationships/hyperlink" Target="https://api.textmebot.com/send.php?recipient=5493521639222&amp;apikey=xoF6EUkK31se&amp;document=https%3A%2F%2Fdrive.google.com%2Ffile%2Fd%2F1jGWNGnHt2U4g3BlHLlTbX6RUhfznPaZu" TargetMode="External"/><Relationship Id="rId352" Type="http://schemas.openxmlformats.org/officeDocument/2006/relationships/hyperlink" Target="https://drive.google.com/uc?export=download&amp;id=15orl0jURJOHSdrarWZh50B1YLAaKX9z_" TargetMode="External"/><Relationship Id="rId473" Type="http://schemas.openxmlformats.org/officeDocument/2006/relationships/hyperlink" Target="https://drive.google.com/uc?export=download&amp;id=1QmL2y8gMaY__9apmvyPPqZPHm-JLXgse" TargetMode="External"/><Relationship Id="rId230" Type="http://schemas.openxmlformats.org/officeDocument/2006/relationships/hyperlink" Target="https://api.textmebot.com/send.php?recipient=5493521639222&amp;apikey=xoF6EUkK31se&amp;document=https%3A%2F%2Fdrive.google.com%2Ffile%2Fd%2F1P6j5PAKoO6rILx0yWhDTNHJ7S9qciOln" TargetMode="External"/><Relationship Id="rId351" Type="http://schemas.openxmlformats.org/officeDocument/2006/relationships/hyperlink" Target="https://api.textmebot.com/send.php?recipient=5493424476596&amp;apikey=xoF6EUkK31se&amp;text=Hola%20Adrian!%20%F0%9F%91%8B%20%0ATe%20env%C3%ADo%20la%20factura%20correspondiente%20por%20la%20prestaci%C3%B3n%20de%20servicios%20durante%20el%20per%C3%ADodo%2003%2F11%2F25%20al%2003%2F12%2F25.%20%0A%0A%F0%9F%93%8B%20*Detalles%20de%20la%20factura%3A*%20%0A%E2%80%A2%20N%C3%BAmero%3A%20%20%0A%E2%80%A2%20Fecha%20de%20Emisi%C3%B3n%3A%2012%2F12%2F25%20%0A%E2%80%A2%20Fecha%20de%20Vencimiento%3A%2019%2F12%2F25%20%0A%E2%80%A2%20Monto%20Total%3A%20%24%204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72" Type="http://schemas.openxmlformats.org/officeDocument/2006/relationships/hyperlink" Target="https://drive.google.com/uc?export=download&amp;id=1H8GYgURPYZ8WqCFWXhDLPaDaUuxR69bm" TargetMode="External"/><Relationship Id="rId350" Type="http://schemas.openxmlformats.org/officeDocument/2006/relationships/hyperlink" Target="https://drive.google.com/uc?export=download&amp;id=1eN51s2jvxvVMpujpQzRAmaIvdlwUlNHb" TargetMode="External"/><Relationship Id="rId471" Type="http://schemas.openxmlformats.org/officeDocument/2006/relationships/hyperlink" Target="https://drive.google.com/uc?export=download&amp;id=1KgO06lAWXkGjIO_Y_wNbkHcVSSNcR-g2" TargetMode="External"/><Relationship Id="rId470" Type="http://schemas.openxmlformats.org/officeDocument/2006/relationships/hyperlink" Target="https://drive.google.com/uc?export=download&amp;id=1aCEmwer-QgUynQRJQugUhDikAlezNtBy" TargetMode="External"/><Relationship Id="rId114" Type="http://schemas.openxmlformats.org/officeDocument/2006/relationships/hyperlink" Target="https://api.textmebot.com/send.php?recipient=5493425295451&amp;apikey=xoF6EUkK31se&amp;document=https%3A%2F%2Fdrive.google.com%2Ffile%2Fd%2F1Ot4hIG4-Au8WPchUEpEGduJw1Pc1GS34" TargetMode="External"/><Relationship Id="rId235" Type="http://schemas.openxmlformats.org/officeDocument/2006/relationships/hyperlink" Target="https://api.textmebot.com/send.php?recipient=5491164872810&amp;apikey=xoF6EUkK31se&amp;document=https%3A%2F%2Fdrive.google.com%2Ffile%2Fd%2F117QeFfsS4iEwV53uQRPMlnVREE38Rro8" TargetMode="External"/><Relationship Id="rId356" Type="http://schemas.openxmlformats.org/officeDocument/2006/relationships/hyperlink" Target="https://api.textmebot.com/send.php?recipient=5493424476596&amp;apikey=xoF6EUkK31se&amp;text=Hola%20Adrian!%20%F0%9F%91%8B%20%0ATe%20env%C3%ADo%20la%20factura%20correspondiente%20por%20la%20prestaci%C3%B3n%20de%20servicios%20durante%20el%20per%C3%ADodo%2003%2F11%2F25%20al%2003%2F12%2F25.%20%0A%0A%F0%9F%93%8B%20*Detalles%20de%20la%20factura%3A*%20%0A%E2%80%A2%20N%C3%BAmero%3A%20%20%0A%E2%80%A2%20Fecha%20de%20Emisi%C3%B3n%3A%2012%2F12%2F25%20%0A%E2%80%A2%20Fecha%20de%20Vencimiento%3A%2019%2F12%2F25%20%0A%E2%80%A2%20Monto%20Total%3A%20%24%204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77" Type="http://schemas.openxmlformats.org/officeDocument/2006/relationships/hyperlink" Target="https://drive.google.com/uc?export=download&amp;id=1G8lw2XwBvayWuYVYTZiTBkTDdUr-70bU" TargetMode="External"/><Relationship Id="rId113" Type="http://schemas.openxmlformats.org/officeDocument/2006/relationships/hyperlink" Target="https://api.textmebot.com/send.php?recipient=5493425295451&amp;apikey=xoF6EUkK31se&amp;document=https%3A%2F%2Fdrive.google.com%2Ffile%2Fd%2F15P9YDHf2dfu9ym3rF4Jw9S0ulLw7brcR" TargetMode="External"/><Relationship Id="rId234" Type="http://schemas.openxmlformats.org/officeDocument/2006/relationships/hyperlink" Target="https://api.textmebot.com/send.php?recipient=5493425468752&amp;apikey=xoF6EUkK31se&amp;text=Hola%20Luciano!%20%F0%9F%91%8B%20%0ATe%20env%C3%ADo%20la%20factura%20correspondiente%20por%20la%20prestaci%C3%B3n%20de%20servicios%20durante%20el%20per%C3%ADodo%2001%2F09%2F25%20al%2001%2F10%2F25.%20%0A%0A%F0%9F%93%8B%20*Detalles%20de%20la%20factura%3A*%20%0A%E2%80%A2%20N%C3%BAmero%3A%20%20%0A%E2%80%A2%20Fecha%20de%20Emisi%C3%B3n%3A%2009%2F10%2F25%20%0A%E2%80%A2%20Fecha%20de%20Vencimiento%3A%2016%2F10%2F25%20%0A%E2%80%A2%20Monto%20Total%3A%20%24%2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55" Type="http://schemas.openxmlformats.org/officeDocument/2006/relationships/hyperlink" Target="https://drive.google.com/uc?export=download&amp;id=1eN51s2jvxvVMpujpQzRAmaIvdlwUlNHb" TargetMode="External"/><Relationship Id="rId476" Type="http://schemas.openxmlformats.org/officeDocument/2006/relationships/hyperlink" Target="https://drive.google.com/uc?export=download&amp;id=1Y0ye0pBUxZpmDsUHOwAHPZKqB9G1JnYQ" TargetMode="External"/><Relationship Id="rId112" Type="http://schemas.openxmlformats.org/officeDocument/2006/relationships/hyperlink" Target="https://api.textmebot.com/send.php?recipient=5491164872810&amp;apikey=xoF6EUkK31se&amp;document=https%3A%2F%2Fdrive.google.com%2Ffile%2Fd%2F1p_FZ65awXx9sas9EWQwFN2UWH5F2mPKS" TargetMode="External"/><Relationship Id="rId233" Type="http://schemas.openxmlformats.org/officeDocument/2006/relationships/hyperlink" Target="https://api.textmebot.com/send.php?recipient=5493425468752&amp;apikey=xoF6EUkK31se&amp;document=https%3A%2F%2Fdrive.google.com%2Ffile%2Fd%2F18SyS7uiS_Ho3PopILkN6ZAxqbMGnN-1j" TargetMode="External"/><Relationship Id="rId354" Type="http://schemas.openxmlformats.org/officeDocument/2006/relationships/hyperlink" Target="https://drive.google.com/uc?export=download&amp;id=1go07VIG8-MXbf-VbYDv6g2iJVukz8ux1" TargetMode="External"/><Relationship Id="rId475" Type="http://schemas.openxmlformats.org/officeDocument/2006/relationships/hyperlink" Target="https://drive.google.com/uc?export=download&amp;id=1E3s-Dhg81mlZerSNKifBx26jT_j2NTSJ" TargetMode="External"/><Relationship Id="rId111"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232" Type="http://schemas.openxmlformats.org/officeDocument/2006/relationships/hyperlink" Target="https://api.textmebot.com/send.php?recipient=5493521639222&amp;apikey=xoF6EUkK31se&amp;text=Hola%20Alan!%20%F0%9F%91%8B%20%0ATe%20env%C3%ADo%20la%20factura%20correspondiente%20por%20la%20prestaci%C3%B3n%20de%20servicios%20durante%20el%20per%C3%ADodo%2007%2F09%2F25%20al%2007%2F10%2F25.%20%0A%0A%F0%9F%93%8B%20*Detalles%20de%20la%20factura%3A*%20%0A%E2%80%A2%20N%C3%BAmero%3A%2055%20%0A%E2%80%A2%20Fecha%20de%20Emisi%C3%B3n%3A%2009%2F10%2F25%20%0A%E2%80%A2%20Fecha%20de%20Vencimiento%3A%2016%2F10%2F25%20%0A%E2%80%A2%20Monto%20Total%3A%20%24%20440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353" Type="http://schemas.openxmlformats.org/officeDocument/2006/relationships/hyperlink" Target="https://drive.google.com/uc?export=download&amp;id=1_WCqci7h9ZqIMVngYMkUGYugKUFqWs5y" TargetMode="External"/><Relationship Id="rId474" Type="http://schemas.openxmlformats.org/officeDocument/2006/relationships/hyperlink" Target="https://drive.google.com/uc?export=download&amp;id=13kdsNRwMLmnxVm2RLRBhjEo8Eex4pcK2" TargetMode="External"/><Relationship Id="rId305" Type="http://schemas.openxmlformats.org/officeDocument/2006/relationships/hyperlink" Target="https://api.textmebot.com/send.php?recipient=5491164305365&amp;apikey=xoF6EUkK31se&amp;text=Hola%20Fabrizio!%20%F0%9F%91%8B%20%0ATe%20env%C3%ADo%20la%20factura%20correspondiente%20por%20la%20prestaci%C3%B3n%20de%20servicios%20durante%20el%20per%C3%ADodo%2006%2F10%2F25%20al%2006%2F11%2F25.%20%0A%0A%F0%9F%93%8B%20*Detalles%20de%20la%20factura%3A*%20%0A%E2%80%A2%20N%C3%BAmero%3A%20%20%0A%E2%80%A2%20Fecha%20de%20Emisi%C3%B3n%3A%2013%2F11%2F25%20%0A%E2%80%A2%20Fecha%20de%20Vencimiento%3A%2019%2F11%2F25%20%0A%E2%80%A2%20Monto%20Total%3A%20%24%20653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26" Type="http://schemas.openxmlformats.org/officeDocument/2006/relationships/hyperlink" Target="https://drive.google.com/uc?export=download&amp;id=1JESY1Voe_ldJfnmoyq2OlUQyvDTNWU5x" TargetMode="External"/><Relationship Id="rId547" Type="http://schemas.openxmlformats.org/officeDocument/2006/relationships/hyperlink" Target="https://drive.google.com/uc?export=download&amp;id=1W_bZVBzpYX1TK6p6rfGcV80LxKWkoeH6" TargetMode="External"/><Relationship Id="rId304" Type="http://schemas.openxmlformats.org/officeDocument/2006/relationships/hyperlink" Target="https://api.textmebot.com/send.php?recipient=5491164305365&amp;apikey=xoF6EUkK31se&amp;document=https%3A%2F%2Fdrive.google.com%2Ffile%2Fd%2F1-1m_8ZDrev-A8uKwBWYDm6fsNTvVCBzY" TargetMode="External"/><Relationship Id="rId425" Type="http://schemas.openxmlformats.org/officeDocument/2006/relationships/hyperlink" Target="https://drive.google.com/uc?export=download&amp;id=1i-5orBUFd_pzVnfQCiWo87Ru5z72L6Fo" TargetMode="External"/><Relationship Id="rId546" Type="http://schemas.openxmlformats.org/officeDocument/2006/relationships/hyperlink" Target="https://drive.google.com/uc?export=download&amp;id=12Uub5Whfho2eTpIXNoUk9a3kl2wxNsbm" TargetMode="External"/><Relationship Id="rId303" Type="http://schemas.openxmlformats.org/officeDocument/2006/relationships/hyperlink" Target="https://api.textmebot.com/send.php?recipient=5491171282725&amp;apikey=xoF6EUkK31se&amp;text=Hola%20Martin!%20%F0%9F%91%8B%20%0ATe%20env%C3%ADo%20la%20factura%20correspondiente%20por%20la%20prestaci%C3%B3n%20de%20servicios%20durante%20el%20per%C3%ADodo%2001%2F10%2F25%20al%2013%2F11%2F25.%20%0A%0A%F0%9F%93%8B%20*Detalles%20de%20la%20factura%3A*%20%0A%E2%80%A2%20N%C3%BAmero%3A%2061%20%0A%E2%80%A2%20Fecha%20de%20Emisi%C3%B3n%3A%2013%2F11%2F25%20%0A%E2%80%A2%20Fecha%20de%20Vencimiento%3A%2020%2F11%2F25%20%0A%E2%80%A2%20Monto%20Total%3A%20%24%201584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424" Type="http://schemas.openxmlformats.org/officeDocument/2006/relationships/hyperlink" Target="https://drive.google.com/uc?export=download&amp;id=1u_eDJ78IwGUCiOUlRMbfdybgkWCIwRsC" TargetMode="External"/><Relationship Id="rId545" Type="http://schemas.openxmlformats.org/officeDocument/2006/relationships/hyperlink" Target="https://drive.google.com/uc?export=download&amp;id=1XEq16UFfLA6SZJSdw1fABbOdqamPdBnE" TargetMode="External"/><Relationship Id="rId302" Type="http://schemas.openxmlformats.org/officeDocument/2006/relationships/hyperlink" Target="https://api.textmebot.com/send.php?recipient=5491171282725&amp;apikey=xoF6EUkK31se&amp;document=https%3A%2F%2Fdrive.google.com%2Ffile%2Fd%2F1XHlUpuSpK9S4YXqFk2pycLRpwD8vMs3v" TargetMode="External"/><Relationship Id="rId423" Type="http://schemas.openxmlformats.org/officeDocument/2006/relationships/hyperlink" Target="https://drive.google.com/uc?export=download&amp;id=1OHUCRSIDNUl8zW3wVbkgoAW8yWVywykH" TargetMode="External"/><Relationship Id="rId544" Type="http://schemas.openxmlformats.org/officeDocument/2006/relationships/hyperlink" Target="https://drive.google.com/uc?export=download&amp;id=1Mh0yRG80Y4sFBoAuSgfvLUFvEfSa9Aqh" TargetMode="External"/><Relationship Id="rId309" Type="http://schemas.openxmlformats.org/officeDocument/2006/relationships/hyperlink" Target="https://api.textmebot.com/send.php?recipient=5492665036264&amp;apikey=xoF6EUkK31se&amp;document=https%3A%2F%2Fdrive.google.com%2Ffile%2Fd%2F1OqSnIfd5CK768O9jGQ1QGzl7rs4Myolo" TargetMode="External"/><Relationship Id="rId308" Type="http://schemas.openxmlformats.org/officeDocument/2006/relationships/hyperlink" Target="https://api.textmebot.com/send.php?recipient=5491164872810&amp;apikey=xoF6EUkK31se&amp;document=https%3A%2F%2Fdrive.google.com%2Ffile%2Fd%2F1If-SrHV7hlZ5DN243cd0VYw7BhIE9nxr" TargetMode="External"/><Relationship Id="rId429" Type="http://schemas.openxmlformats.org/officeDocument/2006/relationships/hyperlink" Target="https://drive.google.com/uc?export=download&amp;id=17y67dvosQsQ59UCve8JLGdaTTaBjyJuA" TargetMode="External"/><Relationship Id="rId307" Type="http://schemas.openxmlformats.org/officeDocument/2006/relationships/hyperlink" Target="https://api.textmebot.com/send.php?recipient=5491171282725&amp;apikey=xoF6EUkK31se&amp;document=https%3A%2F%2Fdrive.google.com%2Ffile%2Fd%2F1aQs34noU9M9USEn5wL08tsHN-m7XQLri" TargetMode="External"/><Relationship Id="rId428" Type="http://schemas.openxmlformats.org/officeDocument/2006/relationships/hyperlink" Target="https://drive.google.com/uc?export=download&amp;id=1zEBqotkLaY0T5PZrNMMEd3lsbtPIupiK" TargetMode="External"/><Relationship Id="rId549" Type="http://schemas.openxmlformats.org/officeDocument/2006/relationships/hyperlink" Target="https://drive.google.com/uc?export=download&amp;id=1-S-52Am1NSN0uot3V2gn1YjoOKm_vB1n" TargetMode="External"/><Relationship Id="rId306" Type="http://schemas.openxmlformats.org/officeDocument/2006/relationships/hyperlink" Target="https://api.textmebot.com/send.php?recipient=5491171282725&amp;apikey=xoF6EUkK31se&amp;document=https%3A%2F%2Fdrive.google.com%2Ffile%2Fd%2F1b0J5slmL7m1-9e9yN-dcPhdo41isoT5E" TargetMode="External"/><Relationship Id="rId427" Type="http://schemas.openxmlformats.org/officeDocument/2006/relationships/hyperlink" Target="https://drive.google.com/uc?export=download&amp;id=1OyW25IucWRV279rVeK9m9UcYonRfnUIm" TargetMode="External"/><Relationship Id="rId548" Type="http://schemas.openxmlformats.org/officeDocument/2006/relationships/hyperlink" Target="https://drive.google.com/uc?export=download&amp;id=1Oi8qr4P0QeXMP2qY9uIc2Us8IuGJ74CB" TargetMode="External"/><Relationship Id="rId301" Type="http://schemas.openxmlformats.org/officeDocument/2006/relationships/hyperlink" Target="https://api.textmebot.com/send.php?recipient=5491171282725&amp;apikey=xoF6EUkK31se&amp;document=https%3A%2F%2Fdrive.google.com%2Ffile%2Fd%2F1H12nA_LSJEqtdiTmKLY2J5nJWAqrVGTT" TargetMode="External"/><Relationship Id="rId422" Type="http://schemas.openxmlformats.org/officeDocument/2006/relationships/hyperlink" Target="https://drive.google.com/uc?export=download&amp;id=1C-8r3rcYuk99dF6d6Pqz3zwvNcUqKn8Y" TargetMode="External"/><Relationship Id="rId543" Type="http://schemas.openxmlformats.org/officeDocument/2006/relationships/hyperlink" Target="https://drive.google.com/uc?export=download&amp;id=1497o7fEWtJRlJbF_aATZxpVUHsyb01Wy" TargetMode="External"/><Relationship Id="rId300" Type="http://schemas.openxmlformats.org/officeDocument/2006/relationships/hyperlink" Target="https://api.textmebot.com/send.php?recipient=5493425225459&amp;apikey=xoF6EUkK31se&amp;document=https%3A%2F%2Fdrive.google.com%2Ffile%2Fd%2F1kjGisovSakCHMTpEGaZxhd9XW-vod2Hr" TargetMode="External"/><Relationship Id="rId421" Type="http://schemas.openxmlformats.org/officeDocument/2006/relationships/hyperlink" Target="https://drive.google.com/uc?export=download&amp;id=1jFZ1c9hlFzpqPEte-XOMoxYAOwt0xDqp" TargetMode="External"/><Relationship Id="rId542" Type="http://schemas.openxmlformats.org/officeDocument/2006/relationships/hyperlink" Target="https://drive.google.com/uc?export=download&amp;id=1wKgdupXcnQ_QycboL6_1_e_7f6iSkp_U" TargetMode="External"/><Relationship Id="rId420" Type="http://schemas.openxmlformats.org/officeDocument/2006/relationships/hyperlink" Target="https://drive.google.com/uc?export=download&amp;id=1ewVBTPjnfJnf0v6v0xVd7qBemHl1mNQl" TargetMode="External"/><Relationship Id="rId541" Type="http://schemas.openxmlformats.org/officeDocument/2006/relationships/hyperlink" Target="https://drive.google.com/uc?export=download&amp;id=1IBiU5FXnFl6rUrT-2diqs-bh2mTqfiuS" TargetMode="External"/><Relationship Id="rId540" Type="http://schemas.openxmlformats.org/officeDocument/2006/relationships/hyperlink" Target="https://drive.google.com/uc?export=download&amp;id=1EsKBaGnekCBAUBoZKuNK975JluL5X_kT" TargetMode="External"/><Relationship Id="rId415" Type="http://schemas.openxmlformats.org/officeDocument/2006/relationships/hyperlink" Target="https://drive.google.com/uc?export=download&amp;id=17y67dvosQsQ59UCve8JLGdaTTaBjyJuA" TargetMode="External"/><Relationship Id="rId536" Type="http://schemas.openxmlformats.org/officeDocument/2006/relationships/hyperlink" Target="https://drive.google.com/uc?export=download&amp;id=1Stxq7bZTF3wWW456QcotiSpEaqKuAs5n" TargetMode="External"/><Relationship Id="rId414" Type="http://schemas.openxmlformats.org/officeDocument/2006/relationships/hyperlink" Target="https://drive.google.com/uc?export=download&amp;id=1wJXaAWfJjztFZh5dWVF1vj9NfnGRW1ud" TargetMode="External"/><Relationship Id="rId535" Type="http://schemas.openxmlformats.org/officeDocument/2006/relationships/hyperlink" Target="https://drive.google.com/uc?export=download&amp;id=1kJckj3P9MqQ4qE-Frymc45CnfWqHWihM" TargetMode="External"/><Relationship Id="rId413" Type="http://schemas.openxmlformats.org/officeDocument/2006/relationships/hyperlink" Target="https://drive.google.com/uc?export=download&amp;id=1Lhqvo88-zyt4KXDvThJtcW-Qcq0bWs47" TargetMode="External"/><Relationship Id="rId534" Type="http://schemas.openxmlformats.org/officeDocument/2006/relationships/hyperlink" Target="https://drive.google.com/uc?export=download&amp;id=1tOvNpSQS-1bM0WosWAmSaZqJ98Jy_MC_" TargetMode="External"/><Relationship Id="rId412" Type="http://schemas.openxmlformats.org/officeDocument/2006/relationships/hyperlink" Target="https://drive.google.com/uc?export=download&amp;id=1oK--69BKzFQJi97wpcvudg_ajvNQQ1F6" TargetMode="External"/><Relationship Id="rId533" Type="http://schemas.openxmlformats.org/officeDocument/2006/relationships/hyperlink" Target="https://drive.google.com/uc?export=download&amp;id=1kuC5Eij3dHJcgo1W_jZZo2tT4CWpiE-K" TargetMode="External"/><Relationship Id="rId419" Type="http://schemas.openxmlformats.org/officeDocument/2006/relationships/hyperlink" Target="https://drive.google.com/uc?export=download&amp;id=1ypcxNebEUFoqDiC8NJKcP7GKh22po0GA" TargetMode="External"/><Relationship Id="rId418" Type="http://schemas.openxmlformats.org/officeDocument/2006/relationships/hyperlink" Target="https://drive.google.com/uc?export=download&amp;id=1fN6QDCsSaBvqPqTGdhwjXDewkbB-SxKH" TargetMode="External"/><Relationship Id="rId539" Type="http://schemas.openxmlformats.org/officeDocument/2006/relationships/hyperlink" Target="https://drive.google.com/uc?export=download&amp;id=1gncm251TtlfGwZGIf3s6e0V1rbeE0L5v" TargetMode="External"/><Relationship Id="rId417" Type="http://schemas.openxmlformats.org/officeDocument/2006/relationships/hyperlink" Target="https://drive.google.com/uc?export=download&amp;id=1frOK6BIgTQl5yZL3QMABs7iDH-E30xnY" TargetMode="External"/><Relationship Id="rId538" Type="http://schemas.openxmlformats.org/officeDocument/2006/relationships/hyperlink" Target="https://drive.google.com/uc?export=download&amp;id=18ra7DN8SUB0VXjaXHmpLHbmWQpeSCIUG" TargetMode="External"/><Relationship Id="rId416" Type="http://schemas.openxmlformats.org/officeDocument/2006/relationships/hyperlink" Target="https://drive.google.com/uc?export=download&amp;id=1x8Q01DX8gJgEMH50P46bTS4JUoPr7hb4" TargetMode="External"/><Relationship Id="rId537" Type="http://schemas.openxmlformats.org/officeDocument/2006/relationships/hyperlink" Target="https://drive.google.com/uc?export=download&amp;id=1Uf1WQN5mJvgjR4AMYwd4r-AG7nxPSrnt" TargetMode="External"/><Relationship Id="rId411" Type="http://schemas.openxmlformats.org/officeDocument/2006/relationships/hyperlink" Target="https://drive.google.com/uc?export=download&amp;id=1IuEmf7ZCM7yDEazEOoa7ODh1vDcLaXQ4" TargetMode="External"/><Relationship Id="rId532" Type="http://schemas.openxmlformats.org/officeDocument/2006/relationships/hyperlink" Target="https://drive.google.com/uc?export=download&amp;id=1HaS5ZSlIWYTy2R_n-U_vNJVzLV73qUGB" TargetMode="External"/><Relationship Id="rId410" Type="http://schemas.openxmlformats.org/officeDocument/2006/relationships/hyperlink" Target="https://drive.google.com/uc?export=download&amp;id=1zEBqotkLaY0T5PZrNMMEd3lsbtPIupiK" TargetMode="External"/><Relationship Id="rId531" Type="http://schemas.openxmlformats.org/officeDocument/2006/relationships/hyperlink" Target="https://drive.google.com/uc?export=download&amp;id=1J2dSaZagtFafQcMTqq2BA0vPCVvcFSQm" TargetMode="External"/><Relationship Id="rId530" Type="http://schemas.openxmlformats.org/officeDocument/2006/relationships/hyperlink" Target="https://drive.google.com/uc?export=download&amp;id=1xS_J9G6tw2wEobqx9LqQKZrYpUPELc5b" TargetMode="External"/><Relationship Id="rId206" Type="http://schemas.openxmlformats.org/officeDocument/2006/relationships/hyperlink" Target="https://api.textmebot.com/send.php?recipient=5493425380483&amp;apikey=xoF6EUkK31se&amp;text=Hola%20Marketing!%20%F0%9F%91%8B%20%0ATe%20env%C3%ADo%20la%20factura%20correspondiente%20por%20la%20prestaci%C3%B3n%20de%20servicios%20durante%20el%20per%C3%ADodo%2017%2F08%2F25%20al%2017%2F09%2F25.%20%0A%0A%F0%9F%93%8B%20*Detalles%20de%20la%20factura%3A*%20%0A%E2%80%A2%20N%C3%BAmero%3A%20199%20%0A%E2%80%A2%20Fecha%20de%20Emisi%C3%B3n%3A%2024%2F09%2F25%20%0A%E2%80%A2%20Fecha%20de%20Vencimiento%3A%2006%2F10%2F25%20%0A%E2%80%A2%20Monto%20Total%3A%20%24%20149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27" Type="http://schemas.openxmlformats.org/officeDocument/2006/relationships/hyperlink" Target="https://api.textmebot.com/send.php?recipient=5493424791582&amp;apikey=xoF6EUkK31se&amp;document=https%3A%2F%2Fdrive.google.com%2Ffile%2Fd%2F1qCXaboA-Xlbvu9pagwdccrLkPv0nCJnX" TargetMode="External"/><Relationship Id="rId448" Type="http://schemas.openxmlformats.org/officeDocument/2006/relationships/hyperlink" Target="https://drive.google.com/uc?export=download&amp;id=1umkeT3oNcr-97WrFLalg6LNx-sbbdwhT" TargetMode="External"/><Relationship Id="rId205" Type="http://schemas.openxmlformats.org/officeDocument/2006/relationships/hyperlink" Target="https://api.textmebot.com/send.php?recipient=5493425380483&amp;apikey=xoF6EUkK31se&amp;document=https%3A%2F%2Fdrive.google.com%2Ffile%2Fd%2F1q8R5L3IzOCRvrCOehJm_9tjVf3a6b_0s" TargetMode="External"/><Relationship Id="rId326" Type="http://schemas.openxmlformats.org/officeDocument/2006/relationships/hyperlink" Target="https://api.textmebot.com/send.php?recipient=5493424791582&amp;apikey=xoF6EUkK31se&amp;document=https%3A%2F%2Fdrive.google.com%2Ffile%2Fd%2F1FMGe9GP3WFVNcaHXpRQ52S9AlEjNVIka" TargetMode="External"/><Relationship Id="rId447" Type="http://schemas.openxmlformats.org/officeDocument/2006/relationships/hyperlink" Target="https://drive.google.com/uc?export=download&amp;id=1B81wv-cSViBTbCfWJcCBdm3pNzsHAD_i" TargetMode="External"/><Relationship Id="rId204" Type="http://schemas.openxmlformats.org/officeDocument/2006/relationships/hyperlink" Target="https://api.textmebot.com/send.php?recipient=5493425380483&amp;apikey=xoF6EUkK31se&amp;document=https%3A%2F%2Fdrive.google.com%2Ffile%2Fd%2F1oM1uiPVs811RxFWQXVXOCX0gHLtzIr1M" TargetMode="External"/><Relationship Id="rId325" Type="http://schemas.openxmlformats.org/officeDocument/2006/relationships/hyperlink" Target="https://api.textmebot.com/send.php?recipient=5493413077374&amp;apikey=xoF6EUkK31se&amp;text=Hola%20Noelia!%20%F0%9F%91%8B%20%0ATe%20env%C3%ADo%20la%20factura%20correspondiente%20por%20la%20prestaci%C3%B3n%20de%20servicios%20durante%20el%20per%C3%ADodo%2016%2F10%2F25%20al%2017%2F11%2F25.%20%0A%0A%F0%9F%93%8B%20*Detalles%20de%20la%20factura%3A*%20%0A%E2%80%A2%20N%C3%BAmero%3A%20211%20%0A%E2%80%A2%20Fecha%20de%20Emisi%C3%B3n%3A%2019%2F11%2F25%20%0A%E2%80%A2%20Fecha%20de%20Vencimiento%3A%2025%2F11%2F25%20%0A%E2%80%A2%20Monto%20Total%3A%20%24%20105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46" Type="http://schemas.openxmlformats.org/officeDocument/2006/relationships/hyperlink" Target="https://drive.google.com/uc?export=download&amp;id=1_RsBJNu-kAlURtJxfOnWJfGwn8Qnz6B9" TargetMode="External"/><Relationship Id="rId203" Type="http://schemas.openxmlformats.org/officeDocument/2006/relationships/hyperlink" Target="https://api.textmebot.com/send.php?recipient=5493424770891&amp;apikey=xoF6EUkK31se&amp;text=Hola%20Juan!%20%F0%9F%91%8B%20%0ATe%20env%C3%ADo%20la%20factura%20correspondiente%20por%20la%20prestaci%C3%B3n%20de%20servicios%20durante%20el%20per%C3%ADodo%2023%2F08%2F25%20al%2023%2F09%2F25.%20%0A%0A%F0%9F%93%8B%20*Detalles%20de%20la%20factura%3A*%20%0A%E2%80%A2%20N%C3%BAmero%3A%20198%20%0A%E2%80%A2%20Fecha%20de%20Emisi%C3%B3n%3A%2024%2F09%2F25%20%0A%E2%80%A2%20Fecha%20de%20Vencimiento%3A%2006%2F10%2F25%20%0A%E2%80%A2%20Monto%20Total%3A%20%24%20315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324" Type="http://schemas.openxmlformats.org/officeDocument/2006/relationships/hyperlink" Target="https://api.textmebot.com/send.php?recipient=5493413077374&amp;apikey=xoF6EUkK31se&amp;document=https%3A%2F%2Fdrive.google.com%2Ffile%2Fd%2F1QPx8TkU7eakVibMO5SOVwqCgjFFcv001" TargetMode="External"/><Relationship Id="rId445" Type="http://schemas.openxmlformats.org/officeDocument/2006/relationships/hyperlink" Target="https://drive.google.com/uc?export=download&amp;id=1wJXaAWfJjztFZh5dWVF1vj9NfnGRW1ud" TargetMode="External"/><Relationship Id="rId209" Type="http://schemas.openxmlformats.org/officeDocument/2006/relationships/hyperlink" Target="https://api.textmebot.com/send.php?recipient=5493413077374&amp;apikey=xoF6EUkK31se&amp;text=Hola%20Noelia!%20%F0%9F%91%8B%20%0ATe%20env%C3%ADo%20la%20factura%20correspondiente%20por%20la%20prestaci%C3%B3n%20de%20servicios%20durante%20el%20per%C3%ADodo%2018%2F08%2F25%20al%2018%2F09%2F25.%20%0A%0A%F0%9F%93%8B%20*Detalles%20de%20la%20factura%3A*%20%0A%E2%80%A2%20N%C3%BAmero%3A%20200%20%0A%E2%80%A2%20Fecha%20de%20Emisi%C3%B3n%3A%2025%2F09%2F25%20%0A%E2%80%A2%20Fecha%20de%20Vencimiento%3A%2001%2F10%2F25%20%0A%E2%80%A2%20Monto%20Total%3A%20%24%201000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208" Type="http://schemas.openxmlformats.org/officeDocument/2006/relationships/hyperlink" Target="https://api.textmebot.com/send.php?recipient=5493413077374&amp;apikey=xoF6EUkK31se&amp;document=https%3A%2F%2Fdrive.google.com%2Ffile%2Fd%2F1SBXTEJHYwsvkeK2PF_R0_K3fI5FbZRj8" TargetMode="External"/><Relationship Id="rId329" Type="http://schemas.openxmlformats.org/officeDocument/2006/relationships/hyperlink" Target="https://api.textmebot.com/send.php?recipient=5491141908925&amp;apikey=xoF6EUkK31se&amp;document=https%3A%2F%2Fdrive.google.com%2Ffile%2Fd%2F1sKj6VOfutVfKk-JtR1ZiVm3aGL78sG7k" TargetMode="External"/><Relationship Id="rId207" Type="http://schemas.openxmlformats.org/officeDocument/2006/relationships/hyperlink" Target="https://api.textmebot.com/send.php?recipient=5493413077374&amp;apikey=xoF6EUkK31se&amp;document=https%3A%2F%2Fdrive.google.com%2Ffile%2Fd%2F1LLrBRDE6_3CqSwDmVNFab6-RLJW2mm0o" TargetMode="External"/><Relationship Id="rId328" Type="http://schemas.openxmlformats.org/officeDocument/2006/relationships/hyperlink" Target="https://api.textmebot.com/send.php?recipient=5491141908925&amp;apikey=xoF6EUkK31se&amp;document=https%3A%2F%2Fdrive.google.com%2Ffile%2Fd%2F1BvwNJx1Zqn8gafN7bsBdyzZsvFgmt-Sa" TargetMode="External"/><Relationship Id="rId449" Type="http://schemas.openxmlformats.org/officeDocument/2006/relationships/hyperlink" Target="https://drive.google.com/uc?export=download&amp;id=1OHUCRSIDNUl8zW3wVbkgoAW8yWVywykH" TargetMode="External"/><Relationship Id="rId440" Type="http://schemas.openxmlformats.org/officeDocument/2006/relationships/hyperlink" Target="https://drive.google.com/uc?export=download&amp;id=1Ci3YN7oj9SYytYTixfKfQaF-K96hOqC7" TargetMode="External"/><Relationship Id="rId561" Type="http://schemas.openxmlformats.org/officeDocument/2006/relationships/drawing" Target="../drawings/drawing4.xml"/><Relationship Id="rId560" Type="http://schemas.openxmlformats.org/officeDocument/2006/relationships/hyperlink" Target="https://drive.google.com/uc?export=download&amp;id=1r850AHzul9uwy91LBATzE827jXzOzPHu" TargetMode="External"/><Relationship Id="rId202" Type="http://schemas.openxmlformats.org/officeDocument/2006/relationships/hyperlink" Target="https://api.textmebot.com/send.php?recipient=5493424770891&amp;apikey=xoF6EUkK31se&amp;document=https%3A%2F%2Fdrive.google.com%2Ffile%2Fd%2F1dY4OmPE_W68euC6UdAUka_4KqoFIMUxK" TargetMode="External"/><Relationship Id="rId323" Type="http://schemas.openxmlformats.org/officeDocument/2006/relationships/hyperlink" Target="https://api.textmebot.com/send.php?recipient=5493413077374&amp;apikey=xoF6EUkK31se&amp;document=https%3A%2F%2Fdrive.google.com%2Ffile%2Fd%2F1tBEYZErXJZIrfe5IriBX8hnHBHjlky8X" TargetMode="External"/><Relationship Id="rId444" Type="http://schemas.openxmlformats.org/officeDocument/2006/relationships/hyperlink" Target="https://drive.google.com/uc?export=download&amp;id=1Lhqvo88-zyt4KXDvThJtcW-Qcq0bWs47" TargetMode="External"/><Relationship Id="rId201" Type="http://schemas.openxmlformats.org/officeDocument/2006/relationships/hyperlink" Target="https://api.textmebot.com/send.php?recipient=5493424770891&amp;apikey=xoF6EUkK31se&amp;document=https%3A%2F%2Fdrive.google.com%2Ffile%2Fd%2F1b0da06TJDGdaMd0PynMSfIIp7dpZXAB7" TargetMode="External"/><Relationship Id="rId322" Type="http://schemas.openxmlformats.org/officeDocument/2006/relationships/hyperlink" Target="https://api.textmebot.com/send.php?recipient=5491164872810&amp;apikey=xoF6EUkK31se&amp;document=https%3A%2F%2Fdrive.google.com%2Ffile%2Fd%2F1duGlqdqr8NLbUFFYmZBYU7YxSYtuX1w5" TargetMode="External"/><Relationship Id="rId443" Type="http://schemas.openxmlformats.org/officeDocument/2006/relationships/hyperlink" Target="https://drive.google.com/uc?export=download&amp;id=1jFZ1c9hlFzpqPEte-XOMoxYAOwt0xDqp" TargetMode="External"/><Relationship Id="rId200" Type="http://schemas.openxmlformats.org/officeDocument/2006/relationships/hyperlink" Target="https://api.textmebot.com/send.php?recipient=5491171282725&amp;apikey=xoF6EUkK31se&amp;document=https%3A%2F%2Fdrive.google.com%2Ffile%2Fd%2F1cbHCIeJWOCH2BEtqykBVY5lNXpHq9qSW" TargetMode="External"/><Relationship Id="rId321" Type="http://schemas.openxmlformats.org/officeDocument/2006/relationships/hyperlink" Target="https://api.textmebot.com/send.php?recipient=5493424476596&amp;apikey=xoF6EUkK31se&amp;text=Hola%20Adrian!%20%F0%9F%91%8B%20%0ATe%20env%C3%ADo%20la%20factura%20correspondiente%20por%20la%20prestaci%C3%B3n%20de%20servicios%20durante%20el%20per%C3%ADodo%2003%2F10%2F25%20al%2003%2F11%2F25.%20%0A%0A%F0%9F%93%8B%20*Detalles%20de%20la%20factura%3A*%20%0A%E2%80%A2%20N%C3%BAmero%3A%20%20%0A%E2%80%A2%20Fecha%20de%20Emisi%C3%B3n%3A%2019%2F11%2F25%20%0A%E2%80%A2%20Fecha%20de%20Vencimiento%3A%2026%2F11%2F25%20%0A%E2%80%A2%20Monto%20Total%3A%20%24%20400000.%0A%20%20%0A%0A%F0%9F%92%BC%20*Cuenta%20para%20el%20dep%C3%B3sito%3A*Te%20agradecer%C3%ADa%20si%20me%20confirm%C3%A1s%20la%20recepci%C3%B3n%20y%20me%20avis%C3%A1s%20una%20fecha%20estimada%20de%20pago.%20%F0%9F%98%8A%20%0A%0ADesde%20ya%2C%20muchas%20gracias!" TargetMode="External"/><Relationship Id="rId442" Type="http://schemas.openxmlformats.org/officeDocument/2006/relationships/hyperlink" Target="https://drive.google.com/uc?export=download&amp;id=1ewVBTPjnfJnf0v6v0xVd7qBemHl1mNQl" TargetMode="External"/><Relationship Id="rId320" Type="http://schemas.openxmlformats.org/officeDocument/2006/relationships/hyperlink" Target="https://api.textmebot.com/send.php?recipient=5493424476596&amp;apikey=xoF6EUkK31se&amp;document=https%3A%2F%2Fdrive.google.com%2Ffile%2Fd%2F1J0D-wHu1t0HvJWzUbMaWfzjMYBTgbxcu" TargetMode="External"/><Relationship Id="rId441" Type="http://schemas.openxmlformats.org/officeDocument/2006/relationships/hyperlink" Target="https://drive.google.com/uc?export=download&amp;id=1rXanWz5SQ7-kpnTLaI8_q_enbINXBDEc" TargetMode="External"/><Relationship Id="rId316" Type="http://schemas.openxmlformats.org/officeDocument/2006/relationships/hyperlink" Target="https://api.textmebot.com/send.php?recipient=5493425380483&amp;apikey=xoF6EUkK31se&amp;document=https%3A%2F%2Fdrive.google.com%2Ffile%2Fd%2F1FospdJ3n7P_-Ro1MTf7HAywKKrcroTqH" TargetMode="External"/><Relationship Id="rId437" Type="http://schemas.openxmlformats.org/officeDocument/2006/relationships/hyperlink" Target="https://drive.google.com/uc?export=download&amp;id=1905NmNVTNtcWKjd_Bd769fkSCThv1XYG" TargetMode="External"/><Relationship Id="rId558" Type="http://schemas.openxmlformats.org/officeDocument/2006/relationships/hyperlink" Target="https://drive.google.com/uc?export=download&amp;id=1M1iZNDu_8OsH2k81I1ysH854Io0jgpOb" TargetMode="External"/><Relationship Id="rId315" Type="http://schemas.openxmlformats.org/officeDocument/2006/relationships/hyperlink" Target="https://api.textmebot.com/send.php?recipient=5493425380483&amp;apikey=xoF6EUkK31se&amp;document=https%3A%2F%2Fdrive.google.com%2Ffile%2Fd%2F1zMtsRKrGdjjb0-PjbA1KwIcIgN39SUMA" TargetMode="External"/><Relationship Id="rId436" Type="http://schemas.openxmlformats.org/officeDocument/2006/relationships/hyperlink" Target="https://drive.google.com/uc?export=download&amp;id=1psWilx3WzJkhARWLUmJdXGRAfRrEbpyb" TargetMode="External"/><Relationship Id="rId557" Type="http://schemas.openxmlformats.org/officeDocument/2006/relationships/hyperlink" Target="https://drive.google.com/uc?export=download&amp;id=13xUdK0XQf1BItmn0N9cLXqyN11Rcx-pQ" TargetMode="External"/><Relationship Id="rId314" Type="http://schemas.openxmlformats.org/officeDocument/2006/relationships/hyperlink" Target="https://api.textmebot.com/send.php?recipient=5491166128341&amp;apikey=xoF6EUkK31se&amp;document=https%3A%2F%2Fdrive.google.com%2Ffile%2Fd%2F1CBGcRjzpPHnzOpAjNnXsqkTIXhWiBu6I" TargetMode="External"/><Relationship Id="rId435" Type="http://schemas.openxmlformats.org/officeDocument/2006/relationships/hyperlink" Target="https://drive.google.com/uc?export=download&amp;id=1_RsBJNu-kAlURtJxfOnWJfGwn8Qnz6B9" TargetMode="External"/><Relationship Id="rId556" Type="http://schemas.openxmlformats.org/officeDocument/2006/relationships/hyperlink" Target="https://drive.google.com/uc?export=download&amp;id=1Qf0B3mvpTN6qbhBaa0wQzkbI-SIOfe1U" TargetMode="External"/><Relationship Id="rId313" Type="http://schemas.openxmlformats.org/officeDocument/2006/relationships/hyperlink" Target="https://api.textmebot.com/send.php?recipient=5491166128341&amp;apikey=xoF6EUkK31se&amp;document=https%3A%2F%2Fdrive.google.com%2Ffile%2Fd%2F1QLm-Nae8wBVwmnmNGyJK_C6C-lWZPAuL" TargetMode="External"/><Relationship Id="rId434" Type="http://schemas.openxmlformats.org/officeDocument/2006/relationships/hyperlink" Target="https://drive.google.com/uc?export=download&amp;id=1RfRX-HxJk2DTSVZnXPy2TeWP-iOH1kxf" TargetMode="External"/><Relationship Id="rId555" Type="http://schemas.openxmlformats.org/officeDocument/2006/relationships/hyperlink" Target="https://drive.google.com/uc?export=download&amp;id=1aDHu5XK5RNzxbj0hjV1TxJhtRAa7CQpg" TargetMode="External"/><Relationship Id="rId319" Type="http://schemas.openxmlformats.org/officeDocument/2006/relationships/hyperlink" Target="https://api.textmebot.com/send.php?recipient=5493493661975&amp;apikey=xoF6EUkK31se&amp;text=Hola%20Estefania!%20%F0%9F%91%8B%20%0ATe%20env%C3%ADo%20la%20factura%20correspondiente%20por%20la%20prestaci%C3%B3n%20de%20servicios%20durante%20el%20per%C3%ADodo%2009%2F10%2F25%20al%2010%2F11%2F25.%20%0A%0A%F0%9F%93%8B%20*Detalles%20de%20la%20factura%3A*%20%0A%E2%80%A2%20N%C3%BAmero%3A%20%20%0A%E2%80%A2%20Fecha%20de%20Emisi%C3%B3n%3A%2019%2F11%2F25%20%0A%E2%80%A2%20Fecha%20de%20Vencimiento%3A%2001%2F12%2F25%20%0A%E2%80%A2%20Monto%20Total%3A%20%24%201127000.%0A%20%20%0A%0A%F0%9F%92%BC%20*Cuenta%20para%20el%20dep%C3%B3sito%3A*-%20CUIT%3A%202033122879%0A-%20Titular%3A%20Adrian%20Patriarca%0A-%20Alias%3A%20Efectivo%0A-%20Banco%3A%20Efectivo%0ATe%20agradecer%C3%ADa%20si%20me%20confirm%C3%A1s%20la%20recepci%C3%B3n%20y%20me%20avis%C3%A1s%20una%20fecha%20estimada%20de%20pago.%20%F0%9F%98%8A%20%0A%0ADesde%20ya%2C%20muchas%20gracias!" TargetMode="External"/><Relationship Id="rId318" Type="http://schemas.openxmlformats.org/officeDocument/2006/relationships/hyperlink" Target="https://api.textmebot.com/send.php?recipient=5493493661975&amp;apikey=xoF6EUkK31se&amp;document=https%3A%2F%2Fdrive.google.com%2Ffile%2Fd%2F151N-Sd3hqgkudc2EqZLqyfqYJaPi_wDc" TargetMode="External"/><Relationship Id="rId439" Type="http://schemas.openxmlformats.org/officeDocument/2006/relationships/hyperlink" Target="https://drive.google.com/uc?export=download&amp;id=1CcMZXaecRvyknUd0LJmMXwfNDa27f0WF" TargetMode="External"/><Relationship Id="rId317" Type="http://schemas.openxmlformats.org/officeDocument/2006/relationships/hyperlink" Target="https://api.textmebot.com/send.php?recipient=5493425380483&amp;apikey=xoF6EUkK31se&amp;text=Hola%20Marketing!%20%F0%9F%91%8B%20%0ATe%20env%C3%ADo%20la%20factura%20correspondiente%20por%20la%20prestaci%C3%B3n%20de%20servicios%20durante%20el%20per%C3%ADodo%2015%2F10%2F25%20al%2016%2F11%2F25.%20%0A%0A%F0%9F%93%8B%20*Detalles%20de%20la%20factura%3A*%20%0A%E2%80%A2%20N%C3%BAmero%3A%20210%20%0A%E2%80%A2%20Fecha%20de%20Emisi%C3%B3n%3A%2019%2F11%2F25%20%0A%E2%80%A2%20Fecha%20de%20Vencimiento%3A%2001%2F12%2F25%20%0A%E2%80%A2%20Monto%20Total%3A%20%24%20184000.%0A%20%20%0A%0A%F0%9F%92%BC%20*Cuenta%20para%20el%20dep%C3%B3sito%3A*-%20CUIT%3A%2020331228797%0A-%20Titular%3A%20PATRIARCA%20ADRIAN%20CARLOS%0A-%20Cbu%3A%20110491630049195615179%0A-%20Alias%3A%20apsol.consultora%0A-%20Banco%3A%20Banco%20Naci%C3%B3n%0ATe%20agradecer%C3%ADa%20si%20me%20confirm%C3%A1s%20la%20recepci%C3%B3n%20y%20me%20avis%C3%A1s%20una%20fecha%20estimada%20de%20pago.%20%F0%9F%98%8A%20%0A%0ADesde%20ya%2C%20muchas%20gracias!" TargetMode="External"/><Relationship Id="rId438" Type="http://schemas.openxmlformats.org/officeDocument/2006/relationships/hyperlink" Target="https://drive.google.com/uc?export=download&amp;id=1O6mp9CwIJ_KoSIQvckeE3BSfgkGhboDW" TargetMode="External"/><Relationship Id="rId559" Type="http://schemas.openxmlformats.org/officeDocument/2006/relationships/hyperlink" Target="https://drive.google.com/uc?export=download&amp;id=1T4jtdw5nj-mWsuX_rxfR653wSPwwKyA1" TargetMode="External"/><Relationship Id="rId550" Type="http://schemas.openxmlformats.org/officeDocument/2006/relationships/hyperlink" Target="https://drive.google.com/uc?export=download&amp;id=163udYLoiAKinAt0Kc6y7zZPjVYbsunF0" TargetMode="External"/><Relationship Id="rId312" Type="http://schemas.openxmlformats.org/officeDocument/2006/relationships/hyperlink" Target="https://api.textmebot.com/send.php?recipient=5492665036264&amp;apikey=xoF6EUkK31se&amp;text=Hola%20Santiago!%20%F0%9F%91%8B%20%0ATe%20env%C3%ADo%20la%20factura%20correspondiente%20por%20la%20prestaci%C3%B3n%20de%20servicios%20durante%20el%20per%C3%ADodo%2016%2F11%2F25%20al%2016%2F12%2F25.%20%0A%0A%F0%9F%93%8B%20*Detalles%20de%20la%20factura%3A*%20%0A%E2%80%A2%20N%C3%BAmero%3A%20%20%0A%E2%80%A2%20Fecha%20de%20Emisi%C3%B3n%3A%2017%2F11%2F25%20%0A%E2%80%A2%20Fecha%20de%20Vencimiento%3A%2021%2F11%2F25%20%0A%E2%80%A2%20Monto%20Total%3A%20%24%202288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433" Type="http://schemas.openxmlformats.org/officeDocument/2006/relationships/hyperlink" Target="https://drive.google.com/uc?export=download&amp;id=1T0tlaz2fwPNh_vGyLjKdNhpp-jf061Hi" TargetMode="External"/><Relationship Id="rId554" Type="http://schemas.openxmlformats.org/officeDocument/2006/relationships/hyperlink" Target="https://drive.google.com/uc?export=download&amp;id=1If5u7h7lg94U98ny3n6BG5pkCIu-f-3U" TargetMode="External"/><Relationship Id="rId311" Type="http://schemas.openxmlformats.org/officeDocument/2006/relationships/hyperlink" Target="https://api.textmebot.com/send.php?recipient=5492665036264&amp;apikey=xoF6EUkK31se&amp;document=https%3A%2F%2Fdrive.google.com%2Ffile%2Fd%2F1OqSnIfd5CK768O9jGQ1QGzl7rs4Myolo" TargetMode="External"/><Relationship Id="rId432" Type="http://schemas.openxmlformats.org/officeDocument/2006/relationships/hyperlink" Target="https://drive.google.com/uc?export=download&amp;id=1bKr8WmcOE4BJyS5ZIJY0rthb4ThI9qZC" TargetMode="External"/><Relationship Id="rId553" Type="http://schemas.openxmlformats.org/officeDocument/2006/relationships/hyperlink" Target="https://drive.google.com/uc?export=download&amp;id=1tvulJclX5iQ3NqP7eu24_-KXILh8GNvs" TargetMode="External"/><Relationship Id="rId310" Type="http://schemas.openxmlformats.org/officeDocument/2006/relationships/hyperlink" Target="https://api.textmebot.com/send.php?recipient=5492665036264&amp;apikey=xoF6EUkK31se&amp;text=Hola%20Santiago!%20%F0%9F%91%8B%20%0ATe%20env%C3%ADo%20la%20factura%20correspondiente%20por%20la%20prestaci%C3%B3n%20de%20servicios%20durante%20el%20per%C3%ADodo%2015%2F11%2F25%20al%2015%2F12%2F25.%20%0A%0A%F0%9F%93%8B%20*Detalles%20de%20la%20factura%3A*%20%0A%E2%80%A2%20N%C3%BAmero%3A%20%20%0A%E2%80%A2%20Fecha%20de%20Emisi%C3%B3n%3A%2017%2F11%2F25%20%0A%E2%80%A2%20Fecha%20de%20Vencimiento%3A%2021%2F11%2F25%20%0A%E2%80%A2%20Monto%20Total%3A%20%24%20236000.%0A%20%20%0A%0A%F0%9F%92%BC%20*Cuenta%20para%20el%20dep%C3%B3sito%3A*-%20CUIT%3A%2020305727785%0A-%20Titular%3A%20SEBASTIAN%20GASTON%20WOLF%0A-%20Cbu%3A%201430001713033201820014%0A-%20Alias%3A%20apsol.consultoria%0A-%20Banco%3A%20BRUBANK%0ATe%20agradecer%C3%ADa%20si%20me%20confirm%C3%A1s%20la%20recepci%C3%B3n%20y%20me%20avis%C3%A1s%20una%20fecha%20estimada%20de%20pago.%20%F0%9F%98%8A%20%0A%0ADesde%20ya%2C%20muchas%20gracias!" TargetMode="External"/><Relationship Id="rId431" Type="http://schemas.openxmlformats.org/officeDocument/2006/relationships/hyperlink" Target="https://drive.google.com/uc?export=download&amp;id=16JgROTDvaIpmcS2OtwxZolq42T6yAR6g" TargetMode="External"/><Relationship Id="rId552" Type="http://schemas.openxmlformats.org/officeDocument/2006/relationships/hyperlink" Target="https://drive.google.com/uc?export=download&amp;id=1D5LJpX9ZlA4n7u6egm7ov8PgGz8qQp9R" TargetMode="External"/><Relationship Id="rId430" Type="http://schemas.openxmlformats.org/officeDocument/2006/relationships/hyperlink" Target="https://drive.google.com/uc?export=download&amp;id=1x8Q01DX8gJgEMH50P46bTS4JUoPr7hb4" TargetMode="External"/><Relationship Id="rId551" Type="http://schemas.openxmlformats.org/officeDocument/2006/relationships/hyperlink" Target="https://drive.google.com/uc?export=download&amp;id=1l1DKNJ4m9TOm_dJMbUEB6LbmId9SeJz_"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T5i6wDOM2E&amp;t=941s" TargetMode="External"/><Relationship Id="rId2" Type="http://schemas.openxmlformats.org/officeDocument/2006/relationships/hyperlink" Target="https://1drv.ms/v/c/4694ca2a0fbcc614/IQBZODF_Vz7nQbLPcQZgCVUeARz3Z6O6FlXh_-cPQkoPqW4?e=9vGmdO" TargetMode="External"/><Relationship Id="rId3" Type="http://schemas.openxmlformats.org/officeDocument/2006/relationships/hyperlink" Target="https://1drv.ms/v/c/4694ca2a0fbcc614/IQDEJIvhFaO-R5LH6O9nBsQqAfUxLM5w0yv6G1V1ITMOKMo?e=L30SqB" TargetMode="External"/><Relationship Id="rId4" Type="http://schemas.openxmlformats.org/officeDocument/2006/relationships/hyperlink" Target="https://1drv.ms/v/c/4694ca2a0fbcc614/IQAdiDBP4xOzS7b5pHAeHhssAeRAgFgQ0zxhLFysiktmCZs?e=oU4gyz" TargetMode="External"/><Relationship Id="rId9" Type="http://schemas.openxmlformats.org/officeDocument/2006/relationships/hyperlink" Target="https://1drv.ms/v/c/4694ca2a0fbcc614/IQAaZ2hRaKz0S7TxmGi0M8QqAeZCv284AtyevFwiyIuy1eo?e=pFmiVh" TargetMode="External"/><Relationship Id="rId5" Type="http://schemas.openxmlformats.org/officeDocument/2006/relationships/hyperlink" Target="https://onedrive.live.com/?sw=bypass&amp;bypassReason=abandoned&amp;qt=allmyphotos&amp;photosData=%2Fshare%2F4694CA2A0FBCC614%21s699305fbb675416cb09134851f08d2bc%3Fithint%3Dvideo%26e%3DLJYHfd%26migratedtospo%3Dtrue&amp;cid=4694CA2A0FBCC614&amp;id=4694CA2A0FBCC614%21s699305fbb675416cb09134851f08d2bc&amp;redeem=aHR0cHM6Ly8xZHJ2Lm1zL3YvYy80Njk0Y2EyYTBmYmNjNjE0L0lRRDdCWk5wZGJac1FiQ1JOSVVmQ05LOEFYWkZHQkRzMzY5cmJodzZMbEdpTy1JP2U9TEpZSGZk&amp;startedResponseCatch=true&amp;v=photos" TargetMode="External"/><Relationship Id="rId6" Type="http://schemas.openxmlformats.org/officeDocument/2006/relationships/hyperlink" Target="https://onedrive.live.com/?qt=allmyphotos&amp;photosData=%2Fshare%2F4694CA2A0FBCC614%21sc03644c99fa44b0a876fde800bcf990b%3Fithint%3Dvideo%26e%3DmfFbhI%26migratedtospo%3Dtrue&amp;cid=4694CA2A0FBCC614&amp;id=4694CA2A0FBCC614%21sc03644c99fa44b0a876fde800bcf990b&amp;redeem=aHR0cHM6Ly8xZHJ2Lm1zL3YvYy80Njk0Y2EyYTBmYmNjNjE0L0lRREpSRGJBcEo4S1M0ZHYzb0FMejVrTEFlMENVZTI3T0FzdEo5MWk5T2JGZjBRP2U9bWZGYmhJ&amp;v=photos" TargetMode="External"/><Relationship Id="rId7" Type="http://schemas.openxmlformats.org/officeDocument/2006/relationships/hyperlink" Target="https://1drv.ms/v/c/4694ca2a0fbcc614/IQDuBlRqlZ34TLkFHx-6U8IpAazmQ7NvfxdhI946WPg2pt8?e=evmAKP" TargetMode="External"/><Relationship Id="rId8" Type="http://schemas.openxmlformats.org/officeDocument/2006/relationships/hyperlink" Target="https://1drv.ms/v/c/4694ca2a0fbcc614/IQD0_iI4jo9wTb28KiI1Kv6RAeB4Ssz9m1Dso2Lr2JYwXMM?e=mxDKvp" TargetMode="External"/><Relationship Id="rId11" Type="http://schemas.openxmlformats.org/officeDocument/2006/relationships/hyperlink" Target="https://1drv.ms/v/c/4694ca2a0fbcc614/IQCvPYAO5I9-Tb6wj9GQWj4HAQt8uRMhcLRsdvhZlquAUUA?e=u55Nx0" TargetMode="External"/><Relationship Id="rId10" Type="http://schemas.openxmlformats.org/officeDocument/2006/relationships/hyperlink" Target="https://1drv.ms/v/c/4694ca2a0fbcc614/IQBXkDEwf7PzRJcayhsWuxGTAZ4FM1AUhsWZr3O2E8ODyzM?e=XX9DlA" TargetMode="External"/><Relationship Id="rId13" Type="http://schemas.openxmlformats.org/officeDocument/2006/relationships/hyperlink" Target="https://1drv.ms/v/c/4694ca2a0fbcc614/IQByHiXey2WCQo6W1XNIuHU1AT7az0PSwSptS7LmnBZNTgs?e=1InFbg" TargetMode="External"/><Relationship Id="rId12" Type="http://schemas.openxmlformats.org/officeDocument/2006/relationships/hyperlink" Target="https://1drv.ms/v/c/4694ca2a0fbcc614/IQB3UHcQhVi0R5fs1sTUq0YrAdo1HNqtp_36BiwN60opGMs?e=Chzycw" TargetMode="External"/><Relationship Id="rId15" Type="http://schemas.openxmlformats.org/officeDocument/2006/relationships/drawing" Target="../drawings/drawing8.xml"/><Relationship Id="rId14" Type="http://schemas.openxmlformats.org/officeDocument/2006/relationships/hyperlink" Target="https://1drv.ms/v/c/4694ca2a0fbcc614/IQB_svsQwhs3SoZ_-uOpex76AUn4HB5x91OkUJ-YiNJM4IM?e=6STRTL"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rueba-evolution-api.uxxqdc.easypanel.host/manager/"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90" Type="http://schemas.openxmlformats.org/officeDocument/2006/relationships/hyperlink" Target="https://api.textmebot.com/send.php?recipient=+5491131961212&amp;apikey=xoF6EUkK31se&amp;" TargetMode="External"/><Relationship Id="rId194" Type="http://schemas.openxmlformats.org/officeDocument/2006/relationships/hyperlink" Target="https://api.textmebot.com/send.php?recipient=+5493425389073&amp;apikey=xoF6EUkK31se&amp;" TargetMode="External"/><Relationship Id="rId193" Type="http://schemas.openxmlformats.org/officeDocument/2006/relationships/hyperlink" Target="https://api.textmebot.com/send.php?recipient=+5493425295451&amp;apikey=xoF6EUkK31se&amp;" TargetMode="External"/><Relationship Id="rId192" Type="http://schemas.openxmlformats.org/officeDocument/2006/relationships/hyperlink" Target="https://api.textmebot.com/send.php?recipient=+5493482532610&amp;apikey=xoF6EUkK31se&amp;" TargetMode="External"/><Relationship Id="rId191" Type="http://schemas.openxmlformats.org/officeDocument/2006/relationships/hyperlink" Target="https://api.textmebot.com/send.php?recipient=+5493498478357&amp;apikey=xoF6EUkK31se&amp;" TargetMode="External"/><Relationship Id="rId187" Type="http://schemas.openxmlformats.org/officeDocument/2006/relationships/hyperlink" Target="https://api.textmebot.com/send.php?recipient=+5493413077374&amp;apikey=xoF6EUkK31se&amp;" TargetMode="External"/><Relationship Id="rId186" Type="http://schemas.openxmlformats.org/officeDocument/2006/relationships/hyperlink" Target="https://api.textmebot.com/send.php?recipient=+5491171282725&amp;apikey=xoF6EUkK31se&amp;" TargetMode="External"/><Relationship Id="rId185" Type="http://schemas.openxmlformats.org/officeDocument/2006/relationships/hyperlink" Target="https://api.textmebot.com/send.php?recipient=+5493425295451&amp;apikey=xoF6EUkK31se&amp;" TargetMode="External"/><Relationship Id="rId184" Type="http://schemas.openxmlformats.org/officeDocument/2006/relationships/hyperlink" Target="https://api.textmebot.com/send.php?recipient=+5493425380483&amp;apikey=xoF6EUkK31se&amp;" TargetMode="External"/><Relationship Id="rId189" Type="http://schemas.openxmlformats.org/officeDocument/2006/relationships/hyperlink" Target="https://api.textmebot.com/send.php?recipient=+5491141908925&amp;apikey=xoF6EUkK31se&amp;" TargetMode="External"/><Relationship Id="rId188" Type="http://schemas.openxmlformats.org/officeDocument/2006/relationships/hyperlink" Target="https://api.textmebot.com/send.php?recipient=+5491166128341&amp;apikey=xoF6EUkK31se&amp;" TargetMode="External"/><Relationship Id="rId183" Type="http://schemas.openxmlformats.org/officeDocument/2006/relationships/hyperlink" Target="https://api.textmebot.com/send.php?recipient=+5493482532610&amp;apikey=xoF6EUkK31se&amp;" TargetMode="External"/><Relationship Id="rId182" Type="http://schemas.openxmlformats.org/officeDocument/2006/relationships/hyperlink" Target="https://api.textmebot.com/send.php?recipient=+5491164872810&amp;apikey=xoF6EUkK31se&amp;" TargetMode="External"/><Relationship Id="rId181" Type="http://schemas.openxmlformats.org/officeDocument/2006/relationships/hyperlink" Target="https://api.textmebot.com/send.php?recipient=+5493493449796&amp;apikey=xoF6EUkK31se&amp;" TargetMode="External"/><Relationship Id="rId180" Type="http://schemas.openxmlformats.org/officeDocument/2006/relationships/hyperlink" Target="https://api.textmebot.com/send.php?recipient=+5493425225459&amp;apikey=xoF6EUkK31se&amp;" TargetMode="External"/><Relationship Id="rId176" Type="http://schemas.openxmlformats.org/officeDocument/2006/relationships/hyperlink" Target="https://api.textmebot.com/send.php?recipient=+5493498478357&amp;apikey=xoF6EUkK31se&amp;" TargetMode="External"/><Relationship Id="rId175" Type="http://schemas.openxmlformats.org/officeDocument/2006/relationships/hyperlink" Target="https://api.textmebot.com/send.php?recipient=+5491164305365&amp;apikey=xoF6EUkK31se&amp;" TargetMode="External"/><Relationship Id="rId174" Type="http://schemas.openxmlformats.org/officeDocument/2006/relationships/hyperlink" Target="https://api.textmebot.com/send.php?recipient=+5491131961212&amp;apikey=xoF6EUkK31se&amp;" TargetMode="External"/><Relationship Id="rId173" Type="http://schemas.openxmlformats.org/officeDocument/2006/relationships/hyperlink" Target="https://api.textmebot.com/send.php?recipient=+5493424770891&amp;apikey=xoF6EUkK31se&amp;" TargetMode="External"/><Relationship Id="rId179" Type="http://schemas.openxmlformats.org/officeDocument/2006/relationships/hyperlink" Target="https://api.textmebot.com/send.php?recipient=+5493425389073&amp;apikey=xoF6EUkK31se&amp;" TargetMode="External"/><Relationship Id="rId178" Type="http://schemas.openxmlformats.org/officeDocument/2006/relationships/hyperlink" Target="https://api.textmebot.com/send.php?recipient=+5493424791582&amp;apikey=xoF6EUkK31se&amp;" TargetMode="External"/><Relationship Id="rId177" Type="http://schemas.openxmlformats.org/officeDocument/2006/relationships/hyperlink" Target="https://api.textmebot.com/send.php?recipient=+5493425295451&amp;apikey=xoF6EUkK31se&amp;" TargetMode="External"/><Relationship Id="rId198" Type="http://schemas.openxmlformats.org/officeDocument/2006/relationships/hyperlink" Target="https://api.textmebot.com/send.php?recipient=+5493424791582&amp;apikey=xoF6EUkK31se&amp;" TargetMode="External"/><Relationship Id="rId197" Type="http://schemas.openxmlformats.org/officeDocument/2006/relationships/hyperlink" Target="https://api.textmebot.com/send.php?recipient=+5493521639222&amp;apikey=xoF6EUkK31se&amp;" TargetMode="External"/><Relationship Id="rId196" Type="http://schemas.openxmlformats.org/officeDocument/2006/relationships/hyperlink" Target="https://api.textmebot.com/send.php?recipient=+5493424770891&amp;apikey=xoF6EUkK31se&amp;" TargetMode="External"/><Relationship Id="rId195" Type="http://schemas.openxmlformats.org/officeDocument/2006/relationships/hyperlink" Target="https://api.textmebot.com/send.php?recipient=+5493425225459&amp;apikey=xoF6EUkK31se&amp;" TargetMode="External"/><Relationship Id="rId199" Type="http://schemas.openxmlformats.org/officeDocument/2006/relationships/hyperlink" Target="https://api.textmebot.com/send.php?recipient=+5493425295451&amp;apikey=xoF6EUkK31se&amp;" TargetMode="External"/><Relationship Id="rId150" Type="http://schemas.openxmlformats.org/officeDocument/2006/relationships/hyperlink" Target="https://api.textmebot.com/send.php?recipient=+5493425295451&amp;apikey=xoF6EUkK31se&amp;" TargetMode="External"/><Relationship Id="rId1" Type="http://schemas.openxmlformats.org/officeDocument/2006/relationships/hyperlink" Target="https://api.textmebot.com/send.php?recipient=+5493493457667&amp;apikey=xoF6EUkK31se&amp;" TargetMode="External"/><Relationship Id="rId2" Type="http://schemas.openxmlformats.org/officeDocument/2006/relationships/hyperlink" Target="https://api.textmebot.com/send.php?recipient=+5493424770891&amp;apikey=xoF6EUkK31se&amp;" TargetMode="External"/><Relationship Id="rId3" Type="http://schemas.openxmlformats.org/officeDocument/2006/relationships/hyperlink" Target="https://api.textmebot.com/send.php?recipient=+5491171282725&amp;apikey=xoF6EUkK31se&amp;" TargetMode="External"/><Relationship Id="rId149" Type="http://schemas.openxmlformats.org/officeDocument/2006/relationships/hyperlink" Target="https://api.textmebot.com/send.php?recipient=+5493425225459&amp;apikey=xoF6EUkK31se&amp;" TargetMode="External"/><Relationship Id="rId4" Type="http://schemas.openxmlformats.org/officeDocument/2006/relationships/hyperlink" Target="https://api.textmebot.com/send.php?recipient=+5493425389073&amp;apikey=xoF6EUkK31se&amp;" TargetMode="External"/><Relationship Id="rId148" Type="http://schemas.openxmlformats.org/officeDocument/2006/relationships/hyperlink" Target="https://api.textmebot.com/send.php?recipient=+5493425389073&amp;apikey=xoF6EUkK31se&amp;" TargetMode="External"/><Relationship Id="rId9" Type="http://schemas.openxmlformats.org/officeDocument/2006/relationships/hyperlink" Target="https://api.textmebot.com/send.php?recipient=+5493521639222&amp;apikey=xoF6EUkK31se&amp;" TargetMode="External"/><Relationship Id="rId143" Type="http://schemas.openxmlformats.org/officeDocument/2006/relationships/hyperlink" Target="https://api.textmebot.com/send.php?recipient=+5491164872810&amp;apikey=xoF6EUkK31se&amp;" TargetMode="External"/><Relationship Id="rId142" Type="http://schemas.openxmlformats.org/officeDocument/2006/relationships/hyperlink" Target="https://api.textmebot.com/send.php?recipient=+5491141908925&amp;apikey=xoF6EUkK31se&amp;" TargetMode="External"/><Relationship Id="rId141" Type="http://schemas.openxmlformats.org/officeDocument/2006/relationships/hyperlink" Target="https://api.textmebot.com/send.php?recipient=+5493413077374&amp;apikey=xoF6EUkK31se&amp;" TargetMode="External"/><Relationship Id="rId140" Type="http://schemas.openxmlformats.org/officeDocument/2006/relationships/hyperlink" Target="https://api.textmebot.com/send.php?recipient=+5492665036264&amp;apikey=xoF6EUkK31se&amp;" TargetMode="External"/><Relationship Id="rId5" Type="http://schemas.openxmlformats.org/officeDocument/2006/relationships/hyperlink" Target="https://api.textmebot.com/send.php?recipient=+5493425225459&amp;apikey=xoF6EUkK31se&amp;" TargetMode="External"/><Relationship Id="rId147" Type="http://schemas.openxmlformats.org/officeDocument/2006/relationships/hyperlink" Target="https://api.textmebot.com/send.php?recipient=+5493498478357&amp;apikey=xoF6EUkK31se&amp;" TargetMode="External"/><Relationship Id="rId6" Type="http://schemas.openxmlformats.org/officeDocument/2006/relationships/hyperlink" Target="https://api.textmebot.com/send.php?recipient=+5493424062455&amp;apikey=xoF6EUkK31se&amp;" TargetMode="External"/><Relationship Id="rId146" Type="http://schemas.openxmlformats.org/officeDocument/2006/relationships/hyperlink" Target="https://api.textmebot.com/send.php?recipient=+5493424770891&amp;apikey=xoF6EUkK31se&amp;" TargetMode="External"/><Relationship Id="rId7" Type="http://schemas.openxmlformats.org/officeDocument/2006/relationships/hyperlink" Target="https://api.textmebot.com/send.php?recipient=+5493425468752&amp;apikey=xoF6EUkK31se&amp;" TargetMode="External"/><Relationship Id="rId145" Type="http://schemas.openxmlformats.org/officeDocument/2006/relationships/hyperlink" Target="https://api.textmebot.com/send.php?recipient=+5491166128341&amp;apikey=xoF6EUkK31se&amp;" TargetMode="External"/><Relationship Id="rId8" Type="http://schemas.openxmlformats.org/officeDocument/2006/relationships/hyperlink" Target="https://api.textmebot.com/send.php?recipient=+5493424770891&amp;apikey=xoF6EUkK31se&amp;" TargetMode="External"/><Relationship Id="rId144" Type="http://schemas.openxmlformats.org/officeDocument/2006/relationships/hyperlink" Target="https://api.textmebot.com/send.php?recipient=+5493425380483&amp;apikey=xoF6EUkK31se&amp;" TargetMode="External"/><Relationship Id="rId139" Type="http://schemas.openxmlformats.org/officeDocument/2006/relationships/hyperlink" Target="https://api.textmebot.com/send.php?recipient=+5491171282725&amp;apikey=xoF6EUkK31se&amp;" TargetMode="External"/><Relationship Id="rId138" Type="http://schemas.openxmlformats.org/officeDocument/2006/relationships/hyperlink" Target="https://api.textmebot.com/send.php?recipient=+5493425389073&amp;apikey=xoF6EUkK31se&amp;" TargetMode="External"/><Relationship Id="rId137" Type="http://schemas.openxmlformats.org/officeDocument/2006/relationships/hyperlink" Target="https://api.textmebot.com/send.php?recipient=+5493493661975&amp;apikey=xoF6EUkK31se&amp;" TargetMode="External"/><Relationship Id="rId132" Type="http://schemas.openxmlformats.org/officeDocument/2006/relationships/hyperlink" Target="https://api.textmebot.com/send.php?recipient=+5493425225459&amp;apikey=xoF6EUkK31se&amp;" TargetMode="External"/><Relationship Id="rId131" Type="http://schemas.openxmlformats.org/officeDocument/2006/relationships/hyperlink" Target="https://api.textmebot.com/send.php?recipient=+5493498478357&amp;apikey=xoF6EUkK31se&amp;" TargetMode="External"/><Relationship Id="rId130" Type="http://schemas.openxmlformats.org/officeDocument/2006/relationships/hyperlink" Target="https://api.textmebot.com/send.php?recipient=+5493424770891&amp;apikey=xoF6EUkK31se&amp;" TargetMode="External"/><Relationship Id="rId136" Type="http://schemas.openxmlformats.org/officeDocument/2006/relationships/hyperlink" Target="https://api.textmebot.com/send.php?recipient=+5491164305365&amp;apikey=xoF6EUkK31se&amp;" TargetMode="External"/><Relationship Id="rId135" Type="http://schemas.openxmlformats.org/officeDocument/2006/relationships/hyperlink" Target="https://api.textmebot.com/send.php?recipient=+5493424791582&amp;apikey=xoF6EUkK31se&amp;" TargetMode="External"/><Relationship Id="rId134" Type="http://schemas.openxmlformats.org/officeDocument/2006/relationships/hyperlink" Target="https://api.textmebot.com/send.php?recipient=+5493425295451&amp;apikey=xoF6EUkK31se&amp;" TargetMode="External"/><Relationship Id="rId133" Type="http://schemas.openxmlformats.org/officeDocument/2006/relationships/hyperlink" Target="https://api.textmebot.com/send.php?recipient=+5493521639222&amp;apikey=xoF6EUkK31se&amp;" TargetMode="External"/><Relationship Id="rId172" Type="http://schemas.openxmlformats.org/officeDocument/2006/relationships/hyperlink" Target="https://api.textmebot.com/send.php?recipient=+5491166128341&amp;apikey=xoF6EUkK31se&amp;" TargetMode="External"/><Relationship Id="rId171" Type="http://schemas.openxmlformats.org/officeDocument/2006/relationships/hyperlink" Target="https://api.textmebot.com/send.php?recipient=+5491141908925&amp;apikey=xoF6EUkK31se&amp;" TargetMode="External"/><Relationship Id="rId170" Type="http://schemas.openxmlformats.org/officeDocument/2006/relationships/hyperlink" Target="https://api.textmebot.com/send.php?recipient=+5493493661975&amp;apikey=xoF6EUkK31se&amp;" TargetMode="External"/><Relationship Id="rId165" Type="http://schemas.openxmlformats.org/officeDocument/2006/relationships/hyperlink" Target="https://api.textmebot.com/send.php?recipient=+5493425389073&amp;apikey=xoF6EUkK31se&amp;" TargetMode="External"/><Relationship Id="rId164" Type="http://schemas.openxmlformats.org/officeDocument/2006/relationships/hyperlink" Target="https://api.textmebot.com/send.php?recipient=+5493424791582&amp;apikey=xoF6EUkK31se&amp;" TargetMode="External"/><Relationship Id="rId163" Type="http://schemas.openxmlformats.org/officeDocument/2006/relationships/hyperlink" Target="https://api.textmebot.com/send.php?recipient=+5493425225459&amp;apikey=xoF6EUkK31se&amp;" TargetMode="External"/><Relationship Id="rId162" Type="http://schemas.openxmlformats.org/officeDocument/2006/relationships/hyperlink" Target="https://api.textmebot.com/send.php?recipient=+5493498478357&amp;apikey=xoF6EUkK31se&amp;" TargetMode="External"/><Relationship Id="rId169" Type="http://schemas.openxmlformats.org/officeDocument/2006/relationships/hyperlink" Target="https://api.textmebot.com/send.php?recipient=+5491171282725&amp;apikey=xoF6EUkK31se&amp;" TargetMode="External"/><Relationship Id="rId168" Type="http://schemas.openxmlformats.org/officeDocument/2006/relationships/hyperlink" Target="https://api.textmebot.com/send.php?recipient=+5493413077374&amp;apikey=xoF6EUkK31se&amp;" TargetMode="External"/><Relationship Id="rId167" Type="http://schemas.openxmlformats.org/officeDocument/2006/relationships/hyperlink" Target="https://api.textmebot.com/send.php?recipient=+5491164872810&amp;apikey=xoF6EUkK31se&amp;" TargetMode="External"/><Relationship Id="rId166" Type="http://schemas.openxmlformats.org/officeDocument/2006/relationships/hyperlink" Target="https://api.textmebot.com/send.php?recipient=+5493425380483&amp;apikey=xoF6EUkK31se&amp;" TargetMode="External"/><Relationship Id="rId161" Type="http://schemas.openxmlformats.org/officeDocument/2006/relationships/hyperlink" Target="https://api.textmebot.com/send.php?recipient=+5493425295451&amp;apikey=xoF6EUkK31se&amp;" TargetMode="External"/><Relationship Id="rId160" Type="http://schemas.openxmlformats.org/officeDocument/2006/relationships/hyperlink" Target="https://api.textmebot.com/send.php?recipient=+5493424770891&amp;apikey=xoF6EUkK31se&amp;" TargetMode="External"/><Relationship Id="rId159" Type="http://schemas.openxmlformats.org/officeDocument/2006/relationships/hyperlink" Target="https://api.textmebot.com/send.php?recipient=+5493425380483&amp;apikey=xoF6EUkK31se&amp;" TargetMode="External"/><Relationship Id="rId154" Type="http://schemas.openxmlformats.org/officeDocument/2006/relationships/hyperlink" Target="https://api.textmebot.com/send.php?recipient=+5493521639222&amp;apikey=xoF6EUkK31se&amp;" TargetMode="External"/><Relationship Id="rId153" Type="http://schemas.openxmlformats.org/officeDocument/2006/relationships/hyperlink" Target="https://api.textmebot.com/send.php?recipient=+5491171282725&amp;apikey=xoF6EUkK31se&amp;" TargetMode="External"/><Relationship Id="rId152" Type="http://schemas.openxmlformats.org/officeDocument/2006/relationships/hyperlink" Target="https://api.textmebot.com/send.php?recipient=+5493424791582&amp;apikey=xoF6EUkK31se&amp;" TargetMode="External"/><Relationship Id="rId151" Type="http://schemas.openxmlformats.org/officeDocument/2006/relationships/hyperlink" Target="https://api.textmebot.com/send.php?recipient=+5493493661975&amp;apikey=xoF6EUkK31se&amp;" TargetMode="External"/><Relationship Id="rId158" Type="http://schemas.openxmlformats.org/officeDocument/2006/relationships/hyperlink" Target="https://api.textmebot.com/send.php?recipient=+5491141908925&amp;apikey=xoF6EUkK31se&amp;" TargetMode="External"/><Relationship Id="rId157" Type="http://schemas.openxmlformats.org/officeDocument/2006/relationships/hyperlink" Target="https://api.textmebot.com/send.php?recipient=+5493424476596&amp;apikey=xoF6EUkK31se&amp;" TargetMode="External"/><Relationship Id="rId156" Type="http://schemas.openxmlformats.org/officeDocument/2006/relationships/hyperlink" Target="https://api.textmebot.com/send.php?recipient=+5491164872810&amp;apikey=xoF6EUkK31se&amp;" TargetMode="External"/><Relationship Id="rId155" Type="http://schemas.openxmlformats.org/officeDocument/2006/relationships/hyperlink" Target="https://api.textmebot.com/send.php?recipient=+5493413077374&amp;apikey=xoF6EUkK31se&amp;" TargetMode="External"/><Relationship Id="rId40" Type="http://schemas.openxmlformats.org/officeDocument/2006/relationships/hyperlink" Target="https://api.textmebot.com/send.php?recipient=+5493425468752&amp;apikey=xoF6EUkK31se&amp;" TargetMode="External"/><Relationship Id="rId42" Type="http://schemas.openxmlformats.org/officeDocument/2006/relationships/hyperlink" Target="https://api.textmebot.com/send.php?recipient=+5493493661975&amp;apikey=xoF6EUkK31se&amp;" TargetMode="External"/><Relationship Id="rId41" Type="http://schemas.openxmlformats.org/officeDocument/2006/relationships/hyperlink" Target="https://api.textmebot.com/send.php?recipient=+5493521639222&amp;apikey=xoF6EUkK31se&amp;" TargetMode="External"/><Relationship Id="rId44" Type="http://schemas.openxmlformats.org/officeDocument/2006/relationships/hyperlink" Target="https://api.textmebot.com/send.php?recipient=+5491164872810&amp;apikey=xoF6EUkK31se&amp;" TargetMode="External"/><Relationship Id="rId43" Type="http://schemas.openxmlformats.org/officeDocument/2006/relationships/hyperlink" Target="https://api.textmebot.com/send.php?recipient=+5493425295451&amp;apikey=xoF6EUkK31se&amp;" TargetMode="External"/><Relationship Id="rId46" Type="http://schemas.openxmlformats.org/officeDocument/2006/relationships/hyperlink" Target="https://api.textmebot.com/send.php?recipient=+5493425380483&amp;apikey=xoF6EUkK31se&amp;" TargetMode="External"/><Relationship Id="rId45" Type="http://schemas.openxmlformats.org/officeDocument/2006/relationships/hyperlink" Target="https://api.textmebot.com/send.php?recipient=+5493425389073&amp;apikey=xoF6EUkK31se&amp;" TargetMode="External"/><Relationship Id="rId48" Type="http://schemas.openxmlformats.org/officeDocument/2006/relationships/hyperlink" Target="https://api.textmebot.com/send.php?recipient=+5493492527138&amp;apikey=xoF6EUkK31se&amp;" TargetMode="External"/><Relationship Id="rId47" Type="http://schemas.openxmlformats.org/officeDocument/2006/relationships/hyperlink" Target="https://api.textmebot.com/send.php?recipient=+5493424770891&amp;apikey=xoF6EUkK31se&amp;" TargetMode="External"/><Relationship Id="rId49" Type="http://schemas.openxmlformats.org/officeDocument/2006/relationships/hyperlink" Target="https://api.textmebot.com/send.php?recipient=+5493425295451&amp;apikey=xoF6EUkK31se&amp;" TargetMode="External"/><Relationship Id="rId31" Type="http://schemas.openxmlformats.org/officeDocument/2006/relationships/hyperlink" Target="https://api.textmebot.com/send.php?recipient=+5493424770891&amp;apikey=xoF6EUkK31se&amp;" TargetMode="External"/><Relationship Id="rId30" Type="http://schemas.openxmlformats.org/officeDocument/2006/relationships/hyperlink" Target="https://api.textmebot.com/send.php?recipient=+5492267434320&amp;apikey=xoF6EUkK31se&amp;" TargetMode="External"/><Relationship Id="rId33" Type="http://schemas.openxmlformats.org/officeDocument/2006/relationships/hyperlink" Target="https://api.textmebot.com/send.php?recipient=+5493425468752&amp;apikey=xoF6EUkK31se&amp;" TargetMode="External"/><Relationship Id="rId32" Type="http://schemas.openxmlformats.org/officeDocument/2006/relationships/hyperlink" Target="https://api.textmebot.com/send.php?recipient=+5493425225459&amp;apikey=xoF6EUkK31se&amp;" TargetMode="External"/><Relationship Id="rId35" Type="http://schemas.openxmlformats.org/officeDocument/2006/relationships/hyperlink" Target="https://api.textmebot.com/send.php?recipient=+5493493661975&amp;apikey=xoF6EUkK31se&amp;" TargetMode="External"/><Relationship Id="rId34" Type="http://schemas.openxmlformats.org/officeDocument/2006/relationships/hyperlink" Target="https://api.textmebot.com/send.php?recipient=+5493425389073&amp;apikey=xoF6EUkK31se&amp;" TargetMode="External"/><Relationship Id="rId37" Type="http://schemas.openxmlformats.org/officeDocument/2006/relationships/hyperlink" Target="https://api.textmebot.com/send.php?recipient=+5493425380483&amp;apikey=xoF6EUkK31se&amp;" TargetMode="External"/><Relationship Id="rId36" Type="http://schemas.openxmlformats.org/officeDocument/2006/relationships/hyperlink" Target="https://api.textmebot.com/send.php?recipient=+5493425295451&amp;apikey=xoF6EUkK31se&amp;" TargetMode="External"/><Relationship Id="rId39" Type="http://schemas.openxmlformats.org/officeDocument/2006/relationships/hyperlink" Target="https://api.textmebot.com/send.php?recipient=+5493425225459&amp;apikey=xoF6EUkK31se&amp;" TargetMode="External"/><Relationship Id="rId38" Type="http://schemas.openxmlformats.org/officeDocument/2006/relationships/hyperlink" Target="https://api.textmebot.com/send.php?recipient=+5493424770891&amp;apikey=xoF6EUkK31se&amp;" TargetMode="External"/><Relationship Id="rId20" Type="http://schemas.openxmlformats.org/officeDocument/2006/relationships/hyperlink" Target="https://api.textmebot.com/send.php?recipient=+5493493457667&amp;apikey=xoF6EUkK31se&amp;" TargetMode="External"/><Relationship Id="rId22" Type="http://schemas.openxmlformats.org/officeDocument/2006/relationships/hyperlink" Target="https://api.textmebot.com/send.php?recipient=+5493424770891&amp;apikey=xoF6EUkK31se&amp;" TargetMode="External"/><Relationship Id="rId21" Type="http://schemas.openxmlformats.org/officeDocument/2006/relationships/hyperlink" Target="https://api.textmebot.com/send.php?recipient=+5492267434320&amp;apikey=xoF6EUkK31se&amp;" TargetMode="External"/><Relationship Id="rId24" Type="http://schemas.openxmlformats.org/officeDocument/2006/relationships/hyperlink" Target="https://api.textmebot.com/send.php?recipient=+5493493457667&amp;apikey=xoF6EUkK31se&amp;" TargetMode="External"/><Relationship Id="rId23" Type="http://schemas.openxmlformats.org/officeDocument/2006/relationships/hyperlink" Target="https://api.textmebot.com/send.php?recipient=+5493521639222&amp;apikey=xoF6EUkK31se&amp;" TargetMode="External"/><Relationship Id="rId26" Type="http://schemas.openxmlformats.org/officeDocument/2006/relationships/hyperlink" Target="https://api.textmebot.com/send.php?recipient=+5493425225459&amp;apikey=xoF6EUkK31se&amp;" TargetMode="External"/><Relationship Id="rId25" Type="http://schemas.openxmlformats.org/officeDocument/2006/relationships/hyperlink" Target="https://api.textmebot.com/send.php?recipient=+5493425468752&amp;apikey=xoF6EUkK31se&amp;" TargetMode="External"/><Relationship Id="rId28" Type="http://schemas.openxmlformats.org/officeDocument/2006/relationships/hyperlink" Target="https://api.textmebot.com/send.php?recipient=+5493425295451&amp;apikey=xoF6EUkK31se&amp;" TargetMode="External"/><Relationship Id="rId27" Type="http://schemas.openxmlformats.org/officeDocument/2006/relationships/hyperlink" Target="https://api.textmebot.com/send.php?recipient=+5493425389073&amp;apikey=xoF6EUkK31se&amp;" TargetMode="External"/><Relationship Id="rId29" Type="http://schemas.openxmlformats.org/officeDocument/2006/relationships/hyperlink" Target="https://api.textmebot.com/send.php?recipient=+5493424236299&amp;apikey=xoF6EUkK31se&amp;" TargetMode="External"/><Relationship Id="rId11" Type="http://schemas.openxmlformats.org/officeDocument/2006/relationships/hyperlink" Target="https://api.textmebot.com/send.php?recipient=+5492267434320&amp;apikey=xoF6EUkK31se&amp;" TargetMode="External"/><Relationship Id="rId10" Type="http://schemas.openxmlformats.org/officeDocument/2006/relationships/hyperlink" Target="https://api.textmebot.com/send.php?recipient=+5491171282725&amp;apikey=xoF6EUkK31se&amp;" TargetMode="External"/><Relationship Id="rId13" Type="http://schemas.openxmlformats.org/officeDocument/2006/relationships/hyperlink" Target="https://api.textmebot.com/send.php?recipient=+5493424236299&amp;apikey=xoF6EUkK31se&amp;" TargetMode="External"/><Relationship Id="rId12" Type="http://schemas.openxmlformats.org/officeDocument/2006/relationships/hyperlink" Target="https://api.textmebot.com/send.php?recipient=+5493425225459&amp;apikey=xoF6EUkK31se&amp;" TargetMode="External"/><Relationship Id="rId15" Type="http://schemas.openxmlformats.org/officeDocument/2006/relationships/hyperlink" Target="https://api.textmebot.com/send.php?recipient=+5493521639222&amp;apikey=xoF6EUkK31se&amp;" TargetMode="External"/><Relationship Id="rId14" Type="http://schemas.openxmlformats.org/officeDocument/2006/relationships/hyperlink" Target="https://api.textmebot.com/send.php?recipient=+5493424770891&amp;apikey=xoF6EUkK31se&amp;" TargetMode="External"/><Relationship Id="rId17" Type="http://schemas.openxmlformats.org/officeDocument/2006/relationships/hyperlink" Target="https://api.textmebot.com/send.php?recipient=+5493425468752&amp;apikey=xoF6EUkK31se&amp;" TargetMode="External"/><Relationship Id="rId16" Type="http://schemas.openxmlformats.org/officeDocument/2006/relationships/hyperlink" Target="https://api.textmebot.com/send.php?recipient=+5493424062455&amp;apikey=xoF6EUkK31se&amp;" TargetMode="External"/><Relationship Id="rId19" Type="http://schemas.openxmlformats.org/officeDocument/2006/relationships/hyperlink" Target="https://api.textmebot.com/send.php?recipient=+5493425389073&amp;apikey=xoF6EUkK31se&amp;" TargetMode="External"/><Relationship Id="rId18" Type="http://schemas.openxmlformats.org/officeDocument/2006/relationships/hyperlink" Target="https://api.textmebot.com/send.php?recipient=+5493425225459&amp;apikey=xoF6EUkK31se&amp;" TargetMode="External"/><Relationship Id="rId84" Type="http://schemas.openxmlformats.org/officeDocument/2006/relationships/hyperlink" Target="https://api.textmebot.com/send.php?recipient=+5493425468752&amp;apikey=xoF6EUkK31se&amp;" TargetMode="External"/><Relationship Id="rId83" Type="http://schemas.openxmlformats.org/officeDocument/2006/relationships/hyperlink" Target="https://api.textmebot.com/send.php?recipient=+5493425295451&amp;apikey=xoF6EUkK31se&amp;" TargetMode="External"/><Relationship Id="rId86" Type="http://schemas.openxmlformats.org/officeDocument/2006/relationships/hyperlink" Target="https://api.textmebot.com/send.php?recipient=+5491171282725&amp;apikey=xoF6EUkK31se&amp;" TargetMode="External"/><Relationship Id="rId85" Type="http://schemas.openxmlformats.org/officeDocument/2006/relationships/hyperlink" Target="https://api.textmebot.com/send.php?recipient=+5493425380483&amp;apikey=xoF6EUkK31se&amp;" TargetMode="External"/><Relationship Id="rId88" Type="http://schemas.openxmlformats.org/officeDocument/2006/relationships/hyperlink" Target="https://api.textmebot.com/send.php?recipient=+5493493661975&amp;apikey=xoF6EUkK31se&amp;" TargetMode="External"/><Relationship Id="rId87" Type="http://schemas.openxmlformats.org/officeDocument/2006/relationships/hyperlink" Target="https://api.textmebot.com/send.php?recipient=+5493424791582&amp;apikey=xoF6EUkK31se&amp;" TargetMode="External"/><Relationship Id="rId89" Type="http://schemas.openxmlformats.org/officeDocument/2006/relationships/hyperlink" Target="https://api.textmebot.com/send.php?recipient=+5491141908925&amp;apikey=xoF6EUkK31se&amp;" TargetMode="External"/><Relationship Id="rId80" Type="http://schemas.openxmlformats.org/officeDocument/2006/relationships/hyperlink" Target="https://api.textmebot.com/send.php?recipient=+5491171282725&amp;apikey=xoF6EUkK31se&amp;" TargetMode="External"/><Relationship Id="rId82" Type="http://schemas.openxmlformats.org/officeDocument/2006/relationships/hyperlink" Target="https://api.textmebot.com/send.php?recipient=+5493492527138&amp;apikey=xoF6EUkK31se&amp;" TargetMode="External"/><Relationship Id="rId81" Type="http://schemas.openxmlformats.org/officeDocument/2006/relationships/hyperlink" Target="https://api.textmebot.com/send.php?recipient=+5493424770891&amp;apikey=xoF6EUkK31se&amp;" TargetMode="External"/><Relationship Id="rId73" Type="http://schemas.openxmlformats.org/officeDocument/2006/relationships/hyperlink" Target="https://api.textmebot.com/send.php?recipient=+5493521639222&amp;apikey=xoF6EUkK31se&amp;" TargetMode="External"/><Relationship Id="rId72" Type="http://schemas.openxmlformats.org/officeDocument/2006/relationships/hyperlink" Target="https://api.textmebot.com/send.php?recipient=+5493425225459&amp;apikey=xoF6EUkK31se&amp;" TargetMode="External"/><Relationship Id="rId75" Type="http://schemas.openxmlformats.org/officeDocument/2006/relationships/hyperlink" Target="https://api.textmebot.com/send.php?recipient=+5491141908925&amp;apikey=xoF6EUkK31se&amp;" TargetMode="External"/><Relationship Id="rId74" Type="http://schemas.openxmlformats.org/officeDocument/2006/relationships/hyperlink" Target="https://api.textmebot.com/send.php?recipient=+5493493661975&amp;apikey=xoF6EUkK31se&amp;" TargetMode="External"/><Relationship Id="rId77" Type="http://schemas.openxmlformats.org/officeDocument/2006/relationships/hyperlink" Target="https://api.textmebot.com/send.php?recipient=+5493424791582&amp;apikey=xoF6EUkK31se&amp;" TargetMode="External"/><Relationship Id="rId76" Type="http://schemas.openxmlformats.org/officeDocument/2006/relationships/hyperlink" Target="https://api.textmebot.com/send.php?recipient=+5493425389073&amp;apikey=xoF6EUkK31se&amp;" TargetMode="External"/><Relationship Id="rId79" Type="http://schemas.openxmlformats.org/officeDocument/2006/relationships/hyperlink" Target="https://api.textmebot.com/send.php?recipient=+5493413077374&amp;apikey=xoF6EUkK31se&amp;" TargetMode="External"/><Relationship Id="rId78" Type="http://schemas.openxmlformats.org/officeDocument/2006/relationships/hyperlink" Target="https://api.textmebot.com/send.php?recipient=+5491164872810&amp;apikey=xoF6EUkK31se&amp;" TargetMode="External"/><Relationship Id="rId71" Type="http://schemas.openxmlformats.org/officeDocument/2006/relationships/hyperlink" Target="https://api.textmebot.com/send.php?recipient=+5493425295451&amp;apikey=xoF6EUkK31se&amp;" TargetMode="External"/><Relationship Id="rId70" Type="http://schemas.openxmlformats.org/officeDocument/2006/relationships/hyperlink" Target="https://api.textmebot.com/send.php?recipient=+5493425468752&amp;apikey=xoF6EUkK31se&amp;" TargetMode="External"/><Relationship Id="rId62" Type="http://schemas.openxmlformats.org/officeDocument/2006/relationships/hyperlink" Target="https://api.textmebot.com/send.php?recipient=+5493425389073&amp;apikey=xoF6EUkK31se&amp;" TargetMode="External"/><Relationship Id="rId61" Type="http://schemas.openxmlformats.org/officeDocument/2006/relationships/hyperlink" Target="https://api.textmebot.com/send.php?recipient=+5493425295451&amp;apikey=xoF6EUkK31se&amp;" TargetMode="External"/><Relationship Id="rId64" Type="http://schemas.openxmlformats.org/officeDocument/2006/relationships/hyperlink" Target="https://api.textmebot.com/send.php?recipient=+5491141908925&amp;apikey=xoF6EUkK31se&amp;" TargetMode="External"/><Relationship Id="rId63" Type="http://schemas.openxmlformats.org/officeDocument/2006/relationships/hyperlink" Target="https://api.textmebot.com/send.php?recipient=+5493493661975&amp;apikey=xoF6EUkK31se&amp;" TargetMode="External"/><Relationship Id="rId66" Type="http://schemas.openxmlformats.org/officeDocument/2006/relationships/hyperlink" Target="https://api.textmebot.com/send.php?recipient=+5493413077374&amp;apikey=xoF6EUkK31se&amp;" TargetMode="External"/><Relationship Id="rId65" Type="http://schemas.openxmlformats.org/officeDocument/2006/relationships/hyperlink" Target="https://api.textmebot.com/send.php?recipient=+5491164872810&amp;apikey=xoF6EUkK31se&amp;" TargetMode="External"/><Relationship Id="rId68" Type="http://schemas.openxmlformats.org/officeDocument/2006/relationships/hyperlink" Target="https://api.textmebot.com/send.php?recipient=+5493424770891&amp;apikey=xoF6EUkK31se&amp;" TargetMode="External"/><Relationship Id="rId67" Type="http://schemas.openxmlformats.org/officeDocument/2006/relationships/hyperlink" Target="https://api.textmebot.com/send.php?recipient=+5493425380483&amp;apikey=xoF6EUkK31se&amp;" TargetMode="External"/><Relationship Id="rId60" Type="http://schemas.openxmlformats.org/officeDocument/2006/relationships/hyperlink" Target="https://api.textmebot.com/send.php?recipient=+5493425225459&amp;apikey=xoF6EUkK31se&amp;" TargetMode="External"/><Relationship Id="rId69" Type="http://schemas.openxmlformats.org/officeDocument/2006/relationships/hyperlink" Target="https://api.textmebot.com/send.php?recipient=+5493492527138&amp;apikey=xoF6EUkK31se&amp;" TargetMode="External"/><Relationship Id="rId51" Type="http://schemas.openxmlformats.org/officeDocument/2006/relationships/hyperlink" Target="https://api.textmebot.com/send.php?recipient=+5493521639222&amp;apikey=xoF6EUkK31se&amp;" TargetMode="External"/><Relationship Id="rId50" Type="http://schemas.openxmlformats.org/officeDocument/2006/relationships/hyperlink" Target="https://api.textmebot.com/send.php?recipient=+5493425225459&amp;apikey=xoF6EUkK31se&amp;" TargetMode="External"/><Relationship Id="rId53" Type="http://schemas.openxmlformats.org/officeDocument/2006/relationships/hyperlink" Target="https://api.textmebot.com/send.php?recipient=+5493755652005&amp;apikey=xoF6EUkK31se&amp;" TargetMode="External"/><Relationship Id="rId52" Type="http://schemas.openxmlformats.org/officeDocument/2006/relationships/hyperlink" Target="https://api.textmebot.com/send.php?recipient=+5493425389073&amp;apikey=xoF6EUkK31se&amp;" TargetMode="External"/><Relationship Id="rId55" Type="http://schemas.openxmlformats.org/officeDocument/2006/relationships/hyperlink" Target="https://api.textmebot.com/send.php?recipient=+5493425380483&amp;apikey=xoF6EUkK31se&amp;" TargetMode="External"/><Relationship Id="rId54" Type="http://schemas.openxmlformats.org/officeDocument/2006/relationships/hyperlink" Target="https://api.textmebot.com/send.php?recipient=+5493493661975&amp;apikey=xoF6EUkK31se&amp;" TargetMode="External"/><Relationship Id="rId57" Type="http://schemas.openxmlformats.org/officeDocument/2006/relationships/hyperlink" Target="https://api.textmebot.com/send.php?recipient=+5493424770891&amp;apikey=xoF6EUkK31se&amp;" TargetMode="External"/><Relationship Id="rId56" Type="http://schemas.openxmlformats.org/officeDocument/2006/relationships/hyperlink" Target="https://api.textmebot.com/send.php?recipient=+5491164872810&amp;apikey=xoF6EUkK31se&amp;" TargetMode="External"/><Relationship Id="rId59" Type="http://schemas.openxmlformats.org/officeDocument/2006/relationships/hyperlink" Target="https://api.textmebot.com/send.php?recipient=+5493521639222&amp;apikey=xoF6EUkK31se&amp;" TargetMode="External"/><Relationship Id="rId58" Type="http://schemas.openxmlformats.org/officeDocument/2006/relationships/hyperlink" Target="https://api.textmebot.com/send.php?recipient=+5493492527138&amp;apikey=xoF6EUkK31se&amp;" TargetMode="External"/><Relationship Id="rId107" Type="http://schemas.openxmlformats.org/officeDocument/2006/relationships/hyperlink" Target="https://api.textmebot.com/send.php?recipient=+5493413077374&amp;apikey=xoF6EUkK31se&amp;" TargetMode="External"/><Relationship Id="rId106" Type="http://schemas.openxmlformats.org/officeDocument/2006/relationships/hyperlink" Target="https://api.textmebot.com/send.php?recipient=+5491171282725&amp;apikey=xoF6EUkK31se&amp;" TargetMode="External"/><Relationship Id="rId105" Type="http://schemas.openxmlformats.org/officeDocument/2006/relationships/hyperlink" Target="https://api.textmebot.com/send.php?recipient=+5491141908925&amp;apikey=xoF6EUkK31se&amp;" TargetMode="External"/><Relationship Id="rId104" Type="http://schemas.openxmlformats.org/officeDocument/2006/relationships/hyperlink" Target="https://api.textmebot.com/send.php?recipient=+5493493661975&amp;apikey=xoF6EUkK31se&amp;" TargetMode="External"/><Relationship Id="rId109" Type="http://schemas.openxmlformats.org/officeDocument/2006/relationships/hyperlink" Target="https://api.textmebot.com/send.php?recipient=+5492665036264&amp;apikey=xoF6EUkK31se&amp;" TargetMode="External"/><Relationship Id="rId108" Type="http://schemas.openxmlformats.org/officeDocument/2006/relationships/hyperlink" Target="https://api.textmebot.com/send.php?recipient=+5493425295451&amp;apikey=xoF6EUkK31se&amp;" TargetMode="External"/><Relationship Id="rId103" Type="http://schemas.openxmlformats.org/officeDocument/2006/relationships/hyperlink" Target="https://api.textmebot.com/send.php?recipient=+5493425468752&amp;apikey=xoF6EUkK31se&amp;" TargetMode="External"/><Relationship Id="rId102" Type="http://schemas.openxmlformats.org/officeDocument/2006/relationships/hyperlink" Target="https://api.textmebot.com/send.php?recipient=+5493521639222&amp;apikey=xoF6EUkK31se&amp;" TargetMode="External"/><Relationship Id="rId101" Type="http://schemas.openxmlformats.org/officeDocument/2006/relationships/hyperlink" Target="https://api.textmebot.com/send.php?recipient=+5493425389073&amp;apikey=xoF6EUkK31se&amp;" TargetMode="External"/><Relationship Id="rId100" Type="http://schemas.openxmlformats.org/officeDocument/2006/relationships/hyperlink" Target="https://api.textmebot.com/send.php?recipient=+5493424791582&amp;apikey=xoF6EUkK31se&amp;" TargetMode="External"/><Relationship Id="rId129" Type="http://schemas.openxmlformats.org/officeDocument/2006/relationships/hyperlink" Target="https://api.textmebot.com/send.php?recipient=+5491141908925&amp;apikey=xoF6EUkK31se&amp;" TargetMode="External"/><Relationship Id="rId128" Type="http://schemas.openxmlformats.org/officeDocument/2006/relationships/hyperlink" Target="https://api.textmebot.com/send.php?recipient=+5493413077374&amp;apikey=xoF6EUkK31se&amp;" TargetMode="External"/><Relationship Id="rId127" Type="http://schemas.openxmlformats.org/officeDocument/2006/relationships/hyperlink" Target="https://api.textmebot.com/send.php?recipient=+5491164872810&amp;apikey=xoF6EUkK31se&amp;" TargetMode="External"/><Relationship Id="rId126" Type="http://schemas.openxmlformats.org/officeDocument/2006/relationships/hyperlink" Target="https://api.textmebot.com/send.php?recipient=+5493424476596&amp;apikey=xoF6EUkK31se&amp;" TargetMode="External"/><Relationship Id="rId121" Type="http://schemas.openxmlformats.org/officeDocument/2006/relationships/hyperlink" Target="https://api.textmebot.com/send.php?recipient=+5491171282725&amp;apikey=xoF6EUkK31se&amp;" TargetMode="External"/><Relationship Id="rId120" Type="http://schemas.openxmlformats.org/officeDocument/2006/relationships/hyperlink" Target="https://api.textmebot.com/send.php?recipient=+5493425295451&amp;apikey=xoF6EUkK31se&amp;" TargetMode="External"/><Relationship Id="rId125" Type="http://schemas.openxmlformats.org/officeDocument/2006/relationships/hyperlink" Target="https://api.textmebot.com/send.php?recipient=+5493493661975&amp;apikey=xoF6EUkK31se&amp;" TargetMode="External"/><Relationship Id="rId124" Type="http://schemas.openxmlformats.org/officeDocument/2006/relationships/hyperlink" Target="https://api.textmebot.com/send.php?recipient=+5493425380483&amp;apikey=xoF6EUkK31se&amp;" TargetMode="External"/><Relationship Id="rId123" Type="http://schemas.openxmlformats.org/officeDocument/2006/relationships/hyperlink" Target="https://api.textmebot.com/send.php?recipient=+5492665036264&amp;apikey=xoF6EUkK31se&amp;" TargetMode="External"/><Relationship Id="rId122" Type="http://schemas.openxmlformats.org/officeDocument/2006/relationships/hyperlink" Target="https://api.textmebot.com/send.php?recipient=+5491164305365&amp;apikey=xoF6EUkK31se&amp;" TargetMode="External"/><Relationship Id="rId95" Type="http://schemas.openxmlformats.org/officeDocument/2006/relationships/hyperlink" Target="https://api.textmebot.com/send.php?recipient=+5493424770891&amp;apikey=xoF6EUkK31se&amp;" TargetMode="External"/><Relationship Id="rId94" Type="http://schemas.openxmlformats.org/officeDocument/2006/relationships/hyperlink" Target="https://api.textmebot.com/send.php?recipient=+5491164872810&amp;apikey=xoF6EUkK31se&amp;" TargetMode="External"/><Relationship Id="rId97" Type="http://schemas.openxmlformats.org/officeDocument/2006/relationships/hyperlink" Target="https://api.textmebot.com/send.php?recipient=+5493413077374&amp;apikey=xoF6EUkK31se&amp;" TargetMode="External"/><Relationship Id="rId96" Type="http://schemas.openxmlformats.org/officeDocument/2006/relationships/hyperlink" Target="https://api.textmebot.com/send.php?recipient=+5493425380483&amp;apikey=xoF6EUkK31se&amp;" TargetMode="External"/><Relationship Id="rId99" Type="http://schemas.openxmlformats.org/officeDocument/2006/relationships/hyperlink" Target="https://api.textmebot.com/send.php?recipient=+5493425225459&amp;apikey=xoF6EUkK31se&amp;" TargetMode="External"/><Relationship Id="rId98" Type="http://schemas.openxmlformats.org/officeDocument/2006/relationships/hyperlink" Target="https://api.textmebot.com/send.php?recipient=+5493492527138&amp;apikey=xoF6EUkK31se&amp;" TargetMode="External"/><Relationship Id="rId91" Type="http://schemas.openxmlformats.org/officeDocument/2006/relationships/hyperlink" Target="https://api.textmebot.com/send.php?recipient=+5493425389073&amp;apikey=xoF6EUkK31se&amp;" TargetMode="External"/><Relationship Id="rId90" Type="http://schemas.openxmlformats.org/officeDocument/2006/relationships/hyperlink" Target="https://api.textmebot.com/send.php?recipient=+5493425225459&amp;apikey=xoF6EUkK31se&amp;" TargetMode="External"/><Relationship Id="rId93" Type="http://schemas.openxmlformats.org/officeDocument/2006/relationships/hyperlink" Target="https://api.textmebot.com/send.php?recipient=+5492665036264&amp;apikey=xoF6EUkK31se&amp;" TargetMode="External"/><Relationship Id="rId92" Type="http://schemas.openxmlformats.org/officeDocument/2006/relationships/hyperlink" Target="https://api.textmebot.com/send.php?recipient=+5493521639222&amp;apikey=xoF6EUkK31se&amp;" TargetMode="External"/><Relationship Id="rId118" Type="http://schemas.openxmlformats.org/officeDocument/2006/relationships/hyperlink" Target="https://api.textmebot.com/send.php?recipient=+5493424791582&amp;apikey=xoF6EUkK31se&amp;" TargetMode="External"/><Relationship Id="rId117" Type="http://schemas.openxmlformats.org/officeDocument/2006/relationships/hyperlink" Target="https://api.textmebot.com/send.php?recipient=+5493521639222&amp;apikey=xoF6EUkK31se&amp;" TargetMode="External"/><Relationship Id="rId116" Type="http://schemas.openxmlformats.org/officeDocument/2006/relationships/hyperlink" Target="https://api.textmebot.com/send.php?recipient=+5493498478357&amp;apikey=xoF6EUkK31se&amp;" TargetMode="External"/><Relationship Id="rId115" Type="http://schemas.openxmlformats.org/officeDocument/2006/relationships/hyperlink" Target="https://api.textmebot.com/send.php?recipient=+5491166128341&amp;apikey=xoF6EUkK31se&amp;" TargetMode="External"/><Relationship Id="rId119" Type="http://schemas.openxmlformats.org/officeDocument/2006/relationships/hyperlink" Target="https://api.textmebot.com/send.php?recipient=+5493425389073&amp;apikey=xoF6EUkK31se&amp;" TargetMode="External"/><Relationship Id="rId110" Type="http://schemas.openxmlformats.org/officeDocument/2006/relationships/hyperlink" Target="https://api.textmebot.com/send.php?recipient=+5493425380483&amp;apikey=xoF6EUkK31se&amp;" TargetMode="External"/><Relationship Id="rId114" Type="http://schemas.openxmlformats.org/officeDocument/2006/relationships/hyperlink" Target="https://api.textmebot.com/send.php?recipient=+5493425225459&amp;apikey=xoF6EUkK31se&amp;" TargetMode="External"/><Relationship Id="rId113" Type="http://schemas.openxmlformats.org/officeDocument/2006/relationships/hyperlink" Target="https://api.textmebot.com/send.php?recipient=+5493424770891&amp;apikey=xoF6EUkK31se&amp;" TargetMode="External"/><Relationship Id="rId112" Type="http://schemas.openxmlformats.org/officeDocument/2006/relationships/hyperlink" Target="https://api.textmebot.com/send.php?recipient=+5493492527138&amp;apikey=xoF6EUkK31se&amp;" TargetMode="External"/><Relationship Id="rId111" Type="http://schemas.openxmlformats.org/officeDocument/2006/relationships/hyperlink" Target="https://api.textmebot.com/send.php?recipient=+5491164872810&amp;apikey=xoF6EUkK31se&amp;" TargetMode="External"/><Relationship Id="rId205" Type="http://schemas.openxmlformats.org/officeDocument/2006/relationships/drawing" Target="../drawings/drawing15.xml"/><Relationship Id="rId204" Type="http://schemas.openxmlformats.org/officeDocument/2006/relationships/hyperlink" Target="https://api.textmebot.com/send.php?recipient=+5491171282725&amp;apikey=xoF6EUkK31se&amp;" TargetMode="External"/><Relationship Id="rId203" Type="http://schemas.openxmlformats.org/officeDocument/2006/relationships/hyperlink" Target="https://api.textmebot.com/send.php?recipient=+5491141908925&amp;apikey=xoF6EUkK31se&amp;" TargetMode="External"/><Relationship Id="rId202" Type="http://schemas.openxmlformats.org/officeDocument/2006/relationships/hyperlink" Target="https://api.textmebot.com/send.php?recipient=+5493425380483&amp;apikey=xoF6EUkK31se&amp;" TargetMode="External"/><Relationship Id="rId201" Type="http://schemas.openxmlformats.org/officeDocument/2006/relationships/hyperlink" Target="https://api.textmebot.com/send.php?recipient=+5493413077374&amp;apikey=xoF6EUkK31se&amp;" TargetMode="External"/><Relationship Id="rId200" Type="http://schemas.openxmlformats.org/officeDocument/2006/relationships/hyperlink" Target="https://api.textmebot.com/send.php?recipient=+5493493449796&amp;apikey=xoF6EUkK31se&amp;"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3%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94" Type="http://schemas.openxmlformats.org/officeDocument/2006/relationships/hyperlink" Target="https://drive.google.com/file/d/1KfAbya2vJvOR4Yyq53CVYb2VQDGZIKSr/view?usp=drive_link" TargetMode="External"/><Relationship Id="rId193" Type="http://schemas.openxmlformats.org/officeDocument/2006/relationships/hyperlink" Target="https://drive.google.com/file/d/1KfAbya2vJvOR4Yyq53CVYb2VQDGZIKSr/view?usp=drive_link" TargetMode="External"/><Relationship Id="rId192" Type="http://schemas.openxmlformats.org/officeDocument/2006/relationships/hyperlink" Target="https://drive.google.com/file/d/1KfAbya2vJvOR4Yyq53CVYb2VQDGZIKSr/view?usp=drive_link" TargetMode="External"/><Relationship Id="rId191"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3%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7"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6"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32131231321131%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5"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31231%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4"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9"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3%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8"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3%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3"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2"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23123%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1"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0%0A%E2%80%A2%20Fecha%20de%20Emisi%C3%B3n%3A%2019%2F06%2F25%20%0A%E2%80%A2%20Fecha%20de%20Vencimiento%3A%2026%2F06%2F25%20%0A%E2%80%A2%20Monto%20Total%3A%20%24%20277800.%0A%20%20%0A%0A%F0%9F%92%BC%20*Cuenta%20para%20el%20dep%C3%B3sito%3A*%E2%80%A2%20Titular%3A%20Adrian%20Patriarca%20%0A%E2%80%A2%20Banco%3A%20Citibank%20%F0%9F%8F%A6%0A%E2%80%A2%20Moneda%3A%20USD%20%0ATe%20agradecer%C3%ADa%20si%20me%20confirm%C3%A1s%20la%20recepci%C3%B3n%20y%20me%20avis%C3%A1s%20una%20fecha%20estimada%20de%20pago.%20%F0%9F%98%8A%20%0A%0ADesde%20ya%2C%20muchas%20gracias!" TargetMode="External"/><Relationship Id="rId180"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0%0A%E2%80%A2%20Fecha%20de%20Emisi%C3%B3n%3A%2019%2F06%2F25%20%0A%E2%80%A2%20Fecha%20de%20Vencimiento%3A%2026%2F06%2F25%20%0A%E2%80%A2%20Monto%20Total%3A%20%24%20277800.%0A%20%20%0A%0A%F0%9F%92%BC%20*Cuenta%20para%20el%20dep%C3%B3sito%3A*%E2%80%A2%20CUIT%3A%202033122879%20%0A%E2%80%A2%20Titular%3A%20Adrian%20Patriarca%20%0A%E2%80%A2%20Alias%3A%20Efectivo%20%0A%E2%80%A2%20Banco%3A%20Efectivo%20%F0%9F%8F%A6%0ATe%20agradecer%C3%ADa%20si%20me%20confirm%C3%A1s%20la%20recepci%C3%B3n%20y%20me%20avis%C3%A1s%20una%20fecha%20estimada%20de%20pago.%20%F0%9F%98%8A%20%0A%0ADesde%20ya%2C%20muchas%20gracias!" TargetMode="External"/><Relationship Id="rId176" Type="http://schemas.openxmlformats.org/officeDocument/2006/relationships/hyperlink" Target="https://drive.google.com/file/d/11zm1k9Rh2ZgELJo_cPuCEINuiv9aVxJk/view?usp=drive_link" TargetMode="External"/><Relationship Id="rId175" Type="http://schemas.openxmlformats.org/officeDocument/2006/relationships/hyperlink" Target="https://drive.google.com/file/d/1Ky52-YjE9ooCwt1v42GbP9_my724bb69/view?usp=drive_link" TargetMode="External"/><Relationship Id="rId174" Type="http://schemas.openxmlformats.org/officeDocument/2006/relationships/hyperlink" Target="https://drive.google.com/file/d/1UzSe1Zp_xgrIPoYlAZnLuRL2-tRsGSor/view?usp=drive_link" TargetMode="External"/><Relationship Id="rId173" Type="http://schemas.openxmlformats.org/officeDocument/2006/relationships/hyperlink" Target="https://drive.google.com/file/d/1pL98vUfC70sM7VI19bjMwGTh0jXxPDXz/view?usp=drive_link" TargetMode="External"/><Relationship Id="rId179"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5%2F25%20al%2003%2F06%2F25.%20%0A%0A%F0%9F%93%8B%20*Detalles%20de%20la%20factura%3A*%20%0A%E2%80%A2%20N%C3%BAmero%3A%201%20%0A%E2%80%A2%20Fecha%20de%20Emisi%C3%B3n%3A%2019%2F06%2F25%20%0A%E2%80%A2%20Fecha%20de%20Vencimiento%3A%2026%2F06%2F25%20%0A%E2%80%A2%20Monto%20Total%3A%20%24%20277800.%0A%20%20%0A%0A%F0%9F%92%BC%20*Cuenta%20para%20el%20dep%C3%B3sito%3A*%E2%80%A2%20Banco%3A%20Citibank%20%F0%9F%8F%A6%0A%E2%80%A2%20Moneda%3A%20USD%20%0ATe%20agradecer%C3%ADa%20si%20me%20confirm%C3%A1s%20la%20recepci%C3%B3n%20y%20me%20avis%C3%A1s%20una%20fecha%20estimada%20de%20pago.%20%F0%9F%98%8A%20%0A%0ADesde%20ya%2C%20muchas%20gracias!" TargetMode="External"/><Relationship Id="rId178" Type="http://schemas.openxmlformats.org/officeDocument/2006/relationships/hyperlink" Target="https://drive.google.com/file/d/1rX62sqWGvuXeQtCPqAz19EH-gus6FV61/view?usp=drive_link" TargetMode="External"/><Relationship Id="rId177"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198" Type="http://schemas.openxmlformats.org/officeDocument/2006/relationships/hyperlink" Target="https://drive.google.com/file/d/1KfAbya2vJvOR4Yyq53CVYb2VQDGZIKSr/view?usp=drive_link" TargetMode="External"/><Relationship Id="rId197" Type="http://schemas.openxmlformats.org/officeDocument/2006/relationships/hyperlink" Target="https://drive.google.com/file/d/1KfAbya2vJvOR4Yyq53CVYb2VQDGZIKSr/view?usp=drive_link" TargetMode="External"/><Relationship Id="rId196" Type="http://schemas.openxmlformats.org/officeDocument/2006/relationships/hyperlink" Target="https://drive.google.com/file/d/17EOLoNxfZuSyVYEICwyq-hcEdy-J7Qa-/view?usp=drive_link" TargetMode="External"/><Relationship Id="rId195" Type="http://schemas.openxmlformats.org/officeDocument/2006/relationships/hyperlink" Target="https://drive.google.com/file/d/1KfAbya2vJvOR4Yyq53CVYb2VQDGZIKSr/view?usp=drive_link" TargetMode="External"/><Relationship Id="rId199" Type="http://schemas.openxmlformats.org/officeDocument/2006/relationships/drawing" Target="../drawings/drawing16.xml"/><Relationship Id="rId150" Type="http://schemas.openxmlformats.org/officeDocument/2006/relationships/hyperlink" Target="https://drive.google.com/file/d/1byNu5VsbS8ItCNbgGf3Azy7uSW_K5dFi/view?usp=drive_link" TargetMode="External"/><Relationship Id="rId1" Type="http://schemas.openxmlformats.org/officeDocument/2006/relationships/hyperlink" Target="https://api.textmebot.com/send.php?recipient=+5493424476596&amp;apikey=xoF6EUkK31se&amp;document=NaN" TargetMode="External"/><Relationship Id="rId2"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b897182b.FACTURA%201.120028.pdf" TargetMode="External"/><Relationship Id="rId3" Type="http://schemas.openxmlformats.org/officeDocument/2006/relationships/hyperlink" Target="https://api.textmebot.com/send.php?recipient=+5493424476596&amp;apikey=xoF6EUkK31se&amp;text=Hola%20Adrian" TargetMode="External"/><Relationship Id="rId149" Type="http://schemas.openxmlformats.org/officeDocument/2006/relationships/hyperlink" Target="https://api.textmebot.com/send.php?recipient=+5492267434320&amp;apikey=xoF6EUkK31se&amp;text=Hola%20Pablo!%20%F0%9F%91%8B%20%0ATe%20env%C3%ADo%20la%20factura%20correspondiente%20por%20la%20prestaci%C3%B3n%20de%20servicios%20durante%20el%20per%C3%ADodo%2015%2F04%2F25%20al%2015%2F05%2F25.%20%0A%0A%F0%9F%93%8B%20*Detalles%20de%20la%20factura%3A*%20%0A%E2%80%A2%20N%C3%BAmero%3A%2035%20%0A%E2%80%A2%20Fecha%20de%20Emisi%C3%B3n%3A%2022%2F05%2F25%20%0A%E2%80%A2%20Fecha%20de%20Vencimiento%3A%2026%2F05%2F25%20%0A%E2%80%A2%20Monto%20Total%3A%20%24%20485000.%0A%20%20%0A%0A%F0%9F%92%BC%20*Cuenta%20para%20el%20dep%C3%B3sito%3A*Te%20agradecer%C3%ADa%20si%20me%20confirm%C3%A1s%20la%20recepci%C3%B3n%20y%20me%20avis%C3%A1s%20una%20fecha%20estimada%20de%20pago.%20%F0%9F%98%8A%20%0A%0ADesde%20ya%2C%20muchas%20gracias!" TargetMode="External"/><Relationship Id="rId4"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834822b.DOCUMENTO.180356.pdf" TargetMode="External"/><Relationship Id="rId148" Type="http://schemas.openxmlformats.org/officeDocument/2006/relationships/hyperlink" Target="https://drive.google.com/file/d/11zm1k9Rh2ZgELJo_cPuCEINuiv9aVxJk/view?usp=drive_link" TargetMode="External"/><Relationship Id="rId9"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b9a94019.FACTURA%201.163845.pdf" TargetMode="External"/><Relationship Id="rId143" Type="http://schemas.openxmlformats.org/officeDocument/2006/relationships/hyperlink" Target="https://drive.google.com/file/d/1ZotDZ1PPjIlUApomujOTg90xJREOVBVa/view?usp=drive_link" TargetMode="External"/><Relationship Id="rId142" Type="http://schemas.openxmlformats.org/officeDocument/2006/relationships/hyperlink" Target="https://api.textmebot.com/send.php?recipient=+5491164872810&amp;apikey=xoF6EUkK31se&amp;text=Hola%20Andrea!%20%F0%9F%91%8B%20%0ATe%20env%C3%ADo%20la%20factura%20correspondiente%20por%20la%20prestaci%C3%B3n%20de%20servicios%20durante%20el%20per%C3%ADodo%2014%2F04%2F25%20al%2014%2F05%2F25.%20%0A%0A%F0%9F%93%8B%20*Detalles%20de%20la%20factura%3A*%20%0A%E2%80%A2%20N%C3%BAmero%3A%20-%20%0A%E2%80%A2%20Fecha%20de%20Emisi%C3%B3n%3A%2015%2F05%2F25%20%0A%E2%80%A2%20Fecha%20de%20Vencimiento%3A%2021%2F05%2F25%20%0A%E2%80%A2%20Monto%20Total%3A%20%24%20423.%0A%20%20%0A%0A%F0%9F%92%BC%20*Cuenta%20para%20el%20dep%C3%B3sito%3A*%20%0A%E2%80%A2%20CUIT%3A%20%20%0A%E2%80%A2%20Titular%3A%20%20%0A%E2%80%A2%20CBU%3A%20%20%0A%E2%80%A2%20Alias%3A%20%20%0A%E2%80%A2%20Banco%3A%20%20%F0%9F%8F%A6%20%0A%20%20%0A%0ATe%20agradecer%C3%ADa%20si%20me%20confirm%C3%A1s%20la%20recepci%C3%B3n%20y%20me%20avis%C3%A1s%20una%20fecha%20estimada%20de%20pago.%20%F0%9F%98%8A%20%0A%0ADesde%20ya%2C%20muchas%20gracias!" TargetMode="External"/><Relationship Id="rId141" Type="http://schemas.openxmlformats.org/officeDocument/2006/relationships/hyperlink" Target="https://api.textmebot.com/send.php?recipient=+5493426293881&amp;apikey=xoF6EUkK31se&amp;text=Hola%20Adrian!%20%F0%9F%91%8B%20%0ATe%20env%C3%ADo%20la%20factura%20correspondiente%20por%20la%20prestaci%C3%B3n%20de%20servicios%20durante%20el%20per%C3%ADodo%2003%2F04%2F25%20al%2003%2F05%2F25.%20%0A%0A%F0%9F%93%8B%20*Detalles%20de%20la%20factura%3A*%20%0A%E2%80%A2%20N%C3%BAmero%3A%2012%20%0A%E2%80%A2%20Fecha%20de%20Emisi%C3%B3n%3A%2015%2F05%2F25%20%0A%E2%80%A2%20Fecha%20de%20Vencimiento%3A%2022%2F05%2F25%20%0A%E2%80%A2%20Monto%20Total%3A%20%24%20277800.%0A%20%20%0A%0A%F0%9F%92%BC%20*Cuenta%20para%20el%20dep%C3%B3sito%3A*%20%0A%E2%80%A2%20CUIT%3A%20%20%0A%E2%80%A2%20Titular%3A%20%20%0A%E2%80%A2%20CBU%3A%20%20%0A%E2%80%A2%20Alias%3A%20%20%0A%E2%80%A2%20Banco%3A%20%20%F0%9F%8F%A6%20%0A%20%20%0A%0ATe%20agradecer%C3%ADa%20si%20me%20confirm%C3%A1s%20la%20recepci%C3%B3n%20y%20me%20avis%C3%A1s%20una%20fecha%20estimada%20de%20pago.%20%F0%9F%98%8A%20%0A%0ADesde%20ya%2C%20muchas%20gracias!" TargetMode="External"/><Relationship Id="rId140" Type="http://schemas.openxmlformats.org/officeDocument/2006/relationships/hyperlink" Target="https://drive.google.com/file/d/1h8mSe18Uh9RYv5EYROsW-KwE5wn9-6nq/view?usp=drive_link" TargetMode="External"/><Relationship Id="rId5" Type="http://schemas.openxmlformats.org/officeDocument/2006/relationships/hyperlink" Target="https://api.textmebot.com/send.php?recipient=+5493424476596&amp;apikey=xoF6EUkK31se&amp;text=Hola%20Adrian" TargetMode="External"/><Relationship Id="rId147" Type="http://schemas.openxmlformats.org/officeDocument/2006/relationships/hyperlink" Target="https://drive.google.com/file/d/1k9TYBvep9wiAwLG0N1k92oy_peiO-3zW/view?usp=drive_link" TargetMode="External"/><Relationship Id="rId6"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b897182b.FACTURA%201.120028.pdf" TargetMode="External"/><Relationship Id="rId146" Type="http://schemas.openxmlformats.org/officeDocument/2006/relationships/hyperlink" Target="https://drive.google.com/file/d/1w2sRROGsQ1ROlDMxqnqjfEcB3cX_6Xpf/view?usp=drive_link" TargetMode="External"/><Relationship Id="rId7"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2834822b.DOCUMENTO.180356.pdf" TargetMode="External"/><Relationship Id="rId145" Type="http://schemas.openxmlformats.org/officeDocument/2006/relationships/hyperlink" Target="https://drive.google.com/file/d/1jGofflPWn4I2RZUqGLK5vGE0otU0bpKT/view?usp=drive_link" TargetMode="External"/><Relationship Id="rId8" Type="http://schemas.openxmlformats.org/officeDocument/2006/relationships/hyperlink" Target="https://api.textmebot.com/send.php?recipient=+5493424476596&amp;apikey=xoF6EUkK31se&amp;text=Hola%20Adrian" TargetMode="External"/><Relationship Id="rId144" Type="http://schemas.openxmlformats.org/officeDocument/2006/relationships/hyperlink" Target="https://drive.google.com/file/d/1vldwiECS9xxBaHGRYxHKBNHjbLH3WfHv/view?usp=drive_link" TargetMode="External"/><Relationship Id="rId139" Type="http://schemas.openxmlformats.org/officeDocument/2006/relationships/hyperlink" Target="https://drive.google.com/file/d/1byNu5VsbS8ItCNbgGf3Azy7uSW_K5dFi/view?usp=drive_link" TargetMode="External"/><Relationship Id="rId138" Type="http://schemas.openxmlformats.org/officeDocument/2006/relationships/hyperlink" Target="https://drive.google.com/file/d/1Tg8NKAikAcYfbHq-hQcDbTKQe-qiuPSC/view?usp=drive_link" TargetMode="External"/><Relationship Id="rId137" Type="http://schemas.openxmlformats.org/officeDocument/2006/relationships/hyperlink" Target="https://drive.google.com/file/d/1y0l_tG9_aEcg5eUgQNBMVSupJBy6Vu1V/view?usp=drive_link" TargetMode="External"/><Relationship Id="rId132" Type="http://schemas.openxmlformats.org/officeDocument/2006/relationships/hyperlink" Target="https://drive.google.com/file/d/1kGC7QHYwEyHlb_rI3-k6pYNB7eqe1ToH/view?usp=drive_link" TargetMode="External"/><Relationship Id="rId131" Type="http://schemas.openxmlformats.org/officeDocument/2006/relationships/hyperlink" Target="https://drive.google.com/file/d/1X33E-SobSNu51EKGc9DT04wzvI28biTn/view?usp=drive_link" TargetMode="External"/><Relationship Id="rId130" Type="http://schemas.openxmlformats.org/officeDocument/2006/relationships/hyperlink" Target="https://drive.google.com/file/d/13lCzN9zUj6r77MWmyXxyikW-maV5ZWQv/view?usp=drive_link" TargetMode="External"/><Relationship Id="rId136" Type="http://schemas.openxmlformats.org/officeDocument/2006/relationships/hyperlink" Target="https://drive.google.com/file/d/1QxDn19AJeLbtLbPCPA2VDicLF8VSJ_Fa/view?usp=drive_link" TargetMode="External"/><Relationship Id="rId135" Type="http://schemas.openxmlformats.org/officeDocument/2006/relationships/hyperlink" Target="https://drive.google.com/file/d/1ZotDZ1PPjIlUApomujOTg90xJREOVBVa/view?usp=drive_link" TargetMode="External"/><Relationship Id="rId134" Type="http://schemas.openxmlformats.org/officeDocument/2006/relationships/hyperlink" Target="https://drive.google.com/file/d/1_FDAPjD34DHNHYb2RdeYwE8dJDqyJnig/view?usp=drive_link" TargetMode="External"/><Relationship Id="rId133" Type="http://schemas.openxmlformats.org/officeDocument/2006/relationships/hyperlink" Target="https://drive.google.com/file/d/1n0EQOLRoPZ6q08MZr7OAO8QgXQkQ_vgo/view?usp=drive_link" TargetMode="External"/><Relationship Id="rId172" Type="http://schemas.openxmlformats.org/officeDocument/2006/relationships/hyperlink" Target="https://drive.google.com/file/d/1C8ORzbxUiGS1tWjhRfSAaDX7eNx3JbG0/view?usp=drive_link" TargetMode="External"/><Relationship Id="rId171" Type="http://schemas.openxmlformats.org/officeDocument/2006/relationships/hyperlink" Target="https://drive.google.com/file/d/1Ybk945HK3k5kzaQPflungnD4jRSvd4NK/view?usp=drive_link" TargetMode="External"/><Relationship Id="rId170" Type="http://schemas.openxmlformats.org/officeDocument/2006/relationships/hyperlink" Target="https://drive.google.com/file/d/1J7tU3MjZ9iQujbmrgpKp4yAKGVXD_UHQ/view?usp=drive_link" TargetMode="External"/><Relationship Id="rId165" Type="http://schemas.openxmlformats.org/officeDocument/2006/relationships/hyperlink" Target="https://drive.google.com/file/d/1C8ORzbxUiGS1tWjhRfSAaDX7eNx3JbG0/view?usp=drive_link" TargetMode="External"/><Relationship Id="rId164" Type="http://schemas.openxmlformats.org/officeDocument/2006/relationships/hyperlink" Target="https://drive.google.com/file/d/1yxcEQ-xDZkfGCojJOmURpwFXmWgdNOim/view?usp=drive_link" TargetMode="External"/><Relationship Id="rId163" Type="http://schemas.openxmlformats.org/officeDocument/2006/relationships/hyperlink" Target="https://drive.google.com/file/d/1Ybk945HK3k5kzaQPflungnD4jRSvd4NK/view?usp=drive_link" TargetMode="External"/><Relationship Id="rId162" Type="http://schemas.openxmlformats.org/officeDocument/2006/relationships/hyperlink" Target="https://drive.google.com/file/d/1Ybk945HK3k5kzaQPflungnD4jRSvd4NK/view?usp=drive_link" TargetMode="External"/><Relationship Id="rId169"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168" Type="http://schemas.openxmlformats.org/officeDocument/2006/relationships/hyperlink" Target="https://drive.google.com/file/d/11zm1k9Rh2ZgELJo_cPuCEINuiv9aVxJk/view?usp=drive_link" TargetMode="External"/><Relationship Id="rId167" Type="http://schemas.openxmlformats.org/officeDocument/2006/relationships/hyperlink" Target="https://drive.google.com/file/d/1UzSe1Zp_xgrIPoYlAZnLuRL2-tRsGSor/view?usp=drive_link" TargetMode="External"/><Relationship Id="rId166" Type="http://schemas.openxmlformats.org/officeDocument/2006/relationships/hyperlink" Target="https://drive.google.com/file/d/1pL98vUfC70sM7VI19bjMwGTh0jXxPDXz/view?usp=drive_link" TargetMode="External"/><Relationship Id="rId161" Type="http://schemas.openxmlformats.org/officeDocument/2006/relationships/hyperlink" Target="https://drive.google.com/file/d/1J7tU3MjZ9iQujbmrgpKp4yAKGVXD_UHQ/view?usp=drive_link" TargetMode="External"/><Relationship Id="rId160" Type="http://schemas.openxmlformats.org/officeDocument/2006/relationships/hyperlink" Target="https://drive.google.com/file/d/1BfNP3hrQDv_aaaA5qFXV5noFRYmODdLq/view?usp=drive_link" TargetMode="External"/><Relationship Id="rId159"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154" Type="http://schemas.openxmlformats.org/officeDocument/2006/relationships/hyperlink" Target="https://drive.google.com/file/d/1uh-DY18v0gGnDNDGtgyQcfZP0G4F6ION/view?usp=drive_link" TargetMode="External"/><Relationship Id="rId153"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152" Type="http://schemas.openxmlformats.org/officeDocument/2006/relationships/hyperlink" Target="https://drive.google.com/file/d/11zm1k9Rh2ZgELJo_cPuCEINuiv9aVxJk/view?usp=drive_link" TargetMode="External"/><Relationship Id="rId151" Type="http://schemas.openxmlformats.org/officeDocument/2006/relationships/hyperlink" Target="https://drive.google.com/file/d/1Tg8NKAikAcYfbHq-hQcDbTKQe-qiuPSC/view?usp=drive_link" TargetMode="External"/><Relationship Id="rId158" Type="http://schemas.openxmlformats.org/officeDocument/2006/relationships/hyperlink" Target="https://drive.google.com/file/d/11zm1k9Rh2ZgELJo_cPuCEINuiv9aVxJk/view?usp=drive_link" TargetMode="External"/><Relationship Id="rId157" Type="http://schemas.openxmlformats.org/officeDocument/2006/relationships/hyperlink" Target="https://api.textmebot.com/send.php?recipient=+5492267434320&amp;apikey=xoF6EUkK31se&amp;text=Hola%20Pablo!%20%F0%9F%91%8B%20%0A%20Espero%20que%20todo%20est%C3%A9%20yendo%20bien.%20Quisiera%20recordarte%20que%20a%C3%BAn%20no%20hemos%20recibido%20el%20pago%20correspondiente%20a%20la%20factura%20N%C2%B0%2035%20emitida%20el%2022%2F05%2F25.%20%0A%0A%F0%9F%93%8B%20*Detalles%20de%20la%20factura%3A*%20%0A%E2%80%A2%20N%C3%BAmero%3A%2035%20%0A%E2%80%A2%20Vencimiento%3A%2026%2F05%2F25%20%0A%E2%80%A2%20Monto%20total%3A%20%24485000.%20%0A%0A%F0%9F%92%BC%20*Cuenta%20a%20depositar%3A*Adjunto%20encontrar%C3%A1s%20la%20factura%20para%20tu%20referencia.%20%0A%0ASi%20ya%20has%20realizado%20el%20pago%2C%20por%20favor%2C%20ignora%20este%20mensaje.%20%0A%0AGracias%20por%20tu%20pronta%20atenci%C3%B3n%20a%20este%20asunto.%20%0A%0AAPSOL%20-%20Consultor%C3%ADa%20Empresarial" TargetMode="External"/><Relationship Id="rId156" Type="http://schemas.openxmlformats.org/officeDocument/2006/relationships/hyperlink" Target="https://drive.google.com/file/d/11zm1k9Rh2ZgELJo_cPuCEINuiv9aVxJk/view?usp=drive_link" TargetMode="External"/><Relationship Id="rId155" Type="http://schemas.openxmlformats.org/officeDocument/2006/relationships/hyperlink" Target="https://api.textmebot.com/send.php?recipient=+5493492527138&amp;apikey=xoF6EUkK31se&amp;text=Hola%20Gast%C3%B3n!%20%F0%9F%91%8B%20%0ATe%20env%C3%ADo%20la%20factura%20correspondiente%20por%20la%20prestaci%C3%B3n%20de%20servicios%20durante%20el%20per%C3%ADodo%2022%2F04%2F25%20al%2022%2F05%2F25.%20%0A%0A%F0%9F%93%8B%20*Detalles%20de%20la%20factura%3A*%20%0A%E2%80%A2%20N%C3%BAmero%3A%20-%20%0A%E2%80%A2%20Fecha%20de%20Emisi%C3%B3n%3A%2028%2F05%2F25%20%0A%E2%80%A2%20Fecha%20de%20Vencimiento%3A%2005%2F06%2F25%20%0A%E2%80%A2%20Monto%20Total%3A%20%24%20549000.%0A%20%20%0A%0A%F0%9F%92%BC%20*Cuenta%20para%20el%20dep%C3%B3sito%3A*Te%20agradecer%C3%ADa%20si%20me%20confirm%C3%A1s%20la%20recepci%C3%B3n%20y%20me%20avis%C3%A1s%20una%20fecha%20estimada%20de%20pago.%20%F0%9F%98%8A%20%0A%0ADesde%20ya%2C%20muchas%20gracias!" TargetMode="External"/><Relationship Id="rId40" Type="http://schemas.openxmlformats.org/officeDocument/2006/relationships/hyperlink" Target="https://drive.google.com/file/d/1wnsLh1kMPkttRpAf-MwFIlmpKrC392UE/view?usp=drive_link" TargetMode="External"/><Relationship Id="rId42" Type="http://schemas.openxmlformats.org/officeDocument/2006/relationships/hyperlink" Target="https://drive.google.com/file/d/1wnsLh1kMPkttRpAf-MwFIlmpKrC392UE/view?usp=drive_link" TargetMode="External"/><Relationship Id="rId41" Type="http://schemas.openxmlformats.org/officeDocument/2006/relationships/hyperlink" Target="https://drive.google.com/file/d/1wnsLh1kMPkttRpAf-MwFIlmpKrC392UE/view?usp=drive_link" TargetMode="External"/><Relationship Id="rId44" Type="http://schemas.openxmlformats.org/officeDocument/2006/relationships/hyperlink" Target="https://drive.google.com/file/d/12PDqaxj3835pNYh5AQVB9UkbF0WZVcBW/view?usp=drive_link" TargetMode="External"/><Relationship Id="rId43" Type="http://schemas.openxmlformats.org/officeDocument/2006/relationships/hyperlink" Target="https://drive.google.com/file/d/1wnsLh1kMPkttRpAf-MwFIlmpKrC392UE/view?usp=drive_link" TargetMode="External"/><Relationship Id="rId46" Type="http://schemas.openxmlformats.org/officeDocument/2006/relationships/hyperlink" Target="https://drive.google.com/file/d/1Qsi1xPnQY8-BetKlEZDs6gIva5CLIvte/view?usp=drive_link" TargetMode="External"/><Relationship Id="rId45" Type="http://schemas.openxmlformats.org/officeDocument/2006/relationships/hyperlink" Target="https://drive.google.com/file/d/1Sjv97TgzyY_tc-tyRgKWUH3PS8w0vjEa/view?usp=drive_link" TargetMode="External"/><Relationship Id="rId48" Type="http://schemas.openxmlformats.org/officeDocument/2006/relationships/hyperlink" Target="https://drive.google.com/file/d/1Qsi1xPnQY8-BetKlEZDs6gIva5CLIvte/view?usp=drive_link" TargetMode="External"/><Relationship Id="rId47" Type="http://schemas.openxmlformats.org/officeDocument/2006/relationships/hyperlink" Target="https://drive.google.com/file/d/1Qsi1xPnQY8-BetKlEZDs6gIva5CLIvte/view?usp=drive_link" TargetMode="External"/><Relationship Id="rId49" Type="http://schemas.openxmlformats.org/officeDocument/2006/relationships/hyperlink" Target="https://drive.google.com/file/d/1Qsi1xPnQY8-BetKlEZDs6gIva5CLIvte/view?usp=drive_link" TargetMode="External"/><Relationship Id="rId31" Type="http://schemas.openxmlformats.org/officeDocument/2006/relationships/hyperlink" Target="https://api.textmebot.com/send.php?recipient=+5493424476596&amp;apikey=xoF6EUkK31se&amp;text=Hola" TargetMode="External"/><Relationship Id="rId30" Type="http://schemas.openxmlformats.org/officeDocument/2006/relationships/hyperlink" Target="https://api.textmebot.com/send.php?recipient=+5493424476596&amp;apikey=xoF6EUkK31se&amp;document=https://drive.google.com/file/d/1M22wrEyTXuXQxM3aYSzyLeZWY12r28BN/view?usp=drive_link" TargetMode="External"/><Relationship Id="rId33" Type="http://schemas.openxmlformats.org/officeDocument/2006/relationships/hyperlink" Target="https://drive.google.com/file/d/1dMnbp9a3icyejX3cRU7ZHcIjGW9HnDSV/view?usp=drive_link" TargetMode="External"/><Relationship Id="rId32" Type="http://schemas.openxmlformats.org/officeDocument/2006/relationships/hyperlink" Target="https://api.textmebot.com/send.php?recipient=+5493424476596&amp;apikey=xoF6EUkK31se&amp;text=Hola" TargetMode="External"/><Relationship Id="rId35" Type="http://schemas.openxmlformats.org/officeDocument/2006/relationships/hyperlink" Target="https://drive.google.com/file/d/1dMnbp9a3icyejX3cRU7ZHcIjGW9HnDSV/view?usp=drive_link" TargetMode="External"/><Relationship Id="rId34" Type="http://schemas.openxmlformats.org/officeDocument/2006/relationships/hyperlink" Target="https://api.textmebot.com/send.php?recipient=+5493424476596&amp;apikey=xoF6EUkK31se&amp;text=Hola" TargetMode="External"/><Relationship Id="rId37" Type="http://schemas.openxmlformats.org/officeDocument/2006/relationships/hyperlink" Target="https://drive.google.com/file/d/1t58eh0n4lCmtCKhcp16ViBC2l2YqAbB2/view?usp=drive_link" TargetMode="External"/><Relationship Id="rId36" Type="http://schemas.openxmlformats.org/officeDocument/2006/relationships/hyperlink" Target="https://api.textmebot.com/send.php?recipient=+5493424476596&amp;apikey=xoF6EUkK31se&amp;text=Hola" TargetMode="External"/><Relationship Id="rId39" Type="http://schemas.openxmlformats.org/officeDocument/2006/relationships/hyperlink" Target="https://drive.google.com/file/d/1wnsLh1kMPkttRpAf-MwFIlmpKrC392UE/view?usp=drive_link" TargetMode="External"/><Relationship Id="rId38" Type="http://schemas.openxmlformats.org/officeDocument/2006/relationships/hyperlink" Target="https://drive.google.com/file/d/1wbBZkwdLY5arYKOtMODK44C9U_94slQt/view?usp=drive_link" TargetMode="External"/><Relationship Id="rId20"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32cf3477.DOCUMENTO.164859.pdf" TargetMode="External"/><Relationship Id="rId22" Type="http://schemas.openxmlformats.org/officeDocument/2006/relationships/hyperlink" Target="https://api.textmebot.com/send.php?recipient=+5493424476596&amp;apikey=xoF6EUkK31se&amp;document=https%3A%2F%2Fdrive.google.com%2Fuc%3Fid%3D1u1eARctkphzQE8w_hjP7gM1nmlkFeBGV" TargetMode="External"/><Relationship Id="rId21" Type="http://schemas.openxmlformats.org/officeDocument/2006/relationships/hyperlink" Target="https://api.textmebot.com/send.php?recipient=+5493424476596&amp;apikey=xoF6EUkK31se&amp;document=https%3A%2F%2Fdrive.google.com%2Fuc%3Fid%3D1VDrqGbS60LIULjvkVtFsetZzdO7HLJCZ" TargetMode="External"/><Relationship Id="rId24" Type="http://schemas.openxmlformats.org/officeDocument/2006/relationships/hyperlink" Target="https://api.textmebot.com/send.php?recipient=+5493424476596&amp;apikey=xoF6EUkK31se&amp;document=https://drive.google.com/uc?id=1u1eARctkphzQE8w_hjP7gM1nmlkFeBGV" TargetMode="External"/><Relationship Id="rId23" Type="http://schemas.openxmlformats.org/officeDocument/2006/relationships/hyperlink" Target="https://api.textmebot.com/send.php?recipient=+5493424476596&amp;apikey=xoF6EUkK31se&amp;document=https://drive.google.com/uc?id=1VDrqGbS60LIULjvkVtFsetZzdO7HLJCZ" TargetMode="External"/><Relationship Id="rId26" Type="http://schemas.openxmlformats.org/officeDocument/2006/relationships/hyperlink" Target="https://api.textmebot.com/send.php?recipient=+5493424476596&amp;apikey=xoF6EUkK31se&amp;document=https://drive.google.com/file/d/1u1eARctkphzQE8w_hjP7gM1nmlkFeBGV/view?usp=drive_link" TargetMode="External"/><Relationship Id="rId25" Type="http://schemas.openxmlformats.org/officeDocument/2006/relationships/hyperlink" Target="https://api.textmebot.com/send.php?recipient=+5493424476596&amp;apikey=xoF6EUkK31se&amp;document=https://drive.google.com/file/d/1VDrqGbS60LIULjvkVtFsetZzdO7HLJCZ/view?usp=drive_link" TargetMode="External"/><Relationship Id="rId28" Type="http://schemas.openxmlformats.org/officeDocument/2006/relationships/hyperlink" Target="https://api.textmebot.com/send.php?recipient=+5493424476596&amp;apikey=xoF6EUkK31se&amp;document=https://drive.google.com/file/d/1u1eARctkphzQE8w_hjP7gM1nmlkFeBGV/view?usp=drive_link" TargetMode="External"/><Relationship Id="rId27" Type="http://schemas.openxmlformats.org/officeDocument/2006/relationships/hyperlink" Target="https://api.textmebot.com/send.php?recipient=+5493424476596&amp;apikey=xoF6EUkK31se&amp;document=https://drive.google.com/file/d/1VDrqGbS60LIULjvkVtFsetZzdO7HLJCZ/view?usp=drive_link" TargetMode="External"/><Relationship Id="rId29" Type="http://schemas.openxmlformats.org/officeDocument/2006/relationships/hyperlink" Target="https://api.textmebot.com/send.php?recipient=+5493424476596&amp;apikey=xoF6EUkK31se&amp;text=Hola%20adrian%20te%20envio%20tus%20facturas" TargetMode="External"/><Relationship Id="rId11"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b9a94019.FACTURA%201.163845.pdf" TargetMode="External"/><Relationship Id="rId10" Type="http://schemas.openxmlformats.org/officeDocument/2006/relationships/hyperlink" Target="https://api.textmebot.com/send.php?recipient=+5493424476596&amp;apikey=xoF6EUkK31se&amp;text=Hola%20Adrian" TargetMode="External"/><Relationship Id="rId13"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b9a94019.FACTURA%201.163845.pdf" TargetMode="External"/><Relationship Id="rId12" Type="http://schemas.openxmlformats.org/officeDocument/2006/relationships/hyperlink" Target="https://api.textmebot.com/send.php?recipient=+5493424476596&amp;apikey=xoF6EUkK31se&amp;text=Hola%20Adrian" TargetMode="External"/><Relationship Id="rId15"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b9a94019.FACTURA%201.163845.pdf" TargetMode="External"/><Relationship Id="rId14" Type="http://schemas.openxmlformats.org/officeDocument/2006/relationships/hyperlink" Target="https://api.textmebot.com/send.php?recipient=+5493424476596&amp;apikey=xoF6EUkK31se&amp;text=Hola%20Adrian" TargetMode="External"/><Relationship Id="rId17"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b9a94019.FACTURA%201.163845.pdf" TargetMode="External"/><Relationship Id="rId16" Type="http://schemas.openxmlformats.org/officeDocument/2006/relationships/hyperlink" Target="https://api.textmebot.com/send.php?recipient=+5493424476596&amp;apikey=xoF6EUkK31se&amp;text=Hola%20Adrian" TargetMode="External"/><Relationship Id="rId19" Type="http://schemas.openxmlformats.org/officeDocument/2006/relationships/hyperlink" Target="https://api.textmebot.com/send.php?recipient=+5493424476596&amp;apikey=xoF6EUkK31se&amp;document=https://www.appsheet.com/template/gettablefileurl?appName=Rv03-Apsol-5668714&amp;tableName=Facturaci%C3%B3n&amp;fileName=Facturaci%C3%B3n_Files_%2F32cf3477.FACTURA%201.164859.pdf" TargetMode="External"/><Relationship Id="rId18" Type="http://schemas.openxmlformats.org/officeDocument/2006/relationships/hyperlink" Target="https://api.textmebot.com/send.php?recipient=+5493424476596&amp;apikey=xoF6EUkK31se&amp;text=Hola%20Adrian" TargetMode="External"/><Relationship Id="rId84" Type="http://schemas.openxmlformats.org/officeDocument/2006/relationships/hyperlink" Target="https://drive.google.com/file/d/12PDqaxj3835pNYh5AQVB9UkbF0WZVcBW/view?usp=drive_link" TargetMode="External"/><Relationship Id="rId83" Type="http://schemas.openxmlformats.org/officeDocument/2006/relationships/hyperlink" Target="https://drive.google.com/file/d/1X11u-XLx1dTsRhTxJC2I6zSLjb_t5XYZ/view?usp=drive_link" TargetMode="External"/><Relationship Id="rId86" Type="http://schemas.openxmlformats.org/officeDocument/2006/relationships/hyperlink" Target="https://drive.google.com/file/d/1mez8E_AHFDf0TrD39JBoXhR1dtpP0OnL/view?usp=drive_link" TargetMode="External"/><Relationship Id="rId85" Type="http://schemas.openxmlformats.org/officeDocument/2006/relationships/hyperlink" Target="https://drive.google.com/file/d/1QhYvKItRB9xPfqnqZdGoQOfPd5qSL4hD/view?usp=drive_link" TargetMode="External"/><Relationship Id="rId88" Type="http://schemas.openxmlformats.org/officeDocument/2006/relationships/hyperlink" Target="https://drive.google.com/file/d/1su5tGJHxiH0Q3TMlLEUBdFMjqmAZ1b5x/view?usp=drive_link" TargetMode="External"/><Relationship Id="rId87" Type="http://schemas.openxmlformats.org/officeDocument/2006/relationships/hyperlink" Target="https://drive.google.com/file/d/1YXPqNyA9RqkpMgDZo9XqagVBcD_iOV2c/view?usp=drive_link" TargetMode="External"/><Relationship Id="rId89" Type="http://schemas.openxmlformats.org/officeDocument/2006/relationships/hyperlink" Target="https://drive.google.com/file/d/12PDqaxj3835pNYh5AQVB9UkbF0WZVcBW/view?usp=drive_link" TargetMode="External"/><Relationship Id="rId80" Type="http://schemas.openxmlformats.org/officeDocument/2006/relationships/hyperlink" Target="https://drive.google.com/file/d/1YXPqNyA9RqkpMgDZo9XqagVBcD_iOV2c/view?usp=drive_link" TargetMode="External"/><Relationship Id="rId82" Type="http://schemas.openxmlformats.org/officeDocument/2006/relationships/hyperlink" Target="https://drive.google.com/file/d/1MNAFYvkoI2ISELX0aOgJHVd_GkwmhwPi/view?usp=drive_link" TargetMode="External"/><Relationship Id="rId81" Type="http://schemas.openxmlformats.org/officeDocument/2006/relationships/hyperlink" Target="https://drive.google.com/file/d/1su5tGJHxiH0Q3TMlLEUBdFMjqmAZ1b5x/view?usp=drive_link" TargetMode="External"/><Relationship Id="rId73" Type="http://schemas.openxmlformats.org/officeDocument/2006/relationships/hyperlink" Target="https://drive.google.com/file/d/12PDqaxj3835pNYh5AQVB9UkbF0WZVcBW/view?usp=drive_link" TargetMode="External"/><Relationship Id="rId72" Type="http://schemas.openxmlformats.org/officeDocument/2006/relationships/hyperlink" Target="https://drive.google.com/file/d/1KfAbya2vJvOR4Yyq53CVYb2VQDGZIKSr/view?usp=drive_link" TargetMode="External"/><Relationship Id="rId75" Type="http://schemas.openxmlformats.org/officeDocument/2006/relationships/hyperlink" Target="https://drive.google.com/file/d/154MCSYw1Fi6VqYFeexbJ2FSINC__YAgN/view?usp=drive_link" TargetMode="External"/><Relationship Id="rId74" Type="http://schemas.openxmlformats.org/officeDocument/2006/relationships/hyperlink" Target="https://drive.google.com/file/d/1rtRDmECZg3j5rDrMDtCWczGh376oG7XF/view?usp=drive_link" TargetMode="External"/><Relationship Id="rId77" Type="http://schemas.openxmlformats.org/officeDocument/2006/relationships/hyperlink" Target="https://drive.google.com/file/d/1V-5EF-DBS42AEPN0LaGrnefRreCpIsUN/view?usp=drive_link" TargetMode="External"/><Relationship Id="rId76" Type="http://schemas.openxmlformats.org/officeDocument/2006/relationships/hyperlink" Target="https://drive.google.com/file/d/1voWHchNa9QlxphItqXvpjtpMVuktLLVC/view?usp=drive_link" TargetMode="External"/><Relationship Id="rId79" Type="http://schemas.openxmlformats.org/officeDocument/2006/relationships/hyperlink" Target="https://drive.google.com/file/d/1mez8E_AHFDf0TrD39JBoXhR1dtpP0OnL/view?usp=drive_link" TargetMode="External"/><Relationship Id="rId78" Type="http://schemas.openxmlformats.org/officeDocument/2006/relationships/hyperlink" Target="https://drive.google.com/file/d/14bBB9F8WGdb1J-cz9kviNAhKgQtVAahQ/view?usp=drive_link" TargetMode="External"/><Relationship Id="rId71" Type="http://schemas.openxmlformats.org/officeDocument/2006/relationships/hyperlink" Target="https://drive.google.com/file/d/1axiVINAb5akI16Aq5fI7vlybxGa9US2-/view?usp=drive_link" TargetMode="External"/><Relationship Id="rId70" Type="http://schemas.openxmlformats.org/officeDocument/2006/relationships/hyperlink" Target="https://drive.google.com/file/d/1mez8E_AHFDf0TrD39JBoXhR1dtpP0OnL/view?usp=drive_link" TargetMode="External"/><Relationship Id="rId62" Type="http://schemas.openxmlformats.org/officeDocument/2006/relationships/hyperlink" Target="https://drive.google.com/file/d/1KfAbya2vJvOR4Yyq53CVYb2VQDGZIKSr/view?usp=drive_link" TargetMode="External"/><Relationship Id="rId61" Type="http://schemas.openxmlformats.org/officeDocument/2006/relationships/hyperlink" Target="https://drive.google.com/file/d/1KfAbya2vJvOR4Yyq53CVYb2VQDGZIKSr/view?usp=drive_link" TargetMode="External"/><Relationship Id="rId64" Type="http://schemas.openxmlformats.org/officeDocument/2006/relationships/hyperlink" Target="https://drive.google.com/file/d/1KfAbya2vJvOR4Yyq53CVYb2VQDGZIKSr/view?usp=drive_link" TargetMode="External"/><Relationship Id="rId63" Type="http://schemas.openxmlformats.org/officeDocument/2006/relationships/hyperlink" Target="https://drive.google.com/file/d/1KfAbya2vJvOR4Yyq53CVYb2VQDGZIKSr/view?usp=drive_link" TargetMode="External"/><Relationship Id="rId66" Type="http://schemas.openxmlformats.org/officeDocument/2006/relationships/hyperlink" Target="https://drive.google.com/file/d/1mez8E_AHFDf0TrD39JBoXhR1dtpP0OnL/view?usp=drive_link" TargetMode="External"/><Relationship Id="rId65" Type="http://schemas.openxmlformats.org/officeDocument/2006/relationships/hyperlink" Target="https://drive.google.com/file/d/12PDqaxj3835pNYh5AQVB9UkbF0WZVcBW/view?usp=drive_link" TargetMode="External"/><Relationship Id="rId68" Type="http://schemas.openxmlformats.org/officeDocument/2006/relationships/hyperlink" Target="https://drive.google.com/file/d/1r_KWJ6My3-WD8gYJ-mLN-NrTvQfCCBlt/view?usp=drive_link" TargetMode="External"/><Relationship Id="rId67" Type="http://schemas.openxmlformats.org/officeDocument/2006/relationships/hyperlink" Target="https://drive.google.com/file/d/1axiVINAb5akI16Aq5fI7vlybxGa9US2-/view?usp=drive_link" TargetMode="External"/><Relationship Id="rId60" Type="http://schemas.openxmlformats.org/officeDocument/2006/relationships/hyperlink" Target="https://drive.google.com/file/d/1uPm4O-aLod56wcHAc7xbDouGtCLGYW6P/view?usp=drive_link" TargetMode="External"/><Relationship Id="rId69" Type="http://schemas.openxmlformats.org/officeDocument/2006/relationships/hyperlink" Target="https://drive.google.com/file/d/12PDqaxj3835pNYh5AQVB9UkbF0WZVcBW/view?usp=drive_link" TargetMode="External"/><Relationship Id="rId51" Type="http://schemas.openxmlformats.org/officeDocument/2006/relationships/hyperlink" Target="https://drive.google.com/file/d/1Qsi1xPnQY8-BetKlEZDs6gIva5CLIvte/view?usp=drive_link" TargetMode="External"/><Relationship Id="rId50" Type="http://schemas.openxmlformats.org/officeDocument/2006/relationships/hyperlink" Target="https://drive.google.com/file/d/1Qsi1xPnQY8-BetKlEZDs6gIva5CLIvte/view?usp=drive_link" TargetMode="External"/><Relationship Id="rId53" Type="http://schemas.openxmlformats.org/officeDocument/2006/relationships/hyperlink" Target="https://drive.google.com/file/d/1DTBap3TkwwJC_ccBK6gbjGTSfZx3KTqG/view?usp=drive_link" TargetMode="External"/><Relationship Id="rId52" Type="http://schemas.openxmlformats.org/officeDocument/2006/relationships/hyperlink" Target="https://drive.google.com/file/d/16e0sl9mXshp3UMZEO0uH9xp-ilPL5NMB/view?usp=drive_link" TargetMode="External"/><Relationship Id="rId55" Type="http://schemas.openxmlformats.org/officeDocument/2006/relationships/hyperlink" Target="https://drive.google.com/file/d/1DTBap3TkwwJC_ccBK6gbjGTSfZx3KTqG/view?usp=drive_link" TargetMode="External"/><Relationship Id="rId54" Type="http://schemas.openxmlformats.org/officeDocument/2006/relationships/hyperlink" Target="https://drive.google.com/file/d/1DTBap3TkwwJC_ccBK6gbjGTSfZx3KTqG/view?usp=drive_link" TargetMode="External"/><Relationship Id="rId57" Type="http://schemas.openxmlformats.org/officeDocument/2006/relationships/hyperlink" Target="https://drive.google.com/file/d/1r_KWJ6My3-WD8gYJ-mLN-NrTvQfCCBlt/view?usp=drive_link" TargetMode="External"/><Relationship Id="rId56" Type="http://schemas.openxmlformats.org/officeDocument/2006/relationships/hyperlink" Target="https://drive.google.com/file/d/1B7GMyimHg1U6k5Sq7-l0VawvGwJXkrhm/view?usp=drive_link" TargetMode="External"/><Relationship Id="rId59" Type="http://schemas.openxmlformats.org/officeDocument/2006/relationships/hyperlink" Target="https://drive.google.com/file/d/1y6ldBHlPMYBMKTiVckjP-khKw_1f6HJO/view?usp=drive_link" TargetMode="External"/><Relationship Id="rId58" Type="http://schemas.openxmlformats.org/officeDocument/2006/relationships/hyperlink" Target="https://drive.google.com/file/d/1Vh7Yd13qCyhMVp69n4051geshrlnT8x9/view?usp=drive_link" TargetMode="External"/><Relationship Id="rId107" Type="http://schemas.openxmlformats.org/officeDocument/2006/relationships/hyperlink" Target="https://drive.google.com/file/d/1_NMSZBVZFBX-1LP-PTDDxPubrFZkpHEu/view?usp=drive_link" TargetMode="External"/><Relationship Id="rId106" Type="http://schemas.openxmlformats.org/officeDocument/2006/relationships/hyperlink" Target="https://drive.google.com/file/d/12PDqaxj3835pNYh5AQVB9UkbF0WZVcBW/view?usp=drive_link" TargetMode="External"/><Relationship Id="rId105" Type="http://schemas.openxmlformats.org/officeDocument/2006/relationships/hyperlink" Target="https://drive.google.com/file/d/1PKfwqt8aPaYZKTu0boJXsmRtX7UQvKZg/view?usp=drive_link" TargetMode="External"/><Relationship Id="rId104" Type="http://schemas.openxmlformats.org/officeDocument/2006/relationships/hyperlink" Target="https://drive.google.com/file/d/12PDqaxj3835pNYh5AQVB9UkbF0WZVcBW/view?usp=drive_link" TargetMode="External"/><Relationship Id="rId109" Type="http://schemas.openxmlformats.org/officeDocument/2006/relationships/hyperlink" Target="https://drive.google.com/file/d/12PDqaxj3835pNYh5AQVB9UkbF0WZVcBW/view?usp=drive_link" TargetMode="External"/><Relationship Id="rId108" Type="http://schemas.openxmlformats.org/officeDocument/2006/relationships/hyperlink" Target="https://drive.google.com/file/d/1pSVytUAZsuWJO232yx0j8Vk_Qo6YxWPr/view?usp=drive_link" TargetMode="External"/><Relationship Id="rId103" Type="http://schemas.openxmlformats.org/officeDocument/2006/relationships/hyperlink" Target="https://drive.google.com/file/d/1icvlVtIQC4epztYMtJlsNtjHRCvOPZ1J/view?usp=drive_link" TargetMode="External"/><Relationship Id="rId102" Type="http://schemas.openxmlformats.org/officeDocument/2006/relationships/hyperlink" Target="https://drive.google.com/file/d/17Tny2OdfspW6YJ4LDKGh707_recSDauI/view?usp=drive_link" TargetMode="External"/><Relationship Id="rId101" Type="http://schemas.openxmlformats.org/officeDocument/2006/relationships/hyperlink" Target="https://drive.google.com/file/d/1s2PObTEFEH998RY-Oxzvgu5teUIGQTT4/view?usp=drive_link" TargetMode="External"/><Relationship Id="rId100" Type="http://schemas.openxmlformats.org/officeDocument/2006/relationships/hyperlink" Target="https://drive.google.com/file/d/1WJ1P6kzKBtE7br2-veotr-SFf-EVA5cR/view?usp=drive_link" TargetMode="External"/><Relationship Id="rId129" Type="http://schemas.openxmlformats.org/officeDocument/2006/relationships/hyperlink" Target="https://drive.google.com/file/d/1Tg8NKAikAcYfbHq-hQcDbTKQe-qiuPSC/view?usp=drive_link" TargetMode="External"/><Relationship Id="rId128" Type="http://schemas.openxmlformats.org/officeDocument/2006/relationships/hyperlink" Target="https://drive.google.com/file/d/13lCzN9zUj6r77MWmyXxyikW-maV5ZWQv/view?usp=drive_link" TargetMode="External"/><Relationship Id="rId127" Type="http://schemas.openxmlformats.org/officeDocument/2006/relationships/hyperlink" Target="https://drive.google.com/file/d/1_FDAPjD34DHNHYb2RdeYwE8dJDqyJnig/view?usp=drive_link" TargetMode="External"/><Relationship Id="rId126" Type="http://schemas.openxmlformats.org/officeDocument/2006/relationships/hyperlink" Target="https://drive.google.com/file/d/1n0EQOLRoPZ6q08MZr7OAO8QgXQkQ_vgo/view?usp=drive_link" TargetMode="External"/><Relationship Id="rId121" Type="http://schemas.openxmlformats.org/officeDocument/2006/relationships/hyperlink" Target="https://drive.google.com/file/d/13lCzN9zUj6r77MWmyXxyikW-maV5ZWQv/view?usp=drive_link" TargetMode="External"/><Relationship Id="rId120" Type="http://schemas.openxmlformats.org/officeDocument/2006/relationships/hyperlink" Target="https://drive.google.com/file/d/1rbtyIp-E9KHrOFXzMMQ5Nt9f8JsndygD/view?usp=drive_link" TargetMode="External"/><Relationship Id="rId125" Type="http://schemas.openxmlformats.org/officeDocument/2006/relationships/hyperlink" Target="https://drive.google.com/file/d/1kGC7QHYwEyHlb_rI3-k6pYNB7eqe1ToH/view?usp=drive_link" TargetMode="External"/><Relationship Id="rId124" Type="http://schemas.openxmlformats.org/officeDocument/2006/relationships/hyperlink" Target="https://drive.google.com/file/d/1X33E-SobSNu51EKGc9DT04wzvI28biTn/view?usp=drive_link" TargetMode="External"/><Relationship Id="rId123" Type="http://schemas.openxmlformats.org/officeDocument/2006/relationships/hyperlink" Target="https://drive.google.com/file/d/1AXfosA_el_hXyzd-MNa9ffwlAM63W2qd/view?usp=drive_link" TargetMode="External"/><Relationship Id="rId122" Type="http://schemas.openxmlformats.org/officeDocument/2006/relationships/hyperlink" Target="https://drive.google.com/file/d/1ZsnyXMn_DwiLxmmmLyY_KQroI9mdmtaQ/view?usp=drive_link" TargetMode="External"/><Relationship Id="rId95" Type="http://schemas.openxmlformats.org/officeDocument/2006/relationships/hyperlink" Target="https://drive.google.com/file/d/1SwFYTvmbxTbmPotzSHqGBaLzxHCr60Cm/view?usp=drive_link" TargetMode="External"/><Relationship Id="rId94" Type="http://schemas.openxmlformats.org/officeDocument/2006/relationships/hyperlink" Target="https://drive.google.com/file/d/12PDqaxj3835pNYh5AQVB9UkbF0WZVcBW/view?usp=drive_link" TargetMode="External"/><Relationship Id="rId97" Type="http://schemas.openxmlformats.org/officeDocument/2006/relationships/hyperlink" Target="https://drive.google.com/file/d/1_NMSZBVZFBX-1LP-PTDDxPubrFZkpHEu/view?usp=drive_link" TargetMode="External"/><Relationship Id="rId96" Type="http://schemas.openxmlformats.org/officeDocument/2006/relationships/hyperlink" Target="https://drive.google.com/file/d/13NE7M8iQSD0P2tzjLlN6xmQzUiNnYqS9/view?usp=drive_link" TargetMode="External"/><Relationship Id="rId99" Type="http://schemas.openxmlformats.org/officeDocument/2006/relationships/hyperlink" Target="https://drive.google.com/file/d/1pSVytUAZsuWJO232yx0j8Vk_Qo6YxWPr/view?usp=drive_link" TargetMode="External"/><Relationship Id="rId98" Type="http://schemas.openxmlformats.org/officeDocument/2006/relationships/hyperlink" Target="https://drive.google.com/file/d/1l-cisKi7j5I8lMQNrvnxtRQ-9alkQONj/view?usp=drive_link" TargetMode="External"/><Relationship Id="rId91" Type="http://schemas.openxmlformats.org/officeDocument/2006/relationships/hyperlink" Target="https://drive.google.com/file/d/1SwFYTvmbxTbmPotzSHqGBaLzxHCr60Cm/view?usp=drive_link" TargetMode="External"/><Relationship Id="rId90" Type="http://schemas.openxmlformats.org/officeDocument/2006/relationships/hyperlink" Target="https://drive.google.com/file/d/1MNAFYvkoI2ISELX0aOgJHVd_GkwmhwPi/view?usp=drive_link" TargetMode="External"/><Relationship Id="rId93" Type="http://schemas.openxmlformats.org/officeDocument/2006/relationships/hyperlink" Target="https://drive.google.com/file/d/1PKfwqt8aPaYZKTu0boJXsmRtX7UQvKZg/view?usp=drive_link" TargetMode="External"/><Relationship Id="rId92" Type="http://schemas.openxmlformats.org/officeDocument/2006/relationships/hyperlink" Target="https://drive.google.com/file/d/12PDqaxj3835pNYh5AQVB9UkbF0WZVcBW/view?usp=drive_link" TargetMode="External"/><Relationship Id="rId118" Type="http://schemas.openxmlformats.org/officeDocument/2006/relationships/hyperlink" Target="https://drive.google.com/file/d/1FvZzKR_UexjptAA-MJFx4BWE-YQnqVHp/view?usp=drive_link" TargetMode="External"/><Relationship Id="rId117" Type="http://schemas.openxmlformats.org/officeDocument/2006/relationships/hyperlink" Target="https://drive.google.com/file/d/1WJ1P6kzKBtE7br2-veotr-SFf-EVA5cR/view?usp=drive_link" TargetMode="External"/><Relationship Id="rId116" Type="http://schemas.openxmlformats.org/officeDocument/2006/relationships/hyperlink" Target="https://drive.google.com/file/d/13lCzN9zUj6r77MWmyXxyikW-maV5ZWQv/view?usp=drive_link" TargetMode="External"/><Relationship Id="rId115" Type="http://schemas.openxmlformats.org/officeDocument/2006/relationships/hyperlink" Target="https://drive.google.com/file/d/12PDqaxj3835pNYh5AQVB9UkbF0WZVcBW/view?usp=drive_link" TargetMode="External"/><Relationship Id="rId119" Type="http://schemas.openxmlformats.org/officeDocument/2006/relationships/hyperlink" Target="https://drive.google.com/file/d/1AXfosA_el_hXyzd-MNa9ffwlAM63W2qd/view?usp=drive_link" TargetMode="External"/><Relationship Id="rId110" Type="http://schemas.openxmlformats.org/officeDocument/2006/relationships/hyperlink" Target="https://drive.google.com/file/d/1WJ1P6kzKBtE7br2-veotr-SFf-EVA5cR/view?usp=drive_link" TargetMode="External"/><Relationship Id="rId114" Type="http://schemas.openxmlformats.org/officeDocument/2006/relationships/hyperlink" Target="https://drive.google.com/file/d/1ZsnyXMn_DwiLxmmmLyY_KQroI9mdmtaQ/view?usp=drive_link" TargetMode="External"/><Relationship Id="rId113" Type="http://schemas.openxmlformats.org/officeDocument/2006/relationships/hyperlink" Target="https://drive.google.com/file/d/1_NMSZBVZFBX-1LP-PTDDxPubrFZkpHEu/view?usp=drive_link" TargetMode="External"/><Relationship Id="rId112" Type="http://schemas.openxmlformats.org/officeDocument/2006/relationships/hyperlink" Target="https://drive.google.com/file/d/12PDqaxj3835pNYh5AQVB9UkbF0WZVcBW/view?usp=drive_link" TargetMode="External"/><Relationship Id="rId111" Type="http://schemas.openxmlformats.org/officeDocument/2006/relationships/hyperlink" Target="https://drive.google.com/file/d/13lCzN9zUj6r77MWmyXxyikW-maV5ZWQv/view?usp=drive_link"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document/d/1_Ek2oPa_WRyLKHcquAY_rox70KeDvg-M7V0lGTNe1C8/edit" TargetMode="External"/><Relationship Id="rId2" Type="http://schemas.openxmlformats.org/officeDocument/2006/relationships/hyperlink" Target="https://docs.google.com/document/d/12hbjGH_DoHE6pxgFeYWAeSpWW8x0_qlgJ5WR_K2HSDw/edit" TargetMode="External"/><Relationship Id="rId3" Type="http://schemas.openxmlformats.org/officeDocument/2006/relationships/hyperlink" Target="https://docs.google.com/document/d/1xgmT43Fwx6z6leQeK-Qks3mqguINRCzQ-3aPlj5LW3g/edit" TargetMode="External"/><Relationship Id="rId4" Type="http://schemas.openxmlformats.org/officeDocument/2006/relationships/hyperlink" Target="https://docs.google.com/document/d/1mabcfK1qLi7SSf2xojMdKUWDzbhZ_qpZQnQmyAGHw7I/edit" TargetMode="External"/><Relationship Id="rId9" Type="http://schemas.openxmlformats.org/officeDocument/2006/relationships/hyperlink" Target="https://docs.google.com/document/d/1zf1NRNIIfJPwIHXsjQCdv-tGZLEdTPYTOO0V1tjpaWY/edit" TargetMode="External"/><Relationship Id="rId5" Type="http://schemas.openxmlformats.org/officeDocument/2006/relationships/hyperlink" Target="https://docs.google.com/document/d/1-7AINH_sc9ve3-vn9-IeYqXM9M1giS_uH-6v_Gr9f9E/edit" TargetMode="External"/><Relationship Id="rId6" Type="http://schemas.openxmlformats.org/officeDocument/2006/relationships/hyperlink" Target="https://docs.google.com/document/d/1bU0GYhgx9S_3RsHKdOtMxrg1uFSLhaWQXRWQ23_xK2k/edit" TargetMode="External"/><Relationship Id="rId7" Type="http://schemas.openxmlformats.org/officeDocument/2006/relationships/hyperlink" Target="https://docs.google.com/document/d/1o5fWFQkCjvq10F7PO8ZpOVrdXHeeugFpLId_-4zGhrA/edit" TargetMode="External"/><Relationship Id="rId8" Type="http://schemas.openxmlformats.org/officeDocument/2006/relationships/hyperlink" Target="https://docs.google.com/document/d/1t2o5sy26Z7RB5M4WY2LfJPZdnX8lhYrnaJK7pf8KqmQ/edit" TargetMode="External"/><Relationship Id="rId11" Type="http://schemas.openxmlformats.org/officeDocument/2006/relationships/drawing" Target="../drawings/drawing24.xml"/><Relationship Id="rId10" Type="http://schemas.openxmlformats.org/officeDocument/2006/relationships/hyperlink" Target="https://docs.google.com/document/d/184vJrNNpLfzdEyIlDjlDUp3sB4ZrGgUBQwPCxLh3xHM/edi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www.apsol.com.ar" TargetMode="External"/><Relationship Id="rId2" Type="http://schemas.openxmlformats.org/officeDocument/2006/relationships/hyperlink" Target="https://www.google.com/calendar/event?eid=NmNzajhvaGljcGdqYWI5aDY5aWpnYjlrY2xpamliYjJjY3BtOGJiNmM4bzNncGhqNnNvajRkcG9jY18yMDI2MDIxN1QxNzAwMDBaIGFwYXRyaWFyY2EuYXBzb2xAbQ" TargetMode="External"/><Relationship Id="rId3" Type="http://schemas.openxmlformats.org/officeDocument/2006/relationships/hyperlink" Target="https://www.google.com/calendar/event?eid=MDQzYzNhNjQgYXBhdHJpYXJjYS5hcHNvbEBt" TargetMode="External"/><Relationship Id="rId4" Type="http://schemas.openxmlformats.org/officeDocument/2006/relationships/hyperlink" Target="https://www.google.com/calendar/event?eid=ZjhkNDliODQgYXBhdHJpYXJjYS5hcHNvbEBt" TargetMode="External"/><Relationship Id="rId9" Type="http://schemas.openxmlformats.org/officeDocument/2006/relationships/hyperlink" Target="https://www.google.com/calendar/event?eid=YjUyODM5MGMgYXBhdHJpYXJjYS5hcHNvbEBt" TargetMode="External"/><Relationship Id="rId5" Type="http://schemas.openxmlformats.org/officeDocument/2006/relationships/hyperlink" Target="https://www.google.com/calendar/event?eid=ZjM1YWIyYWIgYXBhdHJpYXJjYS5hcHNvbEBt" TargetMode="External"/><Relationship Id="rId6" Type="http://schemas.openxmlformats.org/officeDocument/2006/relationships/hyperlink" Target="https://www.google.com/calendar/event?eid=YzhzM2VjajI2ZGo2YWI5bTY0c2owYjlrNzRvamliOXBjcGdqYWI5bGNwaTZjcGIyYzloNjRjcjVjayBhcGF0cmlhcmNhLmFwc29sQG0" TargetMode="External"/><Relationship Id="rId7" Type="http://schemas.openxmlformats.org/officeDocument/2006/relationships/hyperlink" Target="https://www.google.com/calendar/event?eid=MGQzZGViMTEgYXBhdHJpYXJjYS5hcHNvbEBt" TargetMode="External"/><Relationship Id="rId8" Type="http://schemas.openxmlformats.org/officeDocument/2006/relationships/hyperlink" Target="https://www.google.com/calendar/event?eid=XzYwcTMwYzFnNjBvMzBlMWk2MG80YWMxZzYwcmo4Z3BsODhyajJjMWg4NHMzNGg5ZzYwczMwYzFnNjBvMzBjMWc2b280OGNoZzhrb2o0Z2E2ODUxNDhncGc2NG8zMGMxZzYwbzMwYzFnNjBvMzBjMWc2MG8zMmMxZzYwbzMwYzFnNzRyajBoaGw4OHIzZ2hobTZzcmppZ2hrOGdza2FkMWo2aDI0NGRoaDg0cWs0Z3EzOGQxZyBhcGF0cmlhcmNhLmFwc29sQG0" TargetMode="External"/><Relationship Id="rId20" Type="http://schemas.openxmlformats.org/officeDocument/2006/relationships/hyperlink" Target="https://www.google.com/calendar/event?eid=NjBxajJlMzI2bGo2YWI5aDY4bzNnYjlrNzRwbTZiYjE2cGk2NmJiMzZoajM4Y3BvNmNvbWFvcjZjNCBhcGF0cmlhcmNhLmFwc29sQG0" TargetMode="External"/><Relationship Id="rId22" Type="http://schemas.openxmlformats.org/officeDocument/2006/relationships/hyperlink" Target="https://www.google.com/calendar/event?eid=NTYzcWliOWRrdmRoZnVtbDVrYjh0MW1wODMgYXBhdHJpYXJjYS5hcHNvbEBt" TargetMode="External"/><Relationship Id="rId21" Type="http://schemas.openxmlformats.org/officeDocument/2006/relationships/hyperlink" Target="https://www.google.com/calendar/event?eid=NGQ2YmNjZmYgYXBhdHJpYXJjYS5hcHNvbEBt" TargetMode="External"/><Relationship Id="rId24" Type="http://schemas.openxmlformats.org/officeDocument/2006/relationships/hyperlink" Target="https://www.google.com/calendar/event?eid=YzdiZDM0YTMgYXBhdHJpYXJjYS5hcHNvbEBt" TargetMode="External"/><Relationship Id="rId23" Type="http://schemas.openxmlformats.org/officeDocument/2006/relationships/hyperlink" Target="https://www.google.com/calendar/event?eid=OGUwMjJiMmYgYXBhdHJpYXJjYS5hcHNvbEBt" TargetMode="External"/><Relationship Id="rId26" Type="http://schemas.openxmlformats.org/officeDocument/2006/relationships/hyperlink" Target="https://www.google.com/calendar/event?eid=NzEzNWFmZmYgYXBhdHJpYXJjYS5hcHNvbEBt" TargetMode="External"/><Relationship Id="rId25" Type="http://schemas.openxmlformats.org/officeDocument/2006/relationships/hyperlink" Target="https://www.google.com/calendar/event?eid=NTgzN2Y1NGQgYXBhdHJpYXJjYS5hcHNvbEBt" TargetMode="External"/><Relationship Id="rId27" Type="http://schemas.openxmlformats.org/officeDocument/2006/relationships/drawing" Target="../drawings/drawing25.xml"/><Relationship Id="rId11" Type="http://schemas.openxmlformats.org/officeDocument/2006/relationships/hyperlink" Target="https://www.google.com/calendar/event?eid=NWQ5NmRkNGEgYXBhdHJpYXJjYS5hcHNvbEBt" TargetMode="External"/><Relationship Id="rId10" Type="http://schemas.openxmlformats.org/officeDocument/2006/relationships/hyperlink" Target="https://www.google.com/calendar/event?eid=NmtxamdjajI2Z3I2NmI5aWNjcWppYjlrYzlpamFiYjJjNWdqZWJiNGNncGo4cDFtNmNxbTRkcGc3NCBhcGF0cmlhcmNhLmFwc29sQG0" TargetMode="External"/><Relationship Id="rId13" Type="http://schemas.openxmlformats.org/officeDocument/2006/relationships/hyperlink" Target="https://www.google.com/calendar/event?eid=NmNzajhvaGljcGdqYWI5aDY5aWpnYjlrY2xpamliYjJjY3BtOGJiNmM4bzNncGhqNnNvajRkcG9jY18yMDI2MDMyNFQxNzAwMDBaIGFwYXRyaWFyY2EuYXBzb2xAbQ" TargetMode="External"/><Relationship Id="rId12" Type="http://schemas.openxmlformats.org/officeDocument/2006/relationships/hyperlink" Target="https://www.google.com/calendar/event?eid=NmNzajhvaGljcGdqYWI5aDY5aWpnYjlrY2xpamliYjJjY3BtOGJiNmM4bzNncGhqNnNvajRkcG9jY18yMDI2MDMxN1QxNzAwMDBaIGFwYXRyaWFyY2EuYXBzb2xAbQ" TargetMode="External"/><Relationship Id="rId15" Type="http://schemas.openxmlformats.org/officeDocument/2006/relationships/hyperlink" Target="https://www.google.com/calendar/event?eid=NTM0ZjBhYzQgYXBhdHJpYXJjYS5hcHNvbEBt" TargetMode="External"/><Relationship Id="rId14" Type="http://schemas.openxmlformats.org/officeDocument/2006/relationships/hyperlink" Target="https://www.google.com/calendar/event?eid=NnRqMzJwajI2OWk2NGI5aWNwaDZhYjlrNjVpM2FiYjE2a28zMmI5ZzZvczM0ZTFvY29wMzBkaGw2OCBhcGF0cmlhcmNhLmFwc29sQG0" TargetMode="External"/><Relationship Id="rId17" Type="http://schemas.openxmlformats.org/officeDocument/2006/relationships/hyperlink" Target="https://www.google.com/calendar/event?eid=ZDMxNmY3YjggYXBhdHJpYXJjYS5hcHNvbEBt" TargetMode="External"/><Relationship Id="rId16" Type="http://schemas.openxmlformats.org/officeDocument/2006/relationships/hyperlink" Target="https://www.google.com/calendar/event?eid=NnNzbWFlOW5jOWk2NGJiNjY0cG04YjlrNjhvMzJiOW82NHJqMmJiNjZsajYyZHIyY29xNjZkOW9jNCBhcGF0cmlhcmNhLmFwc29sQG0" TargetMode="External"/><Relationship Id="rId19" Type="http://schemas.openxmlformats.org/officeDocument/2006/relationships/hyperlink" Target="https://www.google.com/calendar/event?eid=NmNzajhvaGljcGdqYWI5aDY5aWpnYjlrY2xpamliYjJjY3BtOGJiNmM4bzNncGhqNnNvajRkcG9jY18yMDI2MDQyOFQxNzAwMDBaIGFwYXRyaWFyY2EuYXBzb2xAbQ" TargetMode="External"/><Relationship Id="rId18" Type="http://schemas.openxmlformats.org/officeDocument/2006/relationships/hyperlink" Target="https://www.google.com/calendar/event?eid=YzRjZWEyYjggYXBhdHJpYXJjYS5hcHNvbEBt"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3.25"/>
  </cols>
  <sheetData>
    <row r="1">
      <c r="A1" s="1" t="s">
        <v>0</v>
      </c>
      <c r="B1" s="2"/>
    </row>
    <row r="2">
      <c r="A2" s="3" t="str">
        <f>HYPERLINK("https://docs.google.com/spreadsheets/d/1mowpsI2t9kteCGbmQdS2QRJCME2B67EBXk2L7eA_i-4/edit#gid=187700301", "Calendly Events")</f>
        <v>#ERROR!</v>
      </c>
    </row>
    <row r="3">
      <c r="A3" s="3" t="str">
        <f>HYPERLINK("https://docs.google.com/spreadsheets/d/1mowpsI2t9kteCGbmQdS2QRJCME2B67EBXk2L7eA_i-4/edit#gid=0", "Empresa")</f>
        <v>#ERROR!</v>
      </c>
    </row>
    <row r="4">
      <c r="A4" s="3" t="str">
        <f>HYPERLINK("https://docs.google.com/spreadsheets/d/1mowpsI2t9kteCGbmQdS2QRJCME2B67EBXk2L7eA_i-4/edit#gid=590048427", "API")</f>
        <v>#ERROR!</v>
      </c>
    </row>
    <row r="5">
      <c r="A5" s="3" t="str">
        <f>HYPERLINK("https://docs.google.com/spreadsheets/d/1mowpsI2t9kteCGbmQdS2QRJCME2B67EBXk2L7eA_i-4/edit#gid=1230099925", "Capacitación")</f>
        <v>#ERROR!</v>
      </c>
    </row>
    <row r="6">
      <c r="A6" s="3" t="str">
        <f>HYPERLINK("https://docs.google.com/spreadsheets/d/1mowpsI2t9kteCGbmQdS2QRJCME2B67EBXk2L7eA_i-4/edit#gid=190390332", "Videos")</f>
        <v>#ERROR!</v>
      </c>
    </row>
    <row r="7">
      <c r="A7" s="3" t="str">
        <f>HYPERLINK("https://docs.google.com/spreadsheets/d/1mowpsI2t9kteCGbmQdS2QRJCME2B67EBXk2L7eA_i-4/edit#gid=796833118", "Comentarios Cap")</f>
        <v>#ERROR!</v>
      </c>
    </row>
    <row r="8">
      <c r="A8" s="3" t="str">
        <f>HYPERLINK("https://docs.google.com/spreadsheets/d/1mowpsI2t9kteCGbmQdS2QRJCME2B67EBXk2L7eA_i-4/edit#gid=2038752466", "Proyecto/Activos")</f>
        <v>#ERROR!</v>
      </c>
    </row>
    <row r="9">
      <c r="A9" s="3" t="str">
        <f>HYPERLINK("https://docs.google.com/spreadsheets/d/1mowpsI2t9kteCGbmQdS2QRJCME2B67EBXk2L7eA_i-4/edit#gid=1509210176", "Tickets")</f>
        <v>#ERROR!</v>
      </c>
    </row>
    <row r="10">
      <c r="A10" s="3" t="str">
        <f>HYPERLINK("https://docs.google.com/spreadsheets/d/1mowpsI2t9kteCGbmQdS2QRJCME2B67EBXk2L7eA_i-4/edit#gid=1726711540", "Preventivo")</f>
        <v>#ERROR!</v>
      </c>
    </row>
    <row r="11">
      <c r="A11" s="3" t="str">
        <f>HYPERLINK("https://docs.google.com/spreadsheets/d/1mowpsI2t9kteCGbmQdS2QRJCME2B67EBXk2L7eA_i-4/edit#gid=2013396160", "Pagos")</f>
        <v>#ERROR!</v>
      </c>
    </row>
    <row r="12">
      <c r="A12" s="3" t="str">
        <f>HYPERLINK("https://docs.google.com/spreadsheets/d/1mowpsI2t9kteCGbmQdS2QRJCME2B67EBXk2L7eA_i-4/edit#gid=1638558919", "Facturación")</f>
        <v>#ERROR!</v>
      </c>
    </row>
    <row r="13">
      <c r="A13" s="3" t="str">
        <f>HYPERLINK("https://docs.google.com/spreadsheets/d/1mowpsI2t9kteCGbmQdS2QRJCME2B67EBXk2L7eA_i-4/edit#gid=774176933", "Log_Ejecucion")</f>
        <v>#ERROR!</v>
      </c>
    </row>
    <row r="14">
      <c r="A14" s="3" t="str">
        <f>HYPERLINK("https://docs.google.com/spreadsheets/d/1mowpsI2t9kteCGbmQdS2QRJCME2B67EBXk2L7eA_i-4/edit#gid=1936752274", "Usuarios")</f>
        <v>#ERROR!</v>
      </c>
    </row>
    <row r="15">
      <c r="A15" s="3" t="str">
        <f>HYPERLINK("https://docs.google.com/spreadsheets/d/1mowpsI2t9kteCGbmQdS2QRJCME2B67EBXk2L7eA_i-4/edit#gid=305245503", "Colaboradores")</f>
        <v>#ERROR!</v>
      </c>
    </row>
    <row r="16">
      <c r="A16" s="3" t="str">
        <f>HYPERLINK("https://docs.google.com/spreadsheets/d/1mowpsI2t9kteCGbmQdS2QRJCME2B67EBXk2L7eA_i-4/edit#gid=867858973", "Facturas Colaboradores")</f>
        <v>#ERROR!</v>
      </c>
    </row>
    <row r="17">
      <c r="A17" s="3" t="str">
        <f>HYPERLINK("https://docs.google.com/spreadsheets/d/1mowpsI2t9kteCGbmQdS2QRJCME2B67EBXk2L7eA_i-4/edit#gid=52599467", "Contrato Colaboradores")</f>
        <v>#ERROR!</v>
      </c>
    </row>
    <row r="18">
      <c r="A18" s="3" t="str">
        <f>HYPERLINK("https://docs.google.com/spreadsheets/d/1mowpsI2t9kteCGbmQdS2QRJCME2B67EBXk2L7eA_i-4/edit#gid=1795666283", "Prospectos")</f>
        <v>#ERROR!</v>
      </c>
    </row>
    <row r="19">
      <c r="A19" s="3" t="str">
        <f>HYPERLINK("https://docs.google.com/spreadsheets/d/1mowpsI2t9kteCGbmQdS2QRJCME2B67EBXk2L7eA_i-4/edit#gid=984939582", "Filtros")</f>
        <v>#ERROR!</v>
      </c>
    </row>
    <row r="20">
      <c r="A20" s="3" t="str">
        <f>HYPERLINK("https://docs.google.com/spreadsheets/d/1mowpsI2t9kteCGbmQdS2QRJCME2B67EBXk2L7eA_i-4/edit#gid=1909591863", "Cuentas Bancarias")</f>
        <v>#ERROR!</v>
      </c>
    </row>
    <row r="21">
      <c r="A21" s="3" t="str">
        <f>HYPERLINK("https://docs.google.com/spreadsheets/d/1mowpsI2t9kteCGbmQdS2QRJCME2B67EBXk2L7eA_i-4/edit#gid=895499488", "Estado")</f>
        <v>#ERROR!</v>
      </c>
    </row>
    <row r="22">
      <c r="A22" s="3" t="str">
        <f>HYPERLINK("https://docs.google.com/spreadsheets/d/1mowpsI2t9kteCGbmQdS2QRJCME2B67EBXk2L7eA_i-4/edit#gid=602080773", "Mejoras")</f>
        <v>#ERROR!</v>
      </c>
    </row>
    <row r="23">
      <c r="A23" s="3" t="str">
        <f>HYPERLINK("https://docs.google.com/spreadsheets/d/1mowpsI2t9kteCGbmQdS2QRJCME2B67EBXk2L7eA_i-4/edit#gid=1255608628", "CRM Cadena e-mails")</f>
        <v>#ERROR!</v>
      </c>
    </row>
    <row r="24">
      <c r="A24" s="3" t="str">
        <f>HYPERLINK("https://docs.google.com/spreadsheets/d/1mowpsI2t9kteCGbmQdS2QRJCME2B67EBXk2L7eA_i-4/edit#gid=1868671010", "Cronograma Local")</f>
        <v>#ERROR!</v>
      </c>
    </row>
    <row r="25">
      <c r="A25" s="3" t="str">
        <f>HYPERLINK("https://docs.google.com/spreadsheets/d/1mowpsI2t9kteCGbmQdS2QRJCME2B67EBXk2L7eA_i-4/edit#gid=2024238847", "Resumen")</f>
        <v>#ERROR!</v>
      </c>
    </row>
    <row r="26">
      <c r="A26" s="3" t="str">
        <f>HYPERLINK("https://docs.google.com/spreadsheets/d/1mowpsI2t9kteCGbmQdS2QRJCME2B67EBXk2L7eA_i-4/edit#gid=1659174919", "Detalle Observaciones")</f>
        <v>#ERROR!</v>
      </c>
    </row>
    <row r="27">
      <c r="A27" s="3" t="str">
        <f>HYPERLINK("https://docs.google.com/spreadsheets/d/1mowpsI2t9kteCGbmQdS2QRJCME2B67EBXk2L7eA_i-4/edit#gid=1753895411", "Contactos")</f>
        <v>#ERROR!</v>
      </c>
    </row>
    <row r="28">
      <c r="A28" s="3" t="str">
        <f>HYPERLINK("https://docs.google.com/spreadsheets/d/1mowpsI2t9kteCGbmQdS2QRJCME2B67EBXk2L7eA_i-4/edit#gid=1087110730", "Mensajes")</f>
        <v>#ERROR!</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0.0"/>
    <col customWidth="1" min="7" max="7" width="40.5"/>
    <col customWidth="1" min="14" max="14" width="15.5"/>
    <col customWidth="1" min="15" max="15" width="22.75"/>
  </cols>
  <sheetData>
    <row r="1">
      <c r="A1" s="4" t="s">
        <v>1</v>
      </c>
      <c r="B1" s="4" t="s">
        <v>2</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row>
    <row r="2">
      <c r="A2" s="4" t="s">
        <v>18</v>
      </c>
      <c r="B2" s="4" t="s">
        <v>19</v>
      </c>
      <c r="C2" s="4" t="s">
        <v>20</v>
      </c>
      <c r="D2" s="4" t="s">
        <v>21</v>
      </c>
      <c r="F2" s="4" t="s">
        <v>22</v>
      </c>
      <c r="G2" s="5" t="s">
        <v>23</v>
      </c>
      <c r="H2" s="4" t="s">
        <v>24</v>
      </c>
      <c r="K2" s="4"/>
      <c r="L2" s="4" t="s">
        <v>25</v>
      </c>
      <c r="M2" s="4" t="s">
        <v>26</v>
      </c>
      <c r="N2" s="6">
        <v>46048.0</v>
      </c>
      <c r="O2" s="4" t="s">
        <v>27</v>
      </c>
      <c r="P2" s="4" t="s">
        <v>28</v>
      </c>
    </row>
    <row r="3">
      <c r="A3" s="4" t="s">
        <v>29</v>
      </c>
      <c r="B3" s="4" t="s">
        <v>30</v>
      </c>
      <c r="C3" s="4" t="s">
        <v>31</v>
      </c>
      <c r="D3" s="4" t="s">
        <v>21</v>
      </c>
      <c r="F3" s="4" t="s">
        <v>32</v>
      </c>
      <c r="G3" s="4" t="s">
        <v>33</v>
      </c>
      <c r="H3" s="4" t="s">
        <v>34</v>
      </c>
      <c r="I3" s="5" t="s">
        <v>35</v>
      </c>
      <c r="K3" s="4"/>
      <c r="L3" s="4" t="s">
        <v>36</v>
      </c>
      <c r="M3" s="4" t="s">
        <v>26</v>
      </c>
      <c r="N3" s="6">
        <v>46048.0</v>
      </c>
      <c r="O3" s="4" t="s">
        <v>27</v>
      </c>
      <c r="P3" s="4" t="s">
        <v>28</v>
      </c>
    </row>
    <row r="4">
      <c r="A4" s="4" t="s">
        <v>37</v>
      </c>
      <c r="B4" s="4" t="s">
        <v>38</v>
      </c>
      <c r="C4" s="4" t="s">
        <v>20</v>
      </c>
      <c r="D4" s="4" t="s">
        <v>21</v>
      </c>
      <c r="F4" s="4" t="s">
        <v>39</v>
      </c>
      <c r="H4" s="4" t="s">
        <v>40</v>
      </c>
      <c r="I4" s="5" t="s">
        <v>41</v>
      </c>
      <c r="K4" s="4"/>
      <c r="L4" s="4" t="s">
        <v>42</v>
      </c>
      <c r="M4" s="4" t="s">
        <v>26</v>
      </c>
      <c r="N4" s="6">
        <v>46048.0</v>
      </c>
      <c r="O4" s="4" t="s">
        <v>27</v>
      </c>
      <c r="P4" s="4" t="s">
        <v>43</v>
      </c>
    </row>
    <row r="5">
      <c r="A5" s="4" t="s">
        <v>44</v>
      </c>
      <c r="B5" s="4" t="s">
        <v>45</v>
      </c>
      <c r="C5" s="4" t="s">
        <v>46</v>
      </c>
      <c r="D5" s="4" t="s">
        <v>21</v>
      </c>
      <c r="F5" s="4" t="s">
        <v>47</v>
      </c>
      <c r="G5" s="4" t="s">
        <v>48</v>
      </c>
      <c r="H5" s="4" t="s">
        <v>49</v>
      </c>
      <c r="I5" s="5" t="s">
        <v>50</v>
      </c>
      <c r="J5" s="7" t="s">
        <v>51</v>
      </c>
      <c r="K5" s="4" t="s">
        <v>52</v>
      </c>
      <c r="L5" s="4" t="s">
        <v>53</v>
      </c>
      <c r="M5" s="4" t="s">
        <v>26</v>
      </c>
      <c r="N5" s="6">
        <v>46049.0</v>
      </c>
      <c r="O5" s="4" t="s">
        <v>27</v>
      </c>
      <c r="P5" s="4" t="s">
        <v>43</v>
      </c>
    </row>
    <row r="6">
      <c r="A6" s="4" t="s">
        <v>54</v>
      </c>
      <c r="B6" s="4" t="s">
        <v>55</v>
      </c>
      <c r="C6" s="4" t="s">
        <v>20</v>
      </c>
      <c r="D6" s="4" t="s">
        <v>21</v>
      </c>
      <c r="F6" s="5" t="s">
        <v>56</v>
      </c>
      <c r="H6" s="4" t="s">
        <v>57</v>
      </c>
      <c r="M6" s="4" t="s">
        <v>26</v>
      </c>
      <c r="N6" s="6">
        <v>46049.0</v>
      </c>
      <c r="O6" s="4" t="s">
        <v>27</v>
      </c>
      <c r="P6" s="4" t="s">
        <v>43</v>
      </c>
    </row>
    <row r="7">
      <c r="A7" s="4" t="s">
        <v>58</v>
      </c>
      <c r="B7" s="4" t="s">
        <v>59</v>
      </c>
      <c r="C7" s="4" t="s">
        <v>60</v>
      </c>
      <c r="D7" s="4" t="s">
        <v>21</v>
      </c>
      <c r="F7" s="4" t="s">
        <v>61</v>
      </c>
      <c r="G7" s="5" t="s">
        <v>62</v>
      </c>
      <c r="H7" s="4" t="s">
        <v>57</v>
      </c>
      <c r="I7" s="5" t="s">
        <v>62</v>
      </c>
      <c r="L7" s="4" t="s">
        <v>63</v>
      </c>
      <c r="M7" s="4" t="s">
        <v>26</v>
      </c>
      <c r="N7" s="6">
        <v>46049.0</v>
      </c>
      <c r="O7" s="4" t="s">
        <v>27</v>
      </c>
      <c r="P7" s="4" t="s">
        <v>43</v>
      </c>
    </row>
    <row r="8">
      <c r="A8" s="4" t="s">
        <v>64</v>
      </c>
      <c r="B8" s="4" t="s">
        <v>65</v>
      </c>
      <c r="C8" s="4" t="s">
        <v>20</v>
      </c>
      <c r="D8" s="4" t="s">
        <v>21</v>
      </c>
      <c r="H8" s="4" t="s">
        <v>66</v>
      </c>
      <c r="I8" s="5" t="s">
        <v>67</v>
      </c>
      <c r="J8" s="7" t="s">
        <v>68</v>
      </c>
      <c r="L8" s="4" t="s">
        <v>69</v>
      </c>
      <c r="M8" s="4" t="s">
        <v>26</v>
      </c>
      <c r="N8" s="6">
        <v>46049.0</v>
      </c>
      <c r="O8" s="4" t="s">
        <v>27</v>
      </c>
      <c r="P8" s="4" t="s">
        <v>43</v>
      </c>
    </row>
    <row r="9">
      <c r="A9" s="4" t="s">
        <v>70</v>
      </c>
      <c r="B9" s="4" t="s">
        <v>71</v>
      </c>
      <c r="C9" s="4" t="s">
        <v>60</v>
      </c>
      <c r="D9" s="4" t="s">
        <v>21</v>
      </c>
      <c r="F9" s="4" t="s">
        <v>72</v>
      </c>
      <c r="G9" s="4" t="s">
        <v>73</v>
      </c>
      <c r="I9" s="5" t="s">
        <v>74</v>
      </c>
      <c r="M9" s="4" t="s">
        <v>26</v>
      </c>
      <c r="N9" s="6">
        <v>46049.0</v>
      </c>
      <c r="O9" s="4" t="s">
        <v>27</v>
      </c>
      <c r="P9" s="4" t="s">
        <v>43</v>
      </c>
    </row>
    <row r="10">
      <c r="A10" s="4" t="s">
        <v>75</v>
      </c>
      <c r="B10" s="4" t="s">
        <v>76</v>
      </c>
      <c r="C10" s="4" t="s">
        <v>60</v>
      </c>
      <c r="D10" s="4" t="s">
        <v>21</v>
      </c>
      <c r="F10" s="4" t="s">
        <v>77</v>
      </c>
      <c r="G10" s="4" t="s">
        <v>78</v>
      </c>
      <c r="H10" s="4" t="s">
        <v>79</v>
      </c>
      <c r="M10" s="4" t="s">
        <v>26</v>
      </c>
      <c r="N10" s="6">
        <v>46079.0</v>
      </c>
      <c r="O10" s="4" t="s">
        <v>27</v>
      </c>
      <c r="P10" s="4" t="s">
        <v>43</v>
      </c>
    </row>
    <row r="11">
      <c r="A11" s="4" t="s">
        <v>80</v>
      </c>
      <c r="B11" s="4" t="s">
        <v>81</v>
      </c>
      <c r="C11" s="4" t="s">
        <v>20</v>
      </c>
      <c r="D11" s="4" t="s">
        <v>5</v>
      </c>
      <c r="E11" s="4" t="s">
        <v>82</v>
      </c>
      <c r="F11" s="4" t="s">
        <v>83</v>
      </c>
      <c r="G11" s="4"/>
      <c r="H11" s="4" t="s">
        <v>84</v>
      </c>
      <c r="L11" s="4" t="s">
        <v>85</v>
      </c>
      <c r="M11" s="4" t="s">
        <v>26</v>
      </c>
      <c r="N11" s="6">
        <v>46050.0</v>
      </c>
      <c r="O11" s="4" t="s">
        <v>27</v>
      </c>
      <c r="P11" s="4" t="s">
        <v>43</v>
      </c>
      <c r="Q11" s="4" t="s">
        <v>86</v>
      </c>
    </row>
    <row r="12">
      <c r="A12" s="4" t="s">
        <v>87</v>
      </c>
      <c r="B12" s="4" t="s">
        <v>88</v>
      </c>
      <c r="C12" s="4" t="s">
        <v>20</v>
      </c>
      <c r="D12" s="4" t="s">
        <v>5</v>
      </c>
      <c r="E12" s="4" t="s">
        <v>82</v>
      </c>
      <c r="F12" s="4" t="s">
        <v>89</v>
      </c>
      <c r="H12" s="4" t="s">
        <v>90</v>
      </c>
      <c r="M12" s="4" t="s">
        <v>26</v>
      </c>
      <c r="N12" s="6">
        <v>46050.0</v>
      </c>
      <c r="O12" s="4" t="s">
        <v>27</v>
      </c>
      <c r="P12" s="4" t="s">
        <v>43</v>
      </c>
    </row>
    <row r="13">
      <c r="A13" s="4" t="s">
        <v>91</v>
      </c>
      <c r="B13" s="4" t="s">
        <v>92</v>
      </c>
      <c r="C13" s="4" t="s">
        <v>60</v>
      </c>
      <c r="D13" s="4" t="s">
        <v>21</v>
      </c>
      <c r="F13" s="4" t="s">
        <v>93</v>
      </c>
      <c r="G13" s="4" t="s">
        <v>94</v>
      </c>
      <c r="H13" s="4" t="s">
        <v>95</v>
      </c>
      <c r="L13" s="4" t="s">
        <v>96</v>
      </c>
      <c r="M13" s="4" t="s">
        <v>26</v>
      </c>
      <c r="N13" s="6">
        <v>46051.0</v>
      </c>
      <c r="O13" s="4" t="s">
        <v>27</v>
      </c>
      <c r="P13" s="4" t="s">
        <v>28</v>
      </c>
    </row>
    <row r="14">
      <c r="A14" s="4" t="s">
        <v>97</v>
      </c>
      <c r="B14" s="4" t="s">
        <v>98</v>
      </c>
      <c r="C14" s="4" t="s">
        <v>60</v>
      </c>
      <c r="D14" s="4" t="s">
        <v>21</v>
      </c>
      <c r="F14" s="4" t="s">
        <v>99</v>
      </c>
      <c r="G14" s="4" t="s">
        <v>100</v>
      </c>
      <c r="H14" s="4" t="s">
        <v>79</v>
      </c>
      <c r="L14" s="4" t="s">
        <v>101</v>
      </c>
      <c r="M14" s="4" t="s">
        <v>26</v>
      </c>
      <c r="N14" s="6">
        <v>46076.0</v>
      </c>
      <c r="O14" s="4" t="s">
        <v>27</v>
      </c>
      <c r="P14" s="4" t="s">
        <v>28</v>
      </c>
    </row>
    <row r="15">
      <c r="A15" s="4" t="s">
        <v>102</v>
      </c>
      <c r="B15" s="4" t="s">
        <v>103</v>
      </c>
      <c r="C15" s="4" t="s">
        <v>60</v>
      </c>
      <c r="D15" s="4" t="s">
        <v>5</v>
      </c>
      <c r="E15" s="4" t="s">
        <v>82</v>
      </c>
      <c r="F15" s="4" t="s">
        <v>104</v>
      </c>
      <c r="G15" s="4" t="s">
        <v>105</v>
      </c>
      <c r="H15" s="4" t="s">
        <v>106</v>
      </c>
      <c r="M15" s="4" t="s">
        <v>26</v>
      </c>
      <c r="N15" s="6">
        <v>46085.0</v>
      </c>
      <c r="O15" s="4" t="s">
        <v>27</v>
      </c>
      <c r="P15" s="4" t="s">
        <v>43</v>
      </c>
    </row>
    <row r="16">
      <c r="A16" s="4" t="s">
        <v>107</v>
      </c>
      <c r="B16" s="4" t="s">
        <v>108</v>
      </c>
      <c r="C16" s="4" t="s">
        <v>60</v>
      </c>
      <c r="D16" s="4" t="s">
        <v>21</v>
      </c>
      <c r="F16" s="4" t="s">
        <v>109</v>
      </c>
      <c r="G16" s="4" t="s">
        <v>110</v>
      </c>
      <c r="H16" s="4" t="s">
        <v>79</v>
      </c>
      <c r="M16" s="4" t="s">
        <v>26</v>
      </c>
      <c r="N16" s="6">
        <v>46099.0</v>
      </c>
      <c r="O16" s="4" t="s">
        <v>27</v>
      </c>
      <c r="P16" s="4" t="s">
        <v>43</v>
      </c>
    </row>
    <row r="17">
      <c r="A17" s="4" t="s">
        <v>111</v>
      </c>
      <c r="B17" s="4" t="s">
        <v>112</v>
      </c>
      <c r="C17" s="4" t="s">
        <v>60</v>
      </c>
      <c r="D17" s="4" t="s">
        <v>21</v>
      </c>
      <c r="F17" s="4" t="s">
        <v>113</v>
      </c>
      <c r="G17" s="4" t="s">
        <v>114</v>
      </c>
      <c r="H17" s="4" t="s">
        <v>115</v>
      </c>
      <c r="L17" s="4" t="s">
        <v>116</v>
      </c>
      <c r="M17" s="4" t="s">
        <v>26</v>
      </c>
      <c r="N17" s="6">
        <v>46104.0</v>
      </c>
      <c r="O17" s="4" t="s">
        <v>27</v>
      </c>
    </row>
    <row r="18">
      <c r="A18" s="4" t="s">
        <v>117</v>
      </c>
      <c r="B18" s="4" t="s">
        <v>118</v>
      </c>
      <c r="C18" s="4" t="s">
        <v>60</v>
      </c>
      <c r="D18" s="4" t="s">
        <v>21</v>
      </c>
      <c r="F18" s="4" t="s">
        <v>119</v>
      </c>
      <c r="G18" s="4" t="s">
        <v>120</v>
      </c>
      <c r="H18" s="4" t="s">
        <v>121</v>
      </c>
      <c r="L18" s="4" t="s">
        <v>122</v>
      </c>
      <c r="M18" s="4" t="s">
        <v>26</v>
      </c>
      <c r="N18" s="6">
        <v>46118.0</v>
      </c>
      <c r="O18" s="4" t="s">
        <v>27</v>
      </c>
      <c r="P18" s="4" t="s">
        <v>43</v>
      </c>
    </row>
  </sheetData>
  <hyperlinks>
    <hyperlink r:id="rId1" ref="G2"/>
    <hyperlink r:id="rId2" ref="I3"/>
    <hyperlink r:id="rId3" ref="I4"/>
    <hyperlink r:id="rId4" ref="I5"/>
    <hyperlink r:id="rId5" ref="F6"/>
    <hyperlink r:id="rId6" ref="G7"/>
    <hyperlink r:id="rId7" ref="I7"/>
    <hyperlink r:id="rId8" ref="I8"/>
    <hyperlink r:id="rId9" location="/subscriptions/subscription/2857046/bdb-view/13446838/configuration" ref="I9"/>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63"/>
    <col customWidth="1" min="4" max="4" width="25.13"/>
    <col customWidth="1" min="6" max="6" width="23.75"/>
  </cols>
  <sheetData>
    <row r="1">
      <c r="A1" s="4" t="s">
        <v>1</v>
      </c>
      <c r="B1" s="4" t="s">
        <v>123</v>
      </c>
      <c r="C1" s="4" t="s">
        <v>124</v>
      </c>
      <c r="D1" s="4" t="s">
        <v>125</v>
      </c>
      <c r="E1" s="4" t="s">
        <v>126</v>
      </c>
      <c r="F1" s="4" t="s">
        <v>127</v>
      </c>
    </row>
    <row r="2">
      <c r="A2" s="4">
        <v>1.0</v>
      </c>
      <c r="B2" s="4" t="s">
        <v>27</v>
      </c>
      <c r="C2" s="4" t="s">
        <v>128</v>
      </c>
      <c r="D2" s="4" t="s">
        <v>33</v>
      </c>
      <c r="E2" s="4" t="s">
        <v>129</v>
      </c>
      <c r="F2" s="4" t="s">
        <v>130</v>
      </c>
    </row>
    <row r="3">
      <c r="A3" s="4">
        <v>2.0</v>
      </c>
      <c r="B3" s="4" t="s">
        <v>110</v>
      </c>
      <c r="C3" s="4" t="s">
        <v>131</v>
      </c>
      <c r="D3" s="4" t="s">
        <v>132</v>
      </c>
      <c r="E3" s="4" t="s">
        <v>133</v>
      </c>
      <c r="F3" s="4" t="s">
        <v>134</v>
      </c>
    </row>
    <row r="4">
      <c r="A4" s="4">
        <v>3.0</v>
      </c>
      <c r="B4" s="4" t="s">
        <v>135</v>
      </c>
      <c r="C4" s="4" t="s">
        <v>136</v>
      </c>
      <c r="D4" s="4" t="s">
        <v>137</v>
      </c>
      <c r="E4" s="4" t="s">
        <v>133</v>
      </c>
      <c r="F4" s="4" t="s">
        <v>138</v>
      </c>
    </row>
    <row r="5">
      <c r="A5" s="4">
        <v>5.0</v>
      </c>
      <c r="B5" s="4" t="s">
        <v>139</v>
      </c>
      <c r="C5" s="4" t="s">
        <v>140</v>
      </c>
      <c r="D5" s="4" t="s">
        <v>141</v>
      </c>
      <c r="E5" s="4" t="s">
        <v>133</v>
      </c>
      <c r="F5" s="4" t="s">
        <v>142</v>
      </c>
    </row>
    <row r="6">
      <c r="A6" s="4">
        <v>6.0</v>
      </c>
      <c r="B6" s="4" t="s">
        <v>143</v>
      </c>
      <c r="C6" s="4" t="s">
        <v>144</v>
      </c>
      <c r="D6" s="4" t="s">
        <v>114</v>
      </c>
      <c r="E6" s="4" t="s">
        <v>133</v>
      </c>
      <c r="F6" s="4" t="s">
        <v>145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0.25"/>
    <col customWidth="1" min="3" max="3" width="28.63"/>
    <col customWidth="1" min="4" max="5" width="8.38"/>
    <col customWidth="1" min="6" max="6" width="35.0"/>
    <col customWidth="1" min="7" max="7" width="34.5"/>
    <col customWidth="1" min="8" max="8" width="11.88"/>
    <col customWidth="1" min="9" max="10" width="12.25"/>
    <col customWidth="1" min="11" max="11" width="14.0"/>
  </cols>
  <sheetData>
    <row r="1">
      <c r="A1" s="1" t="s">
        <v>146</v>
      </c>
      <c r="B1" s="1" t="s">
        <v>147</v>
      </c>
      <c r="C1" s="1" t="s">
        <v>148</v>
      </c>
      <c r="D1" s="1" t="s">
        <v>149</v>
      </c>
      <c r="E1" s="1" t="s">
        <v>150</v>
      </c>
      <c r="F1" s="1" t="s">
        <v>151</v>
      </c>
      <c r="G1" s="1" t="s">
        <v>152</v>
      </c>
      <c r="H1" s="1" t="s">
        <v>153</v>
      </c>
      <c r="I1" s="1" t="s">
        <v>154</v>
      </c>
      <c r="J1" s="1" t="s">
        <v>155</v>
      </c>
      <c r="K1" s="1" t="s">
        <v>156</v>
      </c>
      <c r="L1" s="1" t="s">
        <v>157</v>
      </c>
    </row>
    <row r="2">
      <c r="A2" s="7" t="s">
        <v>158</v>
      </c>
      <c r="B2" s="7" t="s">
        <v>159</v>
      </c>
      <c r="C2" s="8" t="s">
        <v>160</v>
      </c>
      <c r="D2" s="8"/>
      <c r="E2" s="8"/>
      <c r="F2" s="4" t="s">
        <v>161</v>
      </c>
      <c r="G2" s="9" t="s">
        <v>162</v>
      </c>
      <c r="H2" s="5" t="s">
        <v>163</v>
      </c>
      <c r="K2" s="5" t="s">
        <v>164</v>
      </c>
      <c r="L2" s="10" t="s">
        <v>165</v>
      </c>
    </row>
    <row r="3">
      <c r="A3" s="7" t="s">
        <v>166</v>
      </c>
      <c r="B3" s="7" t="s">
        <v>167</v>
      </c>
      <c r="C3" s="11"/>
      <c r="F3" s="4" t="s">
        <v>168</v>
      </c>
      <c r="G3" s="4" t="s">
        <v>169</v>
      </c>
      <c r="K3" s="5" t="s">
        <v>170</v>
      </c>
      <c r="L3" s="4" t="s">
        <v>171</v>
      </c>
    </row>
    <row r="4">
      <c r="A4" s="7" t="s">
        <v>172</v>
      </c>
      <c r="B4" s="7" t="s">
        <v>173</v>
      </c>
      <c r="C4" s="11" t="s">
        <v>174</v>
      </c>
      <c r="F4" s="4" t="s">
        <v>175</v>
      </c>
      <c r="G4" s="4" t="s">
        <v>176</v>
      </c>
      <c r="H4" s="5" t="s">
        <v>177</v>
      </c>
      <c r="K4" s="5" t="s">
        <v>178</v>
      </c>
      <c r="L4" s="5" t="s">
        <v>179</v>
      </c>
    </row>
    <row r="5">
      <c r="A5" s="7" t="s">
        <v>180</v>
      </c>
      <c r="B5" s="7" t="s">
        <v>181</v>
      </c>
      <c r="C5" s="11" t="s">
        <v>182</v>
      </c>
      <c r="F5" s="4" t="s">
        <v>183</v>
      </c>
      <c r="G5" s="4" t="s">
        <v>184</v>
      </c>
      <c r="H5" s="5" t="s">
        <v>185</v>
      </c>
      <c r="K5" s="5" t="s">
        <v>186</v>
      </c>
      <c r="L5" s="5" t="s">
        <v>187</v>
      </c>
    </row>
    <row r="6">
      <c r="A6" s="7" t="s">
        <v>188</v>
      </c>
      <c r="B6" s="7" t="s">
        <v>181</v>
      </c>
      <c r="C6" s="4" t="s">
        <v>189</v>
      </c>
      <c r="F6" s="8" t="s">
        <v>183</v>
      </c>
      <c r="G6" s="4" t="s">
        <v>190</v>
      </c>
      <c r="H6" s="5" t="s">
        <v>191</v>
      </c>
      <c r="K6" s="5" t="s">
        <v>192</v>
      </c>
      <c r="L6" s="5" t="s">
        <v>193</v>
      </c>
    </row>
    <row r="7">
      <c r="A7" s="7" t="s">
        <v>194</v>
      </c>
      <c r="B7" s="7" t="s">
        <v>195</v>
      </c>
      <c r="F7" s="4" t="s">
        <v>196</v>
      </c>
      <c r="G7" s="4" t="s">
        <v>197</v>
      </c>
      <c r="K7" s="5" t="s">
        <v>198</v>
      </c>
      <c r="L7" s="5" t="s">
        <v>199</v>
      </c>
    </row>
    <row r="8">
      <c r="A8" s="7" t="s">
        <v>200</v>
      </c>
      <c r="B8" s="7" t="s">
        <v>159</v>
      </c>
      <c r="F8" s="8" t="s">
        <v>201</v>
      </c>
      <c r="G8" s="4" t="s">
        <v>202</v>
      </c>
      <c r="K8" s="5" t="s">
        <v>203</v>
      </c>
      <c r="L8" s="5" t="s">
        <v>204</v>
      </c>
    </row>
    <row r="9">
      <c r="A9" s="7" t="s">
        <v>205</v>
      </c>
      <c r="B9" s="7" t="s">
        <v>159</v>
      </c>
      <c r="F9" s="8" t="s">
        <v>206</v>
      </c>
      <c r="G9" s="4" t="s">
        <v>202</v>
      </c>
      <c r="K9" s="5" t="s">
        <v>207</v>
      </c>
      <c r="L9" s="5" t="s">
        <v>204</v>
      </c>
    </row>
    <row r="10">
      <c r="A10" s="7" t="s">
        <v>208</v>
      </c>
      <c r="B10" s="7" t="s">
        <v>159</v>
      </c>
      <c r="F10" s="8" t="s">
        <v>161</v>
      </c>
      <c r="G10" s="4" t="s">
        <v>209</v>
      </c>
      <c r="K10" s="5" t="s">
        <v>164</v>
      </c>
      <c r="L10" s="4" t="s">
        <v>210</v>
      </c>
    </row>
    <row r="11">
      <c r="A11" s="7" t="s">
        <v>211</v>
      </c>
      <c r="B11" s="7" t="s">
        <v>159</v>
      </c>
      <c r="F11" s="4" t="s">
        <v>161</v>
      </c>
      <c r="G11" s="4" t="s">
        <v>209</v>
      </c>
      <c r="K11" s="5" t="s">
        <v>164</v>
      </c>
      <c r="L11" s="4" t="s">
        <v>210</v>
      </c>
    </row>
    <row r="12">
      <c r="A12" s="7" t="s">
        <v>211</v>
      </c>
      <c r="B12" s="7" t="s">
        <v>167</v>
      </c>
      <c r="C12" s="4" t="s">
        <v>212</v>
      </c>
      <c r="F12" s="4" t="s">
        <v>213</v>
      </c>
      <c r="G12" s="4" t="s">
        <v>214</v>
      </c>
      <c r="H12" s="5" t="s">
        <v>215</v>
      </c>
      <c r="K12" s="5" t="s">
        <v>216</v>
      </c>
      <c r="L12" s="5" t="s">
        <v>217</v>
      </c>
    </row>
    <row r="13">
      <c r="A13" s="7" t="s">
        <v>211</v>
      </c>
      <c r="B13" s="7" t="s">
        <v>173</v>
      </c>
      <c r="C13" s="4" t="s">
        <v>174</v>
      </c>
      <c r="F13" s="4" t="s">
        <v>175</v>
      </c>
      <c r="G13" s="4" t="s">
        <v>176</v>
      </c>
      <c r="H13" s="5" t="s">
        <v>177</v>
      </c>
      <c r="K13" s="5" t="s">
        <v>178</v>
      </c>
      <c r="L13" s="5" t="s">
        <v>179</v>
      </c>
    </row>
    <row r="14">
      <c r="A14" s="7" t="s">
        <v>211</v>
      </c>
      <c r="B14" s="7" t="s">
        <v>218</v>
      </c>
      <c r="C14" s="4" t="s">
        <v>219</v>
      </c>
      <c r="F14" s="4" t="s">
        <v>220</v>
      </c>
      <c r="G14" s="4" t="s">
        <v>221</v>
      </c>
      <c r="H14" s="5" t="s">
        <v>222</v>
      </c>
      <c r="K14" s="5" t="s">
        <v>223</v>
      </c>
      <c r="L14" s="4" t="s">
        <v>224</v>
      </c>
    </row>
    <row r="15">
      <c r="A15" s="7" t="s">
        <v>211</v>
      </c>
      <c r="B15" s="7" t="s">
        <v>167</v>
      </c>
      <c r="F15" s="4" t="s">
        <v>168</v>
      </c>
      <c r="G15" s="4" t="s">
        <v>225</v>
      </c>
      <c r="K15" s="5" t="s">
        <v>170</v>
      </c>
      <c r="L15" s="4" t="s">
        <v>226</v>
      </c>
    </row>
    <row r="16">
      <c r="A16" s="7" t="s">
        <v>227</v>
      </c>
      <c r="B16" s="7" t="s">
        <v>228</v>
      </c>
      <c r="C16" s="4" t="s">
        <v>229</v>
      </c>
      <c r="F16" s="4" t="s">
        <v>230</v>
      </c>
      <c r="G16" s="4" t="s">
        <v>231</v>
      </c>
      <c r="H16" s="5" t="s">
        <v>232</v>
      </c>
      <c r="K16" s="5" t="s">
        <v>233</v>
      </c>
      <c r="L16" s="4" t="s">
        <v>234</v>
      </c>
    </row>
    <row r="17">
      <c r="A17" s="7" t="s">
        <v>235</v>
      </c>
      <c r="B17" s="7" t="s">
        <v>173</v>
      </c>
      <c r="C17" s="4" t="s">
        <v>174</v>
      </c>
      <c r="D17" s="4" t="s">
        <v>236</v>
      </c>
      <c r="F17" s="4" t="s">
        <v>175</v>
      </c>
      <c r="G17" s="4" t="s">
        <v>176</v>
      </c>
      <c r="H17" s="5" t="s">
        <v>177</v>
      </c>
      <c r="I17" s="5" t="s">
        <v>237</v>
      </c>
      <c r="K17" s="5" t="s">
        <v>238</v>
      </c>
      <c r="L17" s="5" t="s">
        <v>179</v>
      </c>
    </row>
    <row r="18">
      <c r="A18" s="7" t="s">
        <v>239</v>
      </c>
      <c r="B18" s="7" t="s">
        <v>240</v>
      </c>
      <c r="C18" s="4" t="s">
        <v>241</v>
      </c>
      <c r="F18" s="4" t="s">
        <v>242</v>
      </c>
      <c r="G18" s="4" t="s">
        <v>243</v>
      </c>
      <c r="H18" s="5" t="s">
        <v>244</v>
      </c>
      <c r="K18" s="5" t="s">
        <v>245</v>
      </c>
      <c r="L18" s="5" t="s">
        <v>246</v>
      </c>
    </row>
    <row r="19">
      <c r="A19" s="7" t="s">
        <v>247</v>
      </c>
      <c r="B19" s="7" t="s">
        <v>248</v>
      </c>
      <c r="C19" s="4" t="s">
        <v>249</v>
      </c>
      <c r="F19" s="4" t="s">
        <v>250</v>
      </c>
      <c r="G19" s="4" t="s">
        <v>251</v>
      </c>
      <c r="H19" s="5" t="s">
        <v>252</v>
      </c>
      <c r="K19" s="5" t="s">
        <v>253</v>
      </c>
      <c r="L19" s="5" t="s">
        <v>254</v>
      </c>
    </row>
    <row r="20">
      <c r="A20" s="7" t="s">
        <v>255</v>
      </c>
      <c r="B20" s="7" t="s">
        <v>159</v>
      </c>
      <c r="F20" s="4" t="s">
        <v>256</v>
      </c>
      <c r="G20" s="4" t="s">
        <v>257</v>
      </c>
      <c r="K20" s="5" t="s">
        <v>258</v>
      </c>
      <c r="L20" s="5" t="s">
        <v>259</v>
      </c>
    </row>
    <row r="21">
      <c r="A21" s="7" t="s">
        <v>260</v>
      </c>
      <c r="B21" s="7" t="s">
        <v>159</v>
      </c>
      <c r="F21" s="4" t="s">
        <v>261</v>
      </c>
      <c r="G21" s="4" t="s">
        <v>262</v>
      </c>
      <c r="K21" s="5" t="s">
        <v>263</v>
      </c>
      <c r="L21" s="5" t="s">
        <v>264</v>
      </c>
    </row>
    <row r="22">
      <c r="A22" s="7" t="s">
        <v>265</v>
      </c>
      <c r="B22" s="7" t="s">
        <v>159</v>
      </c>
      <c r="F22" s="4" t="s">
        <v>261</v>
      </c>
      <c r="G22" s="4" t="s">
        <v>266</v>
      </c>
      <c r="K22" s="5" t="s">
        <v>263</v>
      </c>
      <c r="L22" s="5" t="s">
        <v>267</v>
      </c>
    </row>
    <row r="23">
      <c r="A23" s="7" t="s">
        <v>268</v>
      </c>
      <c r="B23" s="7" t="s">
        <v>159</v>
      </c>
      <c r="F23" s="4" t="s">
        <v>261</v>
      </c>
      <c r="G23" s="4" t="s">
        <v>266</v>
      </c>
      <c r="K23" s="5" t="s">
        <v>263</v>
      </c>
      <c r="L23" s="5" t="s">
        <v>267</v>
      </c>
    </row>
    <row r="24">
      <c r="A24" s="7" t="s">
        <v>269</v>
      </c>
      <c r="B24" s="7" t="s">
        <v>218</v>
      </c>
      <c r="C24" s="4" t="s">
        <v>270</v>
      </c>
      <c r="F24" s="4" t="s">
        <v>271</v>
      </c>
      <c r="G24" s="4" t="s">
        <v>272</v>
      </c>
      <c r="H24" s="5" t="s">
        <v>273</v>
      </c>
      <c r="K24" s="5" t="s">
        <v>274</v>
      </c>
      <c r="L24" s="5" t="s">
        <v>275</v>
      </c>
    </row>
    <row r="25">
      <c r="A25" s="7" t="s">
        <v>276</v>
      </c>
      <c r="B25" s="7" t="s">
        <v>277</v>
      </c>
      <c r="C25" s="4" t="s">
        <v>278</v>
      </c>
      <c r="F25" s="4" t="s">
        <v>279</v>
      </c>
      <c r="G25" s="4" t="s">
        <v>280</v>
      </c>
      <c r="H25" s="5" t="s">
        <v>281</v>
      </c>
      <c r="K25" s="5" t="s">
        <v>282</v>
      </c>
      <c r="L25" s="5" t="s">
        <v>283</v>
      </c>
    </row>
    <row r="26">
      <c r="A26" s="7" t="s">
        <v>284</v>
      </c>
      <c r="B26" s="7" t="s">
        <v>277</v>
      </c>
      <c r="C26" s="4" t="s">
        <v>285</v>
      </c>
      <c r="F26" s="4" t="s">
        <v>279</v>
      </c>
      <c r="G26" s="4" t="s">
        <v>280</v>
      </c>
      <c r="H26" s="5" t="s">
        <v>286</v>
      </c>
      <c r="K26" s="5" t="s">
        <v>282</v>
      </c>
      <c r="L26" s="5" t="s">
        <v>283</v>
      </c>
    </row>
    <row r="27">
      <c r="A27" s="7" t="s">
        <v>287</v>
      </c>
      <c r="B27" s="7" t="s">
        <v>173</v>
      </c>
      <c r="C27" s="4" t="s">
        <v>174</v>
      </c>
      <c r="D27" s="4" t="s">
        <v>236</v>
      </c>
      <c r="F27" s="4" t="s">
        <v>175</v>
      </c>
      <c r="G27" s="4" t="s">
        <v>176</v>
      </c>
      <c r="H27" s="5" t="s">
        <v>177</v>
      </c>
      <c r="I27" s="5" t="s">
        <v>237</v>
      </c>
      <c r="K27" s="5" t="s">
        <v>238</v>
      </c>
      <c r="L27" s="5" t="s">
        <v>179</v>
      </c>
    </row>
    <row r="28">
      <c r="A28" s="7" t="s">
        <v>287</v>
      </c>
      <c r="B28" s="7" t="s">
        <v>181</v>
      </c>
      <c r="C28" s="4" t="s">
        <v>189</v>
      </c>
      <c r="F28" s="4" t="s">
        <v>183</v>
      </c>
      <c r="G28" s="4" t="s">
        <v>288</v>
      </c>
      <c r="H28" s="5" t="s">
        <v>191</v>
      </c>
      <c r="K28" s="5" t="s">
        <v>192</v>
      </c>
      <c r="L28" s="4" t="s">
        <v>289</v>
      </c>
    </row>
    <row r="29">
      <c r="A29" s="7" t="s">
        <v>290</v>
      </c>
      <c r="B29" s="7" t="s">
        <v>228</v>
      </c>
      <c r="F29" s="4" t="s">
        <v>291</v>
      </c>
      <c r="G29" s="4" t="s">
        <v>292</v>
      </c>
      <c r="K29" s="5" t="s">
        <v>293</v>
      </c>
      <c r="L29" s="5" t="s">
        <v>294</v>
      </c>
    </row>
    <row r="30">
      <c r="A30" s="7" t="s">
        <v>295</v>
      </c>
      <c r="B30" s="7" t="s">
        <v>296</v>
      </c>
      <c r="C30" s="4" t="s">
        <v>297</v>
      </c>
      <c r="F30" s="4" t="s">
        <v>298</v>
      </c>
      <c r="G30" s="4" t="s">
        <v>299</v>
      </c>
      <c r="H30" s="5" t="s">
        <v>300</v>
      </c>
      <c r="K30" s="5" t="s">
        <v>301</v>
      </c>
      <c r="L30" s="5" t="s">
        <v>302</v>
      </c>
    </row>
    <row r="31">
      <c r="A31" s="7" t="s">
        <v>303</v>
      </c>
      <c r="B31" s="7" t="s">
        <v>173</v>
      </c>
      <c r="C31" s="4" t="s">
        <v>174</v>
      </c>
      <c r="D31" s="4" t="s">
        <v>236</v>
      </c>
      <c r="F31" s="4" t="s">
        <v>175</v>
      </c>
      <c r="G31" s="4" t="s">
        <v>176</v>
      </c>
      <c r="H31" s="5" t="s">
        <v>177</v>
      </c>
      <c r="I31" s="5" t="s">
        <v>237</v>
      </c>
      <c r="K31" s="5" t="s">
        <v>238</v>
      </c>
      <c r="L31" s="5" t="s">
        <v>179</v>
      </c>
    </row>
    <row r="32">
      <c r="A32" s="7" t="s">
        <v>303</v>
      </c>
      <c r="B32" s="7" t="s">
        <v>240</v>
      </c>
      <c r="C32" s="4" t="s">
        <v>241</v>
      </c>
      <c r="F32" s="4" t="s">
        <v>242</v>
      </c>
      <c r="G32" s="4" t="s">
        <v>304</v>
      </c>
      <c r="H32" s="5" t="s">
        <v>244</v>
      </c>
      <c r="K32" s="5" t="s">
        <v>245</v>
      </c>
      <c r="L32" s="4" t="s">
        <v>305</v>
      </c>
    </row>
    <row r="33">
      <c r="A33" s="7" t="s">
        <v>303</v>
      </c>
      <c r="B33" s="7" t="s">
        <v>248</v>
      </c>
      <c r="C33" s="4" t="s">
        <v>249</v>
      </c>
      <c r="F33" s="4" t="s">
        <v>250</v>
      </c>
      <c r="G33" s="4" t="s">
        <v>306</v>
      </c>
      <c r="H33" s="5" t="s">
        <v>252</v>
      </c>
      <c r="K33" s="5" t="s">
        <v>253</v>
      </c>
      <c r="L33" s="4" t="s">
        <v>307</v>
      </c>
    </row>
    <row r="34">
      <c r="A34" s="7" t="s">
        <v>308</v>
      </c>
      <c r="B34" s="7" t="s">
        <v>167</v>
      </c>
      <c r="F34" s="4" t="s">
        <v>309</v>
      </c>
      <c r="G34" s="4" t="s">
        <v>310</v>
      </c>
      <c r="K34" s="5" t="s">
        <v>311</v>
      </c>
      <c r="L34" s="4" t="s">
        <v>312</v>
      </c>
    </row>
    <row r="35">
      <c r="A35" s="7" t="s">
        <v>313</v>
      </c>
      <c r="B35" s="7" t="s">
        <v>159</v>
      </c>
      <c r="C35" s="4" t="s">
        <v>314</v>
      </c>
      <c r="F35" s="4" t="s">
        <v>315</v>
      </c>
      <c r="G35" s="4" t="s">
        <v>316</v>
      </c>
      <c r="H35" s="5" t="s">
        <v>317</v>
      </c>
      <c r="K35" s="5" t="s">
        <v>318</v>
      </c>
      <c r="L35" s="5" t="s">
        <v>319</v>
      </c>
    </row>
    <row r="36">
      <c r="A36" s="7" t="s">
        <v>320</v>
      </c>
      <c r="B36" s="7" t="s">
        <v>159</v>
      </c>
      <c r="C36" s="4" t="s">
        <v>321</v>
      </c>
      <c r="F36" s="4" t="s">
        <v>322</v>
      </c>
      <c r="G36" s="4" t="s">
        <v>316</v>
      </c>
      <c r="H36" s="5" t="s">
        <v>323</v>
      </c>
      <c r="K36" s="5" t="s">
        <v>324</v>
      </c>
      <c r="L36" s="5" t="s">
        <v>319</v>
      </c>
    </row>
    <row r="37">
      <c r="A37" s="7" t="s">
        <v>325</v>
      </c>
      <c r="B37" s="7" t="s">
        <v>326</v>
      </c>
      <c r="C37" s="4" t="s">
        <v>327</v>
      </c>
      <c r="F37" s="4" t="s">
        <v>328</v>
      </c>
      <c r="G37" s="4" t="s">
        <v>329</v>
      </c>
      <c r="H37" s="4" t="s">
        <v>330</v>
      </c>
      <c r="K37" s="4" t="s">
        <v>331</v>
      </c>
      <c r="L37" s="4" t="s">
        <v>332</v>
      </c>
    </row>
    <row r="38">
      <c r="A38" s="7" t="s">
        <v>333</v>
      </c>
      <c r="B38" s="7" t="s">
        <v>334</v>
      </c>
      <c r="C38" s="4" t="s">
        <v>335</v>
      </c>
      <c r="F38" s="4" t="s">
        <v>336</v>
      </c>
      <c r="G38" s="4" t="s">
        <v>337</v>
      </c>
      <c r="H38" s="5" t="s">
        <v>338</v>
      </c>
      <c r="K38" s="5" t="s">
        <v>339</v>
      </c>
      <c r="L38" s="5" t="s">
        <v>340</v>
      </c>
    </row>
    <row r="39">
      <c r="A39" s="7" t="s">
        <v>341</v>
      </c>
      <c r="B39" s="7" t="s">
        <v>173</v>
      </c>
      <c r="C39" s="4" t="s">
        <v>174</v>
      </c>
      <c r="D39" s="4" t="s">
        <v>236</v>
      </c>
      <c r="F39" s="4" t="s">
        <v>175</v>
      </c>
      <c r="G39" s="4" t="s">
        <v>176</v>
      </c>
      <c r="H39" s="5" t="s">
        <v>342</v>
      </c>
      <c r="I39" s="5" t="s">
        <v>343</v>
      </c>
      <c r="K39" s="5" t="s">
        <v>238</v>
      </c>
      <c r="L39" s="5" t="s">
        <v>179</v>
      </c>
    </row>
    <row r="40">
      <c r="A40" s="7" t="s">
        <v>341</v>
      </c>
      <c r="B40" s="7" t="s">
        <v>218</v>
      </c>
      <c r="C40" s="4" t="s">
        <v>270</v>
      </c>
      <c r="F40" s="4" t="s">
        <v>271</v>
      </c>
      <c r="G40" s="4" t="s">
        <v>344</v>
      </c>
      <c r="H40" s="5" t="s">
        <v>345</v>
      </c>
      <c r="K40" s="5" t="s">
        <v>274</v>
      </c>
      <c r="L40" s="4" t="s">
        <v>346</v>
      </c>
    </row>
    <row r="41">
      <c r="A41" s="7" t="s">
        <v>347</v>
      </c>
      <c r="B41" s="7" t="s">
        <v>181</v>
      </c>
      <c r="C41" s="4" t="s">
        <v>348</v>
      </c>
      <c r="F41" s="4" t="s">
        <v>349</v>
      </c>
      <c r="G41" s="4" t="s">
        <v>350</v>
      </c>
      <c r="H41" s="5" t="s">
        <v>351</v>
      </c>
      <c r="K41" s="5" t="s">
        <v>352</v>
      </c>
      <c r="L41" s="5" t="s">
        <v>353</v>
      </c>
    </row>
    <row r="42">
      <c r="A42" s="7" t="s">
        <v>354</v>
      </c>
      <c r="B42" s="7" t="s">
        <v>167</v>
      </c>
      <c r="F42" s="4" t="s">
        <v>309</v>
      </c>
      <c r="G42" s="4" t="s">
        <v>355</v>
      </c>
      <c r="K42" s="5" t="s">
        <v>311</v>
      </c>
      <c r="L42" s="4" t="s">
        <v>356</v>
      </c>
    </row>
    <row r="43">
      <c r="A43" s="7" t="s">
        <v>357</v>
      </c>
      <c r="B43" s="7" t="s">
        <v>228</v>
      </c>
      <c r="F43" s="4" t="s">
        <v>291</v>
      </c>
      <c r="G43" s="4" t="s">
        <v>358</v>
      </c>
      <c r="K43" s="5" t="s">
        <v>293</v>
      </c>
      <c r="L43" s="5" t="s">
        <v>359</v>
      </c>
    </row>
    <row r="44">
      <c r="A44" s="7" t="s">
        <v>360</v>
      </c>
      <c r="B44" s="7" t="s">
        <v>195</v>
      </c>
      <c r="F44" s="4" t="s">
        <v>361</v>
      </c>
      <c r="G44" s="4" t="s">
        <v>362</v>
      </c>
      <c r="K44" s="5" t="s">
        <v>363</v>
      </c>
      <c r="L44" s="5" t="s">
        <v>364</v>
      </c>
    </row>
    <row r="45">
      <c r="A45" s="7" t="s">
        <v>365</v>
      </c>
      <c r="B45" s="7" t="s">
        <v>173</v>
      </c>
      <c r="C45" s="4" t="s">
        <v>174</v>
      </c>
      <c r="D45" s="4" t="s">
        <v>236</v>
      </c>
      <c r="F45" s="4" t="s">
        <v>175</v>
      </c>
      <c r="G45" s="4" t="s">
        <v>176</v>
      </c>
      <c r="H45" s="5" t="s">
        <v>342</v>
      </c>
      <c r="I45" s="5" t="s">
        <v>343</v>
      </c>
      <c r="K45" s="5" t="s">
        <v>238</v>
      </c>
      <c r="L45" s="5" t="s">
        <v>179</v>
      </c>
    </row>
    <row r="46">
      <c r="A46" s="7" t="s">
        <v>366</v>
      </c>
      <c r="B46" s="7" t="s">
        <v>367</v>
      </c>
      <c r="F46" s="4" t="s">
        <v>368</v>
      </c>
      <c r="G46" s="4" t="s">
        <v>369</v>
      </c>
      <c r="K46" s="5" t="s">
        <v>370</v>
      </c>
      <c r="L46" s="5" t="s">
        <v>371</v>
      </c>
    </row>
    <row r="47">
      <c r="A47" s="7" t="s">
        <v>372</v>
      </c>
      <c r="B47" s="7" t="s">
        <v>173</v>
      </c>
      <c r="C47" s="4" t="s">
        <v>174</v>
      </c>
      <c r="D47" s="4" t="s">
        <v>236</v>
      </c>
      <c r="F47" s="4" t="s">
        <v>175</v>
      </c>
      <c r="G47" s="4" t="s">
        <v>176</v>
      </c>
      <c r="H47" s="5" t="s">
        <v>342</v>
      </c>
      <c r="I47" s="5" t="s">
        <v>343</v>
      </c>
      <c r="K47" s="5" t="s">
        <v>238</v>
      </c>
      <c r="L47" s="5" t="s">
        <v>179</v>
      </c>
    </row>
    <row r="48">
      <c r="A48" s="7" t="s">
        <v>372</v>
      </c>
      <c r="B48" s="7" t="s">
        <v>167</v>
      </c>
      <c r="F48" s="4" t="s">
        <v>309</v>
      </c>
      <c r="G48" s="4" t="s">
        <v>355</v>
      </c>
      <c r="K48" s="5" t="s">
        <v>311</v>
      </c>
      <c r="L48" s="4" t="s">
        <v>356</v>
      </c>
    </row>
    <row r="49">
      <c r="A49" s="7" t="s">
        <v>373</v>
      </c>
      <c r="B49" s="7" t="s">
        <v>218</v>
      </c>
      <c r="C49" s="4" t="s">
        <v>374</v>
      </c>
      <c r="F49" s="4" t="s">
        <v>375</v>
      </c>
      <c r="G49" s="4" t="s">
        <v>376</v>
      </c>
      <c r="H49" s="5" t="s">
        <v>377</v>
      </c>
      <c r="K49" s="5" t="s">
        <v>378</v>
      </c>
      <c r="L49" s="5" t="s">
        <v>379</v>
      </c>
    </row>
    <row r="50">
      <c r="A50" s="7" t="s">
        <v>380</v>
      </c>
      <c r="B50" s="7" t="s">
        <v>248</v>
      </c>
      <c r="C50" s="4" t="s">
        <v>381</v>
      </c>
      <c r="F50" s="4" t="s">
        <v>382</v>
      </c>
      <c r="G50" s="4" t="s">
        <v>383</v>
      </c>
      <c r="H50" s="5" t="s">
        <v>384</v>
      </c>
      <c r="K50" s="5" t="s">
        <v>385</v>
      </c>
      <c r="L50" s="5" t="s">
        <v>386</v>
      </c>
    </row>
    <row r="51">
      <c r="A51" s="7" t="s">
        <v>387</v>
      </c>
      <c r="B51" s="7" t="s">
        <v>388</v>
      </c>
      <c r="C51" s="4" t="s">
        <v>389</v>
      </c>
      <c r="F51" s="4" t="s">
        <v>390</v>
      </c>
      <c r="G51" s="4" t="s">
        <v>391</v>
      </c>
      <c r="H51" s="5" t="s">
        <v>392</v>
      </c>
      <c r="K51" s="5" t="s">
        <v>393</v>
      </c>
      <c r="L51" s="5" t="s">
        <v>394</v>
      </c>
    </row>
    <row r="52">
      <c r="A52" s="7" t="s">
        <v>395</v>
      </c>
      <c r="B52" s="7" t="s">
        <v>240</v>
      </c>
      <c r="C52" s="4" t="s">
        <v>396</v>
      </c>
      <c r="F52" s="4" t="s">
        <v>397</v>
      </c>
      <c r="G52" s="4" t="s">
        <v>398</v>
      </c>
      <c r="H52" s="5" t="s">
        <v>399</v>
      </c>
      <c r="K52" s="5" t="s">
        <v>400</v>
      </c>
      <c r="L52" s="5" t="s">
        <v>401</v>
      </c>
    </row>
    <row r="53">
      <c r="A53" s="7" t="s">
        <v>402</v>
      </c>
      <c r="B53" s="7" t="s">
        <v>228</v>
      </c>
      <c r="F53" s="4" t="s">
        <v>403</v>
      </c>
      <c r="G53" s="4" t="s">
        <v>404</v>
      </c>
      <c r="K53" s="5" t="s">
        <v>405</v>
      </c>
      <c r="L53" s="5" t="s">
        <v>406</v>
      </c>
    </row>
    <row r="54">
      <c r="A54" s="7" t="s">
        <v>407</v>
      </c>
      <c r="B54" s="7" t="s">
        <v>296</v>
      </c>
      <c r="C54" s="4" t="s">
        <v>408</v>
      </c>
      <c r="F54" s="4" t="s">
        <v>409</v>
      </c>
      <c r="G54" s="4" t="s">
        <v>410</v>
      </c>
      <c r="H54" s="5" t="s">
        <v>411</v>
      </c>
      <c r="K54" s="5" t="s">
        <v>412</v>
      </c>
      <c r="L54" s="5" t="s">
        <v>413</v>
      </c>
    </row>
    <row r="55">
      <c r="A55" s="7" t="s">
        <v>414</v>
      </c>
      <c r="B55" s="7" t="s">
        <v>277</v>
      </c>
      <c r="C55" s="4" t="s">
        <v>415</v>
      </c>
      <c r="F55" s="4" t="s">
        <v>416</v>
      </c>
      <c r="G55" s="4" t="s">
        <v>417</v>
      </c>
      <c r="H55" s="5" t="s">
        <v>418</v>
      </c>
      <c r="K55" s="5" t="s">
        <v>419</v>
      </c>
      <c r="L55" s="5" t="s">
        <v>420</v>
      </c>
    </row>
    <row r="56">
      <c r="A56" s="7" t="s">
        <v>421</v>
      </c>
      <c r="B56" s="7" t="s">
        <v>422</v>
      </c>
      <c r="C56" s="4" t="s">
        <v>423</v>
      </c>
      <c r="F56" s="4" t="s">
        <v>424</v>
      </c>
      <c r="G56" s="4" t="s">
        <v>425</v>
      </c>
      <c r="H56" s="5" t="s">
        <v>426</v>
      </c>
      <c r="K56" s="5" t="s">
        <v>427</v>
      </c>
      <c r="L56" s="5" t="s">
        <v>428</v>
      </c>
    </row>
    <row r="57">
      <c r="A57" s="7" t="s">
        <v>429</v>
      </c>
      <c r="B57" s="7" t="s">
        <v>167</v>
      </c>
      <c r="F57" s="4" t="s">
        <v>309</v>
      </c>
      <c r="G57" s="4" t="s">
        <v>355</v>
      </c>
      <c r="K57" s="5" t="s">
        <v>311</v>
      </c>
      <c r="L57" s="4" t="s">
        <v>356</v>
      </c>
    </row>
    <row r="58">
      <c r="A58" s="7" t="s">
        <v>430</v>
      </c>
      <c r="B58" s="7" t="s">
        <v>388</v>
      </c>
      <c r="C58" s="4" t="s">
        <v>389</v>
      </c>
      <c r="F58" s="4" t="s">
        <v>390</v>
      </c>
      <c r="G58" s="4" t="s">
        <v>431</v>
      </c>
      <c r="H58" s="5" t="s">
        <v>392</v>
      </c>
      <c r="K58" s="5" t="s">
        <v>393</v>
      </c>
      <c r="L58" s="4" t="s">
        <v>432</v>
      </c>
    </row>
    <row r="59">
      <c r="A59" s="7" t="s">
        <v>433</v>
      </c>
      <c r="B59" s="7" t="s">
        <v>167</v>
      </c>
      <c r="F59" s="4" t="s">
        <v>434</v>
      </c>
      <c r="G59" s="4" t="s">
        <v>435</v>
      </c>
      <c r="K59" s="5" t="s">
        <v>436</v>
      </c>
      <c r="L59" s="4" t="s">
        <v>437</v>
      </c>
    </row>
    <row r="60">
      <c r="A60" s="7" t="s">
        <v>438</v>
      </c>
      <c r="B60" s="7" t="s">
        <v>218</v>
      </c>
      <c r="C60" s="4" t="s">
        <v>374</v>
      </c>
      <c r="F60" s="4" t="s">
        <v>375</v>
      </c>
      <c r="G60" s="4" t="s">
        <v>439</v>
      </c>
      <c r="H60" s="5" t="s">
        <v>377</v>
      </c>
      <c r="K60" s="5" t="s">
        <v>378</v>
      </c>
      <c r="L60" s="4" t="s">
        <v>440</v>
      </c>
    </row>
    <row r="61">
      <c r="A61" s="7" t="s">
        <v>441</v>
      </c>
      <c r="B61" s="7" t="s">
        <v>442</v>
      </c>
      <c r="C61" s="4" t="s">
        <v>443</v>
      </c>
      <c r="F61" s="4" t="s">
        <v>444</v>
      </c>
      <c r="G61" s="4" t="s">
        <v>445</v>
      </c>
      <c r="H61" s="5" t="s">
        <v>446</v>
      </c>
      <c r="K61" s="5" t="s">
        <v>447</v>
      </c>
      <c r="L61" s="5" t="s">
        <v>448</v>
      </c>
    </row>
    <row r="62">
      <c r="A62" s="7" t="s">
        <v>449</v>
      </c>
      <c r="B62" s="7" t="s">
        <v>167</v>
      </c>
      <c r="F62" s="4" t="s">
        <v>309</v>
      </c>
      <c r="G62" s="4" t="s">
        <v>450</v>
      </c>
      <c r="K62" s="5" t="s">
        <v>311</v>
      </c>
      <c r="L62" s="4" t="s">
        <v>451</v>
      </c>
    </row>
    <row r="63">
      <c r="A63" s="7" t="s">
        <v>452</v>
      </c>
      <c r="B63" s="7" t="s">
        <v>388</v>
      </c>
      <c r="C63" s="4" t="s">
        <v>453</v>
      </c>
      <c r="D63" s="4" t="s">
        <v>454</v>
      </c>
      <c r="F63" s="4" t="s">
        <v>455</v>
      </c>
      <c r="G63" s="4" t="s">
        <v>456</v>
      </c>
      <c r="H63" s="5" t="s">
        <v>457</v>
      </c>
      <c r="I63" s="5" t="s">
        <v>458</v>
      </c>
      <c r="K63" s="5" t="s">
        <v>459</v>
      </c>
      <c r="L63" s="5" t="s">
        <v>460</v>
      </c>
    </row>
    <row r="64">
      <c r="A64" s="7" t="s">
        <v>461</v>
      </c>
      <c r="B64" s="7" t="s">
        <v>181</v>
      </c>
      <c r="C64" s="4" t="s">
        <v>462</v>
      </c>
      <c r="F64" s="4" t="s">
        <v>463</v>
      </c>
      <c r="G64" s="4" t="s">
        <v>464</v>
      </c>
      <c r="H64" s="5" t="s">
        <v>465</v>
      </c>
      <c r="K64" s="5" t="s">
        <v>466</v>
      </c>
      <c r="L64" s="5" t="s">
        <v>467</v>
      </c>
    </row>
    <row r="65">
      <c r="A65" s="7" t="s">
        <v>468</v>
      </c>
      <c r="B65" s="7" t="s">
        <v>167</v>
      </c>
      <c r="F65" s="4" t="s">
        <v>434</v>
      </c>
      <c r="G65" s="4" t="s">
        <v>469</v>
      </c>
      <c r="K65" s="5" t="s">
        <v>436</v>
      </c>
      <c r="L65" s="4" t="s">
        <v>470</v>
      </c>
    </row>
    <row r="66">
      <c r="A66" s="7" t="s">
        <v>471</v>
      </c>
      <c r="B66" s="7" t="s">
        <v>195</v>
      </c>
      <c r="F66" s="4" t="s">
        <v>472</v>
      </c>
      <c r="G66" s="4" t="s">
        <v>473</v>
      </c>
      <c r="K66" s="5" t="s">
        <v>474</v>
      </c>
      <c r="L66" s="5" t="s">
        <v>475</v>
      </c>
    </row>
    <row r="67">
      <c r="A67" s="7" t="s">
        <v>476</v>
      </c>
      <c r="B67" s="7" t="s">
        <v>167</v>
      </c>
      <c r="F67" s="4" t="s">
        <v>434</v>
      </c>
      <c r="G67" s="4" t="s">
        <v>469</v>
      </c>
      <c r="K67" s="5" t="s">
        <v>436</v>
      </c>
      <c r="L67" s="4" t="s">
        <v>470</v>
      </c>
    </row>
    <row r="68">
      <c r="A68" s="7" t="s">
        <v>477</v>
      </c>
      <c r="B68" s="7" t="s">
        <v>218</v>
      </c>
      <c r="C68" s="4" t="s">
        <v>478</v>
      </c>
      <c r="F68" s="4" t="s">
        <v>479</v>
      </c>
      <c r="G68" s="4" t="s">
        <v>480</v>
      </c>
      <c r="H68" s="5" t="s">
        <v>481</v>
      </c>
      <c r="K68" s="5" t="s">
        <v>482</v>
      </c>
      <c r="L68" s="5" t="s">
        <v>483</v>
      </c>
    </row>
    <row r="69">
      <c r="A69" s="7" t="s">
        <v>484</v>
      </c>
      <c r="B69" s="7" t="s">
        <v>367</v>
      </c>
      <c r="F69" s="4" t="s">
        <v>485</v>
      </c>
      <c r="G69" s="4" t="s">
        <v>486</v>
      </c>
      <c r="K69" s="5" t="s">
        <v>487</v>
      </c>
      <c r="L69" s="5" t="s">
        <v>488</v>
      </c>
    </row>
    <row r="70">
      <c r="A70" s="7" t="s">
        <v>489</v>
      </c>
      <c r="B70" s="7" t="s">
        <v>334</v>
      </c>
      <c r="C70" s="4" t="s">
        <v>490</v>
      </c>
      <c r="F70" s="4" t="s">
        <v>491</v>
      </c>
      <c r="G70" s="4" t="s">
        <v>492</v>
      </c>
      <c r="H70" s="5" t="s">
        <v>493</v>
      </c>
      <c r="K70" s="5" t="s">
        <v>494</v>
      </c>
      <c r="L70" s="5" t="s">
        <v>495</v>
      </c>
    </row>
    <row r="71">
      <c r="A71" s="7" t="s">
        <v>496</v>
      </c>
      <c r="B71" s="7" t="s">
        <v>388</v>
      </c>
      <c r="C71" s="4" t="s">
        <v>497</v>
      </c>
      <c r="F71" s="4" t="s">
        <v>498</v>
      </c>
      <c r="G71" s="4" t="s">
        <v>499</v>
      </c>
      <c r="H71" s="5" t="s">
        <v>500</v>
      </c>
      <c r="K71" s="5" t="s">
        <v>501</v>
      </c>
      <c r="L71" s="5" t="s">
        <v>502</v>
      </c>
    </row>
    <row r="72">
      <c r="A72" s="7" t="s">
        <v>503</v>
      </c>
      <c r="B72" s="7" t="s">
        <v>422</v>
      </c>
      <c r="C72" s="4" t="s">
        <v>504</v>
      </c>
      <c r="F72" s="4" t="s">
        <v>505</v>
      </c>
      <c r="G72" s="4" t="s">
        <v>506</v>
      </c>
      <c r="H72" s="5" t="s">
        <v>507</v>
      </c>
      <c r="K72" s="5" t="s">
        <v>508</v>
      </c>
      <c r="L72" s="5" t="s">
        <v>509</v>
      </c>
    </row>
    <row r="73">
      <c r="A73" s="7" t="s">
        <v>510</v>
      </c>
      <c r="B73" s="7" t="s">
        <v>167</v>
      </c>
      <c r="F73" s="4" t="s">
        <v>434</v>
      </c>
      <c r="G73" s="4" t="s">
        <v>469</v>
      </c>
      <c r="K73" s="5" t="s">
        <v>436</v>
      </c>
      <c r="L73" s="4" t="s">
        <v>470</v>
      </c>
    </row>
    <row r="74">
      <c r="A74" s="7" t="s">
        <v>511</v>
      </c>
      <c r="B74" s="7" t="s">
        <v>228</v>
      </c>
      <c r="F74" s="4" t="s">
        <v>512</v>
      </c>
      <c r="G74" s="4" t="s">
        <v>513</v>
      </c>
      <c r="K74" s="5" t="s">
        <v>514</v>
      </c>
      <c r="L74" s="5" t="s">
        <v>515</v>
      </c>
    </row>
    <row r="75">
      <c r="A75" s="7" t="s">
        <v>516</v>
      </c>
      <c r="B75" s="7" t="s">
        <v>296</v>
      </c>
      <c r="C75" s="4" t="s">
        <v>517</v>
      </c>
      <c r="F75" s="4" t="s">
        <v>518</v>
      </c>
      <c r="G75" s="4" t="s">
        <v>519</v>
      </c>
      <c r="H75" s="5" t="s">
        <v>520</v>
      </c>
      <c r="K75" s="5" t="s">
        <v>521</v>
      </c>
      <c r="L75" s="5" t="s">
        <v>522</v>
      </c>
    </row>
    <row r="76">
      <c r="A76" s="7" t="s">
        <v>523</v>
      </c>
      <c r="B76" s="7" t="s">
        <v>248</v>
      </c>
      <c r="C76" s="4" t="s">
        <v>524</v>
      </c>
      <c r="F76" s="4" t="s">
        <v>525</v>
      </c>
      <c r="G76" s="4" t="s">
        <v>526</v>
      </c>
      <c r="H76" s="5" t="s">
        <v>527</v>
      </c>
      <c r="K76" s="5" t="s">
        <v>528</v>
      </c>
      <c r="L76" s="5" t="s">
        <v>529</v>
      </c>
    </row>
    <row r="77">
      <c r="A77" s="7" t="s">
        <v>530</v>
      </c>
      <c r="B77" s="7" t="s">
        <v>277</v>
      </c>
      <c r="C77" s="4" t="s">
        <v>531</v>
      </c>
      <c r="F77" s="4" t="s">
        <v>532</v>
      </c>
      <c r="G77" s="4" t="s">
        <v>533</v>
      </c>
      <c r="H77" s="5" t="s">
        <v>534</v>
      </c>
      <c r="K77" s="5" t="s">
        <v>535</v>
      </c>
      <c r="L77" s="5" t="s">
        <v>536</v>
      </c>
    </row>
    <row r="78">
      <c r="A78" s="7" t="s">
        <v>537</v>
      </c>
      <c r="B78" s="7" t="s">
        <v>240</v>
      </c>
      <c r="C78" s="4" t="s">
        <v>538</v>
      </c>
      <c r="F78" s="4" t="s">
        <v>539</v>
      </c>
      <c r="G78" s="4" t="s">
        <v>540</v>
      </c>
      <c r="H78" s="5" t="s">
        <v>541</v>
      </c>
      <c r="K78" s="5" t="s">
        <v>542</v>
      </c>
      <c r="L78" s="5" t="s">
        <v>543</v>
      </c>
    </row>
    <row r="79">
      <c r="A79" s="7" t="s">
        <v>544</v>
      </c>
      <c r="F79" s="4" t="s">
        <v>545</v>
      </c>
      <c r="G79" s="4" t="s">
        <v>546</v>
      </c>
    </row>
    <row r="80">
      <c r="A80" s="7" t="s">
        <v>547</v>
      </c>
      <c r="B80" s="7" t="s">
        <v>548</v>
      </c>
      <c r="F80" s="4" t="s">
        <v>545</v>
      </c>
      <c r="G80" s="4" t="s">
        <v>549</v>
      </c>
      <c r="K80" s="5" t="s">
        <v>550</v>
      </c>
      <c r="L80" s="5" t="s">
        <v>551</v>
      </c>
    </row>
    <row r="81">
      <c r="A81" s="7" t="s">
        <v>552</v>
      </c>
      <c r="B81" s="7" t="s">
        <v>388</v>
      </c>
      <c r="C81" s="4" t="s">
        <v>497</v>
      </c>
      <c r="F81" s="4" t="s">
        <v>498</v>
      </c>
      <c r="G81" s="4" t="s">
        <v>553</v>
      </c>
      <c r="H81" s="5" t="s">
        <v>500</v>
      </c>
      <c r="K81" s="5" t="s">
        <v>501</v>
      </c>
      <c r="L81" s="4" t="s">
        <v>554</v>
      </c>
    </row>
    <row r="82">
      <c r="A82" s="7" t="s">
        <v>555</v>
      </c>
      <c r="B82" s="7" t="s">
        <v>556</v>
      </c>
      <c r="F82" s="4" t="s">
        <v>557</v>
      </c>
      <c r="G82" s="4" t="s">
        <v>558</v>
      </c>
      <c r="K82" s="5" t="s">
        <v>559</v>
      </c>
      <c r="L82" s="5" t="s">
        <v>560</v>
      </c>
    </row>
    <row r="83">
      <c r="A83" s="7" t="s">
        <v>561</v>
      </c>
      <c r="B83" s="7" t="s">
        <v>218</v>
      </c>
      <c r="C83" s="4" t="s">
        <v>478</v>
      </c>
      <c r="F83" s="4" t="s">
        <v>479</v>
      </c>
      <c r="G83" s="4" t="s">
        <v>562</v>
      </c>
      <c r="H83" s="5" t="s">
        <v>481</v>
      </c>
      <c r="K83" s="5" t="s">
        <v>482</v>
      </c>
      <c r="L83" s="4" t="s">
        <v>563</v>
      </c>
    </row>
    <row r="84">
      <c r="A84" s="7" t="s">
        <v>564</v>
      </c>
      <c r="B84" s="7" t="s">
        <v>334</v>
      </c>
      <c r="C84" s="4" t="s">
        <v>490</v>
      </c>
      <c r="F84" s="4" t="s">
        <v>491</v>
      </c>
      <c r="G84" s="4" t="s">
        <v>565</v>
      </c>
      <c r="H84" s="5" t="s">
        <v>493</v>
      </c>
      <c r="K84" s="5" t="s">
        <v>494</v>
      </c>
      <c r="L84" s="4" t="s">
        <v>566</v>
      </c>
    </row>
    <row r="85">
      <c r="A85" s="7" t="s">
        <v>567</v>
      </c>
      <c r="B85" s="7" t="s">
        <v>167</v>
      </c>
      <c r="F85" s="4" t="s">
        <v>568</v>
      </c>
      <c r="G85" s="4" t="s">
        <v>569</v>
      </c>
      <c r="K85" s="5" t="s">
        <v>570</v>
      </c>
      <c r="L85" s="4" t="s">
        <v>571</v>
      </c>
    </row>
    <row r="86">
      <c r="A86" s="7" t="s">
        <v>572</v>
      </c>
      <c r="B86" s="7" t="s">
        <v>422</v>
      </c>
      <c r="C86" s="4" t="s">
        <v>504</v>
      </c>
      <c r="F86" s="4" t="s">
        <v>505</v>
      </c>
      <c r="G86" s="4" t="s">
        <v>573</v>
      </c>
      <c r="H86" s="5" t="s">
        <v>507</v>
      </c>
      <c r="K86" s="5" t="s">
        <v>508</v>
      </c>
      <c r="L86" s="4" t="s">
        <v>574</v>
      </c>
    </row>
    <row r="87">
      <c r="A87" s="7" t="s">
        <v>575</v>
      </c>
      <c r="B87" s="7" t="s">
        <v>388</v>
      </c>
      <c r="C87" s="4" t="s">
        <v>497</v>
      </c>
      <c r="F87" s="4" t="s">
        <v>498</v>
      </c>
      <c r="G87" s="4" t="s">
        <v>553</v>
      </c>
      <c r="H87" s="5" t="s">
        <v>500</v>
      </c>
      <c r="K87" s="5" t="s">
        <v>501</v>
      </c>
      <c r="L87" s="4" t="s">
        <v>554</v>
      </c>
    </row>
    <row r="88">
      <c r="A88" s="7" t="s">
        <v>576</v>
      </c>
      <c r="B88" s="7" t="s">
        <v>181</v>
      </c>
      <c r="C88" s="4" t="s">
        <v>577</v>
      </c>
      <c r="F88" s="4" t="s">
        <v>578</v>
      </c>
      <c r="G88" s="4" t="s">
        <v>579</v>
      </c>
      <c r="H88" s="5" t="s">
        <v>580</v>
      </c>
      <c r="K88" s="5" t="s">
        <v>581</v>
      </c>
      <c r="L88" s="5" t="s">
        <v>582</v>
      </c>
    </row>
    <row r="89">
      <c r="A89" s="7" t="s">
        <v>583</v>
      </c>
      <c r="B89" s="7" t="s">
        <v>334</v>
      </c>
      <c r="C89" s="4" t="s">
        <v>584</v>
      </c>
      <c r="F89" s="4" t="s">
        <v>585</v>
      </c>
      <c r="G89" s="4" t="s">
        <v>586</v>
      </c>
      <c r="H89" s="5" t="s">
        <v>587</v>
      </c>
      <c r="K89" s="5" t="s">
        <v>588</v>
      </c>
      <c r="L89" s="5" t="s">
        <v>589</v>
      </c>
    </row>
    <row r="90">
      <c r="A90" s="7" t="s">
        <v>590</v>
      </c>
      <c r="B90" s="7" t="s">
        <v>442</v>
      </c>
      <c r="C90" s="4" t="s">
        <v>591</v>
      </c>
      <c r="F90" s="4" t="s">
        <v>592</v>
      </c>
      <c r="G90" s="4" t="s">
        <v>593</v>
      </c>
      <c r="H90" s="5" t="s">
        <v>594</v>
      </c>
      <c r="K90" s="5" t="s">
        <v>595</v>
      </c>
      <c r="L90" s="5" t="s">
        <v>596</v>
      </c>
    </row>
    <row r="91">
      <c r="A91" s="7" t="s">
        <v>597</v>
      </c>
      <c r="B91" s="7" t="s">
        <v>548</v>
      </c>
      <c r="F91" s="4" t="s">
        <v>598</v>
      </c>
      <c r="G91" s="4" t="s">
        <v>599</v>
      </c>
      <c r="K91" s="5" t="s">
        <v>600</v>
      </c>
      <c r="L91" s="5" t="s">
        <v>601</v>
      </c>
    </row>
    <row r="92">
      <c r="A92" s="7" t="s">
        <v>602</v>
      </c>
      <c r="B92" s="7" t="s">
        <v>167</v>
      </c>
      <c r="F92" s="4" t="s">
        <v>568</v>
      </c>
      <c r="G92" s="4" t="s">
        <v>603</v>
      </c>
      <c r="K92" s="5" t="s">
        <v>570</v>
      </c>
      <c r="L92" s="4" t="s">
        <v>604</v>
      </c>
    </row>
    <row r="93">
      <c r="A93" s="7" t="s">
        <v>605</v>
      </c>
      <c r="B93" s="7" t="s">
        <v>195</v>
      </c>
      <c r="F93" s="4" t="s">
        <v>606</v>
      </c>
      <c r="G93" s="4" t="s">
        <v>607</v>
      </c>
      <c r="K93" s="5" t="s">
        <v>608</v>
      </c>
      <c r="L93" s="5" t="s">
        <v>609</v>
      </c>
    </row>
    <row r="94">
      <c r="A94" s="7" t="s">
        <v>610</v>
      </c>
      <c r="B94" s="7" t="s">
        <v>167</v>
      </c>
      <c r="F94" s="4" t="s">
        <v>568</v>
      </c>
      <c r="G94" s="4" t="s">
        <v>603</v>
      </c>
      <c r="K94" s="5" t="s">
        <v>570</v>
      </c>
      <c r="L94" s="4" t="s">
        <v>604</v>
      </c>
    </row>
    <row r="95">
      <c r="A95" s="7" t="s">
        <v>611</v>
      </c>
      <c r="B95" s="7" t="s">
        <v>167</v>
      </c>
      <c r="F95" s="4" t="s">
        <v>568</v>
      </c>
      <c r="G95" s="4" t="s">
        <v>603</v>
      </c>
      <c r="K95" s="5" t="s">
        <v>570</v>
      </c>
      <c r="L95" s="4" t="s">
        <v>604</v>
      </c>
    </row>
    <row r="96">
      <c r="A96" s="7" t="s">
        <v>611</v>
      </c>
      <c r="B96" s="7" t="s">
        <v>181</v>
      </c>
      <c r="C96" s="4" t="s">
        <v>577</v>
      </c>
      <c r="F96" s="4" t="s">
        <v>578</v>
      </c>
      <c r="G96" s="4" t="s">
        <v>612</v>
      </c>
      <c r="H96" s="5" t="s">
        <v>580</v>
      </c>
      <c r="K96" s="5" t="s">
        <v>581</v>
      </c>
      <c r="L96" s="4" t="s">
        <v>613</v>
      </c>
    </row>
    <row r="97">
      <c r="A97" s="7" t="s">
        <v>611</v>
      </c>
      <c r="B97" s="7" t="s">
        <v>334</v>
      </c>
      <c r="C97" s="4" t="s">
        <v>584</v>
      </c>
      <c r="F97" s="4" t="s">
        <v>585</v>
      </c>
      <c r="G97" s="4" t="s">
        <v>614</v>
      </c>
      <c r="H97" s="5" t="s">
        <v>587</v>
      </c>
      <c r="K97" s="5" t="s">
        <v>588</v>
      </c>
      <c r="L97" s="4" t="s">
        <v>615</v>
      </c>
    </row>
    <row r="98">
      <c r="A98" s="7" t="s">
        <v>616</v>
      </c>
      <c r="B98" s="7" t="s">
        <v>248</v>
      </c>
      <c r="C98" s="4" t="s">
        <v>617</v>
      </c>
      <c r="F98" s="4" t="s">
        <v>618</v>
      </c>
      <c r="G98" s="4" t="s">
        <v>619</v>
      </c>
      <c r="H98" s="5" t="s">
        <v>620</v>
      </c>
      <c r="K98" s="5" t="s">
        <v>621</v>
      </c>
      <c r="L98" s="5" t="s">
        <v>622</v>
      </c>
    </row>
    <row r="99">
      <c r="A99" s="7" t="s">
        <v>623</v>
      </c>
      <c r="B99" s="7" t="s">
        <v>422</v>
      </c>
      <c r="C99" s="4" t="s">
        <v>624</v>
      </c>
      <c r="F99" s="4" t="s">
        <v>625</v>
      </c>
      <c r="G99" s="4" t="s">
        <v>626</v>
      </c>
      <c r="H99" s="5" t="s">
        <v>627</v>
      </c>
      <c r="K99" s="5" t="s">
        <v>628</v>
      </c>
      <c r="L99" s="5" t="s">
        <v>629</v>
      </c>
    </row>
    <row r="100">
      <c r="A100" s="7" t="s">
        <v>630</v>
      </c>
      <c r="B100" s="7" t="s">
        <v>277</v>
      </c>
      <c r="C100" s="4" t="s">
        <v>631</v>
      </c>
      <c r="F100" s="4" t="s">
        <v>632</v>
      </c>
      <c r="G100" s="4" t="s">
        <v>633</v>
      </c>
      <c r="H100" s="5" t="s">
        <v>634</v>
      </c>
      <c r="K100" s="5" t="s">
        <v>635</v>
      </c>
      <c r="L100" s="5" t="s">
        <v>636</v>
      </c>
    </row>
    <row r="101">
      <c r="A101" s="7" t="s">
        <v>637</v>
      </c>
      <c r="B101" s="7" t="s">
        <v>240</v>
      </c>
      <c r="C101" s="4" t="s">
        <v>638</v>
      </c>
      <c r="F101" s="4" t="s">
        <v>639</v>
      </c>
      <c r="G101" s="4" t="s">
        <v>640</v>
      </c>
      <c r="H101" s="5" t="s">
        <v>641</v>
      </c>
      <c r="K101" s="5" t="s">
        <v>642</v>
      </c>
      <c r="L101" s="5" t="s">
        <v>643</v>
      </c>
    </row>
    <row r="102">
      <c r="A102" s="7" t="s">
        <v>644</v>
      </c>
      <c r="B102" s="7" t="s">
        <v>367</v>
      </c>
      <c r="F102" s="4" t="s">
        <v>645</v>
      </c>
      <c r="G102" s="4" t="s">
        <v>646</v>
      </c>
      <c r="K102" s="5" t="s">
        <v>647</v>
      </c>
      <c r="L102" s="5" t="s">
        <v>648</v>
      </c>
    </row>
    <row r="103">
      <c r="A103" s="7" t="s">
        <v>649</v>
      </c>
      <c r="B103" s="7" t="s">
        <v>167</v>
      </c>
      <c r="F103" s="4" t="s">
        <v>568</v>
      </c>
      <c r="G103" s="4" t="s">
        <v>603</v>
      </c>
      <c r="K103" s="5" t="s">
        <v>570</v>
      </c>
      <c r="L103" s="4" t="s">
        <v>604</v>
      </c>
    </row>
    <row r="104">
      <c r="A104" s="7" t="s">
        <v>650</v>
      </c>
      <c r="B104" s="7" t="s">
        <v>228</v>
      </c>
      <c r="F104" s="4" t="s">
        <v>651</v>
      </c>
      <c r="G104" s="4" t="s">
        <v>652</v>
      </c>
      <c r="K104" s="5" t="s">
        <v>653</v>
      </c>
      <c r="L104" s="5" t="s">
        <v>654</v>
      </c>
    </row>
    <row r="105">
      <c r="A105" s="7" t="s">
        <v>655</v>
      </c>
      <c r="B105" s="7" t="s">
        <v>296</v>
      </c>
      <c r="C105" s="4" t="s">
        <v>656</v>
      </c>
      <c r="F105" s="4" t="s">
        <v>657</v>
      </c>
      <c r="G105" s="4" t="s">
        <v>658</v>
      </c>
      <c r="H105" s="5" t="s">
        <v>659</v>
      </c>
      <c r="K105" s="5" t="s">
        <v>660</v>
      </c>
      <c r="L105" s="5" t="s">
        <v>661</v>
      </c>
    </row>
    <row r="106">
      <c r="A106" s="7" t="s">
        <v>662</v>
      </c>
      <c r="B106" s="7" t="s">
        <v>388</v>
      </c>
      <c r="C106" s="4" t="s">
        <v>663</v>
      </c>
      <c r="F106" s="4" t="s">
        <v>664</v>
      </c>
      <c r="G106" s="4" t="s">
        <v>665</v>
      </c>
      <c r="H106" s="5" t="s">
        <v>666</v>
      </c>
      <c r="K106" s="5" t="s">
        <v>667</v>
      </c>
      <c r="L106" s="5" t="s">
        <v>668</v>
      </c>
    </row>
    <row r="107">
      <c r="A107" s="7" t="s">
        <v>669</v>
      </c>
      <c r="B107" s="7" t="s">
        <v>248</v>
      </c>
      <c r="C107" s="4" t="s">
        <v>617</v>
      </c>
      <c r="F107" s="4" t="s">
        <v>618</v>
      </c>
      <c r="G107" s="4" t="s">
        <v>670</v>
      </c>
      <c r="H107" s="5" t="s">
        <v>620</v>
      </c>
      <c r="K107" s="5" t="s">
        <v>621</v>
      </c>
      <c r="L107" s="4" t="s">
        <v>671</v>
      </c>
    </row>
    <row r="108">
      <c r="A108" s="7" t="s">
        <v>672</v>
      </c>
      <c r="B108" s="7" t="s">
        <v>442</v>
      </c>
      <c r="C108" s="4" t="s">
        <v>673</v>
      </c>
      <c r="F108" s="4" t="s">
        <v>674</v>
      </c>
      <c r="G108" s="4" t="s">
        <v>675</v>
      </c>
      <c r="H108" s="5" t="s">
        <v>676</v>
      </c>
      <c r="K108" s="5" t="s">
        <v>677</v>
      </c>
      <c r="L108" s="5" t="s">
        <v>678</v>
      </c>
    </row>
    <row r="109">
      <c r="A109" s="7" t="s">
        <v>679</v>
      </c>
      <c r="B109" s="7" t="s">
        <v>218</v>
      </c>
      <c r="C109" s="4" t="s">
        <v>680</v>
      </c>
      <c r="F109" s="4" t="s">
        <v>681</v>
      </c>
      <c r="G109" s="4" t="s">
        <v>682</v>
      </c>
      <c r="H109" s="5" t="s">
        <v>683</v>
      </c>
      <c r="K109" s="5" t="s">
        <v>684</v>
      </c>
      <c r="L109" s="5" t="s">
        <v>685</v>
      </c>
    </row>
    <row r="110">
      <c r="A110" s="7" t="s">
        <v>686</v>
      </c>
      <c r="B110" s="7" t="s">
        <v>556</v>
      </c>
      <c r="F110" s="4" t="s">
        <v>687</v>
      </c>
      <c r="G110" s="4" t="s">
        <v>688</v>
      </c>
      <c r="K110" s="5" t="s">
        <v>689</v>
      </c>
      <c r="L110" s="5" t="s">
        <v>690</v>
      </c>
    </row>
    <row r="111">
      <c r="A111" s="7" t="s">
        <v>691</v>
      </c>
      <c r="B111" s="7" t="s">
        <v>422</v>
      </c>
      <c r="C111" s="4" t="s">
        <v>624</v>
      </c>
      <c r="F111" s="4" t="s">
        <v>625</v>
      </c>
      <c r="G111" s="4" t="s">
        <v>692</v>
      </c>
      <c r="H111" s="5" t="s">
        <v>627</v>
      </c>
      <c r="K111" s="5" t="s">
        <v>628</v>
      </c>
      <c r="L111" s="4" t="s">
        <v>693</v>
      </c>
    </row>
    <row r="112">
      <c r="A112" s="7" t="s">
        <v>694</v>
      </c>
      <c r="B112" s="7" t="s">
        <v>277</v>
      </c>
      <c r="C112" s="4" t="s">
        <v>631</v>
      </c>
      <c r="F112" s="4" t="s">
        <v>632</v>
      </c>
      <c r="G112" s="4" t="s">
        <v>695</v>
      </c>
      <c r="H112" s="5" t="s">
        <v>634</v>
      </c>
      <c r="K112" s="5" t="s">
        <v>635</v>
      </c>
      <c r="L112" s="4" t="s">
        <v>696</v>
      </c>
    </row>
    <row r="113">
      <c r="A113" s="7" t="s">
        <v>697</v>
      </c>
      <c r="B113" s="7" t="s">
        <v>334</v>
      </c>
      <c r="C113" s="4" t="s">
        <v>698</v>
      </c>
      <c r="F113" s="4" t="s">
        <v>699</v>
      </c>
      <c r="G113" s="4" t="s">
        <v>700</v>
      </c>
      <c r="H113" s="5" t="s">
        <v>701</v>
      </c>
      <c r="K113" s="5" t="s">
        <v>702</v>
      </c>
      <c r="L113" s="5" t="s">
        <v>703</v>
      </c>
    </row>
    <row r="114">
      <c r="A114" s="7" t="s">
        <v>704</v>
      </c>
      <c r="B114" s="7" t="s">
        <v>167</v>
      </c>
      <c r="F114" s="4" t="s">
        <v>705</v>
      </c>
      <c r="G114" s="4" t="s">
        <v>706</v>
      </c>
      <c r="K114" s="5" t="s">
        <v>707</v>
      </c>
      <c r="L114" s="4" t="s">
        <v>708</v>
      </c>
    </row>
    <row r="115">
      <c r="A115" s="7" t="s">
        <v>709</v>
      </c>
      <c r="B115" s="7" t="s">
        <v>167</v>
      </c>
      <c r="F115" s="4" t="s">
        <v>568</v>
      </c>
      <c r="G115" s="4" t="s">
        <v>603</v>
      </c>
      <c r="K115" s="5" t="s">
        <v>570</v>
      </c>
      <c r="L115" s="4" t="s">
        <v>604</v>
      </c>
    </row>
    <row r="116">
      <c r="A116" s="7" t="s">
        <v>710</v>
      </c>
      <c r="B116" s="7" t="s">
        <v>195</v>
      </c>
      <c r="F116" s="4" t="s">
        <v>711</v>
      </c>
      <c r="G116" s="4" t="s">
        <v>712</v>
      </c>
      <c r="K116" s="5" t="s">
        <v>713</v>
      </c>
      <c r="L116" s="5" t="s">
        <v>714</v>
      </c>
    </row>
    <row r="117">
      <c r="A117" s="7" t="s">
        <v>715</v>
      </c>
      <c r="B117" s="7" t="s">
        <v>181</v>
      </c>
      <c r="C117" s="4" t="s">
        <v>716</v>
      </c>
      <c r="F117" s="4" t="s">
        <v>717</v>
      </c>
      <c r="G117" s="4" t="s">
        <v>718</v>
      </c>
      <c r="H117" s="5" t="s">
        <v>719</v>
      </c>
      <c r="K117" s="5" t="s">
        <v>720</v>
      </c>
      <c r="L117" s="5" t="s">
        <v>721</v>
      </c>
    </row>
    <row r="118">
      <c r="A118" s="7" t="s">
        <v>722</v>
      </c>
      <c r="B118" s="7" t="s">
        <v>388</v>
      </c>
      <c r="C118" s="4" t="s">
        <v>663</v>
      </c>
      <c r="F118" s="4" t="s">
        <v>664</v>
      </c>
      <c r="G118" s="4" t="s">
        <v>723</v>
      </c>
      <c r="H118" s="5" t="s">
        <v>666</v>
      </c>
      <c r="K118" s="5" t="s">
        <v>667</v>
      </c>
      <c r="L118" s="4" t="s">
        <v>724</v>
      </c>
    </row>
    <row r="119">
      <c r="A119" s="7" t="s">
        <v>725</v>
      </c>
      <c r="B119" s="7" t="s">
        <v>228</v>
      </c>
      <c r="F119" s="4" t="s">
        <v>651</v>
      </c>
      <c r="G119" s="4" t="s">
        <v>726</v>
      </c>
      <c r="K119" s="5" t="s">
        <v>653</v>
      </c>
      <c r="L119" s="5" t="s">
        <v>727</v>
      </c>
    </row>
    <row r="120">
      <c r="A120" s="7" t="s">
        <v>725</v>
      </c>
      <c r="B120" s="7" t="s">
        <v>167</v>
      </c>
      <c r="F120" s="4" t="s">
        <v>705</v>
      </c>
      <c r="G120" s="4" t="s">
        <v>728</v>
      </c>
      <c r="K120" s="5" t="s">
        <v>707</v>
      </c>
      <c r="L120" s="4" t="s">
        <v>729</v>
      </c>
    </row>
    <row r="121">
      <c r="A121" s="7" t="s">
        <v>730</v>
      </c>
      <c r="B121" s="7" t="s">
        <v>218</v>
      </c>
      <c r="C121" s="4" t="s">
        <v>680</v>
      </c>
      <c r="F121" s="4" t="s">
        <v>681</v>
      </c>
      <c r="G121" s="4" t="s">
        <v>731</v>
      </c>
      <c r="H121" s="5" t="s">
        <v>683</v>
      </c>
      <c r="K121" s="5" t="s">
        <v>684</v>
      </c>
      <c r="L121" s="4" t="s">
        <v>732</v>
      </c>
    </row>
    <row r="122">
      <c r="A122" s="7" t="s">
        <v>733</v>
      </c>
      <c r="B122" s="7" t="s">
        <v>248</v>
      </c>
      <c r="C122" s="4" t="s">
        <v>734</v>
      </c>
      <c r="F122" s="4" t="s">
        <v>735</v>
      </c>
      <c r="G122" s="4" t="s">
        <v>736</v>
      </c>
      <c r="H122" s="5" t="s">
        <v>737</v>
      </c>
      <c r="K122" s="5" t="s">
        <v>738</v>
      </c>
      <c r="L122" s="5" t="s">
        <v>739</v>
      </c>
    </row>
    <row r="123">
      <c r="A123" s="7" t="s">
        <v>740</v>
      </c>
      <c r="B123" s="7" t="s">
        <v>741</v>
      </c>
      <c r="C123" s="4" t="s">
        <v>742</v>
      </c>
      <c r="F123" s="4" t="s">
        <v>743</v>
      </c>
      <c r="G123" s="4" t="s">
        <v>744</v>
      </c>
      <c r="H123" s="5" t="s">
        <v>745</v>
      </c>
      <c r="K123" s="5" t="s">
        <v>746</v>
      </c>
      <c r="L123" s="5" t="s">
        <v>747</v>
      </c>
    </row>
    <row r="124">
      <c r="A124" s="7" t="s">
        <v>748</v>
      </c>
      <c r="B124" s="7" t="s">
        <v>749</v>
      </c>
      <c r="C124" s="4" t="s">
        <v>750</v>
      </c>
      <c r="F124" s="4" t="s">
        <v>751</v>
      </c>
      <c r="G124" s="4" t="s">
        <v>752</v>
      </c>
      <c r="H124" s="5" t="s">
        <v>753</v>
      </c>
      <c r="K124" s="5" t="s">
        <v>754</v>
      </c>
      <c r="L124" s="5" t="s">
        <v>755</v>
      </c>
    </row>
    <row r="125">
      <c r="A125" s="7" t="s">
        <v>756</v>
      </c>
      <c r="B125" s="7" t="s">
        <v>388</v>
      </c>
      <c r="C125" s="4" t="s">
        <v>663</v>
      </c>
      <c r="F125" s="4" t="s">
        <v>664</v>
      </c>
      <c r="G125" s="4" t="s">
        <v>723</v>
      </c>
      <c r="H125" s="5" t="s">
        <v>666</v>
      </c>
      <c r="K125" s="5" t="s">
        <v>667</v>
      </c>
      <c r="L125" s="4" t="s">
        <v>724</v>
      </c>
    </row>
    <row r="126">
      <c r="A126" s="7" t="s">
        <v>757</v>
      </c>
      <c r="B126" s="7" t="s">
        <v>167</v>
      </c>
      <c r="F126" s="4" t="s">
        <v>705</v>
      </c>
      <c r="G126" s="4" t="s">
        <v>728</v>
      </c>
      <c r="K126" s="5" t="s">
        <v>707</v>
      </c>
      <c r="L126" s="4" t="s">
        <v>729</v>
      </c>
    </row>
    <row r="127">
      <c r="A127" s="7" t="s">
        <v>758</v>
      </c>
      <c r="B127" s="7" t="s">
        <v>240</v>
      </c>
      <c r="C127" s="4" t="s">
        <v>759</v>
      </c>
      <c r="F127" s="4" t="s">
        <v>760</v>
      </c>
      <c r="G127" s="4" t="s">
        <v>761</v>
      </c>
      <c r="H127" s="5" t="s">
        <v>762</v>
      </c>
      <c r="K127" s="5" t="s">
        <v>763</v>
      </c>
      <c r="L127" s="5" t="s">
        <v>764</v>
      </c>
    </row>
    <row r="128">
      <c r="A128" s="7" t="s">
        <v>765</v>
      </c>
      <c r="B128" s="7" t="s">
        <v>422</v>
      </c>
      <c r="C128" s="4" t="s">
        <v>766</v>
      </c>
      <c r="F128" s="4" t="s">
        <v>767</v>
      </c>
      <c r="G128" s="4" t="s">
        <v>768</v>
      </c>
      <c r="H128" s="5" t="s">
        <v>769</v>
      </c>
      <c r="K128" s="5" t="s">
        <v>770</v>
      </c>
      <c r="L128" s="5" t="s">
        <v>771</v>
      </c>
    </row>
    <row r="129">
      <c r="A129" s="7" t="s">
        <v>772</v>
      </c>
      <c r="B129" s="7" t="s">
        <v>277</v>
      </c>
      <c r="C129" s="4" t="s">
        <v>773</v>
      </c>
      <c r="F129" s="4" t="s">
        <v>774</v>
      </c>
      <c r="G129" s="4" t="s">
        <v>775</v>
      </c>
      <c r="H129" s="5" t="s">
        <v>776</v>
      </c>
      <c r="K129" s="5" t="s">
        <v>777</v>
      </c>
      <c r="L129" s="5" t="s">
        <v>778</v>
      </c>
    </row>
    <row r="130">
      <c r="A130" s="7" t="s">
        <v>779</v>
      </c>
      <c r="B130" s="7" t="s">
        <v>218</v>
      </c>
      <c r="C130" s="4" t="s">
        <v>780</v>
      </c>
      <c r="F130" s="4" t="s">
        <v>781</v>
      </c>
      <c r="G130" s="4" t="s">
        <v>782</v>
      </c>
      <c r="H130" s="5" t="s">
        <v>783</v>
      </c>
      <c r="K130" s="5" t="s">
        <v>784</v>
      </c>
      <c r="L130" s="5" t="s">
        <v>785</v>
      </c>
    </row>
    <row r="131">
      <c r="A131" s="7" t="s">
        <v>786</v>
      </c>
      <c r="B131" s="7" t="s">
        <v>248</v>
      </c>
      <c r="C131" s="4" t="s">
        <v>734</v>
      </c>
      <c r="F131" s="4" t="s">
        <v>735</v>
      </c>
      <c r="G131" s="4" t="s">
        <v>787</v>
      </c>
      <c r="H131" s="5" t="s">
        <v>737</v>
      </c>
      <c r="K131" s="5" t="s">
        <v>738</v>
      </c>
      <c r="L131" s="4" t="s">
        <v>788</v>
      </c>
    </row>
    <row r="132">
      <c r="A132" s="7" t="s">
        <v>789</v>
      </c>
      <c r="B132" s="7" t="s">
        <v>388</v>
      </c>
      <c r="C132" s="4" t="s">
        <v>790</v>
      </c>
      <c r="F132" s="4" t="s">
        <v>791</v>
      </c>
      <c r="G132" s="4" t="s">
        <v>792</v>
      </c>
      <c r="H132" s="5" t="s">
        <v>793</v>
      </c>
      <c r="K132" s="5" t="s">
        <v>794</v>
      </c>
      <c r="L132" s="5" t="s">
        <v>795</v>
      </c>
    </row>
    <row r="133">
      <c r="A133" s="7" t="s">
        <v>796</v>
      </c>
      <c r="B133" s="7" t="s">
        <v>797</v>
      </c>
      <c r="F133" s="4" t="s">
        <v>798</v>
      </c>
      <c r="G133" s="4" t="s">
        <v>799</v>
      </c>
      <c r="K133" s="5" t="s">
        <v>800</v>
      </c>
      <c r="L133" s="5" t="s">
        <v>801</v>
      </c>
    </row>
    <row r="134">
      <c r="A134" s="7" t="s">
        <v>802</v>
      </c>
      <c r="B134" s="7" t="s">
        <v>388</v>
      </c>
      <c r="C134" s="4" t="s">
        <v>663</v>
      </c>
      <c r="F134" s="4" t="s">
        <v>664</v>
      </c>
      <c r="G134" s="4" t="s">
        <v>723</v>
      </c>
      <c r="H134" s="5" t="s">
        <v>666</v>
      </c>
      <c r="K134" s="5" t="s">
        <v>667</v>
      </c>
      <c r="L134" s="4" t="s">
        <v>724</v>
      </c>
    </row>
    <row r="135">
      <c r="A135" s="7" t="s">
        <v>803</v>
      </c>
      <c r="B135" s="7" t="s">
        <v>167</v>
      </c>
      <c r="F135" s="4" t="s">
        <v>705</v>
      </c>
      <c r="G135" s="4" t="s">
        <v>728</v>
      </c>
      <c r="K135" s="5" t="s">
        <v>707</v>
      </c>
      <c r="L135" s="4" t="s">
        <v>729</v>
      </c>
    </row>
    <row r="136">
      <c r="A136" s="7" t="s">
        <v>804</v>
      </c>
      <c r="B136" s="7" t="s">
        <v>556</v>
      </c>
      <c r="F136" s="4" t="s">
        <v>805</v>
      </c>
      <c r="G136" s="4" t="s">
        <v>806</v>
      </c>
      <c r="K136" s="5" t="s">
        <v>807</v>
      </c>
      <c r="L136" s="5" t="s">
        <v>808</v>
      </c>
    </row>
    <row r="137">
      <c r="A137" s="7" t="s">
        <v>809</v>
      </c>
      <c r="B137" s="7" t="s">
        <v>556</v>
      </c>
      <c r="F137" s="4" t="s">
        <v>805</v>
      </c>
      <c r="G137" s="4" t="s">
        <v>810</v>
      </c>
      <c r="K137" s="5" t="s">
        <v>807</v>
      </c>
      <c r="L137" s="5" t="s">
        <v>811</v>
      </c>
    </row>
    <row r="138">
      <c r="A138" s="7" t="s">
        <v>812</v>
      </c>
      <c r="B138" s="7" t="s">
        <v>741</v>
      </c>
      <c r="C138" s="4" t="s">
        <v>742</v>
      </c>
      <c r="F138" s="4" t="s">
        <v>743</v>
      </c>
      <c r="G138" s="4" t="s">
        <v>813</v>
      </c>
      <c r="H138" s="5" t="s">
        <v>745</v>
      </c>
      <c r="K138" s="5" t="s">
        <v>746</v>
      </c>
      <c r="L138" s="4" t="s">
        <v>814</v>
      </c>
    </row>
    <row r="139">
      <c r="A139" s="7" t="s">
        <v>815</v>
      </c>
      <c r="B139" s="7" t="s">
        <v>334</v>
      </c>
      <c r="C139" s="4" t="s">
        <v>816</v>
      </c>
      <c r="F139" s="4" t="s">
        <v>817</v>
      </c>
      <c r="G139" s="4" t="s">
        <v>818</v>
      </c>
      <c r="H139" s="5" t="s">
        <v>819</v>
      </c>
      <c r="K139" s="5" t="s">
        <v>820</v>
      </c>
      <c r="L139" s="5" t="s">
        <v>821</v>
      </c>
    </row>
    <row r="140">
      <c r="A140" s="7" t="s">
        <v>822</v>
      </c>
      <c r="B140" s="7" t="s">
        <v>228</v>
      </c>
      <c r="F140" s="4" t="s">
        <v>823</v>
      </c>
      <c r="G140" s="4" t="s">
        <v>824</v>
      </c>
      <c r="K140" s="5" t="s">
        <v>825</v>
      </c>
      <c r="L140" s="5" t="s">
        <v>826</v>
      </c>
    </row>
    <row r="141">
      <c r="A141" s="7" t="s">
        <v>827</v>
      </c>
      <c r="B141" s="7" t="s">
        <v>548</v>
      </c>
      <c r="F141" s="4" t="s">
        <v>828</v>
      </c>
      <c r="G141" s="4" t="s">
        <v>829</v>
      </c>
      <c r="K141" s="5" t="s">
        <v>830</v>
      </c>
      <c r="L141" s="5" t="s">
        <v>831</v>
      </c>
    </row>
    <row r="142">
      <c r="A142" s="7" t="s">
        <v>832</v>
      </c>
      <c r="B142" s="7" t="s">
        <v>167</v>
      </c>
      <c r="F142" s="4" t="s">
        <v>833</v>
      </c>
      <c r="G142" s="4" t="s">
        <v>834</v>
      </c>
      <c r="K142" s="5" t="s">
        <v>835</v>
      </c>
      <c r="L142" s="4" t="s">
        <v>836</v>
      </c>
    </row>
    <row r="143">
      <c r="A143" s="7" t="s">
        <v>837</v>
      </c>
      <c r="B143" s="7" t="s">
        <v>442</v>
      </c>
      <c r="C143" s="4" t="s">
        <v>838</v>
      </c>
      <c r="F143" s="4" t="s">
        <v>839</v>
      </c>
      <c r="G143" s="4" t="s">
        <v>840</v>
      </c>
      <c r="H143" s="5" t="s">
        <v>841</v>
      </c>
      <c r="K143" s="5" t="s">
        <v>842</v>
      </c>
      <c r="L143" s="5" t="s">
        <v>843</v>
      </c>
    </row>
    <row r="144">
      <c r="A144" s="7" t="s">
        <v>844</v>
      </c>
      <c r="B144" s="7" t="s">
        <v>422</v>
      </c>
      <c r="C144" s="4" t="s">
        <v>766</v>
      </c>
      <c r="F144" s="4" t="s">
        <v>767</v>
      </c>
      <c r="G144" s="4" t="s">
        <v>845</v>
      </c>
      <c r="H144" s="5" t="s">
        <v>769</v>
      </c>
      <c r="K144" s="5" t="s">
        <v>770</v>
      </c>
      <c r="L144" s="4" t="s">
        <v>846</v>
      </c>
    </row>
    <row r="145">
      <c r="A145" s="7" t="s">
        <v>847</v>
      </c>
      <c r="B145" s="7" t="s">
        <v>296</v>
      </c>
      <c r="C145" s="4" t="s">
        <v>848</v>
      </c>
      <c r="F145" s="4" t="s">
        <v>849</v>
      </c>
      <c r="G145" s="4" t="s">
        <v>850</v>
      </c>
      <c r="H145" s="5" t="s">
        <v>851</v>
      </c>
      <c r="K145" s="5" t="s">
        <v>852</v>
      </c>
      <c r="L145" s="5" t="s">
        <v>853</v>
      </c>
    </row>
    <row r="146">
      <c r="A146" s="7" t="s">
        <v>854</v>
      </c>
      <c r="B146" s="7" t="s">
        <v>218</v>
      </c>
      <c r="C146" s="4" t="s">
        <v>780</v>
      </c>
      <c r="F146" s="4" t="s">
        <v>781</v>
      </c>
      <c r="G146" s="4" t="s">
        <v>855</v>
      </c>
      <c r="H146" s="5" t="s">
        <v>783</v>
      </c>
      <c r="K146" s="5" t="s">
        <v>784</v>
      </c>
      <c r="L146" s="4" t="s">
        <v>856</v>
      </c>
    </row>
    <row r="147">
      <c r="A147" s="7" t="s">
        <v>857</v>
      </c>
      <c r="B147" s="7" t="s">
        <v>388</v>
      </c>
      <c r="C147" s="4" t="s">
        <v>790</v>
      </c>
      <c r="F147" s="4" t="s">
        <v>791</v>
      </c>
      <c r="G147" s="4" t="s">
        <v>858</v>
      </c>
      <c r="H147" s="5" t="s">
        <v>793</v>
      </c>
      <c r="K147" s="5" t="s">
        <v>794</v>
      </c>
      <c r="L147" s="4" t="s">
        <v>859</v>
      </c>
    </row>
    <row r="148">
      <c r="A148" s="7" t="s">
        <v>860</v>
      </c>
      <c r="B148" s="7" t="s">
        <v>181</v>
      </c>
      <c r="C148" s="4" t="s">
        <v>861</v>
      </c>
      <c r="F148" s="4" t="s">
        <v>862</v>
      </c>
      <c r="G148" s="4" t="s">
        <v>863</v>
      </c>
      <c r="H148" s="5" t="s">
        <v>864</v>
      </c>
      <c r="K148" s="5" t="s">
        <v>865</v>
      </c>
      <c r="L148" s="5" t="s">
        <v>866</v>
      </c>
    </row>
    <row r="149">
      <c r="A149" s="7" t="s">
        <v>867</v>
      </c>
      <c r="B149" s="7" t="s">
        <v>741</v>
      </c>
      <c r="C149" s="4" t="s">
        <v>742</v>
      </c>
      <c r="F149" s="4" t="s">
        <v>743</v>
      </c>
      <c r="G149" s="4" t="s">
        <v>868</v>
      </c>
      <c r="H149" s="5" t="s">
        <v>745</v>
      </c>
      <c r="K149" s="5" t="s">
        <v>746</v>
      </c>
      <c r="L149" s="4" t="s">
        <v>869</v>
      </c>
    </row>
    <row r="150">
      <c r="A150" s="7" t="s">
        <v>870</v>
      </c>
      <c r="B150" s="7" t="s">
        <v>167</v>
      </c>
      <c r="F150" s="4" t="s">
        <v>833</v>
      </c>
      <c r="G150" s="4" t="s">
        <v>871</v>
      </c>
      <c r="K150" s="5" t="s">
        <v>835</v>
      </c>
      <c r="L150" s="4" t="s">
        <v>872</v>
      </c>
    </row>
    <row r="151">
      <c r="A151" s="7" t="s">
        <v>873</v>
      </c>
      <c r="B151" s="7" t="s">
        <v>334</v>
      </c>
      <c r="C151" s="4" t="s">
        <v>816</v>
      </c>
      <c r="F151" s="4" t="s">
        <v>817</v>
      </c>
      <c r="G151" s="4" t="s">
        <v>874</v>
      </c>
      <c r="H151" s="5" t="s">
        <v>819</v>
      </c>
      <c r="K151" s="5" t="s">
        <v>820</v>
      </c>
      <c r="L151" s="4" t="s">
        <v>875</v>
      </c>
    </row>
    <row r="152">
      <c r="A152" s="7" t="s">
        <v>876</v>
      </c>
      <c r="B152" s="7" t="s">
        <v>749</v>
      </c>
      <c r="C152" s="4" t="s">
        <v>877</v>
      </c>
      <c r="F152" s="4" t="s">
        <v>878</v>
      </c>
      <c r="G152" s="4" t="s">
        <v>879</v>
      </c>
      <c r="H152" s="5" t="s">
        <v>880</v>
      </c>
      <c r="K152" s="5" t="s">
        <v>881</v>
      </c>
      <c r="L152" s="5" t="s">
        <v>882</v>
      </c>
    </row>
    <row r="153">
      <c r="A153" s="7" t="s">
        <v>883</v>
      </c>
      <c r="B153" s="7" t="s">
        <v>167</v>
      </c>
      <c r="F153" s="4" t="s">
        <v>833</v>
      </c>
      <c r="G153" s="4" t="s">
        <v>871</v>
      </c>
      <c r="K153" s="5" t="s">
        <v>835</v>
      </c>
      <c r="L153" s="4" t="s">
        <v>872</v>
      </c>
    </row>
    <row r="154" ht="237.75" customHeight="1">
      <c r="A154" s="7" t="s">
        <v>884</v>
      </c>
      <c r="B154" s="7" t="s">
        <v>548</v>
      </c>
      <c r="C154" s="4" t="s">
        <v>885</v>
      </c>
      <c r="F154" s="4" t="s">
        <v>886</v>
      </c>
      <c r="G154" s="4" t="s">
        <v>887</v>
      </c>
      <c r="H154" s="5" t="s">
        <v>888</v>
      </c>
      <c r="K154" s="5" t="s">
        <v>889</v>
      </c>
      <c r="L154" s="5" t="s">
        <v>890</v>
      </c>
    </row>
    <row r="155">
      <c r="A155" s="7" t="s">
        <v>891</v>
      </c>
      <c r="B155" s="7" t="s">
        <v>548</v>
      </c>
      <c r="F155" s="4" t="s">
        <v>892</v>
      </c>
      <c r="G155" s="4" t="s">
        <v>893</v>
      </c>
      <c r="K155" s="5" t="s">
        <v>894</v>
      </c>
      <c r="L155" s="5" t="s">
        <v>895</v>
      </c>
    </row>
    <row r="156">
      <c r="A156" s="7" t="s">
        <v>891</v>
      </c>
      <c r="B156" s="7" t="s">
        <v>548</v>
      </c>
      <c r="C156" s="4" t="s">
        <v>885</v>
      </c>
      <c r="D156" s="4" t="s">
        <v>886</v>
      </c>
      <c r="E156" s="4" t="s">
        <v>896</v>
      </c>
      <c r="F156" s="4" t="s">
        <v>892</v>
      </c>
      <c r="G156" s="4" t="s">
        <v>893</v>
      </c>
      <c r="H156" s="5" t="s">
        <v>897</v>
      </c>
      <c r="I156" s="5" t="s">
        <v>898</v>
      </c>
      <c r="J156" s="5" t="s">
        <v>899</v>
      </c>
      <c r="K156" s="5" t="s">
        <v>894</v>
      </c>
      <c r="L156" s="5" t="s">
        <v>895</v>
      </c>
    </row>
    <row r="157">
      <c r="A157" s="7" t="s">
        <v>900</v>
      </c>
      <c r="B157" s="7" t="s">
        <v>548</v>
      </c>
      <c r="C157" s="4" t="s">
        <v>901</v>
      </c>
      <c r="D157" s="4" t="s">
        <v>902</v>
      </c>
      <c r="E157" s="4" t="s">
        <v>903</v>
      </c>
      <c r="F157" s="4" t="s">
        <v>904</v>
      </c>
      <c r="G157" s="4" t="s">
        <v>887</v>
      </c>
      <c r="H157" s="5" t="s">
        <v>905</v>
      </c>
      <c r="I157" s="5" t="s">
        <v>906</v>
      </c>
      <c r="J157" s="5" t="s">
        <v>907</v>
      </c>
      <c r="K157" s="5" t="s">
        <v>908</v>
      </c>
    </row>
    <row r="158">
      <c r="A158" s="7" t="s">
        <v>909</v>
      </c>
      <c r="B158" s="7" t="s">
        <v>548</v>
      </c>
      <c r="C158" s="4" t="s">
        <v>901</v>
      </c>
      <c r="D158" s="4" t="s">
        <v>902</v>
      </c>
      <c r="E158" s="4" t="s">
        <v>903</v>
      </c>
      <c r="F158" s="4" t="s">
        <v>161</v>
      </c>
      <c r="G158" s="4" t="s">
        <v>887</v>
      </c>
      <c r="H158" s="5" t="s">
        <v>905</v>
      </c>
      <c r="I158" s="5" t="s">
        <v>906</v>
      </c>
      <c r="J158" s="5" t="s">
        <v>907</v>
      </c>
      <c r="K158" s="5" t="s">
        <v>910</v>
      </c>
    </row>
    <row r="159">
      <c r="A159" s="7" t="s">
        <v>911</v>
      </c>
      <c r="B159" s="7" t="s">
        <v>548</v>
      </c>
      <c r="C159" s="4" t="s">
        <v>901</v>
      </c>
      <c r="D159" s="4" t="s">
        <v>902</v>
      </c>
      <c r="E159" s="4" t="s">
        <v>903</v>
      </c>
      <c r="F159" s="4" t="s">
        <v>161</v>
      </c>
      <c r="G159" s="4" t="s">
        <v>887</v>
      </c>
      <c r="H159" s="5" t="s">
        <v>905</v>
      </c>
      <c r="I159" s="5" t="s">
        <v>906</v>
      </c>
      <c r="J159" s="5" t="s">
        <v>907</v>
      </c>
      <c r="K159" s="5" t="s">
        <v>910</v>
      </c>
    </row>
    <row r="160">
      <c r="A160" s="7" t="s">
        <v>912</v>
      </c>
      <c r="B160" s="7" t="s">
        <v>240</v>
      </c>
      <c r="C160" s="4" t="s">
        <v>913</v>
      </c>
      <c r="F160" s="4" t="s">
        <v>914</v>
      </c>
      <c r="G160" s="4" t="s">
        <v>915</v>
      </c>
      <c r="H160" s="5" t="s">
        <v>916</v>
      </c>
      <c r="K160" s="5" t="s">
        <v>917</v>
      </c>
    </row>
    <row r="161">
      <c r="A161" s="7" t="s">
        <v>918</v>
      </c>
      <c r="B161" s="7" t="s">
        <v>548</v>
      </c>
      <c r="C161" s="4" t="s">
        <v>901</v>
      </c>
      <c r="F161" s="4" t="s">
        <v>161</v>
      </c>
      <c r="G161" s="4" t="s">
        <v>919</v>
      </c>
      <c r="H161" s="5" t="s">
        <v>905</v>
      </c>
      <c r="K161" s="5" t="s">
        <v>910</v>
      </c>
    </row>
    <row r="162">
      <c r="A162" s="7" t="s">
        <v>920</v>
      </c>
      <c r="B162" s="7" t="s">
        <v>248</v>
      </c>
      <c r="C162" s="4" t="s">
        <v>896</v>
      </c>
      <c r="F162" s="4" t="s">
        <v>921</v>
      </c>
      <c r="G162" s="4" t="s">
        <v>922</v>
      </c>
      <c r="H162" s="5" t="s">
        <v>899</v>
      </c>
      <c r="K162" s="5" t="s">
        <v>923</v>
      </c>
      <c r="L162" s="5" t="s">
        <v>924</v>
      </c>
    </row>
    <row r="163">
      <c r="A163" s="7" t="s">
        <v>925</v>
      </c>
      <c r="B163" s="7" t="s">
        <v>218</v>
      </c>
      <c r="C163" s="4" t="s">
        <v>926</v>
      </c>
      <c r="F163" s="4" t="s">
        <v>927</v>
      </c>
      <c r="G163" s="4" t="s">
        <v>928</v>
      </c>
      <c r="H163" s="5" t="s">
        <v>929</v>
      </c>
      <c r="K163" s="5" t="s">
        <v>930</v>
      </c>
    </row>
    <row r="164">
      <c r="A164" s="7" t="s">
        <v>931</v>
      </c>
      <c r="B164" s="7" t="s">
        <v>422</v>
      </c>
      <c r="C164" s="4" t="s">
        <v>932</v>
      </c>
      <c r="F164" s="4" t="s">
        <v>933</v>
      </c>
      <c r="G164" s="4" t="s">
        <v>934</v>
      </c>
      <c r="H164" s="5" t="s">
        <v>935</v>
      </c>
      <c r="K164" s="5" t="s">
        <v>936</v>
      </c>
    </row>
    <row r="165">
      <c r="A165" s="7" t="s">
        <v>937</v>
      </c>
      <c r="B165" s="7" t="s">
        <v>797</v>
      </c>
      <c r="F165" s="4" t="s">
        <v>938</v>
      </c>
      <c r="G165" s="4" t="s">
        <v>939</v>
      </c>
      <c r="K165" s="5" t="s">
        <v>940</v>
      </c>
    </row>
    <row r="166">
      <c r="A166" s="7" t="s">
        <v>941</v>
      </c>
      <c r="B166" s="7" t="s">
        <v>228</v>
      </c>
      <c r="F166" s="4" t="s">
        <v>942</v>
      </c>
      <c r="G166" s="4" t="s">
        <v>943</v>
      </c>
      <c r="K166" s="5" t="s">
        <v>944</v>
      </c>
    </row>
    <row r="167">
      <c r="A167" s="7" t="s">
        <v>945</v>
      </c>
      <c r="B167" s="7" t="s">
        <v>277</v>
      </c>
      <c r="C167" s="4" t="s">
        <v>946</v>
      </c>
      <c r="F167" s="4" t="s">
        <v>947</v>
      </c>
      <c r="G167" s="4" t="s">
        <v>948</v>
      </c>
      <c r="H167" s="5" t="s">
        <v>949</v>
      </c>
      <c r="K167" s="5" t="s">
        <v>950</v>
      </c>
    </row>
    <row r="168">
      <c r="A168" s="7" t="s">
        <v>951</v>
      </c>
      <c r="B168" s="7" t="s">
        <v>388</v>
      </c>
      <c r="C168" s="4" t="s">
        <v>952</v>
      </c>
      <c r="F168" s="4" t="s">
        <v>953</v>
      </c>
      <c r="G168" s="4" t="s">
        <v>954</v>
      </c>
      <c r="H168" s="5" t="s">
        <v>955</v>
      </c>
      <c r="K168" s="5" t="s">
        <v>956</v>
      </c>
    </row>
    <row r="169">
      <c r="A169" s="7" t="s">
        <v>957</v>
      </c>
      <c r="B169" s="7" t="s">
        <v>556</v>
      </c>
      <c r="F169" s="4" t="s">
        <v>958</v>
      </c>
      <c r="G169" s="4" t="s">
        <v>959</v>
      </c>
      <c r="K169" s="5" t="s">
        <v>960</v>
      </c>
    </row>
    <row r="170">
      <c r="A170" s="7" t="s">
        <v>961</v>
      </c>
      <c r="B170" s="7" t="s">
        <v>442</v>
      </c>
      <c r="C170" s="4" t="s">
        <v>962</v>
      </c>
      <c r="F170" s="4" t="s">
        <v>963</v>
      </c>
      <c r="G170" s="4" t="s">
        <v>964</v>
      </c>
      <c r="H170" s="5" t="s">
        <v>965</v>
      </c>
      <c r="K170" s="5" t="s">
        <v>966</v>
      </c>
    </row>
    <row r="171">
      <c r="A171" s="7" t="s">
        <v>967</v>
      </c>
      <c r="B171" s="7" t="s">
        <v>296</v>
      </c>
      <c r="C171" s="4" t="s">
        <v>968</v>
      </c>
      <c r="F171" s="4" t="s">
        <v>969</v>
      </c>
      <c r="G171" s="4" t="s">
        <v>970</v>
      </c>
      <c r="H171" s="5" t="s">
        <v>971</v>
      </c>
      <c r="K171" s="5" t="s">
        <v>972</v>
      </c>
    </row>
    <row r="172">
      <c r="A172" s="7" t="s">
        <v>973</v>
      </c>
      <c r="B172" s="7" t="s">
        <v>167</v>
      </c>
      <c r="F172" s="4" t="s">
        <v>974</v>
      </c>
      <c r="G172" s="4" t="s">
        <v>975</v>
      </c>
      <c r="K172" s="5" t="s">
        <v>976</v>
      </c>
    </row>
    <row r="173">
      <c r="A173" s="7" t="s">
        <v>977</v>
      </c>
      <c r="B173" s="7" t="s">
        <v>334</v>
      </c>
      <c r="C173" s="4" t="s">
        <v>978</v>
      </c>
      <c r="F173" s="4" t="s">
        <v>979</v>
      </c>
      <c r="G173" s="4" t="s">
        <v>980</v>
      </c>
      <c r="H173" s="5" t="s">
        <v>981</v>
      </c>
      <c r="K173" s="5" t="s">
        <v>982</v>
      </c>
    </row>
    <row r="174">
      <c r="A174" s="7" t="s">
        <v>983</v>
      </c>
      <c r="B174" s="7" t="s">
        <v>741</v>
      </c>
      <c r="C174" s="4" t="s">
        <v>984</v>
      </c>
      <c r="F174" s="4" t="s">
        <v>985</v>
      </c>
      <c r="G174" s="4" t="s">
        <v>986</v>
      </c>
      <c r="H174" s="5" t="s">
        <v>987</v>
      </c>
      <c r="K174" s="5" t="s">
        <v>988</v>
      </c>
    </row>
    <row r="175">
      <c r="A175" s="7" t="s">
        <v>989</v>
      </c>
      <c r="B175" s="7" t="s">
        <v>181</v>
      </c>
      <c r="C175" s="4" t="s">
        <v>990</v>
      </c>
      <c r="F175" s="4" t="s">
        <v>991</v>
      </c>
      <c r="G175" s="4" t="s">
        <v>992</v>
      </c>
      <c r="H175" s="5" t="s">
        <v>993</v>
      </c>
      <c r="K175" s="5" t="s">
        <v>994</v>
      </c>
    </row>
    <row r="176">
      <c r="A176" s="7" t="s">
        <v>995</v>
      </c>
      <c r="B176" s="7" t="s">
        <v>422</v>
      </c>
      <c r="C176" s="4" t="s">
        <v>932</v>
      </c>
      <c r="F176" s="4" t="s">
        <v>933</v>
      </c>
      <c r="G176" s="4" t="s">
        <v>996</v>
      </c>
    </row>
    <row r="177">
      <c r="A177" s="7" t="s">
        <v>995</v>
      </c>
      <c r="B177" s="7" t="s">
        <v>388</v>
      </c>
      <c r="C177" s="4" t="s">
        <v>952</v>
      </c>
      <c r="F177" s="4" t="s">
        <v>953</v>
      </c>
      <c r="G177" s="4" t="s">
        <v>997</v>
      </c>
      <c r="H177" s="5" t="s">
        <v>955</v>
      </c>
      <c r="K177" s="5" t="s">
        <v>956</v>
      </c>
    </row>
    <row r="178">
      <c r="A178" s="7" t="s">
        <v>998</v>
      </c>
      <c r="B178" s="7" t="s">
        <v>218</v>
      </c>
      <c r="C178" s="4" t="s">
        <v>926</v>
      </c>
      <c r="F178" s="4" t="s">
        <v>927</v>
      </c>
      <c r="G178" s="4" t="s">
        <v>999</v>
      </c>
      <c r="H178" s="5" t="s">
        <v>929</v>
      </c>
      <c r="K178" s="5" t="s">
        <v>930</v>
      </c>
    </row>
    <row r="179">
      <c r="A179" s="7" t="s">
        <v>1000</v>
      </c>
      <c r="B179" s="7" t="s">
        <v>228</v>
      </c>
      <c r="F179" s="4" t="s">
        <v>942</v>
      </c>
      <c r="G179" s="4" t="s">
        <v>1001</v>
      </c>
    </row>
    <row r="180">
      <c r="A180" s="7" t="s">
        <v>1000</v>
      </c>
      <c r="B180" s="7" t="s">
        <v>167</v>
      </c>
      <c r="F180" s="4" t="s">
        <v>974</v>
      </c>
      <c r="G180" s="4" t="s">
        <v>1002</v>
      </c>
      <c r="K180" s="5" t="s">
        <v>976</v>
      </c>
    </row>
    <row r="181">
      <c r="A181" s="7" t="s">
        <v>1003</v>
      </c>
      <c r="B181" s="7" t="s">
        <v>548</v>
      </c>
      <c r="F181" s="4" t="s">
        <v>1004</v>
      </c>
      <c r="G181" s="4" t="s">
        <v>1005</v>
      </c>
      <c r="K181" s="5" t="s">
        <v>1006</v>
      </c>
    </row>
    <row r="182">
      <c r="A182" s="7" t="s">
        <v>1007</v>
      </c>
      <c r="B182" s="7" t="s">
        <v>741</v>
      </c>
      <c r="C182" s="4" t="s">
        <v>984</v>
      </c>
      <c r="F182" s="4" t="s">
        <v>985</v>
      </c>
      <c r="G182" s="4" t="s">
        <v>1008</v>
      </c>
      <c r="H182" s="5" t="s">
        <v>987</v>
      </c>
      <c r="K182" s="5" t="s">
        <v>988</v>
      </c>
    </row>
    <row r="183">
      <c r="A183" s="7" t="s">
        <v>1009</v>
      </c>
      <c r="B183" s="7" t="s">
        <v>422</v>
      </c>
      <c r="C183" s="4" t="s">
        <v>932</v>
      </c>
      <c r="F183" s="4" t="s">
        <v>933</v>
      </c>
      <c r="G183" s="4" t="s">
        <v>996</v>
      </c>
    </row>
    <row r="184">
      <c r="A184" s="7" t="s">
        <v>1009</v>
      </c>
      <c r="B184" s="7" t="s">
        <v>167</v>
      </c>
      <c r="F184" s="4" t="s">
        <v>974</v>
      </c>
      <c r="G184" s="4" t="s">
        <v>1002</v>
      </c>
      <c r="K184" s="5" t="s">
        <v>976</v>
      </c>
    </row>
    <row r="185">
      <c r="A185" s="7" t="s">
        <v>1010</v>
      </c>
      <c r="B185" s="7" t="s">
        <v>181</v>
      </c>
      <c r="C185" s="4" t="s">
        <v>990</v>
      </c>
      <c r="F185" s="4" t="s">
        <v>991</v>
      </c>
      <c r="G185" s="4" t="s">
        <v>1011</v>
      </c>
      <c r="H185" s="5" t="s">
        <v>993</v>
      </c>
      <c r="K185" s="5" t="s">
        <v>994</v>
      </c>
    </row>
    <row r="186">
      <c r="A186" s="7" t="s">
        <v>1012</v>
      </c>
      <c r="B186" s="7" t="s">
        <v>749</v>
      </c>
      <c r="C186" s="4" t="s">
        <v>1013</v>
      </c>
      <c r="F186" s="4" t="s">
        <v>1014</v>
      </c>
      <c r="G186" s="4" t="s">
        <v>1015</v>
      </c>
      <c r="H186" s="5" t="s">
        <v>1016</v>
      </c>
      <c r="K186" s="5" t="s">
        <v>1017</v>
      </c>
    </row>
    <row r="187">
      <c r="A187" s="7" t="s">
        <v>1018</v>
      </c>
      <c r="B187" s="7" t="s">
        <v>277</v>
      </c>
      <c r="C187" s="4" t="s">
        <v>1019</v>
      </c>
      <c r="F187" s="4" t="s">
        <v>1020</v>
      </c>
      <c r="G187" s="4" t="s">
        <v>1021</v>
      </c>
      <c r="H187" s="5" t="s">
        <v>1022</v>
      </c>
      <c r="K187" s="5" t="s">
        <v>1023</v>
      </c>
    </row>
    <row r="188">
      <c r="A188" s="7" t="s">
        <v>1024</v>
      </c>
      <c r="B188" s="7" t="s">
        <v>248</v>
      </c>
      <c r="C188" s="4" t="s">
        <v>1025</v>
      </c>
      <c r="F188" s="4" t="s">
        <v>1026</v>
      </c>
      <c r="G188" s="4" t="s">
        <v>1027</v>
      </c>
      <c r="H188" s="5" t="s">
        <v>1028</v>
      </c>
      <c r="K188" s="5" t="s">
        <v>1029</v>
      </c>
    </row>
    <row r="189">
      <c r="A189" s="7" t="s">
        <v>1030</v>
      </c>
      <c r="B189" s="7" t="s">
        <v>218</v>
      </c>
      <c r="C189" s="4" t="s">
        <v>1031</v>
      </c>
      <c r="F189" s="4" t="s">
        <v>1032</v>
      </c>
      <c r="G189" s="4" t="s">
        <v>1033</v>
      </c>
      <c r="H189" s="5" t="s">
        <v>1034</v>
      </c>
      <c r="K189" s="5" t="s">
        <v>1035</v>
      </c>
    </row>
    <row r="190">
      <c r="A190" s="7" t="s">
        <v>1036</v>
      </c>
      <c r="B190" s="7" t="s">
        <v>228</v>
      </c>
      <c r="F190" s="4" t="s">
        <v>1037</v>
      </c>
      <c r="G190" s="4" t="s">
        <v>1038</v>
      </c>
      <c r="K190" s="5" t="s">
        <v>1039</v>
      </c>
    </row>
    <row r="191">
      <c r="A191" s="7" t="s">
        <v>1040</v>
      </c>
      <c r="B191" s="7" t="s">
        <v>741</v>
      </c>
      <c r="C191" s="4" t="s">
        <v>984</v>
      </c>
      <c r="F191" s="4" t="s">
        <v>985</v>
      </c>
      <c r="G191" s="4" t="s">
        <v>1008</v>
      </c>
      <c r="H191" s="5" t="s">
        <v>987</v>
      </c>
      <c r="K191" s="5" t="s">
        <v>988</v>
      </c>
    </row>
    <row r="192">
      <c r="A192" s="7" t="s">
        <v>1041</v>
      </c>
      <c r="B192" s="7" t="s">
        <v>422</v>
      </c>
      <c r="C192" s="4" t="s">
        <v>1042</v>
      </c>
      <c r="F192" s="4" t="s">
        <v>1043</v>
      </c>
      <c r="G192" s="4" t="s">
        <v>1044</v>
      </c>
      <c r="H192" s="5" t="s">
        <v>1045</v>
      </c>
      <c r="K192" s="5" t="s">
        <v>1046</v>
      </c>
    </row>
    <row r="193">
      <c r="A193" s="7" t="s">
        <v>1047</v>
      </c>
      <c r="B193" s="7" t="s">
        <v>167</v>
      </c>
      <c r="F193" s="4" t="s">
        <v>974</v>
      </c>
      <c r="G193" s="4" t="s">
        <v>1002</v>
      </c>
      <c r="K193" s="5" t="s">
        <v>976</v>
      </c>
    </row>
    <row r="194">
      <c r="A194" s="7" t="s">
        <v>1048</v>
      </c>
      <c r="B194" s="7" t="s">
        <v>388</v>
      </c>
      <c r="C194" s="4" t="s">
        <v>1049</v>
      </c>
      <c r="F194" s="4" t="s">
        <v>1050</v>
      </c>
      <c r="G194" s="4" t="s">
        <v>1051</v>
      </c>
      <c r="H194" s="5" t="s">
        <v>1052</v>
      </c>
      <c r="K194" s="5" t="s">
        <v>1053</v>
      </c>
    </row>
    <row r="195">
      <c r="A195" s="7" t="s">
        <v>1054</v>
      </c>
      <c r="B195" s="7" t="s">
        <v>240</v>
      </c>
      <c r="C195" s="4" t="s">
        <v>1055</v>
      </c>
      <c r="F195" s="4" t="s">
        <v>1056</v>
      </c>
      <c r="G195" s="4" t="s">
        <v>1057</v>
      </c>
      <c r="H195" s="5" t="s">
        <v>1058</v>
      </c>
      <c r="K195" s="5" t="s">
        <v>1059</v>
      </c>
    </row>
    <row r="196">
      <c r="A196" s="7" t="s">
        <v>1060</v>
      </c>
      <c r="B196" s="7" t="s">
        <v>749</v>
      </c>
      <c r="C196" s="4" t="s">
        <v>1013</v>
      </c>
      <c r="F196" s="4" t="s">
        <v>1014</v>
      </c>
      <c r="G196" s="4" t="s">
        <v>1061</v>
      </c>
      <c r="H196" s="5" t="s">
        <v>1016</v>
      </c>
      <c r="K196" s="5" t="s">
        <v>1017</v>
      </c>
    </row>
    <row r="197">
      <c r="A197" s="7" t="s">
        <v>1062</v>
      </c>
      <c r="B197" s="7" t="s">
        <v>741</v>
      </c>
      <c r="C197" s="4" t="s">
        <v>984</v>
      </c>
      <c r="F197" s="4" t="s">
        <v>985</v>
      </c>
      <c r="G197" s="4" t="s">
        <v>1008</v>
      </c>
    </row>
    <row r="198">
      <c r="A198" s="7" t="s">
        <v>1062</v>
      </c>
      <c r="B198" s="7" t="s">
        <v>218</v>
      </c>
      <c r="C198" s="4" t="s">
        <v>1031</v>
      </c>
      <c r="F198" s="4" t="s">
        <v>1032</v>
      </c>
      <c r="G198" s="4" t="s">
        <v>1063</v>
      </c>
      <c r="H198" s="5" t="s">
        <v>1034</v>
      </c>
      <c r="K198" s="5" t="s">
        <v>1035</v>
      </c>
    </row>
    <row r="199">
      <c r="A199" s="7" t="s">
        <v>1064</v>
      </c>
      <c r="B199" s="7" t="s">
        <v>442</v>
      </c>
      <c r="C199" s="4" t="s">
        <v>1065</v>
      </c>
      <c r="F199" s="4" t="s">
        <v>1066</v>
      </c>
      <c r="G199" s="4" t="s">
        <v>1067</v>
      </c>
      <c r="H199" s="5" t="s">
        <v>1068</v>
      </c>
      <c r="K199" s="5" t="s">
        <v>1069</v>
      </c>
    </row>
    <row r="200">
      <c r="A200" s="7" t="s">
        <v>1070</v>
      </c>
      <c r="B200" s="7" t="s">
        <v>334</v>
      </c>
      <c r="C200" s="4" t="s">
        <v>1071</v>
      </c>
      <c r="F200" s="4" t="s">
        <v>1072</v>
      </c>
      <c r="G200" s="4" t="s">
        <v>1073</v>
      </c>
      <c r="H200" s="5" t="s">
        <v>1074</v>
      </c>
      <c r="K200" s="5" t="s">
        <v>1075</v>
      </c>
    </row>
    <row r="201">
      <c r="A201" s="7" t="s">
        <v>1076</v>
      </c>
      <c r="B201" s="7" t="s">
        <v>167</v>
      </c>
      <c r="F201" s="4" t="s">
        <v>1077</v>
      </c>
      <c r="G201" s="4" t="s">
        <v>1078</v>
      </c>
      <c r="K201" s="5" t="s">
        <v>1079</v>
      </c>
    </row>
    <row r="202">
      <c r="A202" s="7" t="s">
        <v>1080</v>
      </c>
      <c r="B202" s="7" t="s">
        <v>548</v>
      </c>
      <c r="F202" s="4" t="s">
        <v>1081</v>
      </c>
      <c r="G202" s="4" t="s">
        <v>1082</v>
      </c>
      <c r="K202" s="5" t="s">
        <v>1083</v>
      </c>
    </row>
    <row r="203">
      <c r="A203" s="7" t="s">
        <v>1084</v>
      </c>
      <c r="B203" s="7" t="s">
        <v>296</v>
      </c>
      <c r="C203" s="4" t="s">
        <v>1085</v>
      </c>
      <c r="F203" s="4" t="s">
        <v>1086</v>
      </c>
      <c r="G203" s="4" t="s">
        <v>1087</v>
      </c>
      <c r="H203" s="5" t="s">
        <v>1088</v>
      </c>
      <c r="K203" s="5" t="s">
        <v>1089</v>
      </c>
    </row>
    <row r="204">
      <c r="A204" s="7" t="s">
        <v>1090</v>
      </c>
      <c r="B204" s="7" t="s">
        <v>334</v>
      </c>
      <c r="C204" s="4" t="s">
        <v>1091</v>
      </c>
      <c r="D204" s="4" t="s">
        <v>1092</v>
      </c>
      <c r="F204" s="4" t="s">
        <v>1093</v>
      </c>
      <c r="G204" s="4" t="s">
        <v>1094</v>
      </c>
      <c r="H204" s="5" t="s">
        <v>1095</v>
      </c>
      <c r="I204" s="5" t="s">
        <v>1096</v>
      </c>
      <c r="K204" s="5" t="s">
        <v>1097</v>
      </c>
    </row>
    <row r="205">
      <c r="A205" s="7" t="s">
        <v>1098</v>
      </c>
      <c r="B205" s="7" t="s">
        <v>422</v>
      </c>
      <c r="C205" s="4" t="s">
        <v>1042</v>
      </c>
      <c r="F205" s="4" t="s">
        <v>1043</v>
      </c>
      <c r="G205" s="4" t="s">
        <v>1099</v>
      </c>
      <c r="H205" s="5" t="s">
        <v>1045</v>
      </c>
      <c r="K205" s="5" t="s">
        <v>1046</v>
      </c>
    </row>
    <row r="206">
      <c r="A206" s="7" t="s">
        <v>1100</v>
      </c>
      <c r="B206" s="7" t="s">
        <v>248</v>
      </c>
      <c r="C206" s="4" t="s">
        <v>1025</v>
      </c>
      <c r="F206" s="4" t="s">
        <v>1026</v>
      </c>
      <c r="G206" s="4" t="s">
        <v>1101</v>
      </c>
      <c r="H206" s="5" t="s">
        <v>1028</v>
      </c>
      <c r="K206" s="5" t="s">
        <v>1029</v>
      </c>
    </row>
    <row r="207">
      <c r="A207" s="7" t="s">
        <v>1102</v>
      </c>
      <c r="B207" s="7" t="s">
        <v>167</v>
      </c>
      <c r="F207" s="4" t="s">
        <v>1077</v>
      </c>
      <c r="G207" s="4" t="s">
        <v>1103</v>
      </c>
      <c r="K207" s="5" t="s">
        <v>1079</v>
      </c>
    </row>
    <row r="208">
      <c r="A208" s="7" t="s">
        <v>1104</v>
      </c>
      <c r="B208" s="7" t="s">
        <v>181</v>
      </c>
      <c r="C208" s="4" t="s">
        <v>1105</v>
      </c>
      <c r="F208" s="4" t="s">
        <v>1106</v>
      </c>
      <c r="G208" s="4" t="s">
        <v>1107</v>
      </c>
      <c r="H208" s="5" t="s">
        <v>1108</v>
      </c>
      <c r="K208" s="5" t="s">
        <v>1109</v>
      </c>
    </row>
    <row r="209">
      <c r="A209" s="7" t="s">
        <v>1110</v>
      </c>
      <c r="B209" s="7" t="s">
        <v>388</v>
      </c>
      <c r="C209" s="4" t="s">
        <v>1049</v>
      </c>
      <c r="F209" s="4" t="s">
        <v>1050</v>
      </c>
      <c r="G209" s="4" t="s">
        <v>1111</v>
      </c>
      <c r="H209" s="5" t="s">
        <v>1052</v>
      </c>
      <c r="K209" s="5" t="s">
        <v>1053</v>
      </c>
    </row>
    <row r="210">
      <c r="A210" s="7" t="s">
        <v>1112</v>
      </c>
      <c r="B210" s="7" t="s">
        <v>422</v>
      </c>
      <c r="C210" s="4" t="s">
        <v>1042</v>
      </c>
      <c r="F210" s="4" t="s">
        <v>1043</v>
      </c>
      <c r="G210" s="4" t="s">
        <v>1099</v>
      </c>
    </row>
    <row r="211">
      <c r="A211" s="7" t="s">
        <v>1112</v>
      </c>
      <c r="B211" s="7" t="s">
        <v>334</v>
      </c>
      <c r="C211" s="4" t="s">
        <v>1091</v>
      </c>
      <c r="D211" s="4" t="s">
        <v>1092</v>
      </c>
      <c r="F211" s="4" t="s">
        <v>1093</v>
      </c>
      <c r="G211" s="4" t="s">
        <v>1113</v>
      </c>
      <c r="H211" s="5" t="s">
        <v>1095</v>
      </c>
      <c r="I211" s="5" t="s">
        <v>1096</v>
      </c>
      <c r="K211" s="5" t="s">
        <v>1097</v>
      </c>
    </row>
    <row r="212">
      <c r="A212" s="7" t="s">
        <v>1114</v>
      </c>
      <c r="B212" s="7" t="s">
        <v>218</v>
      </c>
      <c r="C212" s="4" t="s">
        <v>1115</v>
      </c>
      <c r="F212" s="4" t="s">
        <v>1116</v>
      </c>
      <c r="G212" s="4" t="s">
        <v>1117</v>
      </c>
      <c r="H212" s="5" t="s">
        <v>1118</v>
      </c>
      <c r="K212" s="5" t="s">
        <v>1119</v>
      </c>
    </row>
    <row r="213">
      <c r="A213" s="7" t="s">
        <v>1120</v>
      </c>
      <c r="B213" s="7" t="s">
        <v>749</v>
      </c>
      <c r="C213" s="4" t="s">
        <v>1121</v>
      </c>
      <c r="F213" s="4" t="s">
        <v>1122</v>
      </c>
      <c r="G213" s="4" t="s">
        <v>1123</v>
      </c>
      <c r="H213" s="5" t="s">
        <v>1124</v>
      </c>
      <c r="K213" s="5" t="s">
        <v>1125</v>
      </c>
    </row>
    <row r="214">
      <c r="A214" s="7" t="s">
        <v>1126</v>
      </c>
      <c r="B214" s="7" t="s">
        <v>167</v>
      </c>
      <c r="F214" s="4" t="s">
        <v>1077</v>
      </c>
      <c r="G214" s="4" t="s">
        <v>1103</v>
      </c>
      <c r="K214" s="5" t="s">
        <v>1079</v>
      </c>
    </row>
    <row r="215">
      <c r="A215" s="7" t="s">
        <v>1127</v>
      </c>
      <c r="B215" s="7" t="s">
        <v>248</v>
      </c>
      <c r="C215" s="4" t="s">
        <v>1128</v>
      </c>
      <c r="F215" s="4" t="s">
        <v>1129</v>
      </c>
      <c r="G215" s="4" t="s">
        <v>1130</v>
      </c>
      <c r="H215" s="5" t="s">
        <v>1131</v>
      </c>
      <c r="K215" s="5" t="s">
        <v>1132</v>
      </c>
    </row>
    <row r="216">
      <c r="A216" s="7" t="s">
        <v>1133</v>
      </c>
      <c r="B216" s="7" t="s">
        <v>422</v>
      </c>
      <c r="C216" s="4" t="s">
        <v>1134</v>
      </c>
      <c r="F216" s="4" t="s">
        <v>1135</v>
      </c>
      <c r="G216" s="4" t="s">
        <v>1136</v>
      </c>
      <c r="H216" s="5" t="s">
        <v>1137</v>
      </c>
      <c r="K216" s="5" t="s">
        <v>1138</v>
      </c>
    </row>
    <row r="217">
      <c r="A217" s="7" t="s">
        <v>1139</v>
      </c>
      <c r="B217" s="7" t="s">
        <v>167</v>
      </c>
      <c r="F217" s="4" t="s">
        <v>1077</v>
      </c>
      <c r="G217" s="4" t="s">
        <v>1103</v>
      </c>
      <c r="K217" s="5" t="s">
        <v>1079</v>
      </c>
    </row>
    <row r="218">
      <c r="A218" s="7" t="s">
        <v>1140</v>
      </c>
      <c r="B218" s="7" t="s">
        <v>277</v>
      </c>
      <c r="C218" s="4" t="s">
        <v>1141</v>
      </c>
      <c r="F218" s="4" t="s">
        <v>1142</v>
      </c>
      <c r="G218" s="4" t="s">
        <v>1143</v>
      </c>
      <c r="H218" s="5" t="s">
        <v>1144</v>
      </c>
      <c r="K218" s="5" t="s">
        <v>1145</v>
      </c>
    </row>
    <row r="219">
      <c r="A219" s="7" t="s">
        <v>1146</v>
      </c>
      <c r="B219" s="7" t="s">
        <v>218</v>
      </c>
      <c r="C219" s="4" t="s">
        <v>1115</v>
      </c>
      <c r="F219" s="4" t="s">
        <v>1116</v>
      </c>
      <c r="G219" s="4" t="s">
        <v>1147</v>
      </c>
      <c r="H219" s="5" t="s">
        <v>1118</v>
      </c>
      <c r="K219" s="5" t="s">
        <v>1119</v>
      </c>
    </row>
    <row r="220">
      <c r="A220" s="7" t="s">
        <v>1148</v>
      </c>
      <c r="B220" s="7" t="s">
        <v>334</v>
      </c>
      <c r="C220" s="4" t="s">
        <v>1149</v>
      </c>
      <c r="F220" s="4" t="s">
        <v>1150</v>
      </c>
      <c r="G220" s="4" t="s">
        <v>1151</v>
      </c>
      <c r="H220" s="5" t="s">
        <v>1152</v>
      </c>
      <c r="K220" s="5" t="s">
        <v>1153</v>
      </c>
    </row>
    <row r="221">
      <c r="A221" s="7" t="s">
        <v>1154</v>
      </c>
      <c r="B221" s="7" t="s">
        <v>167</v>
      </c>
      <c r="F221" s="4" t="s">
        <v>1155</v>
      </c>
      <c r="G221" s="4" t="s">
        <v>1156</v>
      </c>
      <c r="K221" s="5" t="s">
        <v>1157</v>
      </c>
    </row>
    <row r="222">
      <c r="A222" s="7" t="s">
        <v>1158</v>
      </c>
      <c r="B222" s="7" t="s">
        <v>442</v>
      </c>
      <c r="C222" s="4" t="s">
        <v>1159</v>
      </c>
      <c r="F222" s="4" t="s">
        <v>1160</v>
      </c>
      <c r="G222" s="4" t="s">
        <v>1161</v>
      </c>
      <c r="H222" s="5" t="s">
        <v>1162</v>
      </c>
      <c r="K222" s="5" t="s">
        <v>1163</v>
      </c>
    </row>
    <row r="223">
      <c r="A223" s="7" t="s">
        <v>1164</v>
      </c>
      <c r="B223" s="7" t="s">
        <v>388</v>
      </c>
      <c r="C223" s="4" t="s">
        <v>1165</v>
      </c>
      <c r="D223" s="4" t="s">
        <v>1166</v>
      </c>
      <c r="F223" s="4" t="s">
        <v>1167</v>
      </c>
      <c r="G223" s="4" t="s">
        <v>1168</v>
      </c>
      <c r="H223" s="5" t="s">
        <v>1169</v>
      </c>
      <c r="I223" s="5" t="s">
        <v>1170</v>
      </c>
      <c r="K223" s="5" t="s">
        <v>1171</v>
      </c>
    </row>
    <row r="224">
      <c r="A224" s="7" t="s">
        <v>1172</v>
      </c>
      <c r="B224" s="7" t="s">
        <v>228</v>
      </c>
      <c r="F224" s="4" t="s">
        <v>1173</v>
      </c>
      <c r="G224" s="4" t="s">
        <v>1174</v>
      </c>
      <c r="K224" s="5" t="s">
        <v>1175</v>
      </c>
    </row>
    <row r="225">
      <c r="A225" s="7" t="s">
        <v>1176</v>
      </c>
      <c r="B225" s="7" t="s">
        <v>422</v>
      </c>
      <c r="C225" s="4" t="s">
        <v>1134</v>
      </c>
      <c r="F225" s="4" t="s">
        <v>1135</v>
      </c>
      <c r="G225" s="4" t="s">
        <v>1177</v>
      </c>
      <c r="H225" s="5" t="s">
        <v>1137</v>
      </c>
      <c r="K225" s="5" t="s">
        <v>1138</v>
      </c>
    </row>
    <row r="226">
      <c r="A226" s="7" t="s">
        <v>1178</v>
      </c>
      <c r="B226" s="7" t="s">
        <v>296</v>
      </c>
      <c r="C226" s="4" t="s">
        <v>1179</v>
      </c>
      <c r="D226" s="4" t="s">
        <v>1180</v>
      </c>
      <c r="F226" s="4" t="s">
        <v>1181</v>
      </c>
      <c r="G226" s="4" t="s">
        <v>1182</v>
      </c>
      <c r="H226" s="5" t="s">
        <v>1183</v>
      </c>
      <c r="I226" s="5" t="s">
        <v>1184</v>
      </c>
      <c r="K226" s="5" t="s">
        <v>1185</v>
      </c>
    </row>
    <row r="227">
      <c r="A227" s="7" t="s">
        <v>1186</v>
      </c>
      <c r="B227" s="7" t="s">
        <v>741</v>
      </c>
      <c r="C227" s="4" t="s">
        <v>1187</v>
      </c>
      <c r="F227" s="4" t="s">
        <v>1188</v>
      </c>
      <c r="G227" s="4" t="s">
        <v>1189</v>
      </c>
      <c r="H227" s="5" t="s">
        <v>1190</v>
      </c>
      <c r="K227" s="5" t="s">
        <v>1191</v>
      </c>
    </row>
    <row r="228">
      <c r="A228" s="7" t="s">
        <v>1192</v>
      </c>
      <c r="B228" s="7" t="s">
        <v>181</v>
      </c>
      <c r="C228" s="4" t="s">
        <v>1193</v>
      </c>
      <c r="F228" s="4" t="s">
        <v>1194</v>
      </c>
      <c r="G228" s="4" t="s">
        <v>1195</v>
      </c>
      <c r="H228" s="5" t="s">
        <v>1196</v>
      </c>
      <c r="K228" s="5" t="s">
        <v>1197</v>
      </c>
    </row>
    <row r="229">
      <c r="A229" s="7" t="s">
        <v>1198</v>
      </c>
      <c r="B229" s="7" t="s">
        <v>167</v>
      </c>
      <c r="F229" s="4" t="s">
        <v>1155</v>
      </c>
      <c r="G229" s="4" t="s">
        <v>1199</v>
      </c>
      <c r="K229" s="5" t="s">
        <v>1157</v>
      </c>
    </row>
    <row r="230">
      <c r="A230" s="7" t="s">
        <v>1200</v>
      </c>
      <c r="B230" s="7" t="s">
        <v>1201</v>
      </c>
      <c r="C230" s="4" t="s">
        <v>1202</v>
      </c>
      <c r="F230" s="4" t="s">
        <v>1203</v>
      </c>
      <c r="G230" s="4" t="s">
        <v>1204</v>
      </c>
      <c r="H230" s="5" t="s">
        <v>1205</v>
      </c>
      <c r="K230" s="5" t="s">
        <v>1206</v>
      </c>
    </row>
    <row r="231">
      <c r="A231" s="7" t="s">
        <v>1207</v>
      </c>
      <c r="B231" s="7" t="s">
        <v>388</v>
      </c>
      <c r="C231" s="4" t="s">
        <v>1165</v>
      </c>
      <c r="D231" s="4" t="s">
        <v>1166</v>
      </c>
      <c r="F231" s="4" t="s">
        <v>1167</v>
      </c>
      <c r="G231" s="4" t="s">
        <v>1208</v>
      </c>
      <c r="H231" s="5" t="s">
        <v>1169</v>
      </c>
      <c r="I231" s="5" t="s">
        <v>1170</v>
      </c>
      <c r="K231" s="5" t="s">
        <v>1171</v>
      </c>
    </row>
    <row r="232">
      <c r="A232" s="7" t="s">
        <v>1209</v>
      </c>
      <c r="B232" s="7" t="s">
        <v>797</v>
      </c>
      <c r="F232" s="4" t="s">
        <v>1210</v>
      </c>
      <c r="G232" s="4" t="s">
        <v>1211</v>
      </c>
      <c r="K232" s="5" t="s">
        <v>1212</v>
      </c>
    </row>
    <row r="233">
      <c r="A233" s="7" t="s">
        <v>1213</v>
      </c>
      <c r="B233" s="7" t="s">
        <v>741</v>
      </c>
      <c r="C233" s="4" t="s">
        <v>1187</v>
      </c>
      <c r="F233" s="4" t="s">
        <v>1188</v>
      </c>
      <c r="G233" s="4" t="s">
        <v>1214</v>
      </c>
      <c r="H233" s="5" t="s">
        <v>1190</v>
      </c>
      <c r="K233" s="5" t="s">
        <v>1191</v>
      </c>
    </row>
    <row r="234">
      <c r="A234" s="7" t="s">
        <v>1215</v>
      </c>
      <c r="B234" s="7" t="s">
        <v>334</v>
      </c>
      <c r="C234" s="4" t="s">
        <v>1149</v>
      </c>
      <c r="F234" s="4" t="s">
        <v>1150</v>
      </c>
      <c r="G234" s="4" t="s">
        <v>1216</v>
      </c>
    </row>
    <row r="235">
      <c r="A235" s="7" t="s">
        <v>1215</v>
      </c>
      <c r="B235" s="7" t="s">
        <v>228</v>
      </c>
      <c r="F235" s="4" t="s">
        <v>1173</v>
      </c>
      <c r="G235" s="4" t="s">
        <v>1217</v>
      </c>
      <c r="K235" s="5" t="s">
        <v>1175</v>
      </c>
    </row>
    <row r="236">
      <c r="A236" s="7" t="s">
        <v>1218</v>
      </c>
      <c r="B236" s="7" t="s">
        <v>167</v>
      </c>
      <c r="F236" s="4" t="s">
        <v>1155</v>
      </c>
      <c r="G236" s="4" t="s">
        <v>1199</v>
      </c>
    </row>
    <row r="237">
      <c r="A237" s="7" t="s">
        <v>1218</v>
      </c>
      <c r="B237" s="7" t="s">
        <v>1201</v>
      </c>
      <c r="C237" s="4" t="s">
        <v>1202</v>
      </c>
      <c r="F237" s="4" t="s">
        <v>1203</v>
      </c>
      <c r="G237" s="4" t="s">
        <v>1219</v>
      </c>
      <c r="H237" s="5" t="s">
        <v>1205</v>
      </c>
      <c r="K237" s="5" t="s">
        <v>1206</v>
      </c>
    </row>
    <row r="238">
      <c r="A238" s="7" t="s">
        <v>1220</v>
      </c>
      <c r="B238" s="7" t="s">
        <v>749</v>
      </c>
      <c r="C238" s="4" t="s">
        <v>1221</v>
      </c>
      <c r="F238" s="4" t="s">
        <v>1222</v>
      </c>
      <c r="G238" s="4" t="s">
        <v>1223</v>
      </c>
      <c r="H238" s="5" t="s">
        <v>1224</v>
      </c>
      <c r="K238" s="5" t="s">
        <v>1225</v>
      </c>
    </row>
    <row r="239">
      <c r="A239" s="7" t="s">
        <v>1226</v>
      </c>
      <c r="B239" s="7" t="s">
        <v>218</v>
      </c>
      <c r="C239" s="4" t="s">
        <v>1227</v>
      </c>
      <c r="F239" s="4" t="s">
        <v>1228</v>
      </c>
      <c r="G239" s="4" t="s">
        <v>1229</v>
      </c>
      <c r="H239" s="5" t="s">
        <v>1230</v>
      </c>
      <c r="K239" s="5" t="s">
        <v>1231</v>
      </c>
    </row>
    <row r="240">
      <c r="A240" s="7" t="s">
        <v>1232</v>
      </c>
      <c r="B240" s="7" t="s">
        <v>422</v>
      </c>
      <c r="C240" s="4" t="s">
        <v>1233</v>
      </c>
      <c r="F240" s="4" t="s">
        <v>1234</v>
      </c>
      <c r="G240" s="4" t="s">
        <v>1235</v>
      </c>
      <c r="H240" s="5" t="s">
        <v>1236</v>
      </c>
      <c r="K240" s="5" t="s">
        <v>1237</v>
      </c>
    </row>
    <row r="241">
      <c r="A241" s="7" t="s">
        <v>1238</v>
      </c>
      <c r="B241" s="7" t="s">
        <v>277</v>
      </c>
      <c r="C241" s="4" t="s">
        <v>1239</v>
      </c>
      <c r="F241" s="4" t="s">
        <v>1240</v>
      </c>
      <c r="G241" s="4" t="s">
        <v>1241</v>
      </c>
      <c r="H241" s="5" t="s">
        <v>1242</v>
      </c>
      <c r="K241" s="5" t="s">
        <v>1243</v>
      </c>
    </row>
    <row r="242">
      <c r="A242" s="7" t="s">
        <v>1244</v>
      </c>
      <c r="B242" s="7" t="s">
        <v>1245</v>
      </c>
      <c r="C242" s="4" t="s">
        <v>1246</v>
      </c>
      <c r="F242" s="4" t="s">
        <v>1247</v>
      </c>
      <c r="G242" s="4" t="s">
        <v>1248</v>
      </c>
      <c r="H242" s="5" t="s">
        <v>1249</v>
      </c>
      <c r="K242" s="5" t="s">
        <v>1250</v>
      </c>
    </row>
    <row r="243">
      <c r="A243" s="7" t="s">
        <v>1251</v>
      </c>
      <c r="B243" s="7" t="s">
        <v>248</v>
      </c>
      <c r="C243" s="4" t="s">
        <v>1252</v>
      </c>
      <c r="F243" s="4" t="s">
        <v>1253</v>
      </c>
      <c r="G243" s="4" t="s">
        <v>1254</v>
      </c>
      <c r="H243" s="5" t="s">
        <v>1255</v>
      </c>
      <c r="K243" s="5" t="s">
        <v>1256</v>
      </c>
    </row>
    <row r="244">
      <c r="A244" s="7" t="s">
        <v>1257</v>
      </c>
      <c r="B244" s="7" t="s">
        <v>181</v>
      </c>
      <c r="C244" s="4" t="s">
        <v>1193</v>
      </c>
      <c r="F244" s="4" t="s">
        <v>1194</v>
      </c>
      <c r="G244" s="4" t="s">
        <v>1258</v>
      </c>
      <c r="H244" s="5" t="s">
        <v>1196</v>
      </c>
      <c r="K244" s="5" t="s">
        <v>1197</v>
      </c>
    </row>
    <row r="245">
      <c r="A245" s="7" t="s">
        <v>1259</v>
      </c>
      <c r="B245" s="7" t="s">
        <v>167</v>
      </c>
      <c r="F245" s="4" t="s">
        <v>1155</v>
      </c>
      <c r="G245" s="4" t="s">
        <v>1199</v>
      </c>
      <c r="K245" s="5" t="s">
        <v>1157</v>
      </c>
    </row>
    <row r="246">
      <c r="A246" s="7" t="s">
        <v>1260</v>
      </c>
      <c r="B246" s="7" t="s">
        <v>749</v>
      </c>
      <c r="C246" s="4" t="s">
        <v>1221</v>
      </c>
      <c r="F246" s="4" t="s">
        <v>1222</v>
      </c>
      <c r="G246" s="4" t="s">
        <v>1261</v>
      </c>
    </row>
    <row r="247">
      <c r="A247" s="7" t="s">
        <v>1260</v>
      </c>
      <c r="B247" s="7" t="s">
        <v>1245</v>
      </c>
      <c r="C247" s="4" t="s">
        <v>1246</v>
      </c>
      <c r="F247" s="4" t="s">
        <v>1247</v>
      </c>
      <c r="G247" s="4" t="s">
        <v>1262</v>
      </c>
      <c r="H247" s="5" t="s">
        <v>1249</v>
      </c>
      <c r="K247" s="5" t="s">
        <v>1250</v>
      </c>
    </row>
    <row r="248">
      <c r="A248" s="7" t="s">
        <v>1263</v>
      </c>
      <c r="B248" s="7" t="s">
        <v>1264</v>
      </c>
      <c r="F248" s="4" t="s">
        <v>1265</v>
      </c>
      <c r="G248" s="4" t="s">
        <v>1266</v>
      </c>
      <c r="K248" s="5" t="s">
        <v>1267</v>
      </c>
    </row>
    <row r="249">
      <c r="A249" s="7" t="s">
        <v>1268</v>
      </c>
      <c r="B249" s="7" t="s">
        <v>167</v>
      </c>
      <c r="F249" s="4" t="s">
        <v>1269</v>
      </c>
      <c r="G249" s="4" t="s">
        <v>1270</v>
      </c>
      <c r="K249" s="5" t="s">
        <v>1271</v>
      </c>
    </row>
    <row r="250">
      <c r="A250" s="7" t="s">
        <v>1272</v>
      </c>
      <c r="B250" s="7" t="s">
        <v>181</v>
      </c>
      <c r="C250" s="4" t="s">
        <v>1193</v>
      </c>
      <c r="F250" s="4" t="s">
        <v>1194</v>
      </c>
      <c r="G250" s="4" t="s">
        <v>1258</v>
      </c>
    </row>
    <row r="251">
      <c r="A251" s="7" t="s">
        <v>1272</v>
      </c>
      <c r="B251" s="7" t="s">
        <v>749</v>
      </c>
      <c r="C251" s="4" t="s">
        <v>1221</v>
      </c>
      <c r="F251" s="4" t="s">
        <v>1222</v>
      </c>
      <c r="G251" s="4" t="s">
        <v>1261</v>
      </c>
    </row>
    <row r="252">
      <c r="A252" s="7" t="s">
        <v>1272</v>
      </c>
      <c r="B252" s="7" t="s">
        <v>218</v>
      </c>
      <c r="C252" s="4" t="s">
        <v>1227</v>
      </c>
      <c r="F252" s="4" t="s">
        <v>1228</v>
      </c>
      <c r="G252" s="4" t="s">
        <v>1273</v>
      </c>
    </row>
    <row r="253">
      <c r="A253" s="7" t="s">
        <v>1272</v>
      </c>
      <c r="B253" s="7" t="s">
        <v>277</v>
      </c>
      <c r="C253" s="4" t="s">
        <v>1239</v>
      </c>
      <c r="F253" s="4" t="s">
        <v>1240</v>
      </c>
      <c r="G253" s="4" t="s">
        <v>1274</v>
      </c>
      <c r="H253" s="5" t="s">
        <v>1242</v>
      </c>
      <c r="K253" s="5" t="s">
        <v>1243</v>
      </c>
    </row>
    <row r="254">
      <c r="A254" s="7" t="s">
        <v>1275</v>
      </c>
      <c r="B254" s="7" t="s">
        <v>1245</v>
      </c>
      <c r="C254" s="4" t="s">
        <v>1276</v>
      </c>
      <c r="F254" s="4" t="s">
        <v>1277</v>
      </c>
      <c r="G254" s="4" t="s">
        <v>1278</v>
      </c>
      <c r="H254" s="5" t="s">
        <v>1279</v>
      </c>
      <c r="K254" s="5" t="s">
        <v>1280</v>
      </c>
    </row>
    <row r="255">
      <c r="A255" s="7" t="s">
        <v>1281</v>
      </c>
      <c r="B255" s="7" t="s">
        <v>334</v>
      </c>
      <c r="C255" s="4" t="s">
        <v>1282</v>
      </c>
      <c r="F255" s="4" t="s">
        <v>1283</v>
      </c>
      <c r="G255" s="4" t="s">
        <v>1284</v>
      </c>
      <c r="H255" s="5" t="s">
        <v>1285</v>
      </c>
      <c r="K255" s="5" t="s">
        <v>1286</v>
      </c>
    </row>
    <row r="256">
      <c r="A256" s="7" t="s">
        <v>1287</v>
      </c>
      <c r="B256" s="7" t="s">
        <v>218</v>
      </c>
      <c r="C256" s="4" t="s">
        <v>1288</v>
      </c>
      <c r="F256" s="4" t="s">
        <v>1289</v>
      </c>
      <c r="G256" s="4" t="s">
        <v>1290</v>
      </c>
      <c r="H256" s="5" t="s">
        <v>1291</v>
      </c>
    </row>
    <row r="257">
      <c r="A257" s="7" t="s">
        <v>1292</v>
      </c>
      <c r="B257" s="7" t="s">
        <v>388</v>
      </c>
      <c r="C257" s="4" t="s">
        <v>1293</v>
      </c>
      <c r="F257" s="4" t="s">
        <v>1294</v>
      </c>
      <c r="G257" s="4" t="s">
        <v>1295</v>
      </c>
      <c r="H257" s="5" t="s">
        <v>1296</v>
      </c>
      <c r="K257" s="5" t="s">
        <v>1297</v>
      </c>
    </row>
    <row r="258">
      <c r="A258" s="7" t="s">
        <v>1298</v>
      </c>
      <c r="B258" s="7" t="s">
        <v>442</v>
      </c>
      <c r="C258" s="4" t="s">
        <v>1299</v>
      </c>
      <c r="F258" s="4" t="s">
        <v>1300</v>
      </c>
      <c r="G258" s="4" t="s">
        <v>1301</v>
      </c>
      <c r="H258" s="5" t="s">
        <v>1302</v>
      </c>
      <c r="K258" s="5" t="s">
        <v>1303</v>
      </c>
    </row>
    <row r="259">
      <c r="A259" s="7" t="s">
        <v>1304</v>
      </c>
      <c r="B259" s="7" t="s">
        <v>741</v>
      </c>
      <c r="C259" s="4" t="s">
        <v>1305</v>
      </c>
      <c r="F259" s="4" t="s">
        <v>1306</v>
      </c>
      <c r="G259" s="4" t="s">
        <v>1307</v>
      </c>
      <c r="H259" s="5" t="s">
        <v>1308</v>
      </c>
      <c r="K259" s="5" t="s">
        <v>1309</v>
      </c>
    </row>
    <row r="260">
      <c r="A260" s="7" t="s">
        <v>1310</v>
      </c>
      <c r="B260" s="7" t="s">
        <v>296</v>
      </c>
      <c r="C260" s="4" t="s">
        <v>1311</v>
      </c>
      <c r="F260" s="4" t="s">
        <v>1312</v>
      </c>
      <c r="G260" s="4" t="s">
        <v>1313</v>
      </c>
      <c r="H260" s="5" t="s">
        <v>1314</v>
      </c>
      <c r="K260" s="5" t="s">
        <v>1315</v>
      </c>
    </row>
    <row r="261">
      <c r="A261" s="7" t="s">
        <v>1316</v>
      </c>
      <c r="B261" s="7" t="s">
        <v>1201</v>
      </c>
      <c r="C261" s="4" t="s">
        <v>1317</v>
      </c>
      <c r="F261" s="4" t="s">
        <v>1318</v>
      </c>
      <c r="G261" s="4" t="s">
        <v>1319</v>
      </c>
      <c r="H261" s="5" t="s">
        <v>1320</v>
      </c>
      <c r="K261" s="5" t="s">
        <v>1321</v>
      </c>
    </row>
    <row r="262">
      <c r="A262" s="7" t="s">
        <v>1322</v>
      </c>
      <c r="B262" s="7" t="s">
        <v>548</v>
      </c>
      <c r="F262" s="4" t="s">
        <v>1323</v>
      </c>
      <c r="G262" s="4" t="s">
        <v>1324</v>
      </c>
      <c r="K262" s="5" t="s">
        <v>1325</v>
      </c>
    </row>
    <row r="263">
      <c r="A263" s="7" t="s">
        <v>1326</v>
      </c>
      <c r="B263" s="7" t="s">
        <v>749</v>
      </c>
      <c r="C263" s="4" t="s">
        <v>1327</v>
      </c>
      <c r="F263" s="4" t="s">
        <v>1328</v>
      </c>
      <c r="G263" s="4" t="s">
        <v>1329</v>
      </c>
      <c r="H263" s="5" t="s">
        <v>1330</v>
      </c>
      <c r="K263" s="5" t="s">
        <v>1331</v>
      </c>
    </row>
    <row r="264">
      <c r="A264" s="7" t="s">
        <v>1332</v>
      </c>
      <c r="B264" s="7" t="s">
        <v>1245</v>
      </c>
      <c r="C264" s="4" t="s">
        <v>1333</v>
      </c>
      <c r="F264" s="4" t="s">
        <v>1334</v>
      </c>
      <c r="G264" s="4" t="s">
        <v>1335</v>
      </c>
      <c r="H264" s="5" t="s">
        <v>1336</v>
      </c>
      <c r="K264" s="5" t="s">
        <v>1337</v>
      </c>
    </row>
    <row r="265">
      <c r="A265" s="7" t="s">
        <v>1338</v>
      </c>
      <c r="B265" s="7" t="s">
        <v>218</v>
      </c>
      <c r="C265" s="4" t="s">
        <v>1339</v>
      </c>
      <c r="F265" s="4" t="s">
        <v>1340</v>
      </c>
      <c r="G265" s="4" t="s">
        <v>1341</v>
      </c>
      <c r="H265" s="5" t="s">
        <v>1342</v>
      </c>
      <c r="K265" s="5" t="s">
        <v>1343</v>
      </c>
    </row>
    <row r="266">
      <c r="A266" s="7" t="s">
        <v>1344</v>
      </c>
      <c r="B266" s="7" t="s">
        <v>277</v>
      </c>
      <c r="C266" s="4" t="s">
        <v>1345</v>
      </c>
      <c r="F266" s="4" t="s">
        <v>1346</v>
      </c>
      <c r="G266" s="4" t="s">
        <v>1347</v>
      </c>
      <c r="H266" s="5" t="s">
        <v>1348</v>
      </c>
      <c r="K266" s="5" t="s">
        <v>1349</v>
      </c>
    </row>
    <row r="267">
      <c r="A267" s="7" t="s">
        <v>1350</v>
      </c>
      <c r="B267" s="7" t="s">
        <v>248</v>
      </c>
      <c r="F267" s="4" t="s">
        <v>1351</v>
      </c>
      <c r="G267" s="4" t="s">
        <v>1352</v>
      </c>
      <c r="K267" s="5" t="s">
        <v>1353</v>
      </c>
    </row>
    <row r="268">
      <c r="A268" s="7" t="s">
        <v>1354</v>
      </c>
      <c r="B268" s="7" t="s">
        <v>181</v>
      </c>
      <c r="C268" s="4" t="s">
        <v>1355</v>
      </c>
      <c r="F268" s="4" t="s">
        <v>1356</v>
      </c>
      <c r="G268" s="4" t="s">
        <v>1357</v>
      </c>
      <c r="H268" s="5" t="s">
        <v>1358</v>
      </c>
      <c r="K268" s="5" t="s">
        <v>1359</v>
      </c>
    </row>
    <row r="269">
      <c r="A269" s="7" t="s">
        <v>1360</v>
      </c>
      <c r="B269" s="7" t="s">
        <v>240</v>
      </c>
      <c r="C269" s="4" t="s">
        <v>1361</v>
      </c>
      <c r="F269" s="4" t="s">
        <v>1362</v>
      </c>
      <c r="G269" s="4" t="s">
        <v>1363</v>
      </c>
      <c r="H269" s="5" t="s">
        <v>1364</v>
      </c>
      <c r="K269" s="5" t="s">
        <v>1365</v>
      </c>
    </row>
    <row r="270">
      <c r="A270" s="7" t="s">
        <v>1366</v>
      </c>
      <c r="B270" s="7" t="s">
        <v>422</v>
      </c>
      <c r="C270" s="4" t="s">
        <v>1367</v>
      </c>
      <c r="F270" s="4" t="s">
        <v>1368</v>
      </c>
      <c r="G270" s="4" t="s">
        <v>1369</v>
      </c>
      <c r="H270" s="5" t="s">
        <v>1370</v>
      </c>
      <c r="K270" s="5" t="s">
        <v>1371</v>
      </c>
    </row>
    <row r="271">
      <c r="A271" s="7" t="s">
        <v>1372</v>
      </c>
      <c r="B271" s="7" t="s">
        <v>218</v>
      </c>
      <c r="C271" s="4" t="s">
        <v>1373</v>
      </c>
      <c r="F271" s="4" t="s">
        <v>1374</v>
      </c>
      <c r="G271" s="4" t="s">
        <v>1375</v>
      </c>
      <c r="H271" s="5" t="s">
        <v>1376</v>
      </c>
      <c r="K271" s="5" t="s">
        <v>1377</v>
      </c>
    </row>
    <row r="272">
      <c r="A272" s="7" t="s">
        <v>1378</v>
      </c>
      <c r="B272" s="7" t="s">
        <v>1264</v>
      </c>
      <c r="F272" s="4" t="s">
        <v>1379</v>
      </c>
      <c r="G272" s="4" t="s">
        <v>1380</v>
      </c>
      <c r="K272" s="5" t="s">
        <v>1381</v>
      </c>
    </row>
    <row r="273">
      <c r="A273" s="7" t="s">
        <v>1382</v>
      </c>
      <c r="B273" s="7" t="s">
        <v>442</v>
      </c>
      <c r="C273" s="4" t="s">
        <v>1383</v>
      </c>
      <c r="F273" s="4" t="s">
        <v>1384</v>
      </c>
      <c r="G273" s="4" t="s">
        <v>1385</v>
      </c>
      <c r="H273" s="5" t="s">
        <v>1386</v>
      </c>
      <c r="K273" s="5" t="s">
        <v>1387</v>
      </c>
    </row>
    <row r="274">
      <c r="A274" s="7" t="s">
        <v>1388</v>
      </c>
      <c r="B274" s="7" t="s">
        <v>334</v>
      </c>
      <c r="C274" s="4" t="s">
        <v>1389</v>
      </c>
      <c r="F274" s="4" t="s">
        <v>1390</v>
      </c>
      <c r="G274" s="4" t="s">
        <v>1391</v>
      </c>
      <c r="H274" s="5" t="s">
        <v>1392</v>
      </c>
      <c r="K274" s="5" t="s">
        <v>1393</v>
      </c>
    </row>
    <row r="275">
      <c r="A275" s="7" t="s">
        <v>1394</v>
      </c>
      <c r="B275" s="7" t="s">
        <v>296</v>
      </c>
      <c r="C275" s="4" t="s">
        <v>1395</v>
      </c>
      <c r="F275" s="4" t="s">
        <v>1396</v>
      </c>
      <c r="G275" s="4" t="s">
        <v>1397</v>
      </c>
      <c r="H275" s="5" t="s">
        <v>1398</v>
      </c>
      <c r="K275" s="5" t="s">
        <v>1399</v>
      </c>
    </row>
    <row r="276">
      <c r="A276" s="7" t="s">
        <v>1400</v>
      </c>
      <c r="B276" s="7" t="s">
        <v>388</v>
      </c>
      <c r="C276" s="4" t="s">
        <v>1401</v>
      </c>
      <c r="F276" s="4" t="s">
        <v>1402</v>
      </c>
      <c r="G276" s="4" t="s">
        <v>1403</v>
      </c>
      <c r="H276" s="5" t="s">
        <v>1404</v>
      </c>
      <c r="K276" s="5" t="s">
        <v>1405</v>
      </c>
    </row>
  </sheetData>
  <autoFilter ref="$A$1:$L$1000"/>
  <hyperlinks>
    <hyperlink r:id="rId1" ref="H2"/>
    <hyperlink r:id="rId2" ref="K2"/>
    <hyperlink r:id="rId3" ref="K3"/>
    <hyperlink r:id="rId4" ref="H4"/>
    <hyperlink r:id="rId5" ref="K4"/>
    <hyperlink r:id="rId6" ref="L4"/>
    <hyperlink r:id="rId7" ref="H5"/>
    <hyperlink r:id="rId8" ref="K5"/>
    <hyperlink r:id="rId9" ref="L5"/>
    <hyperlink r:id="rId10" ref="H6"/>
    <hyperlink r:id="rId11" ref="K6"/>
    <hyperlink r:id="rId12" ref="L6"/>
    <hyperlink r:id="rId13" ref="K7"/>
    <hyperlink r:id="rId14" ref="L7"/>
    <hyperlink r:id="rId15" ref="K8"/>
    <hyperlink r:id="rId16" ref="L8"/>
    <hyperlink r:id="rId17" ref="K9"/>
    <hyperlink r:id="rId18" ref="L9"/>
    <hyperlink r:id="rId19" ref="K10"/>
    <hyperlink r:id="rId20" ref="K11"/>
    <hyperlink r:id="rId21" ref="H12"/>
    <hyperlink r:id="rId22" ref="K12"/>
    <hyperlink r:id="rId23" ref="L12"/>
    <hyperlink r:id="rId24" ref="H13"/>
    <hyperlink r:id="rId25" ref="K13"/>
    <hyperlink r:id="rId26" ref="L13"/>
    <hyperlink r:id="rId27" ref="H14"/>
    <hyperlink r:id="rId28" ref="K14"/>
    <hyperlink r:id="rId29" ref="K15"/>
    <hyperlink r:id="rId30" ref="H16"/>
    <hyperlink r:id="rId31" ref="K16"/>
    <hyperlink r:id="rId32" ref="H17"/>
    <hyperlink r:id="rId33" ref="I17"/>
    <hyperlink r:id="rId34" ref="K17"/>
    <hyperlink r:id="rId35" ref="L17"/>
    <hyperlink r:id="rId36" ref="H18"/>
    <hyperlink r:id="rId37" ref="K18"/>
    <hyperlink r:id="rId38" ref="L18"/>
    <hyperlink r:id="rId39" ref="H19"/>
    <hyperlink r:id="rId40" ref="K19"/>
    <hyperlink r:id="rId41" ref="L19"/>
    <hyperlink r:id="rId42" ref="K20"/>
    <hyperlink r:id="rId43" ref="L20"/>
    <hyperlink r:id="rId44" ref="K21"/>
    <hyperlink r:id="rId45" ref="L21"/>
    <hyperlink r:id="rId46" ref="K22"/>
    <hyperlink r:id="rId47" ref="L22"/>
    <hyperlink r:id="rId48" ref="K23"/>
    <hyperlink r:id="rId49" ref="L23"/>
    <hyperlink r:id="rId50" ref="H24"/>
    <hyperlink r:id="rId51" ref="K24"/>
    <hyperlink r:id="rId52" ref="L24"/>
    <hyperlink r:id="rId53" ref="H25"/>
    <hyperlink r:id="rId54" ref="K25"/>
    <hyperlink r:id="rId55" ref="L25"/>
    <hyperlink r:id="rId56" ref="H26"/>
    <hyperlink r:id="rId57" ref="K26"/>
    <hyperlink r:id="rId58" ref="L26"/>
    <hyperlink r:id="rId59" ref="H27"/>
    <hyperlink r:id="rId60" ref="I27"/>
    <hyperlink r:id="rId61" ref="K27"/>
    <hyperlink r:id="rId62" ref="L27"/>
    <hyperlink r:id="rId63" ref="H28"/>
    <hyperlink r:id="rId64" ref="K28"/>
    <hyperlink r:id="rId65" ref="K29"/>
    <hyperlink r:id="rId66" ref="L29"/>
    <hyperlink r:id="rId67" ref="H30"/>
    <hyperlink r:id="rId68" ref="K30"/>
    <hyperlink r:id="rId69" ref="L30"/>
    <hyperlink r:id="rId70" ref="H31"/>
    <hyperlink r:id="rId71" ref="I31"/>
    <hyperlink r:id="rId72" ref="K31"/>
    <hyperlink r:id="rId73" ref="L31"/>
    <hyperlink r:id="rId74" ref="H32"/>
    <hyperlink r:id="rId75" ref="K32"/>
    <hyperlink r:id="rId76" ref="H33"/>
    <hyperlink r:id="rId77" ref="K33"/>
    <hyperlink r:id="rId78" ref="K34"/>
    <hyperlink r:id="rId79" ref="H35"/>
    <hyperlink r:id="rId80" ref="K35"/>
    <hyperlink r:id="rId81" ref="L35"/>
    <hyperlink r:id="rId82" ref="H36"/>
    <hyperlink r:id="rId83" ref="K36"/>
    <hyperlink r:id="rId84" ref="L36"/>
    <hyperlink r:id="rId85" ref="H38"/>
    <hyperlink r:id="rId86" ref="K38"/>
    <hyperlink r:id="rId87" ref="L38"/>
    <hyperlink r:id="rId88" ref="H39"/>
    <hyperlink r:id="rId89" ref="I39"/>
    <hyperlink r:id="rId90" ref="K39"/>
    <hyperlink r:id="rId91" ref="L39"/>
    <hyperlink r:id="rId92" ref="H40"/>
    <hyperlink r:id="rId93" ref="K40"/>
    <hyperlink r:id="rId94" ref="H41"/>
    <hyperlink r:id="rId95" ref="K41"/>
    <hyperlink r:id="rId96" ref="L41"/>
    <hyperlink r:id="rId97" ref="K42"/>
    <hyperlink r:id="rId98" ref="K43"/>
    <hyperlink r:id="rId99" ref="L43"/>
    <hyperlink r:id="rId100" ref="K44"/>
    <hyperlink r:id="rId101" ref="L44"/>
    <hyperlink r:id="rId102" ref="H45"/>
    <hyperlink r:id="rId103" ref="I45"/>
    <hyperlink r:id="rId104" ref="K45"/>
    <hyperlink r:id="rId105" ref="L45"/>
    <hyperlink r:id="rId106" ref="K46"/>
    <hyperlink r:id="rId107" ref="L46"/>
    <hyperlink r:id="rId108" ref="H47"/>
    <hyperlink r:id="rId109" ref="I47"/>
    <hyperlink r:id="rId110" ref="K47"/>
    <hyperlink r:id="rId111" ref="L47"/>
    <hyperlink r:id="rId112" ref="K48"/>
    <hyperlink r:id="rId113" ref="H49"/>
    <hyperlink r:id="rId114" ref="K49"/>
    <hyperlink r:id="rId115" ref="L49"/>
    <hyperlink r:id="rId116" ref="H50"/>
    <hyperlink r:id="rId117" ref="K50"/>
    <hyperlink r:id="rId118" ref="L50"/>
    <hyperlink r:id="rId119" ref="H51"/>
    <hyperlink r:id="rId120" ref="K51"/>
    <hyperlink r:id="rId121" ref="L51"/>
    <hyperlink r:id="rId122" ref="H52"/>
    <hyperlink r:id="rId123" ref="K52"/>
    <hyperlink r:id="rId124" ref="L52"/>
    <hyperlink r:id="rId125" ref="K53"/>
    <hyperlink r:id="rId126" ref="L53"/>
    <hyperlink r:id="rId127" ref="H54"/>
    <hyperlink r:id="rId128" ref="K54"/>
    <hyperlink r:id="rId129" ref="L54"/>
    <hyperlink r:id="rId130" ref="H55"/>
    <hyperlink r:id="rId131" ref="K55"/>
    <hyperlink r:id="rId132" ref="L55"/>
    <hyperlink r:id="rId133" ref="H56"/>
    <hyperlink r:id="rId134" ref="K56"/>
    <hyperlink r:id="rId135" ref="L56"/>
    <hyperlink r:id="rId136" ref="K57"/>
    <hyperlink r:id="rId137" ref="H58"/>
    <hyperlink r:id="rId138" ref="K58"/>
    <hyperlink r:id="rId139" ref="K59"/>
    <hyperlink r:id="rId140" ref="H60"/>
    <hyperlink r:id="rId141" ref="K60"/>
    <hyperlink r:id="rId142" ref="H61"/>
    <hyperlink r:id="rId143" ref="K61"/>
    <hyperlink r:id="rId144" ref="L61"/>
    <hyperlink r:id="rId145" ref="K62"/>
    <hyperlink r:id="rId146" ref="H63"/>
    <hyperlink r:id="rId147" ref="I63"/>
    <hyperlink r:id="rId148" ref="K63"/>
    <hyperlink r:id="rId149" ref="L63"/>
    <hyperlink r:id="rId150" ref="H64"/>
    <hyperlink r:id="rId151" ref="K64"/>
    <hyperlink r:id="rId152" ref="L64"/>
    <hyperlink r:id="rId153" ref="K65"/>
    <hyperlink r:id="rId154" ref="K66"/>
    <hyperlink r:id="rId155" ref="L66"/>
    <hyperlink r:id="rId156" ref="K67"/>
    <hyperlink r:id="rId157" ref="H68"/>
    <hyperlink r:id="rId158" ref="K68"/>
    <hyperlink r:id="rId159" ref="L68"/>
    <hyperlink r:id="rId160" ref="K69"/>
    <hyperlink r:id="rId161" ref="L69"/>
    <hyperlink r:id="rId162" ref="H70"/>
    <hyperlink r:id="rId163" ref="K70"/>
    <hyperlink r:id="rId164" ref="L70"/>
    <hyperlink r:id="rId165" ref="H71"/>
    <hyperlink r:id="rId166" ref="K71"/>
    <hyperlink r:id="rId167" ref="L71"/>
    <hyperlink r:id="rId168" ref="H72"/>
    <hyperlink r:id="rId169" ref="K72"/>
    <hyperlink r:id="rId170" ref="L72"/>
    <hyperlink r:id="rId171" ref="K73"/>
    <hyperlink r:id="rId172" ref="K74"/>
    <hyperlink r:id="rId173" ref="L74"/>
    <hyperlink r:id="rId174" ref="H75"/>
    <hyperlink r:id="rId175" ref="K75"/>
    <hyperlink r:id="rId176" ref="L75"/>
    <hyperlink r:id="rId177" ref="H76"/>
    <hyperlink r:id="rId178" ref="K76"/>
    <hyperlink r:id="rId179" ref="L76"/>
    <hyperlink r:id="rId180" ref="H77"/>
    <hyperlink r:id="rId181" ref="K77"/>
    <hyperlink r:id="rId182" ref="L77"/>
    <hyperlink r:id="rId183" ref="H78"/>
    <hyperlink r:id="rId184" ref="K78"/>
    <hyperlink r:id="rId185" ref="L78"/>
    <hyperlink r:id="rId186" ref="K80"/>
    <hyperlink r:id="rId187" ref="L80"/>
    <hyperlink r:id="rId188" ref="H81"/>
    <hyperlink r:id="rId189" ref="K81"/>
    <hyperlink r:id="rId190" ref="K82"/>
    <hyperlink r:id="rId191" ref="L82"/>
    <hyperlink r:id="rId192" ref="H83"/>
    <hyperlink r:id="rId193" ref="K83"/>
    <hyperlink r:id="rId194" ref="H84"/>
    <hyperlink r:id="rId195" ref="K84"/>
    <hyperlink r:id="rId196" ref="K85"/>
    <hyperlink r:id="rId197" ref="H86"/>
    <hyperlink r:id="rId198" ref="K86"/>
    <hyperlink r:id="rId199" ref="H87"/>
    <hyperlink r:id="rId200" ref="K87"/>
    <hyperlink r:id="rId201" ref="H88"/>
    <hyperlink r:id="rId202" ref="K88"/>
    <hyperlink r:id="rId203" ref="L88"/>
    <hyperlink r:id="rId204" ref="H89"/>
    <hyperlink r:id="rId205" ref="K89"/>
    <hyperlink r:id="rId206" ref="L89"/>
    <hyperlink r:id="rId207" ref="H90"/>
    <hyperlink r:id="rId208" ref="K90"/>
    <hyperlink r:id="rId209" ref="L90"/>
    <hyperlink r:id="rId210" ref="K91"/>
    <hyperlink r:id="rId211" ref="L91"/>
    <hyperlink r:id="rId212" ref="K92"/>
    <hyperlink r:id="rId213" ref="K93"/>
    <hyperlink r:id="rId214" ref="L93"/>
    <hyperlink r:id="rId215" ref="K94"/>
    <hyperlink r:id="rId216" ref="K95"/>
    <hyperlink r:id="rId217" ref="H96"/>
    <hyperlink r:id="rId218" ref="K96"/>
    <hyperlink r:id="rId219" ref="H97"/>
    <hyperlink r:id="rId220" ref="K97"/>
    <hyperlink r:id="rId221" ref="H98"/>
    <hyperlink r:id="rId222" ref="K98"/>
    <hyperlink r:id="rId223" ref="L98"/>
    <hyperlink r:id="rId224" ref="H99"/>
    <hyperlink r:id="rId225" ref="K99"/>
    <hyperlink r:id="rId226" ref="L99"/>
    <hyperlink r:id="rId227" ref="H100"/>
    <hyperlink r:id="rId228" ref="K100"/>
    <hyperlink r:id="rId229" ref="L100"/>
    <hyperlink r:id="rId230" ref="H101"/>
    <hyperlink r:id="rId231" ref="K101"/>
    <hyperlink r:id="rId232" ref="L101"/>
    <hyperlink r:id="rId233" ref="K102"/>
    <hyperlink r:id="rId234" ref="L102"/>
    <hyperlink r:id="rId235" ref="K103"/>
    <hyperlink r:id="rId236" ref="K104"/>
    <hyperlink r:id="rId237" ref="L104"/>
    <hyperlink r:id="rId238" ref="H105"/>
    <hyperlink r:id="rId239" ref="K105"/>
    <hyperlink r:id="rId240" ref="L105"/>
    <hyperlink r:id="rId241" ref="H106"/>
    <hyperlink r:id="rId242" ref="K106"/>
    <hyperlink r:id="rId243" ref="L106"/>
    <hyperlink r:id="rId244" ref="H107"/>
    <hyperlink r:id="rId245" ref="K107"/>
    <hyperlink r:id="rId246" ref="H108"/>
    <hyperlink r:id="rId247" ref="K108"/>
    <hyperlink r:id="rId248" ref="L108"/>
    <hyperlink r:id="rId249" ref="H109"/>
    <hyperlink r:id="rId250" ref="K109"/>
    <hyperlink r:id="rId251" ref="L109"/>
    <hyperlink r:id="rId252" ref="K110"/>
    <hyperlink r:id="rId253" ref="L110"/>
    <hyperlink r:id="rId254" ref="H111"/>
    <hyperlink r:id="rId255" ref="K111"/>
    <hyperlink r:id="rId256" ref="H112"/>
    <hyperlink r:id="rId257" ref="K112"/>
    <hyperlink r:id="rId258" ref="H113"/>
    <hyperlink r:id="rId259" ref="K113"/>
    <hyperlink r:id="rId260" ref="L113"/>
    <hyperlink r:id="rId261" ref="K114"/>
    <hyperlink r:id="rId262" ref="K115"/>
    <hyperlink r:id="rId263" ref="K116"/>
    <hyperlink r:id="rId264" ref="L116"/>
    <hyperlink r:id="rId265" ref="H117"/>
    <hyperlink r:id="rId266" ref="K117"/>
    <hyperlink r:id="rId267" ref="L117"/>
    <hyperlink r:id="rId268" ref="H118"/>
    <hyperlink r:id="rId269" ref="K118"/>
    <hyperlink r:id="rId270" ref="K119"/>
    <hyperlink r:id="rId271" ref="L119"/>
    <hyperlink r:id="rId272" ref="K120"/>
    <hyperlink r:id="rId273" ref="H121"/>
    <hyperlink r:id="rId274" ref="K121"/>
    <hyperlink r:id="rId275" ref="H122"/>
    <hyperlink r:id="rId276" ref="K122"/>
    <hyperlink r:id="rId277" ref="L122"/>
    <hyperlink r:id="rId278" ref="H123"/>
    <hyperlink r:id="rId279" ref="K123"/>
    <hyperlink r:id="rId280" ref="L123"/>
    <hyperlink r:id="rId281" ref="H124"/>
    <hyperlink r:id="rId282" ref="K124"/>
    <hyperlink r:id="rId283" ref="L124"/>
    <hyperlink r:id="rId284" ref="H125"/>
    <hyperlink r:id="rId285" ref="K125"/>
    <hyperlink r:id="rId286" ref="K126"/>
    <hyperlink r:id="rId287" ref="H127"/>
    <hyperlink r:id="rId288" ref="K127"/>
    <hyperlink r:id="rId289" ref="L127"/>
    <hyperlink r:id="rId290" ref="H128"/>
    <hyperlink r:id="rId291" ref="K128"/>
    <hyperlink r:id="rId292" ref="L128"/>
    <hyperlink r:id="rId293" ref="H129"/>
    <hyperlink r:id="rId294" ref="K129"/>
    <hyperlink r:id="rId295" ref="L129"/>
    <hyperlink r:id="rId296" ref="H130"/>
    <hyperlink r:id="rId297" ref="K130"/>
    <hyperlink r:id="rId298" ref="L130"/>
    <hyperlink r:id="rId299" ref="H131"/>
    <hyperlink r:id="rId300" ref="K131"/>
    <hyperlink r:id="rId301" ref="H132"/>
    <hyperlink r:id="rId302" ref="K132"/>
    <hyperlink r:id="rId303" ref="L132"/>
    <hyperlink r:id="rId304" ref="K133"/>
    <hyperlink r:id="rId305" ref="L133"/>
    <hyperlink r:id="rId306" ref="H134"/>
    <hyperlink r:id="rId307" ref="K134"/>
    <hyperlink r:id="rId308" ref="K135"/>
    <hyperlink r:id="rId309" ref="K136"/>
    <hyperlink r:id="rId310" ref="L136"/>
    <hyperlink r:id="rId311" ref="K137"/>
    <hyperlink r:id="rId312" ref="L137"/>
    <hyperlink r:id="rId313" ref="H138"/>
    <hyperlink r:id="rId314" ref="K138"/>
    <hyperlink r:id="rId315" ref="H139"/>
    <hyperlink r:id="rId316" ref="K139"/>
    <hyperlink r:id="rId317" ref="L139"/>
    <hyperlink r:id="rId318" ref="K140"/>
    <hyperlink r:id="rId319" ref="L140"/>
    <hyperlink r:id="rId320" ref="K141"/>
    <hyperlink r:id="rId321" ref="L141"/>
    <hyperlink r:id="rId322" ref="K142"/>
    <hyperlink r:id="rId323" ref="H143"/>
    <hyperlink r:id="rId324" ref="K143"/>
    <hyperlink r:id="rId325" ref="L143"/>
    <hyperlink r:id="rId326" ref="H144"/>
    <hyperlink r:id="rId327" ref="K144"/>
    <hyperlink r:id="rId328" ref="H145"/>
    <hyperlink r:id="rId329" ref="K145"/>
    <hyperlink r:id="rId330" ref="L145"/>
    <hyperlink r:id="rId331" ref="H146"/>
    <hyperlink r:id="rId332" ref="K146"/>
    <hyperlink r:id="rId333" ref="H147"/>
    <hyperlink r:id="rId334" ref="K147"/>
    <hyperlink r:id="rId335" ref="H148"/>
    <hyperlink r:id="rId336" ref="K148"/>
    <hyperlink r:id="rId337" ref="L148"/>
    <hyperlink r:id="rId338" ref="H149"/>
    <hyperlink r:id="rId339" ref="K149"/>
    <hyperlink r:id="rId340" ref="K150"/>
    <hyperlink r:id="rId341" ref="H151"/>
    <hyperlink r:id="rId342" ref="K151"/>
    <hyperlink r:id="rId343" ref="H152"/>
    <hyperlink r:id="rId344" ref="K152"/>
    <hyperlink r:id="rId345" ref="L152"/>
    <hyperlink r:id="rId346" ref="K153"/>
    <hyperlink r:id="rId347" ref="H154"/>
    <hyperlink r:id="rId348" ref="K154"/>
    <hyperlink r:id="rId349" ref="L154"/>
    <hyperlink r:id="rId350" ref="K155"/>
    <hyperlink r:id="rId351" ref="L155"/>
    <hyperlink r:id="rId352" ref="H156"/>
    <hyperlink r:id="rId353" ref="I156"/>
    <hyperlink r:id="rId354" ref="J156"/>
    <hyperlink r:id="rId355" ref="K156"/>
    <hyperlink r:id="rId356" ref="L156"/>
    <hyperlink r:id="rId357" ref="H157"/>
    <hyperlink r:id="rId358" ref="I157"/>
    <hyperlink r:id="rId359" ref="J157"/>
    <hyperlink r:id="rId360" ref="K157"/>
    <hyperlink r:id="rId361" ref="H158"/>
    <hyperlink r:id="rId362" ref="I158"/>
    <hyperlink r:id="rId363" ref="J158"/>
    <hyperlink r:id="rId364" ref="K158"/>
    <hyperlink r:id="rId365" ref="H159"/>
    <hyperlink r:id="rId366" ref="I159"/>
    <hyperlink r:id="rId367" ref="J159"/>
    <hyperlink r:id="rId368" ref="K159"/>
    <hyperlink r:id="rId369" ref="H160"/>
    <hyperlink r:id="rId370" ref="K160"/>
    <hyperlink r:id="rId371" ref="H161"/>
    <hyperlink r:id="rId372" ref="K161"/>
    <hyperlink r:id="rId373" ref="H162"/>
    <hyperlink r:id="rId374" ref="K162"/>
    <hyperlink r:id="rId375" ref="L162"/>
    <hyperlink r:id="rId376" ref="H163"/>
    <hyperlink r:id="rId377" ref="K163"/>
    <hyperlink r:id="rId378" ref="H164"/>
    <hyperlink r:id="rId379" ref="K164"/>
    <hyperlink r:id="rId380" ref="K165"/>
    <hyperlink r:id="rId381" ref="K166"/>
    <hyperlink r:id="rId382" ref="H167"/>
    <hyperlink r:id="rId383" ref="K167"/>
    <hyperlink r:id="rId384" ref="H168"/>
    <hyperlink r:id="rId385" ref="K168"/>
    <hyperlink r:id="rId386" ref="K169"/>
    <hyperlink r:id="rId387" ref="H170"/>
    <hyperlink r:id="rId388" ref="K170"/>
    <hyperlink r:id="rId389" ref="H171"/>
    <hyperlink r:id="rId390" ref="K171"/>
    <hyperlink r:id="rId391" ref="K172"/>
    <hyperlink r:id="rId392" ref="H173"/>
    <hyperlink r:id="rId393" ref="K173"/>
    <hyperlink r:id="rId394" ref="H174"/>
    <hyperlink r:id="rId395" ref="K174"/>
    <hyperlink r:id="rId396" ref="H175"/>
    <hyperlink r:id="rId397" ref="K175"/>
    <hyperlink r:id="rId398" ref="H177"/>
    <hyperlink r:id="rId399" ref="K177"/>
    <hyperlink r:id="rId400" ref="H178"/>
    <hyperlink r:id="rId401" ref="K178"/>
    <hyperlink r:id="rId402" ref="K180"/>
    <hyperlink r:id="rId403" ref="K181"/>
    <hyperlink r:id="rId404" ref="H182"/>
    <hyperlink r:id="rId405" ref="K182"/>
    <hyperlink r:id="rId406" ref="K184"/>
    <hyperlink r:id="rId407" ref="H185"/>
    <hyperlink r:id="rId408" ref="K185"/>
    <hyperlink r:id="rId409" ref="H186"/>
    <hyperlink r:id="rId410" ref="K186"/>
    <hyperlink r:id="rId411" ref="H187"/>
    <hyperlink r:id="rId412" ref="K187"/>
    <hyperlink r:id="rId413" ref="H188"/>
    <hyperlink r:id="rId414" ref="K188"/>
    <hyperlink r:id="rId415" ref="H189"/>
    <hyperlink r:id="rId416" ref="K189"/>
    <hyperlink r:id="rId417" ref="K190"/>
    <hyperlink r:id="rId418" ref="H191"/>
    <hyperlink r:id="rId419" ref="K191"/>
    <hyperlink r:id="rId420" ref="H192"/>
    <hyperlink r:id="rId421" ref="K192"/>
    <hyperlink r:id="rId422" ref="K193"/>
    <hyperlink r:id="rId423" ref="H194"/>
    <hyperlink r:id="rId424" ref="K194"/>
    <hyperlink r:id="rId425" ref="H195"/>
    <hyperlink r:id="rId426" ref="K195"/>
    <hyperlink r:id="rId427" ref="H196"/>
    <hyperlink r:id="rId428" ref="K196"/>
    <hyperlink r:id="rId429" ref="H198"/>
    <hyperlink r:id="rId430" ref="K198"/>
    <hyperlink r:id="rId431" ref="H199"/>
    <hyperlink r:id="rId432" ref="K199"/>
    <hyperlink r:id="rId433" ref="H200"/>
    <hyperlink r:id="rId434" ref="K200"/>
    <hyperlink r:id="rId435" ref="K201"/>
    <hyperlink r:id="rId436" ref="K202"/>
    <hyperlink r:id="rId437" ref="H203"/>
    <hyperlink r:id="rId438" ref="K203"/>
    <hyperlink r:id="rId439" ref="H204"/>
    <hyperlink r:id="rId440" ref="I204"/>
    <hyperlink r:id="rId441" ref="K204"/>
    <hyperlink r:id="rId442" ref="H205"/>
    <hyperlink r:id="rId443" ref="K205"/>
    <hyperlink r:id="rId444" ref="H206"/>
    <hyperlink r:id="rId445" ref="K206"/>
    <hyperlink r:id="rId446" ref="K207"/>
    <hyperlink r:id="rId447" ref="H208"/>
    <hyperlink r:id="rId448" ref="K208"/>
    <hyperlink r:id="rId449" ref="H209"/>
    <hyperlink r:id="rId450" ref="K209"/>
    <hyperlink r:id="rId451" ref="H211"/>
    <hyperlink r:id="rId452" ref="I211"/>
    <hyperlink r:id="rId453" ref="K211"/>
    <hyperlink r:id="rId454" ref="H212"/>
    <hyperlink r:id="rId455" ref="K212"/>
    <hyperlink r:id="rId456" ref="H213"/>
    <hyperlink r:id="rId457" ref="K213"/>
    <hyperlink r:id="rId458" ref="K214"/>
    <hyperlink r:id="rId459" ref="H215"/>
    <hyperlink r:id="rId460" ref="K215"/>
    <hyperlink r:id="rId461" ref="H216"/>
    <hyperlink r:id="rId462" ref="K216"/>
    <hyperlink r:id="rId463" ref="K217"/>
    <hyperlink r:id="rId464" ref="H218"/>
    <hyperlink r:id="rId465" ref="K218"/>
    <hyperlink r:id="rId466" ref="H219"/>
    <hyperlink r:id="rId467" ref="K219"/>
    <hyperlink r:id="rId468" ref="H220"/>
    <hyperlink r:id="rId469" ref="K220"/>
    <hyperlink r:id="rId470" ref="K221"/>
    <hyperlink r:id="rId471" ref="H222"/>
    <hyperlink r:id="rId472" ref="K222"/>
    <hyperlink r:id="rId473" ref="H223"/>
    <hyperlink r:id="rId474" ref="I223"/>
    <hyperlink r:id="rId475" ref="K223"/>
    <hyperlink r:id="rId476" ref="K224"/>
    <hyperlink r:id="rId477" ref="H225"/>
    <hyperlink r:id="rId478" ref="K225"/>
    <hyperlink r:id="rId479" ref="H226"/>
    <hyperlink r:id="rId480" ref="I226"/>
    <hyperlink r:id="rId481" ref="K226"/>
    <hyperlink r:id="rId482" ref="H227"/>
    <hyperlink r:id="rId483" ref="K227"/>
    <hyperlink r:id="rId484" ref="H228"/>
    <hyperlink r:id="rId485" ref="K228"/>
    <hyperlink r:id="rId486" ref="K229"/>
    <hyperlink r:id="rId487" ref="H230"/>
    <hyperlink r:id="rId488" ref="K230"/>
    <hyperlink r:id="rId489" ref="H231"/>
    <hyperlink r:id="rId490" ref="I231"/>
    <hyperlink r:id="rId491" ref="K231"/>
    <hyperlink r:id="rId492" ref="K232"/>
    <hyperlink r:id="rId493" ref="H233"/>
    <hyperlink r:id="rId494" ref="K233"/>
    <hyperlink r:id="rId495" ref="K235"/>
    <hyperlink r:id="rId496" ref="H237"/>
    <hyperlink r:id="rId497" ref="K237"/>
    <hyperlink r:id="rId498" ref="H238"/>
    <hyperlink r:id="rId499" ref="K238"/>
    <hyperlink r:id="rId500" ref="H239"/>
    <hyperlink r:id="rId501" ref="K239"/>
    <hyperlink r:id="rId502" ref="H240"/>
    <hyperlink r:id="rId503" ref="K240"/>
    <hyperlink r:id="rId504" ref="H241"/>
    <hyperlink r:id="rId505" ref="K241"/>
    <hyperlink r:id="rId506" ref="H242"/>
    <hyperlink r:id="rId507" ref="K242"/>
    <hyperlink r:id="rId508" ref="H243"/>
    <hyperlink r:id="rId509" ref="K243"/>
    <hyperlink r:id="rId510" ref="H244"/>
    <hyperlink r:id="rId511" ref="K244"/>
    <hyperlink r:id="rId512" ref="K245"/>
    <hyperlink r:id="rId513" ref="H247"/>
    <hyperlink r:id="rId514" ref="K247"/>
    <hyperlink r:id="rId515" ref="K248"/>
    <hyperlink r:id="rId516" ref="K249"/>
    <hyperlink r:id="rId517" ref="H253"/>
    <hyperlink r:id="rId518" ref="K253"/>
    <hyperlink r:id="rId519" ref="H254"/>
    <hyperlink r:id="rId520" ref="K254"/>
    <hyperlink r:id="rId521" ref="H255"/>
    <hyperlink r:id="rId522" ref="K255"/>
    <hyperlink r:id="rId523" ref="H256"/>
    <hyperlink r:id="rId524" ref="H257"/>
    <hyperlink r:id="rId525" ref="K257"/>
    <hyperlink r:id="rId526" ref="H258"/>
    <hyperlink r:id="rId527" ref="K258"/>
    <hyperlink r:id="rId528" ref="H259"/>
    <hyperlink r:id="rId529" ref="K259"/>
    <hyperlink r:id="rId530" ref="H260"/>
    <hyperlink r:id="rId531" ref="K260"/>
    <hyperlink r:id="rId532" ref="H261"/>
    <hyperlink r:id="rId533" ref="K261"/>
    <hyperlink r:id="rId534" ref="K262"/>
    <hyperlink r:id="rId535" ref="H263"/>
    <hyperlink r:id="rId536" ref="K263"/>
    <hyperlink r:id="rId537" ref="H264"/>
    <hyperlink r:id="rId538" ref="K264"/>
    <hyperlink r:id="rId539" ref="H265"/>
    <hyperlink r:id="rId540" ref="K265"/>
    <hyperlink r:id="rId541" ref="H266"/>
    <hyperlink r:id="rId542" ref="K266"/>
    <hyperlink r:id="rId543" ref="K267"/>
    <hyperlink r:id="rId544" ref="H268"/>
    <hyperlink r:id="rId545" ref="K268"/>
    <hyperlink r:id="rId546" ref="H269"/>
    <hyperlink r:id="rId547" ref="K269"/>
    <hyperlink r:id="rId548" ref="H270"/>
    <hyperlink r:id="rId549" ref="K270"/>
    <hyperlink r:id="rId550" ref="H271"/>
    <hyperlink r:id="rId551" ref="K271"/>
    <hyperlink r:id="rId552" ref="K272"/>
    <hyperlink r:id="rId553" ref="H273"/>
    <hyperlink r:id="rId554" ref="K273"/>
    <hyperlink r:id="rId555" ref="H274"/>
    <hyperlink r:id="rId556" ref="K274"/>
    <hyperlink r:id="rId557" ref="H275"/>
    <hyperlink r:id="rId558" ref="K275"/>
    <hyperlink r:id="rId559" ref="H276"/>
    <hyperlink r:id="rId560" ref="K276"/>
  </hyperlinks>
  <drawing r:id="rId5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13"/>
    <col customWidth="1" min="6" max="6" width="18.0"/>
    <col customWidth="1" min="7" max="7" width="22.75"/>
    <col customWidth="1" min="8" max="8" width="13.75"/>
    <col customWidth="1" min="9" max="9" width="5.63"/>
    <col customWidth="1" min="10" max="10" width="12.75"/>
    <col customWidth="1" min="11" max="11" width="5.63"/>
    <col customWidth="1" min="12" max="12" width="12.75"/>
    <col customWidth="1" min="13" max="13" width="5.63"/>
  </cols>
  <sheetData>
    <row r="1">
      <c r="A1" s="12" t="s">
        <v>1406</v>
      </c>
      <c r="B1" s="12" t="s">
        <v>1407</v>
      </c>
      <c r="C1" s="12" t="s">
        <v>1408</v>
      </c>
      <c r="D1" s="12" t="s">
        <v>1409</v>
      </c>
      <c r="E1" s="12" t="s">
        <v>1410</v>
      </c>
      <c r="F1" s="12" t="s">
        <v>1411</v>
      </c>
      <c r="G1" s="12" t="s">
        <v>1412</v>
      </c>
      <c r="H1" s="1" t="s">
        <v>1413</v>
      </c>
      <c r="I1" s="1" t="s">
        <v>1414</v>
      </c>
      <c r="J1" s="1" t="s">
        <v>1415</v>
      </c>
      <c r="K1" s="1" t="s">
        <v>1416</v>
      </c>
      <c r="L1" s="1" t="s">
        <v>1417</v>
      </c>
      <c r="M1" s="1" t="s">
        <v>1418</v>
      </c>
    </row>
    <row r="2" hidden="1">
      <c r="A2" s="4" t="s">
        <v>1419</v>
      </c>
      <c r="B2" s="4" t="s">
        <v>1420</v>
      </c>
      <c r="C2" s="4" t="s">
        <v>1421</v>
      </c>
      <c r="D2" s="4" t="s">
        <v>1422</v>
      </c>
      <c r="E2" s="4" t="s">
        <v>1423</v>
      </c>
      <c r="F2" s="4">
        <v>100.0</v>
      </c>
      <c r="G2" s="4">
        <v>8.0</v>
      </c>
      <c r="H2" s="4" t="s">
        <v>1424</v>
      </c>
      <c r="I2" s="7" t="s">
        <v>1425</v>
      </c>
    </row>
    <row r="3" hidden="1">
      <c r="A3" s="4" t="s">
        <v>1426</v>
      </c>
      <c r="B3" s="4" t="s">
        <v>1427</v>
      </c>
      <c r="C3" s="4" t="s">
        <v>1428</v>
      </c>
      <c r="D3" s="4" t="s">
        <v>1422</v>
      </c>
      <c r="E3" s="4" t="s">
        <v>1429</v>
      </c>
      <c r="F3" s="4">
        <v>400.0</v>
      </c>
      <c r="G3" s="4">
        <v>7.0</v>
      </c>
      <c r="H3" s="4" t="s">
        <v>1430</v>
      </c>
      <c r="I3" s="4">
        <v>3.0546263483E10</v>
      </c>
      <c r="J3" s="4" t="s">
        <v>1431</v>
      </c>
      <c r="K3" s="4">
        <v>3.0546234246E10</v>
      </c>
      <c r="L3" s="4" t="s">
        <v>1432</v>
      </c>
      <c r="M3" s="4">
        <v>3.0546231964E10</v>
      </c>
    </row>
    <row r="4">
      <c r="A4" s="4" t="s">
        <v>1433</v>
      </c>
      <c r="B4" s="4" t="s">
        <v>1434</v>
      </c>
      <c r="C4" s="4" t="s">
        <v>1421</v>
      </c>
      <c r="D4" s="4" t="s">
        <v>1422</v>
      </c>
      <c r="E4" s="4" t="s">
        <v>1435</v>
      </c>
      <c r="F4" s="4">
        <v>10.0</v>
      </c>
      <c r="G4" s="4">
        <v>5.0</v>
      </c>
      <c r="H4" s="4" t="s">
        <v>1436</v>
      </c>
      <c r="I4" s="4">
        <v>2.0170072074E10</v>
      </c>
    </row>
    <row r="5" hidden="1">
      <c r="A5" s="4" t="s">
        <v>1437</v>
      </c>
      <c r="B5" s="4" t="s">
        <v>1438</v>
      </c>
      <c r="C5" s="4" t="s">
        <v>1421</v>
      </c>
      <c r="D5" s="4" t="s">
        <v>1422</v>
      </c>
      <c r="E5" s="4" t="s">
        <v>1439</v>
      </c>
      <c r="F5" s="4">
        <v>700.0</v>
      </c>
      <c r="G5" s="4">
        <v>8.0</v>
      </c>
      <c r="H5" s="4" t="s">
        <v>1440</v>
      </c>
      <c r="I5" s="4">
        <v>3.0581697488E10</v>
      </c>
      <c r="J5" s="4" t="s">
        <v>1441</v>
      </c>
      <c r="K5" s="4">
        <v>3.0712525742E10</v>
      </c>
      <c r="L5" s="4" t="s">
        <v>1442</v>
      </c>
      <c r="M5" s="4">
        <v>3.0717391264E10</v>
      </c>
    </row>
    <row r="6" hidden="1">
      <c r="A6" s="7" t="s">
        <v>1443</v>
      </c>
      <c r="B6" s="4" t="s">
        <v>1444</v>
      </c>
      <c r="C6" s="4" t="s">
        <v>1445</v>
      </c>
      <c r="D6" s="4" t="s">
        <v>1422</v>
      </c>
      <c r="E6" s="4" t="s">
        <v>1446</v>
      </c>
      <c r="F6" s="4">
        <v>20.0</v>
      </c>
      <c r="G6" s="4">
        <v>5.0</v>
      </c>
    </row>
    <row r="7" hidden="1">
      <c r="A7" s="4" t="s">
        <v>1447</v>
      </c>
      <c r="B7" s="4" t="s">
        <v>1448</v>
      </c>
      <c r="D7" s="4" t="s">
        <v>1422</v>
      </c>
      <c r="E7" s="4" t="s">
        <v>1449</v>
      </c>
      <c r="F7" s="4">
        <v>17.0</v>
      </c>
      <c r="G7" s="4">
        <v>5.0</v>
      </c>
    </row>
    <row r="8" hidden="1">
      <c r="A8" s="4" t="s">
        <v>1450</v>
      </c>
      <c r="B8" s="4" t="s">
        <v>1451</v>
      </c>
      <c r="C8" s="4" t="s">
        <v>1421</v>
      </c>
      <c r="D8" s="4" t="s">
        <v>1422</v>
      </c>
      <c r="E8" s="4" t="s">
        <v>1452</v>
      </c>
      <c r="F8" s="4">
        <v>7.0</v>
      </c>
      <c r="G8" s="4">
        <v>5.0</v>
      </c>
    </row>
    <row r="9" hidden="1">
      <c r="A9" s="4" t="s">
        <v>1453</v>
      </c>
      <c r="B9" s="4" t="s">
        <v>1454</v>
      </c>
      <c r="D9" s="4" t="s">
        <v>1455</v>
      </c>
      <c r="E9" s="4" t="s">
        <v>1456</v>
      </c>
      <c r="F9" s="4">
        <v>10.0</v>
      </c>
      <c r="G9" s="4">
        <v>5.0</v>
      </c>
    </row>
    <row r="10" hidden="1">
      <c r="A10" s="4" t="s">
        <v>1457</v>
      </c>
      <c r="B10" s="4" t="s">
        <v>1458</v>
      </c>
      <c r="C10" s="4" t="s">
        <v>1421</v>
      </c>
      <c r="D10" s="4" t="s">
        <v>1422</v>
      </c>
      <c r="E10" s="4" t="s">
        <v>1459</v>
      </c>
      <c r="F10" s="4">
        <v>70.0</v>
      </c>
      <c r="G10" s="4">
        <v>5.0</v>
      </c>
    </row>
    <row r="11" hidden="1">
      <c r="A11" s="4" t="s">
        <v>1460</v>
      </c>
      <c r="B11" s="4" t="s">
        <v>1461</v>
      </c>
      <c r="C11" s="4" t="s">
        <v>1462</v>
      </c>
      <c r="D11" s="4" t="s">
        <v>1422</v>
      </c>
      <c r="E11" s="4" t="s">
        <v>1463</v>
      </c>
      <c r="F11" s="4">
        <v>3.0</v>
      </c>
      <c r="G11" s="4">
        <v>5.0</v>
      </c>
    </row>
    <row r="12" hidden="1">
      <c r="A12" s="4" t="s">
        <v>1464</v>
      </c>
      <c r="B12" s="4" t="s">
        <v>1465</v>
      </c>
      <c r="D12" s="4" t="s">
        <v>1466</v>
      </c>
      <c r="E12" s="4" t="s">
        <v>1467</v>
      </c>
      <c r="F12" s="4">
        <v>3.0</v>
      </c>
      <c r="G12" s="4">
        <v>5.0</v>
      </c>
    </row>
    <row r="13" hidden="1">
      <c r="A13" s="4" t="s">
        <v>1468</v>
      </c>
      <c r="B13" s="4" t="s">
        <v>1469</v>
      </c>
      <c r="C13" s="4" t="s">
        <v>1462</v>
      </c>
      <c r="D13" s="4" t="s">
        <v>1422</v>
      </c>
      <c r="E13" s="4" t="s">
        <v>1470</v>
      </c>
      <c r="F13" s="4">
        <v>10.0</v>
      </c>
      <c r="G13" s="4">
        <v>5.0</v>
      </c>
    </row>
    <row r="14" hidden="1">
      <c r="A14" s="4" t="s">
        <v>1471</v>
      </c>
      <c r="B14" s="4" t="s">
        <v>1472</v>
      </c>
      <c r="D14" s="4" t="s">
        <v>1422</v>
      </c>
      <c r="E14" s="4" t="s">
        <v>1463</v>
      </c>
      <c r="F14" s="4">
        <v>13.0</v>
      </c>
      <c r="G14" s="4">
        <v>2.0</v>
      </c>
      <c r="H14" s="4" t="s">
        <v>1473</v>
      </c>
      <c r="I14" s="4">
        <v>2.7260748071E10</v>
      </c>
    </row>
    <row r="15" hidden="1">
      <c r="A15" s="4" t="s">
        <v>1474</v>
      </c>
      <c r="B15" s="4" t="s">
        <v>1475</v>
      </c>
      <c r="C15" s="4" t="s">
        <v>1428</v>
      </c>
      <c r="D15" s="4" t="s">
        <v>1422</v>
      </c>
      <c r="E15" s="4" t="s">
        <v>1429</v>
      </c>
      <c r="F15" s="4">
        <v>150.0</v>
      </c>
      <c r="G15" s="4">
        <v>5.0</v>
      </c>
    </row>
    <row r="16" hidden="1">
      <c r="A16" s="4" t="s">
        <v>1476</v>
      </c>
      <c r="B16" s="4" t="s">
        <v>1477</v>
      </c>
      <c r="C16" s="4" t="s">
        <v>1478</v>
      </c>
      <c r="D16" s="4" t="s">
        <v>1422</v>
      </c>
      <c r="E16" s="4" t="s">
        <v>1435</v>
      </c>
      <c r="F16" s="4">
        <v>5.0</v>
      </c>
      <c r="G16" s="4">
        <v>5.0</v>
      </c>
    </row>
    <row r="17" hidden="1">
      <c r="A17" s="4" t="s">
        <v>1479</v>
      </c>
      <c r="B17" s="4" t="s">
        <v>1480</v>
      </c>
      <c r="C17" s="4" t="s">
        <v>1421</v>
      </c>
      <c r="D17" s="4" t="s">
        <v>1422</v>
      </c>
      <c r="E17" s="4" t="s">
        <v>1481</v>
      </c>
      <c r="F17" s="4">
        <v>2.0</v>
      </c>
      <c r="G17" s="4">
        <v>5.0</v>
      </c>
    </row>
    <row r="18" hidden="1">
      <c r="A18" s="4" t="s">
        <v>1482</v>
      </c>
      <c r="B18" s="4" t="s">
        <v>1483</v>
      </c>
      <c r="C18" s="4" t="s">
        <v>1478</v>
      </c>
      <c r="D18" s="4" t="s">
        <v>1422</v>
      </c>
      <c r="E18" s="4" t="s">
        <v>1463</v>
      </c>
      <c r="F18" s="4">
        <v>8.0</v>
      </c>
      <c r="G18" s="4">
        <v>5.0</v>
      </c>
    </row>
    <row r="19" hidden="1">
      <c r="A19" s="4" t="s">
        <v>1484</v>
      </c>
      <c r="B19" s="4" t="s">
        <v>1485</v>
      </c>
      <c r="C19" s="4" t="s">
        <v>1445</v>
      </c>
      <c r="D19" s="4" t="s">
        <v>1422</v>
      </c>
      <c r="E19" s="4" t="s">
        <v>1467</v>
      </c>
      <c r="F19" s="4">
        <v>1.0</v>
      </c>
      <c r="G19" s="4">
        <v>5.0</v>
      </c>
    </row>
    <row r="20" hidden="1">
      <c r="A20" s="13" t="s">
        <v>1486</v>
      </c>
      <c r="B20" s="4" t="s">
        <v>1487</v>
      </c>
      <c r="C20" s="4" t="s">
        <v>1421</v>
      </c>
      <c r="D20" s="4" t="s">
        <v>1422</v>
      </c>
      <c r="E20" s="4" t="s">
        <v>1488</v>
      </c>
      <c r="F20" s="4">
        <v>2.0</v>
      </c>
      <c r="G20" s="4">
        <v>5.0</v>
      </c>
    </row>
    <row r="21" hidden="1">
      <c r="A21" s="4" t="s">
        <v>1489</v>
      </c>
      <c r="B21" s="4" t="s">
        <v>1490</v>
      </c>
      <c r="C21" s="4" t="s">
        <v>1445</v>
      </c>
      <c r="D21" s="4" t="s">
        <v>1422</v>
      </c>
      <c r="E21" s="4" t="s">
        <v>1435</v>
      </c>
      <c r="F21" s="4">
        <v>450.0</v>
      </c>
      <c r="G21" s="4">
        <v>5.0</v>
      </c>
    </row>
    <row r="22" hidden="1">
      <c r="A22" s="4" t="s">
        <v>1491</v>
      </c>
      <c r="B22" s="4" t="s">
        <v>1492</v>
      </c>
      <c r="C22" s="4" t="s">
        <v>1445</v>
      </c>
      <c r="D22" s="4" t="s">
        <v>1422</v>
      </c>
      <c r="E22" s="4" t="s">
        <v>1493</v>
      </c>
      <c r="F22" s="4">
        <v>6.0</v>
      </c>
      <c r="G22" s="4">
        <v>5.0</v>
      </c>
      <c r="H22" s="4" t="s">
        <v>1494</v>
      </c>
      <c r="I22" s="4">
        <v>2.0349222494E10</v>
      </c>
    </row>
    <row r="23" hidden="1">
      <c r="A23" s="4" t="s">
        <v>1495</v>
      </c>
      <c r="B23" s="4" t="s">
        <v>1496</v>
      </c>
      <c r="C23" s="4" t="s">
        <v>1445</v>
      </c>
      <c r="D23" s="4" t="s">
        <v>1422</v>
      </c>
      <c r="E23" s="4" t="s">
        <v>1497</v>
      </c>
      <c r="F23" s="4">
        <v>15.0</v>
      </c>
      <c r="G23" s="4">
        <v>5.0</v>
      </c>
    </row>
    <row r="24" hidden="1">
      <c r="A24" s="7" t="s">
        <v>1498</v>
      </c>
      <c r="B24" s="4" t="s">
        <v>1499</v>
      </c>
      <c r="C24" s="4" t="s">
        <v>1500</v>
      </c>
      <c r="D24" s="4" t="s">
        <v>1422</v>
      </c>
      <c r="E24" s="4" t="s">
        <v>1435</v>
      </c>
      <c r="F24" s="4">
        <v>4.0</v>
      </c>
      <c r="G24" s="4">
        <v>5.0</v>
      </c>
    </row>
    <row r="25" hidden="1">
      <c r="A25" s="4" t="s">
        <v>1501</v>
      </c>
      <c r="B25" s="4" t="s">
        <v>1502</v>
      </c>
      <c r="C25" s="4" t="s">
        <v>1503</v>
      </c>
      <c r="D25" s="4" t="s">
        <v>1422</v>
      </c>
      <c r="E25" s="4" t="s">
        <v>1435</v>
      </c>
      <c r="F25" s="4">
        <v>40.0</v>
      </c>
      <c r="G25" s="4">
        <v>4.0</v>
      </c>
    </row>
    <row r="26" hidden="1">
      <c r="A26" s="4" t="s">
        <v>1504</v>
      </c>
      <c r="B26" s="4" t="s">
        <v>1505</v>
      </c>
      <c r="C26" s="4" t="s">
        <v>1445</v>
      </c>
      <c r="D26" s="4" t="s">
        <v>1422</v>
      </c>
      <c r="E26" s="4" t="s">
        <v>1506</v>
      </c>
      <c r="F26" s="4">
        <v>25.0</v>
      </c>
      <c r="G26" s="4">
        <v>4.0</v>
      </c>
    </row>
    <row r="27" hidden="1">
      <c r="A27" s="4" t="s">
        <v>1507</v>
      </c>
      <c r="B27" s="4" t="s">
        <v>1508</v>
      </c>
      <c r="C27" s="4" t="s">
        <v>1445</v>
      </c>
      <c r="D27" s="4" t="s">
        <v>1422</v>
      </c>
      <c r="E27" s="4" t="s">
        <v>1449</v>
      </c>
      <c r="F27" s="4">
        <v>100.0</v>
      </c>
      <c r="G27" s="4">
        <v>4.0</v>
      </c>
    </row>
    <row r="28" hidden="1">
      <c r="A28" s="4" t="s">
        <v>1509</v>
      </c>
      <c r="B28" s="4" t="s">
        <v>1510</v>
      </c>
      <c r="C28" s="4" t="s">
        <v>1421</v>
      </c>
      <c r="D28" s="4" t="s">
        <v>1422</v>
      </c>
      <c r="E28" s="4" t="s">
        <v>1511</v>
      </c>
      <c r="F28" s="4">
        <v>2.0</v>
      </c>
      <c r="G28" s="4">
        <v>4.0</v>
      </c>
    </row>
    <row r="29" hidden="1">
      <c r="A29" s="4" t="s">
        <v>1512</v>
      </c>
      <c r="B29" s="4" t="s">
        <v>1513</v>
      </c>
      <c r="C29" s="4" t="s">
        <v>1445</v>
      </c>
      <c r="D29" s="4" t="s">
        <v>1422</v>
      </c>
      <c r="E29" s="4" t="s">
        <v>1514</v>
      </c>
      <c r="F29" s="4">
        <v>50.0</v>
      </c>
      <c r="G29" s="4">
        <v>4.0</v>
      </c>
    </row>
    <row r="30" hidden="1">
      <c r="A30" s="4" t="s">
        <v>1515</v>
      </c>
      <c r="B30" s="4" t="s">
        <v>1516</v>
      </c>
      <c r="C30" s="4" t="s">
        <v>1445</v>
      </c>
      <c r="D30" s="4" t="s">
        <v>1422</v>
      </c>
      <c r="E30" s="4" t="s">
        <v>1435</v>
      </c>
      <c r="F30" s="4">
        <v>6.0</v>
      </c>
      <c r="G30" s="4">
        <v>4.0</v>
      </c>
    </row>
    <row r="31" hidden="1">
      <c r="A31" s="4" t="s">
        <v>1517</v>
      </c>
      <c r="B31" s="4" t="s">
        <v>1518</v>
      </c>
      <c r="C31" s="4" t="s">
        <v>1421</v>
      </c>
      <c r="D31" s="4" t="s">
        <v>1422</v>
      </c>
      <c r="E31" s="4" t="s">
        <v>1519</v>
      </c>
      <c r="F31" s="4">
        <v>3.0</v>
      </c>
      <c r="G31" s="4">
        <v>4.0</v>
      </c>
    </row>
    <row r="32" hidden="1">
      <c r="A32" s="4" t="s">
        <v>1520</v>
      </c>
      <c r="B32" s="4" t="s">
        <v>1521</v>
      </c>
      <c r="C32" s="4" t="s">
        <v>1478</v>
      </c>
      <c r="D32" s="4" t="s">
        <v>1422</v>
      </c>
      <c r="E32" s="4" t="s">
        <v>1435</v>
      </c>
      <c r="F32" s="4">
        <v>50.0</v>
      </c>
      <c r="G32" s="4">
        <v>4.0</v>
      </c>
    </row>
    <row r="33" hidden="1">
      <c r="A33" s="4" t="s">
        <v>1522</v>
      </c>
      <c r="B33" s="4" t="s">
        <v>1523</v>
      </c>
      <c r="C33" s="4" t="s">
        <v>1421</v>
      </c>
      <c r="D33" s="4" t="s">
        <v>1422</v>
      </c>
      <c r="E33" s="4" t="s">
        <v>1514</v>
      </c>
      <c r="F33" s="4">
        <v>127.0</v>
      </c>
      <c r="G33" s="4">
        <v>4.0</v>
      </c>
    </row>
    <row r="34" hidden="1">
      <c r="A34" s="4" t="s">
        <v>1524</v>
      </c>
      <c r="B34" s="4" t="s">
        <v>1525</v>
      </c>
      <c r="C34" s="4" t="s">
        <v>1421</v>
      </c>
      <c r="D34" s="4" t="s">
        <v>1422</v>
      </c>
      <c r="E34" s="4" t="s">
        <v>1493</v>
      </c>
      <c r="F34" s="4">
        <v>1700.0</v>
      </c>
      <c r="G34" s="4">
        <v>4.0</v>
      </c>
    </row>
    <row r="35" hidden="1">
      <c r="A35" s="4" t="s">
        <v>1526</v>
      </c>
      <c r="B35" s="4" t="s">
        <v>1527</v>
      </c>
      <c r="C35" s="4" t="s">
        <v>1445</v>
      </c>
      <c r="D35" s="4" t="s">
        <v>1422</v>
      </c>
      <c r="E35" s="4" t="s">
        <v>1511</v>
      </c>
      <c r="F35" s="4">
        <v>12.0</v>
      </c>
      <c r="G35" s="4">
        <v>4.0</v>
      </c>
    </row>
    <row r="36" hidden="1">
      <c r="A36" s="4" t="s">
        <v>1528</v>
      </c>
      <c r="B36" s="4" t="s">
        <v>1529</v>
      </c>
      <c r="C36" s="4" t="s">
        <v>1445</v>
      </c>
      <c r="D36" s="4" t="s">
        <v>1422</v>
      </c>
      <c r="E36" s="4" t="s">
        <v>1423</v>
      </c>
      <c r="G36" s="4">
        <v>20.0</v>
      </c>
    </row>
    <row r="37" hidden="1">
      <c r="A37" s="4" t="s">
        <v>1530</v>
      </c>
      <c r="B37" s="4" t="s">
        <v>1531</v>
      </c>
      <c r="C37" s="4" t="s">
        <v>1445</v>
      </c>
      <c r="D37" s="4" t="s">
        <v>1422</v>
      </c>
      <c r="E37" s="4" t="s">
        <v>1435</v>
      </c>
      <c r="F37" s="4">
        <v>10.0</v>
      </c>
      <c r="G37" s="4">
        <v>4.0</v>
      </c>
    </row>
    <row r="38" hidden="1">
      <c r="A38" s="4" t="s">
        <v>1532</v>
      </c>
      <c r="B38" s="4" t="s">
        <v>1533</v>
      </c>
      <c r="C38" s="4" t="s">
        <v>1445</v>
      </c>
      <c r="D38" s="4" t="s">
        <v>1422</v>
      </c>
      <c r="E38" s="4" t="s">
        <v>1534</v>
      </c>
      <c r="F38" s="4">
        <v>30.0</v>
      </c>
      <c r="G38" s="4">
        <v>4.0</v>
      </c>
    </row>
    <row r="39" hidden="1">
      <c r="A39" s="4" t="s">
        <v>1535</v>
      </c>
      <c r="B39" s="4" t="s">
        <v>1536</v>
      </c>
      <c r="C39" s="4" t="s">
        <v>1421</v>
      </c>
      <c r="D39" s="4" t="s">
        <v>1422</v>
      </c>
      <c r="E39" s="4" t="s">
        <v>1514</v>
      </c>
      <c r="F39" s="4">
        <v>200.0</v>
      </c>
      <c r="G39" s="4">
        <v>7.0</v>
      </c>
      <c r="H39" s="4" t="s">
        <v>1537</v>
      </c>
      <c r="I39" s="4">
        <v>3.054036712E10</v>
      </c>
      <c r="J39" s="4" t="s">
        <v>1538</v>
      </c>
      <c r="K39" s="4">
        <v>3.3711217679E10</v>
      </c>
    </row>
    <row r="40" hidden="1">
      <c r="A40" s="4" t="s">
        <v>1539</v>
      </c>
      <c r="B40" s="4" t="s">
        <v>1540</v>
      </c>
      <c r="C40" s="4" t="s">
        <v>1478</v>
      </c>
      <c r="D40" s="4" t="s">
        <v>1422</v>
      </c>
      <c r="E40" s="4" t="s">
        <v>1541</v>
      </c>
      <c r="F40" s="4">
        <v>13.0</v>
      </c>
      <c r="G40" s="4">
        <v>5.0</v>
      </c>
      <c r="H40" s="4" t="s">
        <v>1542</v>
      </c>
      <c r="I40" s="4">
        <v>3.0709816221E10</v>
      </c>
    </row>
    <row r="41" hidden="1">
      <c r="A41" s="4" t="s">
        <v>1543</v>
      </c>
      <c r="B41" s="4" t="s">
        <v>1544</v>
      </c>
      <c r="C41" s="4" t="s">
        <v>1421</v>
      </c>
      <c r="D41" s="4" t="s">
        <v>1422</v>
      </c>
      <c r="E41" s="4" t="s">
        <v>1435</v>
      </c>
      <c r="F41" s="4">
        <v>4.0</v>
      </c>
      <c r="G41" s="4">
        <v>4.0</v>
      </c>
    </row>
    <row r="42" hidden="1">
      <c r="A42" s="4" t="s">
        <v>1545</v>
      </c>
      <c r="B42" s="4" t="s">
        <v>1546</v>
      </c>
      <c r="C42" s="4" t="s">
        <v>1421</v>
      </c>
      <c r="D42" s="4" t="s">
        <v>1422</v>
      </c>
      <c r="E42" s="4" t="s">
        <v>1541</v>
      </c>
      <c r="F42" s="4">
        <v>9.0</v>
      </c>
      <c r="G42" s="4">
        <v>4.0</v>
      </c>
    </row>
    <row r="43" hidden="1">
      <c r="A43" s="4" t="s">
        <v>1547</v>
      </c>
      <c r="B43" s="4" t="s">
        <v>1548</v>
      </c>
      <c r="C43" s="4" t="s">
        <v>1445</v>
      </c>
      <c r="D43" s="4" t="s">
        <v>1422</v>
      </c>
      <c r="E43" s="4" t="s">
        <v>1541</v>
      </c>
      <c r="F43" s="4">
        <v>8.0</v>
      </c>
      <c r="G43" s="4">
        <v>4.0</v>
      </c>
    </row>
    <row r="44" hidden="1">
      <c r="A44" s="4" t="s">
        <v>1549</v>
      </c>
      <c r="B44" s="4" t="s">
        <v>1550</v>
      </c>
      <c r="C44" s="4" t="s">
        <v>1428</v>
      </c>
      <c r="D44" s="4" t="s">
        <v>1422</v>
      </c>
      <c r="E44" s="4" t="s">
        <v>1435</v>
      </c>
      <c r="F44" s="4">
        <v>6.0</v>
      </c>
      <c r="G44" s="4">
        <v>4.0</v>
      </c>
    </row>
    <row r="45" hidden="1">
      <c r="A45" s="4" t="s">
        <v>1551</v>
      </c>
      <c r="B45" s="4" t="s">
        <v>1552</v>
      </c>
      <c r="C45" s="4" t="s">
        <v>1421</v>
      </c>
      <c r="D45" s="4" t="s">
        <v>1422</v>
      </c>
      <c r="E45" s="4" t="s">
        <v>1541</v>
      </c>
      <c r="F45" s="4">
        <v>6.0</v>
      </c>
      <c r="G45" s="4">
        <v>4.0</v>
      </c>
    </row>
    <row r="46" hidden="1">
      <c r="A46" s="4" t="s">
        <v>1553</v>
      </c>
      <c r="B46" s="4" t="s">
        <v>1554</v>
      </c>
      <c r="C46" s="4" t="s">
        <v>1445</v>
      </c>
      <c r="D46" s="4" t="s">
        <v>1422</v>
      </c>
      <c r="E46" s="4" t="s">
        <v>1435</v>
      </c>
      <c r="F46" s="4">
        <v>2.0</v>
      </c>
      <c r="G46" s="4">
        <v>4.0</v>
      </c>
      <c r="H46" s="4" t="s">
        <v>1555</v>
      </c>
      <c r="I46" s="4">
        <v>2.0349069858E10</v>
      </c>
    </row>
    <row r="47" hidden="1">
      <c r="A47" s="4" t="s">
        <v>1556</v>
      </c>
      <c r="B47" s="4" t="s">
        <v>1557</v>
      </c>
      <c r="C47" s="4" t="s">
        <v>1445</v>
      </c>
      <c r="D47" s="4" t="s">
        <v>1422</v>
      </c>
      <c r="E47" s="4" t="s">
        <v>1435</v>
      </c>
      <c r="F47" s="4">
        <v>5.0</v>
      </c>
      <c r="G47" s="4">
        <v>1.0</v>
      </c>
      <c r="H47" s="4" t="s">
        <v>1558</v>
      </c>
      <c r="I47" s="4">
        <v>2.0145189668E10</v>
      </c>
    </row>
    <row r="48" hidden="1">
      <c r="A48" s="4" t="s">
        <v>1559</v>
      </c>
      <c r="B48" s="4" t="s">
        <v>1560</v>
      </c>
      <c r="C48" s="4" t="s">
        <v>1428</v>
      </c>
      <c r="D48" s="4" t="s">
        <v>1422</v>
      </c>
      <c r="E48" s="4" t="s">
        <v>1561</v>
      </c>
      <c r="F48" s="4">
        <v>400.0</v>
      </c>
      <c r="G48" s="4">
        <v>5.0</v>
      </c>
      <c r="H48" s="4" t="s">
        <v>1562</v>
      </c>
      <c r="I48" s="4">
        <v>3.0708385073E10</v>
      </c>
    </row>
    <row r="49" hidden="1">
      <c r="A49" s="4" t="s">
        <v>1563</v>
      </c>
      <c r="B49" s="4" t="s">
        <v>1564</v>
      </c>
      <c r="C49" s="4" t="s">
        <v>1421</v>
      </c>
      <c r="D49" s="4" t="s">
        <v>1422</v>
      </c>
      <c r="E49" s="4" t="s">
        <v>1565</v>
      </c>
      <c r="F49" s="4">
        <v>15.0</v>
      </c>
      <c r="G49" s="4">
        <v>5.0</v>
      </c>
      <c r="H49" s="4" t="s">
        <v>1564</v>
      </c>
    </row>
    <row r="50" hidden="1">
      <c r="A50" s="4" t="s">
        <v>1566</v>
      </c>
      <c r="B50" s="4" t="s">
        <v>1567</v>
      </c>
      <c r="C50" s="4" t="s">
        <v>1568</v>
      </c>
      <c r="D50" s="4" t="s">
        <v>1422</v>
      </c>
      <c r="E50" s="4" t="s">
        <v>1506</v>
      </c>
      <c r="F50" s="4">
        <v>60.0</v>
      </c>
      <c r="G50" s="4">
        <v>5.0</v>
      </c>
      <c r="H50" s="4" t="s">
        <v>1567</v>
      </c>
      <c r="I50" s="4">
        <v>3.0714223131E10</v>
      </c>
    </row>
    <row r="51" hidden="1">
      <c r="A51" s="4" t="s">
        <v>1569</v>
      </c>
      <c r="B51" s="4" t="s">
        <v>1570</v>
      </c>
      <c r="C51" s="4" t="s">
        <v>1428</v>
      </c>
      <c r="D51" s="4" t="s">
        <v>1422</v>
      </c>
      <c r="E51" s="4" t="s">
        <v>1481</v>
      </c>
      <c r="F51" s="4">
        <v>1.0</v>
      </c>
      <c r="G51" s="4">
        <v>4.0</v>
      </c>
    </row>
    <row r="52" hidden="1">
      <c r="A52" s="4" t="s">
        <v>1571</v>
      </c>
      <c r="B52" s="4" t="s">
        <v>1572</v>
      </c>
      <c r="C52" s="4" t="s">
        <v>1573</v>
      </c>
      <c r="D52" s="4" t="s">
        <v>1422</v>
      </c>
      <c r="E52" s="4" t="s">
        <v>1574</v>
      </c>
      <c r="F52" s="4">
        <v>10.0</v>
      </c>
      <c r="G52" s="4">
        <v>5.0</v>
      </c>
    </row>
    <row r="53" hidden="1">
      <c r="A53" s="4" t="s">
        <v>1575</v>
      </c>
      <c r="B53" s="4" t="s">
        <v>1576</v>
      </c>
      <c r="C53" s="4" t="s">
        <v>1421</v>
      </c>
      <c r="D53" s="4" t="s">
        <v>1422</v>
      </c>
      <c r="E53" s="4" t="s">
        <v>1577</v>
      </c>
      <c r="F53" s="4">
        <v>30.0</v>
      </c>
      <c r="G53" s="4">
        <v>7.0</v>
      </c>
    </row>
    <row r="54" hidden="1">
      <c r="A54" s="4" t="s">
        <v>1578</v>
      </c>
      <c r="B54" s="4" t="s">
        <v>1579</v>
      </c>
      <c r="C54" s="4" t="s">
        <v>1445</v>
      </c>
      <c r="D54" s="4" t="s">
        <v>1422</v>
      </c>
      <c r="E54" s="4" t="s">
        <v>1565</v>
      </c>
      <c r="F54" s="4">
        <v>250.0</v>
      </c>
      <c r="G54" s="4">
        <v>6.0</v>
      </c>
    </row>
    <row r="55" hidden="1">
      <c r="A55" s="4" t="s">
        <v>1580</v>
      </c>
      <c r="B55" s="4" t="s">
        <v>1581</v>
      </c>
      <c r="C55" s="4" t="s">
        <v>1582</v>
      </c>
      <c r="D55" s="4" t="s">
        <v>1422</v>
      </c>
      <c r="E55" s="4" t="s">
        <v>1583</v>
      </c>
      <c r="F55" s="4">
        <v>200.0</v>
      </c>
      <c r="G55" s="4">
        <v>6.0</v>
      </c>
    </row>
    <row r="56" hidden="1">
      <c r="A56" s="4" t="s">
        <v>1584</v>
      </c>
      <c r="B56" s="4" t="s">
        <v>1585</v>
      </c>
      <c r="C56" s="4" t="s">
        <v>1421</v>
      </c>
      <c r="D56" s="4" t="s">
        <v>1422</v>
      </c>
      <c r="E56" s="4" t="s">
        <v>1586</v>
      </c>
      <c r="F56" s="4">
        <v>20.0</v>
      </c>
      <c r="G56" s="4">
        <v>4.0</v>
      </c>
    </row>
    <row r="57" hidden="1">
      <c r="A57" s="4" t="s">
        <v>1587</v>
      </c>
      <c r="B57" s="4" t="s">
        <v>1588</v>
      </c>
      <c r="C57" s="4" t="s">
        <v>1445</v>
      </c>
      <c r="D57" s="4" t="s">
        <v>1422</v>
      </c>
      <c r="E57" s="4" t="s">
        <v>1589</v>
      </c>
      <c r="F57" s="4">
        <v>3.0</v>
      </c>
      <c r="G57" s="4">
        <v>4.0</v>
      </c>
    </row>
    <row r="58" hidden="1">
      <c r="A58" s="4" t="s">
        <v>1590</v>
      </c>
      <c r="B58" s="4" t="s">
        <v>1591</v>
      </c>
      <c r="C58" s="7" t="s">
        <v>1592</v>
      </c>
      <c r="D58" s="4" t="s">
        <v>1466</v>
      </c>
      <c r="E58" s="4" t="s">
        <v>1429</v>
      </c>
      <c r="F58" s="4">
        <v>100.0</v>
      </c>
      <c r="G58" s="4">
        <v>4.0</v>
      </c>
    </row>
    <row r="59" hidden="1">
      <c r="A59" s="4" t="s">
        <v>1593</v>
      </c>
      <c r="B59" s="4" t="s">
        <v>1594</v>
      </c>
      <c r="C59" s="4" t="s">
        <v>1445</v>
      </c>
      <c r="D59" s="4" t="s">
        <v>1422</v>
      </c>
      <c r="E59" s="4" t="s">
        <v>1595</v>
      </c>
      <c r="F59" s="4">
        <v>200.0</v>
      </c>
      <c r="G59" s="4">
        <v>4.0</v>
      </c>
    </row>
    <row r="60" hidden="1">
      <c r="A60" s="4" t="s">
        <v>1596</v>
      </c>
      <c r="B60" s="4" t="s">
        <v>1597</v>
      </c>
      <c r="C60" s="4" t="s">
        <v>1428</v>
      </c>
      <c r="D60" s="4" t="s">
        <v>1422</v>
      </c>
      <c r="E60" s="4" t="s">
        <v>1598</v>
      </c>
      <c r="F60" s="4">
        <v>10.0</v>
      </c>
      <c r="G60" s="4">
        <v>6.0</v>
      </c>
    </row>
    <row r="61" hidden="1">
      <c r="A61" s="4" t="s">
        <v>1599</v>
      </c>
      <c r="B61" s="4" t="s">
        <v>1600</v>
      </c>
      <c r="C61" s="7" t="s">
        <v>1592</v>
      </c>
      <c r="D61" s="4" t="s">
        <v>1601</v>
      </c>
      <c r="E61" s="4" t="s">
        <v>1514</v>
      </c>
      <c r="F61" s="4">
        <v>50.0</v>
      </c>
      <c r="G61" s="4">
        <v>4.0</v>
      </c>
    </row>
    <row r="62" hidden="1">
      <c r="A62" s="4" t="s">
        <v>1602</v>
      </c>
      <c r="B62" s="4" t="s">
        <v>1603</v>
      </c>
      <c r="C62" s="4" t="s">
        <v>1604</v>
      </c>
      <c r="D62" s="4" t="s">
        <v>1422</v>
      </c>
      <c r="E62" s="4" t="s">
        <v>1470</v>
      </c>
      <c r="F62" s="4">
        <v>40.0</v>
      </c>
      <c r="G62" s="4">
        <v>4.0</v>
      </c>
      <c r="H62" s="4" t="s">
        <v>1605</v>
      </c>
      <c r="I62" s="4">
        <v>3.070842745E10</v>
      </c>
    </row>
    <row r="63" hidden="1">
      <c r="A63" s="4" t="s">
        <v>1606</v>
      </c>
      <c r="B63" s="4" t="s">
        <v>1607</v>
      </c>
      <c r="C63" s="4" t="s">
        <v>1445</v>
      </c>
      <c r="D63" s="4" t="s">
        <v>1422</v>
      </c>
      <c r="E63" s="4" t="s">
        <v>1608</v>
      </c>
      <c r="F63" s="4">
        <v>6.0</v>
      </c>
      <c r="G63" s="4">
        <v>4.0</v>
      </c>
      <c r="H63" s="4" t="s">
        <v>1609</v>
      </c>
      <c r="I63" s="4">
        <v>3.0715059874E10</v>
      </c>
    </row>
    <row r="64" hidden="1">
      <c r="A64" s="4" t="s">
        <v>1610</v>
      </c>
      <c r="B64" s="4" t="s">
        <v>1611</v>
      </c>
      <c r="C64" s="4" t="s">
        <v>1421</v>
      </c>
      <c r="D64" s="4" t="s">
        <v>1422</v>
      </c>
      <c r="E64" s="4" t="s">
        <v>1612</v>
      </c>
      <c r="F64" s="4">
        <v>20.0</v>
      </c>
      <c r="G64" s="4">
        <v>6.0</v>
      </c>
      <c r="H64" s="4" t="s">
        <v>1613</v>
      </c>
      <c r="I64" s="4">
        <v>3.0717078434E10</v>
      </c>
    </row>
    <row r="65" hidden="1">
      <c r="A65" s="4" t="s">
        <v>1614</v>
      </c>
      <c r="B65" s="4" t="s">
        <v>1615</v>
      </c>
      <c r="D65" s="4" t="s">
        <v>1455</v>
      </c>
      <c r="E65" s="4" t="s">
        <v>1612</v>
      </c>
      <c r="F65" s="4">
        <v>10.0</v>
      </c>
      <c r="G65" s="4">
        <v>4.0</v>
      </c>
    </row>
    <row r="66" hidden="1">
      <c r="A66" s="4" t="s">
        <v>1616</v>
      </c>
      <c r="B66" s="4" t="s">
        <v>1617</v>
      </c>
      <c r="C66" s="4" t="s">
        <v>1421</v>
      </c>
      <c r="D66" s="4" t="s">
        <v>1422</v>
      </c>
      <c r="E66" s="4" t="s">
        <v>1439</v>
      </c>
      <c r="F66" s="4">
        <v>200.0</v>
      </c>
      <c r="G66" s="4">
        <v>6.0</v>
      </c>
      <c r="H66" s="4" t="s">
        <v>1618</v>
      </c>
      <c r="I66" s="4">
        <v>3.0711061327E10</v>
      </c>
      <c r="J66" s="4" t="s">
        <v>1619</v>
      </c>
      <c r="K66" s="4">
        <v>3.0518849634E10</v>
      </c>
    </row>
    <row r="67" hidden="1">
      <c r="A67" s="4" t="s">
        <v>1620</v>
      </c>
      <c r="B67" s="4" t="s">
        <v>1621</v>
      </c>
      <c r="C67" s="4" t="s">
        <v>1445</v>
      </c>
      <c r="D67" s="4" t="s">
        <v>1422</v>
      </c>
      <c r="E67" s="4" t="s">
        <v>1446</v>
      </c>
      <c r="F67" s="4">
        <v>25.0</v>
      </c>
      <c r="G67" s="4">
        <v>4.0</v>
      </c>
    </row>
    <row r="68" hidden="1">
      <c r="A68" s="4" t="s">
        <v>1622</v>
      </c>
      <c r="B68" s="4" t="s">
        <v>1623</v>
      </c>
      <c r="C68" s="4" t="s">
        <v>1624</v>
      </c>
      <c r="D68" s="4" t="s">
        <v>1422</v>
      </c>
      <c r="E68" s="4" t="s">
        <v>1625</v>
      </c>
      <c r="F68" s="4">
        <v>10.0</v>
      </c>
      <c r="G68" s="4">
        <v>4.0</v>
      </c>
    </row>
    <row r="69" hidden="1">
      <c r="A69" s="4" t="s">
        <v>1626</v>
      </c>
      <c r="B69" s="4" t="s">
        <v>1627</v>
      </c>
      <c r="C69" s="4" t="s">
        <v>1445</v>
      </c>
      <c r="D69" s="4" t="s">
        <v>1422</v>
      </c>
      <c r="E69" s="4" t="s">
        <v>1463</v>
      </c>
      <c r="F69" s="4">
        <v>10.0</v>
      </c>
      <c r="G69" s="4">
        <v>4.0</v>
      </c>
    </row>
    <row r="70" hidden="1">
      <c r="A70" s="4" t="s">
        <v>1628</v>
      </c>
      <c r="B70" s="4" t="s">
        <v>1629</v>
      </c>
      <c r="C70" s="4" t="s">
        <v>1445</v>
      </c>
      <c r="D70" s="4" t="s">
        <v>1422</v>
      </c>
      <c r="E70" s="4" t="s">
        <v>1435</v>
      </c>
      <c r="F70" s="4">
        <v>10.0</v>
      </c>
      <c r="G70" s="4">
        <v>4.0</v>
      </c>
    </row>
    <row r="71" hidden="1">
      <c r="A71" s="4" t="s">
        <v>1630</v>
      </c>
      <c r="B71" s="4" t="s">
        <v>1631</v>
      </c>
      <c r="C71" s="4" t="s">
        <v>1632</v>
      </c>
      <c r="D71" s="4" t="s">
        <v>1422</v>
      </c>
      <c r="E71" s="4" t="s">
        <v>1506</v>
      </c>
      <c r="F71" s="4">
        <v>2.0</v>
      </c>
      <c r="G71" s="4">
        <v>4.0</v>
      </c>
    </row>
    <row r="72" hidden="1">
      <c r="A72" s="4" t="s">
        <v>1633</v>
      </c>
      <c r="B72" s="4" t="s">
        <v>1634</v>
      </c>
      <c r="C72" s="4" t="s">
        <v>1462</v>
      </c>
      <c r="D72" s="4" t="s">
        <v>1422</v>
      </c>
      <c r="E72" s="4" t="s">
        <v>1459</v>
      </c>
      <c r="F72" s="4">
        <v>6.0</v>
      </c>
      <c r="G72" s="4">
        <v>4.0</v>
      </c>
    </row>
    <row r="73" hidden="1">
      <c r="A73" s="4" t="s">
        <v>1635</v>
      </c>
      <c r="B73" s="4" t="s">
        <v>1636</v>
      </c>
      <c r="C73" s="4" t="s">
        <v>1637</v>
      </c>
      <c r="D73" s="4" t="s">
        <v>1422</v>
      </c>
      <c r="E73" s="4" t="s">
        <v>1506</v>
      </c>
      <c r="G73" s="4">
        <v>4.0</v>
      </c>
    </row>
    <row r="74" hidden="1">
      <c r="A74" s="4" t="s">
        <v>1638</v>
      </c>
      <c r="B74" s="4" t="s">
        <v>1639</v>
      </c>
      <c r="C74" s="4" t="s">
        <v>1640</v>
      </c>
      <c r="D74" s="4" t="s">
        <v>1422</v>
      </c>
      <c r="E74" s="4" t="s">
        <v>1435</v>
      </c>
      <c r="F74" s="4">
        <v>200.0</v>
      </c>
      <c r="G74" s="4">
        <v>4.0</v>
      </c>
    </row>
    <row r="75" hidden="1">
      <c r="A75" s="4" t="s">
        <v>1641</v>
      </c>
      <c r="B75" s="4" t="s">
        <v>1642</v>
      </c>
      <c r="C75" s="4" t="s">
        <v>1421</v>
      </c>
      <c r="D75" s="4" t="s">
        <v>1422</v>
      </c>
      <c r="E75" s="4" t="s">
        <v>1643</v>
      </c>
      <c r="F75" s="4">
        <v>30.0</v>
      </c>
      <c r="G75" s="4">
        <v>4.0</v>
      </c>
    </row>
    <row r="76" hidden="1">
      <c r="A76" s="4" t="s">
        <v>1644</v>
      </c>
      <c r="B76" s="4" t="s">
        <v>1645</v>
      </c>
      <c r="C76" s="4" t="s">
        <v>1445</v>
      </c>
      <c r="D76" s="4" t="s">
        <v>1422</v>
      </c>
      <c r="E76" s="4" t="s">
        <v>1514</v>
      </c>
      <c r="F76" s="4">
        <v>50.0</v>
      </c>
      <c r="G76" s="4">
        <v>4.0</v>
      </c>
    </row>
    <row r="77" hidden="1">
      <c r="A77" s="4" t="s">
        <v>1646</v>
      </c>
      <c r="B77" s="4" t="s">
        <v>1647</v>
      </c>
      <c r="C77" s="4" t="s">
        <v>1421</v>
      </c>
      <c r="D77" s="4" t="s">
        <v>1422</v>
      </c>
      <c r="E77" s="4" t="s">
        <v>1514</v>
      </c>
      <c r="G77" s="4">
        <v>4.0</v>
      </c>
    </row>
    <row r="78" hidden="1">
      <c r="A78" s="4" t="s">
        <v>1648</v>
      </c>
      <c r="B78" s="4" t="s">
        <v>1649</v>
      </c>
      <c r="C78" s="4" t="s">
        <v>1640</v>
      </c>
      <c r="D78" s="4" t="s">
        <v>1422</v>
      </c>
      <c r="E78" s="4" t="s">
        <v>1449</v>
      </c>
      <c r="F78" s="4">
        <v>10.0</v>
      </c>
      <c r="G78" s="4">
        <v>4.0</v>
      </c>
      <c r="H78" s="4" t="s">
        <v>1650</v>
      </c>
      <c r="I78" s="4">
        <v>3.0717565017E10</v>
      </c>
    </row>
    <row r="79" hidden="1">
      <c r="A79" s="4" t="s">
        <v>1651</v>
      </c>
      <c r="B79" s="4" t="s">
        <v>1652</v>
      </c>
      <c r="C79" s="4" t="s">
        <v>1445</v>
      </c>
      <c r="D79" s="4" t="s">
        <v>1422</v>
      </c>
      <c r="E79" s="4" t="s">
        <v>1514</v>
      </c>
      <c r="F79" s="4">
        <v>50.0</v>
      </c>
      <c r="G79" s="4">
        <v>4.0</v>
      </c>
    </row>
    <row r="80" hidden="1">
      <c r="A80" s="4" t="s">
        <v>1653</v>
      </c>
      <c r="B80" s="4" t="s">
        <v>1654</v>
      </c>
      <c r="C80" s="4" t="s">
        <v>1503</v>
      </c>
      <c r="D80" s="4" t="s">
        <v>1422</v>
      </c>
      <c r="E80" s="4" t="s">
        <v>1655</v>
      </c>
      <c r="F80" s="4">
        <v>200.0</v>
      </c>
      <c r="G80" s="4">
        <v>4.0</v>
      </c>
    </row>
    <row r="81" hidden="1">
      <c r="A81" s="4" t="s">
        <v>1656</v>
      </c>
      <c r="B81" s="4" t="s">
        <v>1657</v>
      </c>
      <c r="C81" s="4" t="s">
        <v>1445</v>
      </c>
      <c r="D81" s="4" t="s">
        <v>1422</v>
      </c>
      <c r="E81" s="4" t="s">
        <v>1423</v>
      </c>
      <c r="F81" s="4">
        <v>50.0</v>
      </c>
      <c r="G81" s="4">
        <v>4.0</v>
      </c>
      <c r="H81" s="4" t="s">
        <v>1658</v>
      </c>
      <c r="I81" s="4">
        <v>3.0709991112E10</v>
      </c>
    </row>
    <row r="82" hidden="1">
      <c r="A82" s="4" t="s">
        <v>1659</v>
      </c>
      <c r="B82" s="4" t="s">
        <v>1660</v>
      </c>
      <c r="C82" s="4" t="s">
        <v>1445</v>
      </c>
      <c r="D82" s="4" t="s">
        <v>1422</v>
      </c>
      <c r="E82" s="4" t="s">
        <v>1493</v>
      </c>
      <c r="G82" s="4">
        <v>4.0</v>
      </c>
    </row>
    <row r="83" hidden="1">
      <c r="A83" s="4" t="s">
        <v>1661</v>
      </c>
      <c r="B83" s="4" t="s">
        <v>1662</v>
      </c>
      <c r="C83" s="4" t="s">
        <v>1421</v>
      </c>
      <c r="D83" s="4" t="s">
        <v>1422</v>
      </c>
      <c r="E83" s="4" t="s">
        <v>1574</v>
      </c>
      <c r="F83" s="4">
        <v>100.0</v>
      </c>
      <c r="G83" s="4">
        <v>4.0</v>
      </c>
    </row>
    <row r="84" hidden="1">
      <c r="A84" s="4" t="s">
        <v>1663</v>
      </c>
      <c r="B84" s="4" t="s">
        <v>1664</v>
      </c>
      <c r="D84" s="4" t="s">
        <v>1601</v>
      </c>
      <c r="E84" s="4" t="s">
        <v>1456</v>
      </c>
      <c r="F84" s="4">
        <v>10.0</v>
      </c>
      <c r="G84" s="4">
        <v>4.0</v>
      </c>
    </row>
    <row r="85" hidden="1">
      <c r="A85" s="4" t="s">
        <v>1665</v>
      </c>
      <c r="B85" s="4" t="s">
        <v>1666</v>
      </c>
      <c r="C85" s="4" t="s">
        <v>1445</v>
      </c>
      <c r="D85" s="4" t="s">
        <v>1422</v>
      </c>
      <c r="E85" s="4" t="s">
        <v>1514</v>
      </c>
      <c r="F85" s="4">
        <v>50.0</v>
      </c>
      <c r="G85" s="4">
        <v>4.0</v>
      </c>
    </row>
    <row r="86" hidden="1">
      <c r="A86" s="4" t="s">
        <v>1667</v>
      </c>
      <c r="B86" s="4" t="s">
        <v>1668</v>
      </c>
      <c r="C86" s="4" t="s">
        <v>1445</v>
      </c>
      <c r="D86" s="4" t="s">
        <v>1422</v>
      </c>
      <c r="E86" s="4" t="s">
        <v>1463</v>
      </c>
      <c r="F86" s="4">
        <v>20.0</v>
      </c>
      <c r="G86" s="4">
        <v>4.0</v>
      </c>
    </row>
    <row r="87" hidden="1">
      <c r="A87" s="4" t="s">
        <v>1669</v>
      </c>
      <c r="B87" s="4" t="s">
        <v>1668</v>
      </c>
      <c r="C87" s="4" t="s">
        <v>1445</v>
      </c>
      <c r="D87" s="4" t="s">
        <v>1422</v>
      </c>
      <c r="E87" s="4" t="s">
        <v>1463</v>
      </c>
      <c r="F87" s="4">
        <v>15.0</v>
      </c>
      <c r="G87" s="4">
        <v>4.0</v>
      </c>
    </row>
    <row r="88" hidden="1">
      <c r="A88" s="4" t="s">
        <v>1670</v>
      </c>
      <c r="B88" s="4" t="s">
        <v>1671</v>
      </c>
      <c r="C88" s="4" t="s">
        <v>1672</v>
      </c>
      <c r="D88" s="4" t="s">
        <v>1422</v>
      </c>
      <c r="E88" s="4" t="s">
        <v>1435</v>
      </c>
      <c r="F88" s="4">
        <v>200.0</v>
      </c>
      <c r="G88" s="4">
        <v>4.0</v>
      </c>
    </row>
    <row r="89" hidden="1">
      <c r="A89" s="4" t="s">
        <v>1673</v>
      </c>
      <c r="B89" s="4" t="s">
        <v>1674</v>
      </c>
      <c r="C89" s="4" t="s">
        <v>1445</v>
      </c>
      <c r="D89" s="4" t="s">
        <v>1422</v>
      </c>
      <c r="E89" s="4" t="s">
        <v>1675</v>
      </c>
      <c r="F89" s="4">
        <v>50.0</v>
      </c>
      <c r="G89" s="4">
        <v>4.0</v>
      </c>
    </row>
    <row r="90" hidden="1">
      <c r="A90" s="4" t="s">
        <v>1676</v>
      </c>
      <c r="B90" s="4" t="s">
        <v>1677</v>
      </c>
      <c r="C90" s="4" t="s">
        <v>1421</v>
      </c>
      <c r="D90" s="4" t="s">
        <v>1422</v>
      </c>
      <c r="E90" s="4" t="s">
        <v>1643</v>
      </c>
      <c r="F90" s="4">
        <v>5.0</v>
      </c>
      <c r="G90" s="4">
        <v>4.0</v>
      </c>
      <c r="H90" s="4" t="s">
        <v>1678</v>
      </c>
      <c r="I90" s="4">
        <v>3.0707878718E10</v>
      </c>
    </row>
    <row r="91" hidden="1">
      <c r="A91" s="4" t="s">
        <v>1679</v>
      </c>
      <c r="B91" s="4" t="s">
        <v>1680</v>
      </c>
      <c r="C91" s="4" t="s">
        <v>1573</v>
      </c>
      <c r="D91" s="4" t="s">
        <v>1422</v>
      </c>
      <c r="E91" s="4" t="s">
        <v>1608</v>
      </c>
      <c r="F91" s="4">
        <v>100.0</v>
      </c>
      <c r="G91" s="4">
        <v>4.0</v>
      </c>
    </row>
    <row r="92" hidden="1">
      <c r="A92" s="4" t="s">
        <v>1681</v>
      </c>
      <c r="B92" s="4" t="s">
        <v>1682</v>
      </c>
      <c r="C92" s="4" t="s">
        <v>1421</v>
      </c>
      <c r="D92" s="4" t="s">
        <v>1422</v>
      </c>
      <c r="E92" s="4" t="s">
        <v>1683</v>
      </c>
      <c r="F92" s="4">
        <v>5.0</v>
      </c>
      <c r="G92" s="4">
        <v>4.0</v>
      </c>
    </row>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M$1000">
    <filterColumn colId="1">
      <filters>
        <filter val="Dg Distribuciones"/>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1684</v>
      </c>
      <c r="B1" s="14" t="s">
        <v>1685</v>
      </c>
      <c r="C1" s="14" t="s">
        <v>1686</v>
      </c>
      <c r="D1" s="14" t="s">
        <v>1687</v>
      </c>
      <c r="E1" s="14" t="s">
        <v>1688</v>
      </c>
      <c r="F1" s="14" t="s">
        <v>1689</v>
      </c>
    </row>
    <row r="7">
      <c r="A7"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88"/>
    <col customWidth="1" min="4" max="4" width="31.25"/>
    <col customWidth="1" min="6" max="6" width="56.63"/>
    <col customWidth="1" min="7" max="7" width="43.88"/>
  </cols>
  <sheetData>
    <row r="1">
      <c r="A1" s="12" t="s">
        <v>1690</v>
      </c>
      <c r="B1" s="12" t="s">
        <v>1691</v>
      </c>
      <c r="C1" s="12" t="s">
        <v>1692</v>
      </c>
      <c r="D1" s="12" t="s">
        <v>1693</v>
      </c>
      <c r="E1" s="12" t="s">
        <v>1694</v>
      </c>
      <c r="F1" s="12" t="s">
        <v>1695</v>
      </c>
      <c r="G1" s="12" t="s">
        <v>1696</v>
      </c>
      <c r="H1" s="12" t="s">
        <v>1697</v>
      </c>
      <c r="I1" s="16"/>
      <c r="J1" s="16"/>
      <c r="K1" s="16"/>
      <c r="L1" s="16"/>
      <c r="M1" s="16"/>
      <c r="N1" s="16"/>
      <c r="O1" s="16"/>
      <c r="P1" s="16"/>
      <c r="Q1" s="16"/>
      <c r="R1" s="16"/>
      <c r="S1" s="16"/>
      <c r="T1" s="16"/>
      <c r="U1" s="16"/>
    </row>
    <row r="2">
      <c r="A2" s="4" t="s">
        <v>1698</v>
      </c>
      <c r="B2" s="4" t="s">
        <v>1699</v>
      </c>
      <c r="C2" s="6">
        <v>45811.0</v>
      </c>
      <c r="D2" s="4" t="s">
        <v>1700</v>
      </c>
      <c r="E2" s="4" t="s">
        <v>1701</v>
      </c>
      <c r="F2" s="4" t="s">
        <v>1702</v>
      </c>
      <c r="G2" s="4" t="s">
        <v>1703</v>
      </c>
    </row>
    <row r="3">
      <c r="A3" s="4" t="s">
        <v>1704</v>
      </c>
      <c r="B3" s="4" t="s">
        <v>1705</v>
      </c>
      <c r="C3" s="6">
        <v>45813.0</v>
      </c>
      <c r="D3" s="4" t="s">
        <v>1706</v>
      </c>
      <c r="E3" s="4" t="s">
        <v>1707</v>
      </c>
      <c r="F3" s="4" t="s">
        <v>1708</v>
      </c>
      <c r="G3" s="4" t="s">
        <v>1709</v>
      </c>
      <c r="H3" s="4"/>
    </row>
    <row r="4">
      <c r="A4" s="4" t="s">
        <v>1710</v>
      </c>
      <c r="B4" s="4" t="s">
        <v>1711</v>
      </c>
      <c r="C4" s="6">
        <v>45813.0</v>
      </c>
      <c r="D4" s="4" t="s">
        <v>1712</v>
      </c>
      <c r="E4" s="4" t="s">
        <v>1713</v>
      </c>
      <c r="F4" s="4" t="s">
        <v>1714</v>
      </c>
      <c r="G4" s="4" t="s">
        <v>1715</v>
      </c>
    </row>
    <row r="5">
      <c r="A5" s="4" t="s">
        <v>1716</v>
      </c>
      <c r="B5" s="4" t="s">
        <v>1717</v>
      </c>
      <c r="C5" s="6">
        <v>45821.0</v>
      </c>
      <c r="D5" s="4" t="s">
        <v>1718</v>
      </c>
      <c r="E5" s="4" t="s">
        <v>1713</v>
      </c>
      <c r="F5" s="4" t="s">
        <v>1702</v>
      </c>
      <c r="G5" s="4" t="s">
        <v>1719</v>
      </c>
      <c r="H5" s="4"/>
    </row>
    <row r="6">
      <c r="A6" s="4" t="s">
        <v>1720</v>
      </c>
      <c r="B6" s="4" t="s">
        <v>1721</v>
      </c>
      <c r="C6" s="6">
        <v>45842.0</v>
      </c>
      <c r="D6" s="4" t="s">
        <v>1722</v>
      </c>
      <c r="E6" s="4" t="s">
        <v>1723</v>
      </c>
      <c r="F6" s="4" t="s">
        <v>1724</v>
      </c>
      <c r="G6" s="4" t="s">
        <v>1725</v>
      </c>
      <c r="H6" s="4" t="s">
        <v>1726</v>
      </c>
    </row>
    <row r="7">
      <c r="A7" s="4" t="s">
        <v>1727</v>
      </c>
      <c r="B7" s="4" t="s">
        <v>1728</v>
      </c>
      <c r="C7" s="6">
        <v>45842.0</v>
      </c>
      <c r="D7" s="4" t="s">
        <v>1729</v>
      </c>
      <c r="E7" s="4" t="s">
        <v>1723</v>
      </c>
      <c r="F7" s="4" t="s">
        <v>1730</v>
      </c>
      <c r="G7" s="4" t="s">
        <v>1725</v>
      </c>
      <c r="H7" s="4" t="s">
        <v>1731</v>
      </c>
    </row>
    <row r="8">
      <c r="A8" s="4" t="s">
        <v>1732</v>
      </c>
      <c r="B8" s="4" t="s">
        <v>1733</v>
      </c>
      <c r="C8" s="6">
        <v>45842.0</v>
      </c>
      <c r="D8" s="4" t="s">
        <v>1734</v>
      </c>
      <c r="E8" s="4" t="s">
        <v>1723</v>
      </c>
      <c r="F8" s="4" t="s">
        <v>1724</v>
      </c>
      <c r="G8" s="4" t="s">
        <v>1725</v>
      </c>
      <c r="H8" s="4" t="s">
        <v>1735</v>
      </c>
    </row>
    <row r="9">
      <c r="A9" s="4" t="s">
        <v>1736</v>
      </c>
      <c r="B9" s="4" t="s">
        <v>1737</v>
      </c>
      <c r="C9" s="6">
        <v>45842.0</v>
      </c>
      <c r="D9" s="4" t="s">
        <v>1738</v>
      </c>
      <c r="E9" s="4" t="s">
        <v>1723</v>
      </c>
      <c r="F9" s="4" t="s">
        <v>1739</v>
      </c>
      <c r="G9" s="4" t="s">
        <v>1740</v>
      </c>
      <c r="H9" s="4" t="s">
        <v>1741</v>
      </c>
    </row>
    <row r="10">
      <c r="A10" s="4" t="s">
        <v>1742</v>
      </c>
      <c r="B10" s="4" t="s">
        <v>1743</v>
      </c>
      <c r="C10" s="6">
        <v>45842.0</v>
      </c>
      <c r="D10" s="4" t="s">
        <v>1744</v>
      </c>
      <c r="E10" s="4" t="s">
        <v>1723</v>
      </c>
      <c r="F10" s="4" t="s">
        <v>1745</v>
      </c>
      <c r="G10" s="4" t="s">
        <v>1746</v>
      </c>
      <c r="H10" s="4" t="s">
        <v>1747</v>
      </c>
    </row>
    <row r="11">
      <c r="A11" s="4" t="s">
        <v>1748</v>
      </c>
      <c r="B11" s="4" t="s">
        <v>1749</v>
      </c>
      <c r="C11" s="6">
        <v>45845.0</v>
      </c>
      <c r="D11" s="4" t="s">
        <v>1750</v>
      </c>
      <c r="E11" s="4" t="s">
        <v>108</v>
      </c>
      <c r="F11" s="4" t="s">
        <v>27</v>
      </c>
      <c r="G11" s="4" t="s">
        <v>27</v>
      </c>
    </row>
    <row r="12">
      <c r="A12" s="4" t="s">
        <v>1751</v>
      </c>
      <c r="B12" s="4" t="s">
        <v>1752</v>
      </c>
      <c r="C12" s="6">
        <v>45845.0</v>
      </c>
      <c r="D12" s="4" t="s">
        <v>1753</v>
      </c>
      <c r="E12" s="4" t="s">
        <v>108</v>
      </c>
      <c r="F12" s="4" t="s">
        <v>27</v>
      </c>
      <c r="G12" s="4" t="s">
        <v>27</v>
      </c>
    </row>
    <row r="13">
      <c r="A13" s="4" t="s">
        <v>1754</v>
      </c>
      <c r="B13" s="4" t="s">
        <v>1755</v>
      </c>
      <c r="C13" s="6">
        <v>45845.0</v>
      </c>
      <c r="D13" s="4" t="s">
        <v>1756</v>
      </c>
      <c r="E13" s="4" t="s">
        <v>108</v>
      </c>
      <c r="F13" s="4" t="s">
        <v>27</v>
      </c>
      <c r="G13" s="4" t="s">
        <v>27</v>
      </c>
    </row>
    <row r="14">
      <c r="A14" s="4" t="s">
        <v>1757</v>
      </c>
      <c r="B14" s="4" t="s">
        <v>1758</v>
      </c>
      <c r="C14" s="6">
        <v>45846.0</v>
      </c>
      <c r="D14" s="4" t="s">
        <v>1759</v>
      </c>
      <c r="E14" s="4" t="s">
        <v>1723</v>
      </c>
      <c r="F14" s="4" t="s">
        <v>1724</v>
      </c>
      <c r="G14" s="4" t="s">
        <v>1725</v>
      </c>
    </row>
    <row r="15">
      <c r="A15" s="4" t="s">
        <v>1760</v>
      </c>
      <c r="B15" s="7" t="s">
        <v>1761</v>
      </c>
      <c r="C15" s="6">
        <v>45847.0</v>
      </c>
      <c r="D15" s="4" t="s">
        <v>1762</v>
      </c>
      <c r="E15" s="4" t="s">
        <v>1763</v>
      </c>
      <c r="G15" s="4"/>
      <c r="H15" s="4" t="s">
        <v>1764</v>
      </c>
    </row>
    <row r="16">
      <c r="A16" s="4" t="s">
        <v>1765</v>
      </c>
      <c r="B16" s="4" t="s">
        <v>1766</v>
      </c>
      <c r="C16" s="6">
        <v>45848.0</v>
      </c>
      <c r="D16" s="4" t="s">
        <v>1767</v>
      </c>
      <c r="E16" s="4" t="s">
        <v>1723</v>
      </c>
      <c r="F16" s="4" t="s">
        <v>1739</v>
      </c>
      <c r="G16" s="4" t="s">
        <v>1725</v>
      </c>
      <c r="H16" s="4" t="s">
        <v>1768</v>
      </c>
    </row>
    <row r="17">
      <c r="A17" s="4" t="s">
        <v>1769</v>
      </c>
      <c r="B17" s="4" t="s">
        <v>1770</v>
      </c>
      <c r="C17" s="6">
        <v>45848.0</v>
      </c>
      <c r="D17" s="4" t="s">
        <v>1771</v>
      </c>
      <c r="E17" s="4" t="s">
        <v>1723</v>
      </c>
      <c r="F17" s="4" t="s">
        <v>1730</v>
      </c>
      <c r="G17" s="4" t="s">
        <v>1772</v>
      </c>
      <c r="H17" s="4" t="s">
        <v>1773</v>
      </c>
    </row>
    <row r="18">
      <c r="A18" s="4" t="s">
        <v>1774</v>
      </c>
      <c r="B18" s="4" t="s">
        <v>1775</v>
      </c>
      <c r="C18" s="6">
        <v>45848.0</v>
      </c>
      <c r="D18" s="4" t="s">
        <v>1776</v>
      </c>
      <c r="E18" s="4" t="s">
        <v>1723</v>
      </c>
      <c r="F18" s="4" t="s">
        <v>1730</v>
      </c>
      <c r="G18" s="4" t="s">
        <v>1772</v>
      </c>
      <c r="H18" s="4" t="s">
        <v>1777</v>
      </c>
    </row>
    <row r="19">
      <c r="A19" s="4" t="s">
        <v>1778</v>
      </c>
      <c r="B19" s="4" t="s">
        <v>1779</v>
      </c>
      <c r="C19" s="6">
        <v>45848.0</v>
      </c>
      <c r="D19" s="4" t="s">
        <v>1780</v>
      </c>
      <c r="E19" s="4" t="s">
        <v>1723</v>
      </c>
      <c r="F19" s="4" t="s">
        <v>1739</v>
      </c>
      <c r="G19" s="4" t="s">
        <v>1746</v>
      </c>
    </row>
    <row r="20">
      <c r="A20" s="4" t="s">
        <v>1781</v>
      </c>
      <c r="B20" s="4" t="s">
        <v>1782</v>
      </c>
      <c r="C20" s="6">
        <v>45853.0</v>
      </c>
      <c r="D20" s="4" t="s">
        <v>1783</v>
      </c>
      <c r="E20" s="4" t="s">
        <v>1723</v>
      </c>
      <c r="F20" s="4" t="s">
        <v>27</v>
      </c>
      <c r="G20" s="4" t="s">
        <v>1784</v>
      </c>
    </row>
    <row r="21">
      <c r="A21" s="4" t="s">
        <v>1785</v>
      </c>
      <c r="B21" s="4" t="s">
        <v>1786</v>
      </c>
      <c r="C21" s="6">
        <v>45854.0</v>
      </c>
      <c r="D21" s="4" t="s">
        <v>1787</v>
      </c>
      <c r="E21" s="4" t="s">
        <v>1763</v>
      </c>
      <c r="F21" s="4" t="s">
        <v>1788</v>
      </c>
      <c r="G21" s="4" t="s">
        <v>1789</v>
      </c>
    </row>
    <row r="22">
      <c r="A22" s="4" t="s">
        <v>1790</v>
      </c>
      <c r="B22" s="4" t="s">
        <v>1791</v>
      </c>
      <c r="C22" s="6">
        <v>45855.0</v>
      </c>
      <c r="D22" s="4" t="s">
        <v>1792</v>
      </c>
      <c r="E22" s="4" t="s">
        <v>1723</v>
      </c>
      <c r="F22" s="4" t="s">
        <v>1739</v>
      </c>
      <c r="G22" s="4" t="s">
        <v>1793</v>
      </c>
    </row>
    <row r="23">
      <c r="A23" s="4" t="s">
        <v>1794</v>
      </c>
      <c r="B23" s="4" t="s">
        <v>1795</v>
      </c>
      <c r="C23" s="6">
        <v>45855.0</v>
      </c>
      <c r="D23" s="4" t="s">
        <v>1796</v>
      </c>
      <c r="E23" s="4" t="s">
        <v>1723</v>
      </c>
      <c r="F23" s="4" t="s">
        <v>1739</v>
      </c>
      <c r="G23" s="4" t="s">
        <v>1797</v>
      </c>
    </row>
    <row r="24">
      <c r="A24" s="4" t="s">
        <v>1798</v>
      </c>
      <c r="B24" s="4" t="s">
        <v>1799</v>
      </c>
      <c r="C24" s="6">
        <v>45855.0</v>
      </c>
      <c r="D24" s="4" t="s">
        <v>1800</v>
      </c>
      <c r="E24" s="4" t="s">
        <v>1723</v>
      </c>
      <c r="F24" s="4" t="s">
        <v>1739</v>
      </c>
      <c r="G24" s="4" t="s">
        <v>1797</v>
      </c>
    </row>
    <row r="25">
      <c r="A25" s="4" t="s">
        <v>1801</v>
      </c>
      <c r="B25" s="4" t="s">
        <v>1802</v>
      </c>
      <c r="C25" s="6">
        <v>45855.0</v>
      </c>
      <c r="D25" s="4" t="s">
        <v>1803</v>
      </c>
      <c r="E25" s="4" t="s">
        <v>1804</v>
      </c>
      <c r="F25" s="4" t="s">
        <v>1805</v>
      </c>
      <c r="G25" s="4" t="s">
        <v>1806</v>
      </c>
    </row>
    <row r="26">
      <c r="A26" s="4" t="s">
        <v>1807</v>
      </c>
      <c r="B26" s="4" t="s">
        <v>1808</v>
      </c>
      <c r="C26" s="6">
        <v>45859.0</v>
      </c>
      <c r="D26" s="4" t="s">
        <v>1809</v>
      </c>
      <c r="E26" s="4" t="s">
        <v>1810</v>
      </c>
      <c r="F26" s="4" t="s">
        <v>27</v>
      </c>
      <c r="G26" s="4" t="s">
        <v>27</v>
      </c>
    </row>
    <row r="27">
      <c r="A27" s="7" t="s">
        <v>1811</v>
      </c>
      <c r="B27" s="4" t="s">
        <v>1812</v>
      </c>
      <c r="C27" s="6">
        <v>45867.0</v>
      </c>
      <c r="D27" s="4" t="s">
        <v>1813</v>
      </c>
      <c r="E27" s="4" t="s">
        <v>1707</v>
      </c>
      <c r="F27" s="4" t="s">
        <v>1702</v>
      </c>
      <c r="G27" s="4" t="s">
        <v>1814</v>
      </c>
    </row>
    <row r="28">
      <c r="A28" s="4" t="s">
        <v>1815</v>
      </c>
      <c r="B28" s="4" t="s">
        <v>1816</v>
      </c>
      <c r="C28" s="6">
        <v>45868.0</v>
      </c>
      <c r="D28" s="4" t="s">
        <v>1817</v>
      </c>
      <c r="E28" s="4" t="s">
        <v>1723</v>
      </c>
      <c r="F28" s="4" t="s">
        <v>1739</v>
      </c>
      <c r="G28" s="4" t="s">
        <v>1818</v>
      </c>
    </row>
    <row r="29">
      <c r="A29" s="4" t="s">
        <v>1819</v>
      </c>
      <c r="B29" s="4" t="s">
        <v>1820</v>
      </c>
      <c r="C29" s="6">
        <v>45868.0</v>
      </c>
      <c r="D29" s="4" t="s">
        <v>1821</v>
      </c>
      <c r="E29" s="4" t="s">
        <v>1723</v>
      </c>
      <c r="F29" s="4" t="s">
        <v>1739</v>
      </c>
      <c r="G29" s="4" t="s">
        <v>1784</v>
      </c>
    </row>
    <row r="30">
      <c r="A30" s="4" t="s">
        <v>1822</v>
      </c>
      <c r="B30" s="4" t="s">
        <v>1823</v>
      </c>
      <c r="C30" s="6">
        <v>45870.0</v>
      </c>
      <c r="D30" s="4" t="s">
        <v>1824</v>
      </c>
      <c r="E30" s="4" t="s">
        <v>1825</v>
      </c>
      <c r="F30" s="4" t="s">
        <v>1826</v>
      </c>
      <c r="G30" s="4" t="s">
        <v>1827</v>
      </c>
    </row>
    <row r="31">
      <c r="A31" s="4" t="s">
        <v>1828</v>
      </c>
      <c r="B31" s="4" t="s">
        <v>1829</v>
      </c>
      <c r="C31" s="6">
        <v>45874.0</v>
      </c>
      <c r="D31" s="4" t="s">
        <v>1830</v>
      </c>
      <c r="E31" s="4" t="s">
        <v>1831</v>
      </c>
      <c r="F31" s="4" t="s">
        <v>1832</v>
      </c>
      <c r="G31" s="4" t="s">
        <v>1746</v>
      </c>
    </row>
    <row r="32">
      <c r="A32" s="4" t="s">
        <v>1833</v>
      </c>
      <c r="B32" s="4" t="s">
        <v>1834</v>
      </c>
      <c r="C32" s="6">
        <v>45874.0</v>
      </c>
      <c r="D32" s="4" t="s">
        <v>1835</v>
      </c>
      <c r="E32" s="4" t="s">
        <v>1723</v>
      </c>
      <c r="F32" s="4" t="s">
        <v>1739</v>
      </c>
      <c r="G32" s="4" t="s">
        <v>1797</v>
      </c>
    </row>
    <row r="33">
      <c r="A33" s="4" t="s">
        <v>1836</v>
      </c>
      <c r="B33" s="4" t="s">
        <v>1837</v>
      </c>
      <c r="C33" s="6">
        <v>45875.0</v>
      </c>
      <c r="D33" s="4" t="s">
        <v>1838</v>
      </c>
      <c r="E33" s="4" t="s">
        <v>1831</v>
      </c>
      <c r="F33" s="4" t="s">
        <v>1839</v>
      </c>
      <c r="G33" s="4" t="s">
        <v>1818</v>
      </c>
    </row>
    <row r="34">
      <c r="A34" s="4" t="s">
        <v>1840</v>
      </c>
      <c r="B34" s="4" t="s">
        <v>1841</v>
      </c>
      <c r="C34" s="6">
        <v>45878.0</v>
      </c>
      <c r="D34" s="4" t="s">
        <v>1842</v>
      </c>
      <c r="E34" s="4" t="s">
        <v>108</v>
      </c>
      <c r="F34" s="4" t="s">
        <v>27</v>
      </c>
      <c r="G34" s="4" t="s">
        <v>27</v>
      </c>
    </row>
    <row r="35">
      <c r="A35" s="4" t="s">
        <v>1843</v>
      </c>
      <c r="B35" s="4" t="s">
        <v>1844</v>
      </c>
      <c r="C35" s="17">
        <v>45945.0</v>
      </c>
      <c r="D35" s="4" t="s">
        <v>1845</v>
      </c>
      <c r="E35" s="4" t="s">
        <v>1846</v>
      </c>
      <c r="F35" s="4" t="s">
        <v>1702</v>
      </c>
      <c r="G35" s="4" t="s">
        <v>1847</v>
      </c>
    </row>
    <row r="36">
      <c r="A36" s="4" t="s">
        <v>1848</v>
      </c>
      <c r="B36" s="4" t="s">
        <v>1849</v>
      </c>
      <c r="C36" s="17">
        <v>45988.0</v>
      </c>
      <c r="D36" s="4" t="s">
        <v>1850</v>
      </c>
      <c r="E36" s="4" t="s">
        <v>1723</v>
      </c>
      <c r="F36" s="4" t="s">
        <v>1805</v>
      </c>
      <c r="G36" s="4" t="s">
        <v>1851</v>
      </c>
    </row>
    <row r="37">
      <c r="A37" s="4" t="s">
        <v>1852</v>
      </c>
      <c r="B37" s="4" t="s">
        <v>1853</v>
      </c>
      <c r="C37" s="17">
        <v>46014.0</v>
      </c>
      <c r="D37" s="4" t="s">
        <v>1854</v>
      </c>
      <c r="E37" s="4" t="s">
        <v>1855</v>
      </c>
      <c r="F37" s="4" t="s">
        <v>27</v>
      </c>
    </row>
    <row r="38">
      <c r="A38" s="4" t="s">
        <v>1856</v>
      </c>
      <c r="B38" s="4" t="s">
        <v>1857</v>
      </c>
      <c r="C38" s="17">
        <v>46017.0</v>
      </c>
      <c r="D38" s="4" t="s">
        <v>1858</v>
      </c>
      <c r="E38" s="4" t="s">
        <v>1707</v>
      </c>
      <c r="F38" s="4" t="s">
        <v>1702</v>
      </c>
    </row>
    <row r="39">
      <c r="A39" s="4" t="s">
        <v>1859</v>
      </c>
      <c r="B39" s="4" t="s">
        <v>1860</v>
      </c>
      <c r="C39" s="6">
        <v>46025.0</v>
      </c>
      <c r="D39" s="4" t="s">
        <v>1861</v>
      </c>
      <c r="E39" s="4" t="s">
        <v>1862</v>
      </c>
      <c r="F39" s="4" t="s">
        <v>1702</v>
      </c>
    </row>
    <row r="40">
      <c r="A40" s="4" t="s">
        <v>1863</v>
      </c>
      <c r="B40" s="4" t="s">
        <v>1864</v>
      </c>
      <c r="C40" s="6">
        <v>46061.0</v>
      </c>
      <c r="D40" s="4" t="s">
        <v>1865</v>
      </c>
      <c r="E40" s="4" t="s">
        <v>1701</v>
      </c>
      <c r="F40" s="4" t="s">
        <v>1866</v>
      </c>
      <c r="G40" s="4" t="s">
        <v>27</v>
      </c>
    </row>
    <row r="41">
      <c r="A41" s="4" t="s">
        <v>1867</v>
      </c>
      <c r="B41" s="4" t="s">
        <v>1868</v>
      </c>
      <c r="C41" s="6">
        <v>46076.0</v>
      </c>
      <c r="D41" s="4" t="s">
        <v>1869</v>
      </c>
      <c r="E41" s="4" t="s">
        <v>1855</v>
      </c>
      <c r="F41" s="4" t="s">
        <v>1870</v>
      </c>
    </row>
    <row r="42">
      <c r="A42" s="4" t="s">
        <v>1871</v>
      </c>
      <c r="B42" s="4" t="s">
        <v>1872</v>
      </c>
      <c r="C42" s="6">
        <v>46076.0</v>
      </c>
      <c r="D42" s="4" t="s">
        <v>1873</v>
      </c>
      <c r="E42" s="4" t="s">
        <v>1855</v>
      </c>
      <c r="F42" s="4" t="s">
        <v>1870</v>
      </c>
    </row>
    <row r="43">
      <c r="A43" s="4" t="s">
        <v>1874</v>
      </c>
      <c r="B43" s="4" t="s">
        <v>1875</v>
      </c>
      <c r="C43" s="6">
        <v>46076.0</v>
      </c>
      <c r="D43" s="4" t="s">
        <v>1876</v>
      </c>
      <c r="E43" s="4" t="s">
        <v>1855</v>
      </c>
      <c r="F43" s="4" t="s">
        <v>1877</v>
      </c>
    </row>
    <row r="44">
      <c r="A44" s="4" t="s">
        <v>1878</v>
      </c>
      <c r="B44" s="4" t="s">
        <v>1879</v>
      </c>
      <c r="C44" s="6">
        <v>46076.0</v>
      </c>
      <c r="D44" s="4" t="s">
        <v>1880</v>
      </c>
      <c r="E44" s="4" t="s">
        <v>1855</v>
      </c>
      <c r="F44" s="4" t="s">
        <v>1877</v>
      </c>
    </row>
    <row r="45">
      <c r="A45" s="4" t="s">
        <v>1881</v>
      </c>
      <c r="B45" s="4" t="s">
        <v>1882</v>
      </c>
      <c r="C45" s="6">
        <v>46093.0</v>
      </c>
      <c r="D45" s="4" t="s">
        <v>1882</v>
      </c>
      <c r="E45" s="4" t="s">
        <v>1701</v>
      </c>
      <c r="F45" s="4" t="s">
        <v>1883</v>
      </c>
    </row>
    <row r="46">
      <c r="A46" s="4" t="s">
        <v>1884</v>
      </c>
      <c r="B46" s="4" t="s">
        <v>1885</v>
      </c>
      <c r="C46" s="6">
        <v>46104.0</v>
      </c>
      <c r="D46" s="4" t="s">
        <v>1886</v>
      </c>
      <c r="E46" s="4" t="s">
        <v>1707</v>
      </c>
      <c r="F46" s="4" t="s">
        <v>1887</v>
      </c>
    </row>
    <row r="47">
      <c r="A47" s="4" t="s">
        <v>1888</v>
      </c>
      <c r="B47" s="4" t="s">
        <v>1889</v>
      </c>
      <c r="C47" s="6">
        <v>46122.0</v>
      </c>
      <c r="D47" s="4" t="s">
        <v>1890</v>
      </c>
      <c r="E47" s="4" t="s">
        <v>1701</v>
      </c>
      <c r="F47" s="4" t="s">
        <v>1891</v>
      </c>
    </row>
    <row r="48">
      <c r="A48" s="4" t="s">
        <v>1892</v>
      </c>
      <c r="B48" s="4" t="s">
        <v>1893</v>
      </c>
      <c r="C48" s="6">
        <v>46130.0</v>
      </c>
      <c r="D48" s="4" t="s">
        <v>1894</v>
      </c>
      <c r="E48" s="4" t="s">
        <v>1895</v>
      </c>
      <c r="F48" s="4" t="s">
        <v>1739</v>
      </c>
      <c r="G48" s="4" t="s">
        <v>110</v>
      </c>
    </row>
    <row r="49">
      <c r="A49" s="4" t="s">
        <v>1896</v>
      </c>
      <c r="B49" s="4" t="s">
        <v>1897</v>
      </c>
      <c r="C49" s="6">
        <v>46130.0</v>
      </c>
      <c r="D49" s="4" t="s">
        <v>1898</v>
      </c>
      <c r="E49" s="4" t="s">
        <v>1895</v>
      </c>
      <c r="F49" s="4" t="s">
        <v>1739</v>
      </c>
    </row>
    <row r="50">
      <c r="A50" s="4" t="s">
        <v>1899</v>
      </c>
      <c r="B50" s="4" t="s">
        <v>1900</v>
      </c>
      <c r="C50" s="6">
        <v>46132.0</v>
      </c>
      <c r="D50" s="4" t="s">
        <v>1901</v>
      </c>
      <c r="E50" s="4" t="s">
        <v>1895</v>
      </c>
      <c r="F50" s="4" t="s">
        <v>1739</v>
      </c>
    </row>
  </sheetData>
  <autoFilter ref="$A$1:$H$1000"/>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5" width="37.38"/>
    <col customWidth="1" min="6" max="6" width="33.75"/>
    <col customWidth="1" min="7" max="7" width="16.5"/>
    <col customWidth="1" min="9" max="9" width="14.0"/>
    <col customWidth="1" min="11" max="11" width="29.75"/>
    <col customWidth="1" min="12" max="12" width="52.88"/>
  </cols>
  <sheetData>
    <row r="1">
      <c r="A1" s="4" t="s">
        <v>1902</v>
      </c>
      <c r="B1" s="4" t="s">
        <v>1690</v>
      </c>
      <c r="C1" s="4" t="s">
        <v>1903</v>
      </c>
      <c r="D1" s="4" t="s">
        <v>1904</v>
      </c>
      <c r="E1" s="4" t="s">
        <v>1905</v>
      </c>
      <c r="F1" s="4" t="s">
        <v>1906</v>
      </c>
      <c r="G1" s="4" t="s">
        <v>1907</v>
      </c>
      <c r="H1" s="4" t="s">
        <v>1908</v>
      </c>
      <c r="I1" s="4" t="s">
        <v>1909</v>
      </c>
      <c r="J1" s="4" t="s">
        <v>1910</v>
      </c>
      <c r="K1" s="4" t="s">
        <v>1911</v>
      </c>
      <c r="L1" s="4" t="s">
        <v>1696</v>
      </c>
    </row>
    <row r="2">
      <c r="A2" s="4" t="s">
        <v>1912</v>
      </c>
      <c r="B2" s="4" t="s">
        <v>1698</v>
      </c>
      <c r="C2" s="4"/>
      <c r="D2" s="4"/>
      <c r="E2" s="4" t="s">
        <v>1913</v>
      </c>
      <c r="F2" s="4" t="s">
        <v>1913</v>
      </c>
      <c r="G2" s="4" t="s">
        <v>27</v>
      </c>
      <c r="I2" s="4" t="s">
        <v>1914</v>
      </c>
      <c r="J2" s="6">
        <v>45811.0</v>
      </c>
      <c r="K2" s="4" t="s">
        <v>1915</v>
      </c>
      <c r="L2" s="4" t="s">
        <v>1703</v>
      </c>
    </row>
    <row r="3">
      <c r="A3" s="4" t="s">
        <v>1916</v>
      </c>
      <c r="B3" s="4" t="s">
        <v>1704</v>
      </c>
      <c r="C3" s="4"/>
      <c r="D3" s="4"/>
      <c r="E3" s="4" t="s">
        <v>1917</v>
      </c>
      <c r="F3" s="4" t="s">
        <v>1917</v>
      </c>
      <c r="G3" s="4" t="s">
        <v>27</v>
      </c>
      <c r="I3" s="4" t="s">
        <v>1918</v>
      </c>
      <c r="J3" s="6">
        <v>45813.0</v>
      </c>
      <c r="K3" s="4" t="s">
        <v>1919</v>
      </c>
      <c r="L3" s="4" t="s">
        <v>1725</v>
      </c>
    </row>
    <row r="4">
      <c r="A4" s="4" t="s">
        <v>1920</v>
      </c>
      <c r="B4" s="4" t="s">
        <v>1710</v>
      </c>
      <c r="C4" s="4"/>
      <c r="D4" s="4"/>
      <c r="E4" s="4" t="s">
        <v>1921</v>
      </c>
      <c r="F4" s="4" t="s">
        <v>1921</v>
      </c>
      <c r="G4" s="4" t="s">
        <v>27</v>
      </c>
      <c r="I4" s="4" t="s">
        <v>1712</v>
      </c>
      <c r="J4" s="6">
        <v>45813.0</v>
      </c>
      <c r="K4" s="4" t="s">
        <v>1922</v>
      </c>
      <c r="L4" s="4" t="s">
        <v>1715</v>
      </c>
    </row>
    <row r="5">
      <c r="A5" s="4"/>
      <c r="B5" s="4"/>
      <c r="C5" s="4"/>
      <c r="D5" s="4"/>
      <c r="E5" s="4"/>
      <c r="F5" s="4"/>
      <c r="G5" s="4"/>
      <c r="I5" s="4"/>
      <c r="J5" s="6"/>
      <c r="K5" s="4"/>
    </row>
    <row r="6">
      <c r="A6" s="4" t="s">
        <v>1923</v>
      </c>
      <c r="B6" s="4" t="s">
        <v>1716</v>
      </c>
      <c r="C6" s="4"/>
      <c r="D6" s="4"/>
      <c r="E6" s="4" t="s">
        <v>1924</v>
      </c>
      <c r="F6" s="4" t="s">
        <v>1924</v>
      </c>
      <c r="G6" s="4" t="s">
        <v>27</v>
      </c>
      <c r="I6" s="4" t="s">
        <v>1925</v>
      </c>
      <c r="J6" s="6">
        <v>45821.0</v>
      </c>
      <c r="K6" s="4" t="s">
        <v>1926</v>
      </c>
      <c r="L6" s="4" t="s">
        <v>1719</v>
      </c>
    </row>
    <row r="7">
      <c r="A7" s="4" t="s">
        <v>1927</v>
      </c>
      <c r="B7" s="4" t="s">
        <v>1720</v>
      </c>
      <c r="C7" s="4"/>
      <c r="D7" s="4"/>
      <c r="E7" s="4" t="s">
        <v>1928</v>
      </c>
      <c r="F7" s="4" t="s">
        <v>1928</v>
      </c>
      <c r="G7" s="4" t="s">
        <v>27</v>
      </c>
      <c r="I7" s="4" t="s">
        <v>1722</v>
      </c>
      <c r="J7" s="6">
        <v>45842.0</v>
      </c>
      <c r="K7" s="4" t="s">
        <v>1929</v>
      </c>
      <c r="L7" s="4" t="s">
        <v>1725</v>
      </c>
    </row>
    <row r="8">
      <c r="A8" s="4" t="s">
        <v>1930</v>
      </c>
      <c r="B8" s="4" t="s">
        <v>1727</v>
      </c>
      <c r="C8" s="4"/>
      <c r="D8" s="4"/>
      <c r="E8" s="4" t="s">
        <v>1931</v>
      </c>
      <c r="F8" s="4" t="s">
        <v>1931</v>
      </c>
      <c r="G8" s="4" t="s">
        <v>27</v>
      </c>
      <c r="I8" s="4" t="s">
        <v>1729</v>
      </c>
      <c r="J8" s="6">
        <v>45842.0</v>
      </c>
      <c r="K8" s="4" t="s">
        <v>1932</v>
      </c>
      <c r="L8" s="4" t="s">
        <v>1725</v>
      </c>
    </row>
    <row r="9">
      <c r="A9" s="4" t="s">
        <v>1933</v>
      </c>
      <c r="B9" s="4" t="s">
        <v>1732</v>
      </c>
      <c r="C9" s="4"/>
      <c r="D9" s="4"/>
      <c r="E9" s="4" t="s">
        <v>1934</v>
      </c>
      <c r="F9" s="4" t="s">
        <v>1934</v>
      </c>
      <c r="G9" s="4" t="s">
        <v>27</v>
      </c>
      <c r="I9" s="4" t="s">
        <v>1734</v>
      </c>
      <c r="J9" s="6">
        <v>45842.0</v>
      </c>
      <c r="K9" s="4" t="s">
        <v>1935</v>
      </c>
      <c r="L9" s="4" t="s">
        <v>1725</v>
      </c>
    </row>
    <row r="10">
      <c r="A10" s="4" t="s">
        <v>1936</v>
      </c>
      <c r="B10" s="4" t="s">
        <v>1736</v>
      </c>
      <c r="C10" s="4"/>
      <c r="D10" s="4"/>
      <c r="E10" s="4" t="s">
        <v>1937</v>
      </c>
      <c r="F10" s="4" t="s">
        <v>1937</v>
      </c>
      <c r="G10" s="4" t="s">
        <v>27</v>
      </c>
      <c r="I10" s="4" t="s">
        <v>1738</v>
      </c>
      <c r="J10" s="6">
        <v>45842.0</v>
      </c>
      <c r="K10" s="4" t="s">
        <v>1938</v>
      </c>
      <c r="L10" s="4" t="s">
        <v>1740</v>
      </c>
    </row>
    <row r="11">
      <c r="A11" s="4" t="s">
        <v>1939</v>
      </c>
      <c r="B11" s="4" t="s">
        <v>1742</v>
      </c>
      <c r="C11" s="4"/>
      <c r="D11" s="4"/>
      <c r="E11" s="4" t="s">
        <v>1940</v>
      </c>
      <c r="F11" s="4" t="s">
        <v>1940</v>
      </c>
      <c r="G11" s="4" t="s">
        <v>27</v>
      </c>
      <c r="J11" s="6">
        <v>45842.0</v>
      </c>
      <c r="K11" s="4" t="s">
        <v>1941</v>
      </c>
      <c r="L11" s="4" t="s">
        <v>1746</v>
      </c>
    </row>
    <row r="12">
      <c r="A12" s="4" t="s">
        <v>1942</v>
      </c>
      <c r="B12" s="4" t="s">
        <v>1748</v>
      </c>
      <c r="C12" s="4"/>
      <c r="D12" s="4"/>
      <c r="E12" s="4" t="s">
        <v>1943</v>
      </c>
      <c r="F12" s="4" t="s">
        <v>1943</v>
      </c>
      <c r="G12" s="4" t="s">
        <v>27</v>
      </c>
      <c r="I12" s="4" t="s">
        <v>1944</v>
      </c>
      <c r="J12" s="6">
        <v>45845.0</v>
      </c>
      <c r="K12" s="4" t="s">
        <v>1945</v>
      </c>
      <c r="L12" s="4" t="s">
        <v>27</v>
      </c>
    </row>
    <row r="13">
      <c r="A13" s="4" t="s">
        <v>1946</v>
      </c>
      <c r="B13" s="4" t="s">
        <v>1751</v>
      </c>
      <c r="C13" s="4"/>
      <c r="D13" s="4"/>
      <c r="E13" s="4" t="s">
        <v>1947</v>
      </c>
      <c r="F13" s="4" t="s">
        <v>1947</v>
      </c>
      <c r="G13" s="4" t="s">
        <v>27</v>
      </c>
      <c r="I13" s="4" t="s">
        <v>1948</v>
      </c>
      <c r="J13" s="6">
        <v>45845.0</v>
      </c>
      <c r="K13" s="4" t="s">
        <v>1949</v>
      </c>
      <c r="L13" s="4" t="s">
        <v>27</v>
      </c>
    </row>
    <row r="14">
      <c r="A14" s="4" t="s">
        <v>1950</v>
      </c>
      <c r="B14" s="4" t="s">
        <v>1754</v>
      </c>
      <c r="C14" s="4"/>
      <c r="D14" s="4"/>
      <c r="E14" s="4" t="s">
        <v>1951</v>
      </c>
      <c r="F14" s="4" t="s">
        <v>1951</v>
      </c>
      <c r="G14" s="4" t="s">
        <v>27</v>
      </c>
      <c r="I14" s="4" t="s">
        <v>1952</v>
      </c>
      <c r="J14" s="6">
        <v>45845.0</v>
      </c>
      <c r="K14" s="4" t="s">
        <v>1953</v>
      </c>
      <c r="L14" s="4" t="s">
        <v>27</v>
      </c>
    </row>
    <row r="15">
      <c r="A15" s="4" t="s">
        <v>1954</v>
      </c>
      <c r="B15" s="4" t="s">
        <v>1757</v>
      </c>
      <c r="C15" s="4"/>
      <c r="D15" s="4"/>
      <c r="E15" s="4" t="s">
        <v>1955</v>
      </c>
      <c r="F15" s="4" t="s">
        <v>1955</v>
      </c>
      <c r="G15" s="4" t="s">
        <v>27</v>
      </c>
      <c r="I15" s="4" t="s">
        <v>1956</v>
      </c>
      <c r="J15" s="6">
        <v>45846.0</v>
      </c>
      <c r="K15" s="4" t="s">
        <v>1957</v>
      </c>
      <c r="L15" s="4" t="s">
        <v>1725</v>
      </c>
    </row>
    <row r="16">
      <c r="A16" s="4" t="s">
        <v>1958</v>
      </c>
      <c r="B16" s="4" t="s">
        <v>1704</v>
      </c>
      <c r="C16" s="4"/>
      <c r="D16" s="4"/>
      <c r="E16" s="4" t="s">
        <v>1959</v>
      </c>
      <c r="F16" s="4" t="s">
        <v>1959</v>
      </c>
      <c r="G16" s="4" t="s">
        <v>27</v>
      </c>
      <c r="I16" s="4" t="s">
        <v>1960</v>
      </c>
      <c r="J16" s="6">
        <v>45847.0</v>
      </c>
      <c r="K16" s="4" t="s">
        <v>1961</v>
      </c>
      <c r="L16" s="4" t="s">
        <v>1709</v>
      </c>
    </row>
    <row r="17">
      <c r="A17" s="4" t="s">
        <v>1962</v>
      </c>
      <c r="B17" s="4" t="s">
        <v>1760</v>
      </c>
      <c r="C17" s="4"/>
      <c r="D17" s="4"/>
      <c r="E17" s="4" t="s">
        <v>1963</v>
      </c>
      <c r="F17" s="4" t="s">
        <v>1963</v>
      </c>
      <c r="G17" s="4" t="s">
        <v>27</v>
      </c>
      <c r="I17" s="4" t="s">
        <v>1762</v>
      </c>
      <c r="J17" s="6">
        <v>45847.0</v>
      </c>
      <c r="K17" s="4" t="s">
        <v>1964</v>
      </c>
      <c r="L17" s="4"/>
    </row>
    <row r="18">
      <c r="A18" s="4" t="s">
        <v>1965</v>
      </c>
      <c r="B18" s="4" t="s">
        <v>1765</v>
      </c>
      <c r="C18" s="4"/>
      <c r="D18" s="4"/>
      <c r="E18" s="4" t="s">
        <v>1966</v>
      </c>
      <c r="F18" s="4" t="s">
        <v>1966</v>
      </c>
      <c r="G18" s="4" t="s">
        <v>27</v>
      </c>
      <c r="I18" s="4" t="s">
        <v>1767</v>
      </c>
      <c r="J18" s="18">
        <v>45848.0</v>
      </c>
      <c r="K18" s="4" t="s">
        <v>1967</v>
      </c>
      <c r="L18" s="4" t="s">
        <v>1725</v>
      </c>
    </row>
    <row r="19">
      <c r="A19" s="4" t="s">
        <v>1968</v>
      </c>
      <c r="B19" s="4" t="s">
        <v>1769</v>
      </c>
      <c r="C19" s="4"/>
      <c r="D19" s="4"/>
      <c r="E19" s="4" t="s">
        <v>1969</v>
      </c>
      <c r="F19" s="4" t="s">
        <v>1969</v>
      </c>
      <c r="G19" s="4" t="s">
        <v>27</v>
      </c>
      <c r="I19" s="4" t="s">
        <v>1771</v>
      </c>
      <c r="J19" s="18">
        <v>45848.0</v>
      </c>
      <c r="K19" s="4" t="s">
        <v>1970</v>
      </c>
      <c r="L19" s="4" t="s">
        <v>1772</v>
      </c>
    </row>
    <row r="20">
      <c r="A20" s="4" t="s">
        <v>1971</v>
      </c>
      <c r="B20" s="4" t="s">
        <v>1774</v>
      </c>
      <c r="C20" s="4"/>
      <c r="D20" s="4"/>
      <c r="E20" s="4" t="s">
        <v>1972</v>
      </c>
      <c r="F20" s="4" t="s">
        <v>1972</v>
      </c>
      <c r="G20" s="4" t="s">
        <v>27</v>
      </c>
      <c r="I20" s="4" t="s">
        <v>1973</v>
      </c>
      <c r="J20" s="18">
        <v>45848.0</v>
      </c>
      <c r="K20" s="4" t="s">
        <v>1974</v>
      </c>
      <c r="L20" s="4" t="s">
        <v>1772</v>
      </c>
    </row>
    <row r="21">
      <c r="A21" s="4" t="s">
        <v>1975</v>
      </c>
      <c r="B21" s="4" t="s">
        <v>1778</v>
      </c>
      <c r="C21" s="4"/>
      <c r="D21" s="4"/>
      <c r="E21" s="4" t="s">
        <v>1976</v>
      </c>
      <c r="F21" s="4" t="s">
        <v>1976</v>
      </c>
      <c r="G21" s="4" t="s">
        <v>27</v>
      </c>
      <c r="I21" s="4" t="s">
        <v>1977</v>
      </c>
      <c r="J21" s="18">
        <v>45848.0</v>
      </c>
      <c r="K21" s="4" t="s">
        <v>1978</v>
      </c>
      <c r="L21" s="4" t="s">
        <v>1746</v>
      </c>
    </row>
    <row r="22">
      <c r="A22" s="4" t="s">
        <v>1979</v>
      </c>
      <c r="B22" s="4" t="s">
        <v>1781</v>
      </c>
      <c r="C22" s="4"/>
      <c r="D22" s="4"/>
      <c r="E22" s="4" t="s">
        <v>1980</v>
      </c>
      <c r="F22" s="4" t="s">
        <v>1980</v>
      </c>
      <c r="G22" s="4" t="s">
        <v>27</v>
      </c>
      <c r="I22" s="4" t="s">
        <v>1783</v>
      </c>
      <c r="J22" s="6">
        <v>45853.0</v>
      </c>
      <c r="K22" s="4" t="s">
        <v>1981</v>
      </c>
      <c r="L22" s="4" t="s">
        <v>1784</v>
      </c>
    </row>
    <row r="23">
      <c r="A23" s="4" t="s">
        <v>1982</v>
      </c>
      <c r="B23" s="4" t="s">
        <v>1785</v>
      </c>
      <c r="C23" s="4"/>
      <c r="D23" s="4"/>
      <c r="E23" s="4" t="s">
        <v>1983</v>
      </c>
      <c r="F23" s="4" t="s">
        <v>1983</v>
      </c>
      <c r="G23" s="4" t="s">
        <v>110</v>
      </c>
      <c r="I23" s="4" t="s">
        <v>1984</v>
      </c>
      <c r="J23" s="6">
        <v>45854.0</v>
      </c>
      <c r="K23" s="4" t="s">
        <v>1985</v>
      </c>
      <c r="L23" s="4" t="s">
        <v>1789</v>
      </c>
    </row>
    <row r="24">
      <c r="A24" s="4" t="s">
        <v>1986</v>
      </c>
      <c r="B24" s="4" t="s">
        <v>1790</v>
      </c>
      <c r="C24" s="4" t="s">
        <v>1987</v>
      </c>
      <c r="E24" s="4" t="s">
        <v>1988</v>
      </c>
      <c r="F24" s="4" t="s">
        <v>1988</v>
      </c>
      <c r="G24" s="4" t="s">
        <v>27</v>
      </c>
      <c r="I24" s="4" t="s">
        <v>1792</v>
      </c>
      <c r="J24" s="6">
        <v>45855.0</v>
      </c>
      <c r="K24" s="4" t="s">
        <v>1989</v>
      </c>
      <c r="L24" s="4" t="s">
        <v>1793</v>
      </c>
    </row>
    <row r="25">
      <c r="A25" s="4" t="s">
        <v>1990</v>
      </c>
      <c r="B25" s="4" t="s">
        <v>1794</v>
      </c>
      <c r="C25" s="4" t="s">
        <v>1991</v>
      </c>
      <c r="D25" s="5" t="s">
        <v>1992</v>
      </c>
      <c r="G25" s="4" t="s">
        <v>1993</v>
      </c>
      <c r="I25" s="4" t="s">
        <v>1796</v>
      </c>
      <c r="J25" s="6">
        <v>45855.0</v>
      </c>
      <c r="K25" s="4" t="s">
        <v>1994</v>
      </c>
      <c r="L25" s="4" t="s">
        <v>1797</v>
      </c>
    </row>
    <row r="26">
      <c r="A26" s="4" t="s">
        <v>1995</v>
      </c>
      <c r="B26" s="4" t="s">
        <v>1798</v>
      </c>
      <c r="C26" s="4" t="s">
        <v>1987</v>
      </c>
      <c r="E26" s="4" t="s">
        <v>1996</v>
      </c>
      <c r="F26" s="4" t="s">
        <v>1996</v>
      </c>
      <c r="G26" s="4" t="s">
        <v>27</v>
      </c>
      <c r="I26" s="4" t="s">
        <v>1800</v>
      </c>
      <c r="J26" s="6">
        <v>45855.0</v>
      </c>
      <c r="K26" s="4" t="s">
        <v>1997</v>
      </c>
      <c r="L26" s="4" t="s">
        <v>1797</v>
      </c>
    </row>
    <row r="27">
      <c r="A27" s="4" t="s">
        <v>1998</v>
      </c>
      <c r="B27" s="4" t="s">
        <v>1801</v>
      </c>
      <c r="C27" s="4" t="s">
        <v>1987</v>
      </c>
      <c r="E27" s="4" t="s">
        <v>1999</v>
      </c>
      <c r="F27" s="4" t="s">
        <v>1999</v>
      </c>
      <c r="G27" s="4" t="s">
        <v>27</v>
      </c>
      <c r="I27" s="4" t="s">
        <v>2000</v>
      </c>
      <c r="J27" s="6">
        <v>45855.0</v>
      </c>
      <c r="K27" s="4" t="s">
        <v>2001</v>
      </c>
      <c r="L27" s="4" t="s">
        <v>1806</v>
      </c>
    </row>
    <row r="28">
      <c r="A28" s="4" t="s">
        <v>2002</v>
      </c>
      <c r="B28" s="4" t="s">
        <v>1807</v>
      </c>
      <c r="C28" s="4" t="s">
        <v>1987</v>
      </c>
      <c r="E28" s="4" t="s">
        <v>2003</v>
      </c>
      <c r="F28" s="4" t="s">
        <v>2003</v>
      </c>
      <c r="G28" s="4" t="s">
        <v>27</v>
      </c>
      <c r="I28" s="4" t="s">
        <v>1809</v>
      </c>
      <c r="J28" s="6">
        <v>45859.0</v>
      </c>
      <c r="K28" s="4" t="s">
        <v>2004</v>
      </c>
      <c r="L28" s="4" t="s">
        <v>27</v>
      </c>
    </row>
    <row r="29">
      <c r="A29" s="4" t="s">
        <v>2005</v>
      </c>
      <c r="B29" s="7" t="s">
        <v>1811</v>
      </c>
      <c r="C29" s="4" t="s">
        <v>1987</v>
      </c>
      <c r="E29" s="4" t="s">
        <v>2006</v>
      </c>
      <c r="F29" s="4" t="s">
        <v>2006</v>
      </c>
      <c r="G29" s="4" t="s">
        <v>27</v>
      </c>
      <c r="I29" s="4" t="s">
        <v>2007</v>
      </c>
      <c r="J29" s="6">
        <v>45867.0</v>
      </c>
      <c r="K29" s="4" t="s">
        <v>2008</v>
      </c>
      <c r="L29" s="4" t="s">
        <v>1814</v>
      </c>
    </row>
    <row r="30">
      <c r="A30" s="4" t="s">
        <v>2009</v>
      </c>
      <c r="B30" s="4" t="s">
        <v>1815</v>
      </c>
      <c r="C30" s="4" t="s">
        <v>1987</v>
      </c>
      <c r="E30" s="4" t="s">
        <v>2010</v>
      </c>
      <c r="F30" s="4" t="s">
        <v>2010</v>
      </c>
      <c r="G30" s="4" t="s">
        <v>27</v>
      </c>
      <c r="I30" s="4" t="s">
        <v>2011</v>
      </c>
      <c r="J30" s="6">
        <v>45868.0</v>
      </c>
      <c r="K30" s="4" t="s">
        <v>2012</v>
      </c>
      <c r="L30" s="4" t="s">
        <v>1818</v>
      </c>
    </row>
    <row r="31">
      <c r="A31" s="4" t="s">
        <v>2013</v>
      </c>
      <c r="B31" s="4" t="s">
        <v>1819</v>
      </c>
      <c r="C31" s="4" t="s">
        <v>1987</v>
      </c>
      <c r="E31" s="4" t="s">
        <v>2014</v>
      </c>
      <c r="F31" s="4" t="s">
        <v>2014</v>
      </c>
      <c r="G31" s="4" t="s">
        <v>27</v>
      </c>
      <c r="I31" s="4" t="s">
        <v>1821</v>
      </c>
      <c r="J31" s="6">
        <v>45868.0</v>
      </c>
      <c r="K31" s="4" t="s">
        <v>2015</v>
      </c>
      <c r="L31" s="4" t="s">
        <v>1784</v>
      </c>
    </row>
    <row r="32">
      <c r="A32" s="4" t="s">
        <v>2016</v>
      </c>
      <c r="B32" s="4" t="s">
        <v>1822</v>
      </c>
      <c r="C32" s="4" t="s">
        <v>1987</v>
      </c>
      <c r="E32" s="4" t="s">
        <v>2017</v>
      </c>
      <c r="F32" s="4" t="s">
        <v>2017</v>
      </c>
      <c r="G32" s="4" t="s">
        <v>27</v>
      </c>
      <c r="I32" s="4" t="s">
        <v>1824</v>
      </c>
      <c r="J32" s="6">
        <v>45870.0</v>
      </c>
      <c r="K32" s="4" t="s">
        <v>2018</v>
      </c>
      <c r="L32" s="4" t="s">
        <v>1827</v>
      </c>
    </row>
    <row r="33">
      <c r="A33" s="4" t="s">
        <v>2019</v>
      </c>
      <c r="B33" s="4" t="s">
        <v>1828</v>
      </c>
      <c r="C33" s="4" t="s">
        <v>1987</v>
      </c>
      <c r="E33" s="4" t="s">
        <v>2020</v>
      </c>
      <c r="F33" s="4" t="s">
        <v>2020</v>
      </c>
      <c r="G33" s="4" t="s">
        <v>27</v>
      </c>
      <c r="I33" s="4" t="s">
        <v>1830</v>
      </c>
      <c r="J33" s="6">
        <v>45874.0</v>
      </c>
      <c r="K33" s="4" t="s">
        <v>2021</v>
      </c>
      <c r="L33" s="4" t="s">
        <v>1746</v>
      </c>
    </row>
    <row r="34">
      <c r="A34" s="4" t="s">
        <v>2022</v>
      </c>
      <c r="B34" s="4" t="s">
        <v>1833</v>
      </c>
      <c r="C34" s="4" t="s">
        <v>1987</v>
      </c>
      <c r="E34" s="4" t="s">
        <v>2023</v>
      </c>
      <c r="F34" s="4" t="s">
        <v>2023</v>
      </c>
      <c r="G34" s="4" t="s">
        <v>27</v>
      </c>
      <c r="I34" s="4" t="s">
        <v>2024</v>
      </c>
      <c r="J34" s="6">
        <v>45874.0</v>
      </c>
      <c r="K34" s="4" t="s">
        <v>2025</v>
      </c>
      <c r="L34" s="4" t="s">
        <v>1797</v>
      </c>
    </row>
    <row r="35">
      <c r="A35" s="4" t="s">
        <v>2026</v>
      </c>
      <c r="B35" s="4" t="s">
        <v>1836</v>
      </c>
      <c r="C35" s="4" t="s">
        <v>1987</v>
      </c>
      <c r="E35" s="4" t="s">
        <v>2027</v>
      </c>
      <c r="F35" s="4" t="s">
        <v>2027</v>
      </c>
      <c r="G35" s="4" t="s">
        <v>27</v>
      </c>
      <c r="I35" s="4" t="s">
        <v>1838</v>
      </c>
      <c r="J35" s="6">
        <v>45875.0</v>
      </c>
      <c r="K35" s="4" t="s">
        <v>2028</v>
      </c>
      <c r="L35" s="4" t="s">
        <v>1818</v>
      </c>
    </row>
    <row r="36">
      <c r="A36" s="4" t="s">
        <v>2029</v>
      </c>
      <c r="B36" s="4" t="s">
        <v>1840</v>
      </c>
      <c r="C36" s="4" t="s">
        <v>1987</v>
      </c>
      <c r="E36" s="4" t="s">
        <v>2030</v>
      </c>
      <c r="F36" s="4" t="s">
        <v>2030</v>
      </c>
      <c r="G36" s="4" t="s">
        <v>27</v>
      </c>
      <c r="I36" s="4" t="s">
        <v>2031</v>
      </c>
      <c r="J36" s="6">
        <v>45878.0</v>
      </c>
      <c r="K36" s="4" t="s">
        <v>2032</v>
      </c>
      <c r="L36" s="4" t="s">
        <v>27</v>
      </c>
    </row>
    <row r="37">
      <c r="A37" s="4" t="s">
        <v>2033</v>
      </c>
      <c r="B37" s="4" t="s">
        <v>1843</v>
      </c>
      <c r="C37" s="4" t="s">
        <v>1987</v>
      </c>
      <c r="E37" s="4" t="s">
        <v>2034</v>
      </c>
      <c r="F37" s="4" t="s">
        <v>2034</v>
      </c>
      <c r="G37" s="4" t="s">
        <v>110</v>
      </c>
      <c r="I37" s="4" t="s">
        <v>1845</v>
      </c>
      <c r="J37" s="17">
        <v>45945.0</v>
      </c>
      <c r="K37" s="4" t="s">
        <v>2035</v>
      </c>
      <c r="L37" s="4" t="s">
        <v>1847</v>
      </c>
    </row>
    <row r="38">
      <c r="A38" s="4" t="s">
        <v>2036</v>
      </c>
      <c r="B38" s="4" t="s">
        <v>1848</v>
      </c>
      <c r="C38" s="4" t="s">
        <v>1987</v>
      </c>
      <c r="E38" s="4" t="s">
        <v>2037</v>
      </c>
      <c r="F38" s="4" t="s">
        <v>2037</v>
      </c>
      <c r="G38" s="4" t="s">
        <v>27</v>
      </c>
      <c r="I38" s="4" t="s">
        <v>2038</v>
      </c>
      <c r="J38" s="17">
        <v>45988.0</v>
      </c>
      <c r="K38" s="4" t="s">
        <v>2039</v>
      </c>
      <c r="L38" s="4" t="s">
        <v>1851</v>
      </c>
    </row>
    <row r="39">
      <c r="A39" s="4" t="s">
        <v>2040</v>
      </c>
      <c r="B39" s="4" t="s">
        <v>1852</v>
      </c>
      <c r="C39" s="4" t="s">
        <v>1991</v>
      </c>
      <c r="D39" s="5" t="s">
        <v>2041</v>
      </c>
      <c r="G39" s="4" t="s">
        <v>27</v>
      </c>
      <c r="I39" s="4" t="s">
        <v>1854</v>
      </c>
      <c r="J39" s="17">
        <v>46014.0</v>
      </c>
      <c r="K39" s="4" t="s">
        <v>2042</v>
      </c>
    </row>
    <row r="40">
      <c r="A40" s="4" t="s">
        <v>2043</v>
      </c>
      <c r="B40" s="4" t="s">
        <v>1856</v>
      </c>
      <c r="C40" s="4" t="s">
        <v>1987</v>
      </c>
      <c r="E40" s="4" t="s">
        <v>2044</v>
      </c>
      <c r="F40" s="4" t="s">
        <v>2044</v>
      </c>
      <c r="G40" s="4" t="s">
        <v>135</v>
      </c>
      <c r="I40" s="4" t="s">
        <v>2045</v>
      </c>
      <c r="J40" s="17">
        <v>46017.0</v>
      </c>
      <c r="K40" s="4" t="s">
        <v>2046</v>
      </c>
    </row>
    <row r="41">
      <c r="A41" s="4" t="s">
        <v>2047</v>
      </c>
      <c r="B41" s="4" t="s">
        <v>1859</v>
      </c>
      <c r="C41" s="4" t="s">
        <v>1991</v>
      </c>
      <c r="D41" s="5" t="s">
        <v>2048</v>
      </c>
      <c r="G41" s="4" t="s">
        <v>27</v>
      </c>
      <c r="I41" s="4" t="s">
        <v>1861</v>
      </c>
      <c r="J41" s="6">
        <v>46025.0</v>
      </c>
      <c r="K41" s="4" t="s">
        <v>2049</v>
      </c>
    </row>
    <row r="42">
      <c r="A42" s="4" t="s">
        <v>2050</v>
      </c>
      <c r="B42" s="4" t="s">
        <v>1863</v>
      </c>
      <c r="C42" s="4" t="s">
        <v>1987</v>
      </c>
      <c r="E42" s="4" t="s">
        <v>2051</v>
      </c>
      <c r="F42" s="4" t="s">
        <v>2051</v>
      </c>
      <c r="G42" s="4" t="s">
        <v>27</v>
      </c>
      <c r="I42" s="4" t="s">
        <v>2052</v>
      </c>
      <c r="J42" s="6">
        <v>46061.0</v>
      </c>
      <c r="K42" s="4" t="s">
        <v>2053</v>
      </c>
      <c r="L42" s="4" t="s">
        <v>27</v>
      </c>
    </row>
    <row r="43">
      <c r="A43" s="4" t="s">
        <v>2054</v>
      </c>
      <c r="B43" s="4" t="s">
        <v>1863</v>
      </c>
      <c r="C43" s="4" t="s">
        <v>1991</v>
      </c>
      <c r="D43" s="5" t="s">
        <v>2055</v>
      </c>
      <c r="G43" s="4" t="s">
        <v>27</v>
      </c>
      <c r="I43" s="4" t="s">
        <v>2056</v>
      </c>
      <c r="J43" s="6">
        <v>46061.0</v>
      </c>
      <c r="K43" s="4" t="s">
        <v>2057</v>
      </c>
      <c r="L43" s="4" t="s">
        <v>27</v>
      </c>
    </row>
    <row r="44">
      <c r="A44" s="4" t="s">
        <v>2058</v>
      </c>
      <c r="B44" s="4" t="s">
        <v>1867</v>
      </c>
      <c r="C44" s="4" t="s">
        <v>1991</v>
      </c>
      <c r="D44" s="5" t="s">
        <v>2059</v>
      </c>
      <c r="G44" s="4" t="s">
        <v>27</v>
      </c>
      <c r="I44" s="4" t="s">
        <v>2060</v>
      </c>
      <c r="J44" s="6">
        <v>46076.0</v>
      </c>
      <c r="K44" s="4" t="s">
        <v>2061</v>
      </c>
    </row>
    <row r="45">
      <c r="A45" s="4" t="s">
        <v>2062</v>
      </c>
      <c r="B45" s="4" t="s">
        <v>1871</v>
      </c>
      <c r="C45" s="4" t="s">
        <v>1991</v>
      </c>
      <c r="D45" s="5" t="s">
        <v>2063</v>
      </c>
      <c r="G45" s="4" t="s">
        <v>27</v>
      </c>
      <c r="I45" s="4" t="s">
        <v>1873</v>
      </c>
      <c r="J45" s="6">
        <v>46076.0</v>
      </c>
      <c r="K45" s="4" t="s">
        <v>2064</v>
      </c>
    </row>
    <row r="46">
      <c r="A46" s="4" t="s">
        <v>2065</v>
      </c>
      <c r="B46" s="4" t="s">
        <v>1874</v>
      </c>
      <c r="C46" s="4" t="s">
        <v>1991</v>
      </c>
      <c r="D46" s="5" t="s">
        <v>2066</v>
      </c>
      <c r="G46" s="4" t="s">
        <v>27</v>
      </c>
      <c r="I46" s="4" t="s">
        <v>1876</v>
      </c>
      <c r="J46" s="6">
        <v>46076.0</v>
      </c>
      <c r="K46" s="4" t="s">
        <v>2067</v>
      </c>
    </row>
    <row r="47">
      <c r="A47" s="4" t="s">
        <v>2068</v>
      </c>
      <c r="B47" s="4" t="s">
        <v>1878</v>
      </c>
      <c r="C47" s="4" t="s">
        <v>1991</v>
      </c>
      <c r="D47" s="5" t="s">
        <v>2069</v>
      </c>
      <c r="G47" s="4" t="s">
        <v>27</v>
      </c>
      <c r="I47" s="4" t="s">
        <v>1880</v>
      </c>
      <c r="J47" s="6">
        <v>46076.0</v>
      </c>
      <c r="K47" s="4" t="s">
        <v>2070</v>
      </c>
    </row>
    <row r="48">
      <c r="A48" s="4" t="s">
        <v>2071</v>
      </c>
      <c r="B48" s="4" t="s">
        <v>1881</v>
      </c>
      <c r="C48" s="4" t="s">
        <v>1991</v>
      </c>
      <c r="D48" s="5" t="s">
        <v>2072</v>
      </c>
      <c r="G48" s="4" t="s">
        <v>27</v>
      </c>
      <c r="I48" s="4" t="s">
        <v>1882</v>
      </c>
      <c r="J48" s="6">
        <v>46093.0</v>
      </c>
      <c r="K48" s="4" t="s">
        <v>2073</v>
      </c>
    </row>
    <row r="49">
      <c r="A49" s="4" t="s">
        <v>2074</v>
      </c>
      <c r="B49" s="4" t="s">
        <v>1884</v>
      </c>
      <c r="C49" s="4" t="s">
        <v>1991</v>
      </c>
      <c r="D49" s="5" t="s">
        <v>2075</v>
      </c>
      <c r="G49" s="4" t="s">
        <v>27</v>
      </c>
      <c r="I49" s="4" t="s">
        <v>1886</v>
      </c>
      <c r="J49" s="6">
        <v>46104.0</v>
      </c>
      <c r="K49" s="4" t="s">
        <v>2076</v>
      </c>
    </row>
    <row r="50">
      <c r="A50" s="4" t="s">
        <v>2077</v>
      </c>
      <c r="B50" s="4" t="s">
        <v>1888</v>
      </c>
      <c r="C50" s="4" t="s">
        <v>1991</v>
      </c>
      <c r="D50" s="5" t="s">
        <v>2078</v>
      </c>
      <c r="G50" s="4" t="s">
        <v>27</v>
      </c>
      <c r="I50" s="4" t="s">
        <v>1890</v>
      </c>
      <c r="J50" s="6">
        <v>46122.0</v>
      </c>
      <c r="K50" s="4" t="s">
        <v>2079</v>
      </c>
    </row>
    <row r="51">
      <c r="A51" s="4" t="s">
        <v>2080</v>
      </c>
      <c r="B51" s="4" t="s">
        <v>1892</v>
      </c>
      <c r="C51" s="4" t="s">
        <v>1991</v>
      </c>
      <c r="D51" s="5" t="s">
        <v>2081</v>
      </c>
      <c r="G51" s="4" t="s">
        <v>27</v>
      </c>
      <c r="I51" s="4" t="s">
        <v>2082</v>
      </c>
      <c r="J51" s="6">
        <v>46130.0</v>
      </c>
      <c r="K51" s="4" t="s">
        <v>2083</v>
      </c>
      <c r="L51" s="4" t="s">
        <v>110</v>
      </c>
    </row>
    <row r="52">
      <c r="A52" s="4" t="s">
        <v>2084</v>
      </c>
      <c r="B52" s="4" t="s">
        <v>1896</v>
      </c>
      <c r="C52" s="4" t="s">
        <v>1991</v>
      </c>
      <c r="D52" s="5" t="s">
        <v>2085</v>
      </c>
      <c r="G52" s="4" t="s">
        <v>27</v>
      </c>
      <c r="I52" s="4" t="s">
        <v>2086</v>
      </c>
      <c r="J52" s="6">
        <v>46130.0</v>
      </c>
      <c r="K52" s="4" t="s">
        <v>2087</v>
      </c>
    </row>
    <row r="53">
      <c r="A53" s="4" t="s">
        <v>2088</v>
      </c>
      <c r="B53" s="4" t="s">
        <v>1899</v>
      </c>
      <c r="C53" s="4" t="s">
        <v>1991</v>
      </c>
      <c r="D53" s="5" t="s">
        <v>2089</v>
      </c>
      <c r="G53" s="4" t="s">
        <v>27</v>
      </c>
      <c r="I53" s="4" t="s">
        <v>2090</v>
      </c>
      <c r="J53" s="6">
        <v>46132.0</v>
      </c>
      <c r="K53" s="4" t="s">
        <v>2091</v>
      </c>
    </row>
  </sheetData>
  <autoFilter ref="$A$1:$L$999"/>
  <hyperlinks>
    <hyperlink r:id="rId1" ref="D25"/>
    <hyperlink r:id="rId2" ref="D39"/>
    <hyperlink r:id="rId3" ref="D41"/>
    <hyperlink r:id="rId4" ref="D43"/>
    <hyperlink r:id="rId5" ref="D44"/>
    <hyperlink r:id="rId6" ref="D45"/>
    <hyperlink r:id="rId7" ref="D46"/>
    <hyperlink r:id="rId8" ref="D47"/>
    <hyperlink r:id="rId9" ref="D48"/>
    <hyperlink r:id="rId10" ref="D49"/>
    <hyperlink r:id="rId11" ref="D50"/>
    <hyperlink r:id="rId12" ref="D51"/>
    <hyperlink r:id="rId13" ref="D52"/>
    <hyperlink r:id="rId14" ref="D53"/>
  </hyperlinks>
  <drawing r:id="rId1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0.13"/>
    <col customWidth="1" min="7" max="7" width="15.75"/>
    <col customWidth="1" min="8" max="8" width="18.75"/>
    <col customWidth="1" min="9" max="9" width="18.63"/>
  </cols>
  <sheetData>
    <row r="1">
      <c r="A1" s="4" t="s">
        <v>2092</v>
      </c>
      <c r="B1" s="4" t="s">
        <v>2093</v>
      </c>
      <c r="C1" s="4" t="s">
        <v>2</v>
      </c>
      <c r="D1" s="4" t="s">
        <v>2094</v>
      </c>
      <c r="E1" s="4" t="s">
        <v>2095</v>
      </c>
      <c r="F1" s="4" t="s">
        <v>2096</v>
      </c>
      <c r="G1" s="8" t="s">
        <v>2097</v>
      </c>
      <c r="H1" s="4" t="s">
        <v>2098</v>
      </c>
      <c r="I1" s="4" t="s">
        <v>2099</v>
      </c>
      <c r="J1" s="4" t="s">
        <v>13</v>
      </c>
      <c r="K1" s="4" t="s">
        <v>2100</v>
      </c>
      <c r="L1" s="4" t="s">
        <v>2101</v>
      </c>
      <c r="M1" s="4" t="s">
        <v>2102</v>
      </c>
    </row>
    <row r="2">
      <c r="A2" s="4">
        <v>1.0</v>
      </c>
      <c r="B2" s="4">
        <v>3.0</v>
      </c>
      <c r="C2" s="4" t="s">
        <v>2103</v>
      </c>
      <c r="D2" s="4" t="s">
        <v>2104</v>
      </c>
      <c r="E2" s="6">
        <v>45145.0</v>
      </c>
      <c r="F2" s="4" t="s">
        <v>2105</v>
      </c>
      <c r="G2" s="19" t="s">
        <v>2106</v>
      </c>
      <c r="H2" s="6">
        <v>54882.0</v>
      </c>
      <c r="I2" s="7" t="s">
        <v>2107</v>
      </c>
      <c r="J2" s="4" t="s">
        <v>2108</v>
      </c>
      <c r="K2" s="6">
        <v>46085.0</v>
      </c>
      <c r="L2" s="4" t="s">
        <v>2109</v>
      </c>
      <c r="M2" s="4">
        <v>3.424863362E9</v>
      </c>
    </row>
    <row r="3">
      <c r="A3" s="4">
        <v>2.0</v>
      </c>
      <c r="B3" s="4">
        <v>2.0</v>
      </c>
      <c r="C3" s="4" t="s">
        <v>2110</v>
      </c>
      <c r="D3" s="4" t="s">
        <v>2111</v>
      </c>
      <c r="E3" s="6">
        <v>45505.0</v>
      </c>
      <c r="F3" s="4" t="s">
        <v>2105</v>
      </c>
      <c r="G3" s="8">
        <v>31.0</v>
      </c>
      <c r="H3" s="6">
        <v>46146.0</v>
      </c>
      <c r="J3" s="4" t="s">
        <v>26</v>
      </c>
      <c r="K3" s="17">
        <v>46118.0</v>
      </c>
      <c r="L3" s="4" t="s">
        <v>2112</v>
      </c>
      <c r="M3" s="4">
        <v>3.425672161E9</v>
      </c>
    </row>
    <row r="4">
      <c r="A4" s="4">
        <v>4.0</v>
      </c>
      <c r="B4" s="4">
        <v>1.0</v>
      </c>
      <c r="C4" s="4" t="s">
        <v>2113</v>
      </c>
      <c r="D4" s="4" t="s">
        <v>2114</v>
      </c>
      <c r="E4" s="6">
        <v>44871.0</v>
      </c>
      <c r="F4" s="4" t="s">
        <v>2115</v>
      </c>
      <c r="G4" s="8">
        <v>30.0</v>
      </c>
      <c r="H4" s="6">
        <v>47181.0</v>
      </c>
      <c r="J4" s="4" t="s">
        <v>26</v>
      </c>
      <c r="K4" s="6">
        <v>45693.0</v>
      </c>
      <c r="L4" s="4" t="s">
        <v>2116</v>
      </c>
      <c r="M4" s="4">
        <v>3.424476596E9</v>
      </c>
    </row>
    <row r="5">
      <c r="A5" s="20" t="s">
        <v>2117</v>
      </c>
      <c r="B5" s="4">
        <v>5.0</v>
      </c>
      <c r="C5" s="4" t="s">
        <v>2118</v>
      </c>
      <c r="D5" s="4" t="s">
        <v>2119</v>
      </c>
      <c r="E5" s="6">
        <v>46054.0</v>
      </c>
      <c r="F5" s="4" t="s">
        <v>2105</v>
      </c>
      <c r="G5" s="8">
        <v>30.0</v>
      </c>
      <c r="H5" s="6">
        <v>46143.0</v>
      </c>
      <c r="I5" s="6">
        <v>46174.0</v>
      </c>
      <c r="J5" s="4" t="s">
        <v>26</v>
      </c>
      <c r="K5" s="6">
        <v>46115.0</v>
      </c>
      <c r="L5" s="4" t="s">
        <v>2120</v>
      </c>
    </row>
    <row r="6">
      <c r="A6" s="4" t="s">
        <v>2121</v>
      </c>
      <c r="B6" s="4">
        <v>6.0</v>
      </c>
      <c r="C6" s="4" t="s">
        <v>2122</v>
      </c>
      <c r="D6" s="4" t="s">
        <v>2123</v>
      </c>
      <c r="E6" s="6">
        <v>46113.0</v>
      </c>
      <c r="F6" s="4" t="s">
        <v>2105</v>
      </c>
      <c r="G6" s="8">
        <v>30.0</v>
      </c>
      <c r="H6" s="6">
        <v>46143.0</v>
      </c>
      <c r="I6" s="6">
        <v>46235.0</v>
      </c>
      <c r="J6" s="4" t="s">
        <v>26</v>
      </c>
      <c r="K6" s="6">
        <v>46097.0</v>
      </c>
      <c r="L6" s="4" t="s">
        <v>2124</v>
      </c>
    </row>
    <row r="7">
      <c r="G7" s="21"/>
    </row>
    <row r="8">
      <c r="G8" s="21"/>
    </row>
    <row r="9">
      <c r="G9" s="21"/>
    </row>
    <row r="10">
      <c r="G10" s="21"/>
    </row>
    <row r="11">
      <c r="G11" s="21"/>
    </row>
    <row r="12">
      <c r="G12" s="21"/>
    </row>
    <row r="13">
      <c r="G13" s="21"/>
    </row>
    <row r="14">
      <c r="G14" s="21"/>
    </row>
    <row r="15">
      <c r="G15" s="21"/>
    </row>
    <row r="16">
      <c r="G16" s="21"/>
    </row>
    <row r="17">
      <c r="G17" s="21"/>
    </row>
    <row r="18">
      <c r="G18" s="21"/>
    </row>
    <row r="19">
      <c r="G19" s="21"/>
    </row>
    <row r="20">
      <c r="G20" s="21"/>
    </row>
    <row r="21">
      <c r="G21" s="21"/>
    </row>
    <row r="22">
      <c r="G22" s="21"/>
    </row>
    <row r="23">
      <c r="G23" s="21"/>
    </row>
    <row r="24">
      <c r="G24" s="21"/>
    </row>
    <row r="25">
      <c r="G25" s="21"/>
    </row>
    <row r="26">
      <c r="G26" s="21"/>
    </row>
    <row r="27">
      <c r="G27" s="21"/>
    </row>
    <row r="28">
      <c r="G28" s="21"/>
    </row>
    <row r="29">
      <c r="G29" s="21"/>
    </row>
    <row r="30">
      <c r="G30" s="21"/>
    </row>
    <row r="31">
      <c r="G31" s="21"/>
    </row>
    <row r="32">
      <c r="G32" s="21"/>
    </row>
    <row r="33">
      <c r="G33" s="21"/>
    </row>
    <row r="34">
      <c r="G34" s="21"/>
    </row>
    <row r="35">
      <c r="G35" s="21"/>
    </row>
    <row r="36">
      <c r="G36" s="21"/>
    </row>
    <row r="37">
      <c r="G37" s="21"/>
    </row>
    <row r="38">
      <c r="G38" s="21"/>
    </row>
    <row r="39">
      <c r="G39" s="21"/>
    </row>
    <row r="40">
      <c r="G40" s="21"/>
    </row>
    <row r="41">
      <c r="G41" s="21"/>
    </row>
    <row r="42">
      <c r="G42" s="21"/>
    </row>
    <row r="43">
      <c r="G43" s="21"/>
    </row>
    <row r="44">
      <c r="G44" s="21"/>
    </row>
    <row r="45">
      <c r="G45" s="21"/>
    </row>
    <row r="46">
      <c r="G46" s="21"/>
    </row>
    <row r="47">
      <c r="G47" s="21"/>
    </row>
    <row r="48">
      <c r="G48" s="21"/>
    </row>
    <row r="49">
      <c r="G49" s="21"/>
    </row>
    <row r="50">
      <c r="G50" s="21"/>
    </row>
    <row r="51">
      <c r="G51" s="21"/>
    </row>
    <row r="52">
      <c r="G52" s="21"/>
    </row>
    <row r="53">
      <c r="G53" s="21"/>
    </row>
    <row r="54">
      <c r="G54" s="21"/>
    </row>
    <row r="55">
      <c r="G55" s="21"/>
    </row>
    <row r="56">
      <c r="G56" s="21"/>
    </row>
    <row r="57">
      <c r="G57" s="21"/>
    </row>
    <row r="58">
      <c r="G58" s="21"/>
    </row>
    <row r="59">
      <c r="G59" s="21"/>
    </row>
    <row r="60">
      <c r="G60" s="21"/>
    </row>
    <row r="61">
      <c r="G61" s="21"/>
    </row>
    <row r="62">
      <c r="G62" s="21"/>
    </row>
    <row r="63">
      <c r="G63" s="21"/>
    </row>
    <row r="64">
      <c r="G64" s="21"/>
    </row>
    <row r="65">
      <c r="G65" s="21"/>
    </row>
    <row r="66">
      <c r="G66" s="21"/>
    </row>
    <row r="67">
      <c r="G67" s="21"/>
    </row>
    <row r="68">
      <c r="G68" s="21"/>
    </row>
    <row r="69">
      <c r="G69" s="21"/>
    </row>
    <row r="70">
      <c r="G70" s="21"/>
    </row>
    <row r="71">
      <c r="G71" s="21"/>
    </row>
    <row r="72">
      <c r="G72" s="21"/>
    </row>
    <row r="73">
      <c r="G73" s="21"/>
    </row>
    <row r="74">
      <c r="G74" s="21"/>
    </row>
    <row r="75">
      <c r="G75" s="21"/>
    </row>
    <row r="76">
      <c r="G76" s="21"/>
    </row>
    <row r="77">
      <c r="G77" s="21"/>
    </row>
    <row r="78">
      <c r="G78" s="21"/>
    </row>
    <row r="79">
      <c r="G79" s="21"/>
    </row>
    <row r="80">
      <c r="G80" s="21"/>
    </row>
    <row r="81">
      <c r="G81" s="21"/>
    </row>
    <row r="82">
      <c r="G82" s="21"/>
    </row>
    <row r="83">
      <c r="G83" s="21"/>
    </row>
    <row r="84">
      <c r="G84" s="21"/>
    </row>
    <row r="85">
      <c r="G85" s="21"/>
    </row>
    <row r="86">
      <c r="G86" s="21"/>
    </row>
    <row r="87">
      <c r="G87" s="21"/>
    </row>
    <row r="88">
      <c r="G88" s="21"/>
    </row>
    <row r="89">
      <c r="G89" s="21"/>
    </row>
    <row r="90">
      <c r="G90" s="21"/>
    </row>
    <row r="91">
      <c r="G91" s="21"/>
    </row>
    <row r="92">
      <c r="G92" s="21"/>
    </row>
    <row r="93">
      <c r="G93" s="21"/>
    </row>
    <row r="94">
      <c r="G94" s="21"/>
    </row>
    <row r="95">
      <c r="G95" s="21"/>
    </row>
    <row r="96">
      <c r="G96" s="21"/>
    </row>
    <row r="97">
      <c r="G97" s="21"/>
    </row>
    <row r="98">
      <c r="G98" s="21"/>
    </row>
    <row r="99">
      <c r="G99" s="21"/>
    </row>
    <row r="100">
      <c r="G100" s="21"/>
    </row>
    <row r="101">
      <c r="G101" s="21"/>
    </row>
    <row r="102">
      <c r="G102" s="21"/>
    </row>
    <row r="103">
      <c r="G103" s="21"/>
    </row>
    <row r="104">
      <c r="G104" s="21"/>
    </row>
    <row r="105">
      <c r="G105" s="21"/>
    </row>
    <row r="106">
      <c r="G106" s="21"/>
    </row>
    <row r="107">
      <c r="G107" s="21"/>
    </row>
    <row r="108">
      <c r="G108" s="21"/>
    </row>
    <row r="109">
      <c r="G109" s="21"/>
    </row>
    <row r="110">
      <c r="G110" s="21"/>
    </row>
    <row r="111">
      <c r="G111" s="21"/>
    </row>
    <row r="112">
      <c r="G112" s="21"/>
    </row>
    <row r="113">
      <c r="G113" s="21"/>
    </row>
    <row r="114">
      <c r="G114" s="21"/>
    </row>
    <row r="115">
      <c r="G115" s="21"/>
    </row>
    <row r="116">
      <c r="G116" s="21"/>
    </row>
    <row r="117">
      <c r="G117" s="21"/>
    </row>
    <row r="118">
      <c r="G118" s="21"/>
    </row>
    <row r="119">
      <c r="G119" s="21"/>
    </row>
    <row r="120">
      <c r="G120" s="21"/>
    </row>
    <row r="121">
      <c r="G121" s="21"/>
    </row>
    <row r="122">
      <c r="G122" s="21"/>
    </row>
    <row r="123">
      <c r="G123" s="21"/>
    </row>
    <row r="124">
      <c r="G124" s="21"/>
    </row>
    <row r="125">
      <c r="G125" s="21"/>
    </row>
    <row r="126">
      <c r="G126" s="21"/>
    </row>
    <row r="127">
      <c r="G127" s="21"/>
    </row>
    <row r="128">
      <c r="G128" s="21"/>
    </row>
    <row r="129">
      <c r="G129" s="21"/>
    </row>
    <row r="130">
      <c r="G130" s="21"/>
    </row>
    <row r="131">
      <c r="G131" s="21"/>
    </row>
    <row r="132">
      <c r="G132" s="21"/>
    </row>
    <row r="133">
      <c r="G133" s="21"/>
    </row>
    <row r="134">
      <c r="G134" s="21"/>
    </row>
    <row r="135">
      <c r="G135" s="21"/>
    </row>
    <row r="136">
      <c r="G136" s="21"/>
    </row>
    <row r="137">
      <c r="G137" s="21"/>
    </row>
    <row r="138">
      <c r="G138" s="21"/>
    </row>
    <row r="139">
      <c r="G139" s="21"/>
    </row>
    <row r="140">
      <c r="G140" s="21"/>
    </row>
    <row r="141">
      <c r="G141" s="21"/>
    </row>
    <row r="142">
      <c r="G142" s="21"/>
    </row>
    <row r="143">
      <c r="G143" s="21"/>
    </row>
    <row r="144">
      <c r="G144" s="21"/>
    </row>
    <row r="145">
      <c r="G145" s="21"/>
    </row>
    <row r="146">
      <c r="G146" s="21"/>
    </row>
    <row r="147">
      <c r="G147" s="21"/>
    </row>
    <row r="148">
      <c r="G148" s="21"/>
    </row>
    <row r="149">
      <c r="G149" s="21"/>
    </row>
    <row r="150">
      <c r="G150" s="21"/>
    </row>
    <row r="151">
      <c r="G151" s="21"/>
    </row>
    <row r="152">
      <c r="G152" s="21"/>
    </row>
    <row r="153">
      <c r="G153" s="21"/>
    </row>
    <row r="154">
      <c r="G154" s="21"/>
    </row>
    <row r="155">
      <c r="G155" s="21"/>
    </row>
    <row r="156">
      <c r="G156" s="21"/>
    </row>
    <row r="157">
      <c r="G157" s="21"/>
    </row>
    <row r="158">
      <c r="G158" s="21"/>
    </row>
    <row r="159">
      <c r="G159" s="21"/>
    </row>
    <row r="160">
      <c r="G160" s="21"/>
    </row>
    <row r="161">
      <c r="G161" s="21"/>
    </row>
    <row r="162">
      <c r="G162" s="21"/>
    </row>
    <row r="163">
      <c r="G163" s="21"/>
    </row>
    <row r="164">
      <c r="G164" s="21"/>
    </row>
    <row r="165">
      <c r="G165" s="21"/>
    </row>
    <row r="166">
      <c r="G166" s="21"/>
    </row>
    <row r="167">
      <c r="G167" s="21"/>
    </row>
    <row r="168">
      <c r="G168" s="21"/>
    </row>
    <row r="169">
      <c r="G169" s="21"/>
    </row>
    <row r="170">
      <c r="G170" s="21"/>
    </row>
    <row r="171">
      <c r="G171" s="21"/>
    </row>
    <row r="172">
      <c r="G172" s="21"/>
    </row>
    <row r="173">
      <c r="G173" s="21"/>
    </row>
    <row r="174">
      <c r="G174" s="21"/>
    </row>
    <row r="175">
      <c r="G175" s="21"/>
    </row>
    <row r="176">
      <c r="G176" s="21"/>
    </row>
    <row r="177">
      <c r="G177" s="21"/>
    </row>
    <row r="178">
      <c r="G178" s="21"/>
    </row>
    <row r="179">
      <c r="G179" s="21"/>
    </row>
    <row r="180">
      <c r="G180" s="21"/>
    </row>
    <row r="181">
      <c r="G181" s="21"/>
    </row>
    <row r="182">
      <c r="G182" s="21"/>
    </row>
    <row r="183">
      <c r="G183" s="21"/>
    </row>
    <row r="184">
      <c r="G184" s="21"/>
    </row>
    <row r="185">
      <c r="G185" s="21"/>
    </row>
    <row r="186">
      <c r="G186" s="21"/>
    </row>
    <row r="187">
      <c r="G187" s="21"/>
    </row>
    <row r="188">
      <c r="G188" s="21"/>
    </row>
    <row r="189">
      <c r="G189" s="21"/>
    </row>
    <row r="190">
      <c r="G190" s="21"/>
    </row>
    <row r="191">
      <c r="G191" s="21"/>
    </row>
    <row r="192">
      <c r="G192" s="21"/>
    </row>
    <row r="193">
      <c r="G193" s="21"/>
    </row>
    <row r="194">
      <c r="G194" s="21"/>
    </row>
    <row r="195">
      <c r="G195" s="21"/>
    </row>
    <row r="196">
      <c r="G196" s="21"/>
    </row>
    <row r="197">
      <c r="G197" s="21"/>
    </row>
    <row r="198">
      <c r="G198" s="21"/>
    </row>
    <row r="199">
      <c r="G199" s="21"/>
    </row>
    <row r="200">
      <c r="G200" s="21"/>
    </row>
    <row r="201">
      <c r="G201" s="21"/>
    </row>
    <row r="202">
      <c r="G202" s="21"/>
    </row>
    <row r="203">
      <c r="G203" s="21"/>
    </row>
    <row r="204">
      <c r="G204" s="21"/>
    </row>
    <row r="205">
      <c r="G205" s="21"/>
    </row>
    <row r="206">
      <c r="G206" s="21"/>
    </row>
    <row r="207">
      <c r="G207" s="21"/>
    </row>
    <row r="208">
      <c r="G208" s="21"/>
    </row>
    <row r="209">
      <c r="G209" s="21"/>
    </row>
    <row r="210">
      <c r="G210" s="21"/>
    </row>
    <row r="211">
      <c r="G211" s="21"/>
    </row>
    <row r="212">
      <c r="G212" s="21"/>
    </row>
    <row r="213">
      <c r="G213" s="21"/>
    </row>
    <row r="214">
      <c r="G214" s="21"/>
    </row>
    <row r="215">
      <c r="G215" s="21"/>
    </row>
    <row r="216">
      <c r="G216" s="21"/>
    </row>
    <row r="217">
      <c r="G217" s="21"/>
    </row>
    <row r="218">
      <c r="G218" s="21"/>
    </row>
    <row r="219">
      <c r="G219" s="21"/>
    </row>
    <row r="220">
      <c r="G220" s="21"/>
    </row>
    <row r="221">
      <c r="G221" s="21"/>
    </row>
    <row r="222">
      <c r="G222" s="21"/>
    </row>
    <row r="223">
      <c r="G223" s="21"/>
    </row>
    <row r="224">
      <c r="G224" s="21"/>
    </row>
    <row r="225">
      <c r="G225" s="21"/>
    </row>
    <row r="226">
      <c r="G226" s="21"/>
    </row>
    <row r="227">
      <c r="G227" s="21"/>
    </row>
    <row r="228">
      <c r="G228" s="21"/>
    </row>
    <row r="229">
      <c r="G229" s="21"/>
    </row>
    <row r="230">
      <c r="G230" s="21"/>
    </row>
    <row r="231">
      <c r="G231" s="21"/>
    </row>
    <row r="232">
      <c r="G232" s="21"/>
    </row>
    <row r="233">
      <c r="G233" s="21"/>
    </row>
    <row r="234">
      <c r="G234" s="21"/>
    </row>
    <row r="235">
      <c r="G235" s="21"/>
    </row>
    <row r="236">
      <c r="G236" s="21"/>
    </row>
    <row r="237">
      <c r="G237" s="21"/>
    </row>
    <row r="238">
      <c r="G238" s="21"/>
    </row>
    <row r="239">
      <c r="G239" s="21"/>
    </row>
    <row r="240">
      <c r="G240" s="21"/>
    </row>
    <row r="241">
      <c r="G241" s="21"/>
    </row>
    <row r="242">
      <c r="G242" s="21"/>
    </row>
    <row r="243">
      <c r="G243" s="21"/>
    </row>
    <row r="244">
      <c r="G244" s="21"/>
    </row>
    <row r="245">
      <c r="G245" s="21"/>
    </row>
    <row r="246">
      <c r="G246" s="21"/>
    </row>
    <row r="247">
      <c r="G247" s="21"/>
    </row>
    <row r="248">
      <c r="G248" s="21"/>
    </row>
    <row r="249">
      <c r="G249" s="21"/>
    </row>
    <row r="250">
      <c r="G250" s="21"/>
    </row>
    <row r="251">
      <c r="G251" s="21"/>
    </row>
    <row r="252">
      <c r="G252" s="21"/>
    </row>
    <row r="253">
      <c r="G253" s="21"/>
    </row>
    <row r="254">
      <c r="G254" s="21"/>
    </row>
    <row r="255">
      <c r="G255" s="21"/>
    </row>
    <row r="256">
      <c r="G256" s="21"/>
    </row>
    <row r="257">
      <c r="G257" s="21"/>
    </row>
    <row r="258">
      <c r="G258" s="21"/>
    </row>
    <row r="259">
      <c r="G259" s="21"/>
    </row>
    <row r="260">
      <c r="G260" s="21"/>
    </row>
    <row r="261">
      <c r="G261" s="21"/>
    </row>
    <row r="262">
      <c r="G262" s="21"/>
    </row>
    <row r="263">
      <c r="G263" s="21"/>
    </row>
    <row r="264">
      <c r="G264" s="21"/>
    </row>
    <row r="265">
      <c r="G265" s="21"/>
    </row>
    <row r="266">
      <c r="G266" s="21"/>
    </row>
    <row r="267">
      <c r="G267" s="21"/>
    </row>
    <row r="268">
      <c r="G268" s="21"/>
    </row>
    <row r="269">
      <c r="G269" s="21"/>
    </row>
    <row r="270">
      <c r="G270" s="21"/>
    </row>
    <row r="271">
      <c r="G271" s="21"/>
    </row>
    <row r="272">
      <c r="G272" s="21"/>
    </row>
    <row r="273">
      <c r="G273" s="21"/>
    </row>
    <row r="274">
      <c r="G274" s="21"/>
    </row>
    <row r="275">
      <c r="G275" s="21"/>
    </row>
    <row r="276">
      <c r="G276" s="21"/>
    </row>
    <row r="277">
      <c r="G277" s="21"/>
    </row>
    <row r="278">
      <c r="G278" s="21"/>
    </row>
    <row r="279">
      <c r="G279" s="21"/>
    </row>
    <row r="280">
      <c r="G280" s="21"/>
    </row>
    <row r="281">
      <c r="G281" s="21"/>
    </row>
    <row r="282">
      <c r="G282" s="21"/>
    </row>
    <row r="283">
      <c r="G283" s="21"/>
    </row>
    <row r="284">
      <c r="G284" s="21"/>
    </row>
    <row r="285">
      <c r="G285" s="21"/>
    </row>
    <row r="286">
      <c r="G286" s="21"/>
    </row>
    <row r="287">
      <c r="G287" s="21"/>
    </row>
    <row r="288">
      <c r="G288" s="21"/>
    </row>
    <row r="289">
      <c r="G289" s="21"/>
    </row>
    <row r="290">
      <c r="G290" s="21"/>
    </row>
    <row r="291">
      <c r="G291" s="21"/>
    </row>
    <row r="292">
      <c r="G292" s="21"/>
    </row>
    <row r="293">
      <c r="G293" s="21"/>
    </row>
    <row r="294">
      <c r="G294" s="21"/>
    </row>
    <row r="295">
      <c r="G295" s="21"/>
    </row>
    <row r="296">
      <c r="G296" s="21"/>
    </row>
    <row r="297">
      <c r="G297" s="21"/>
    </row>
    <row r="298">
      <c r="G298" s="21"/>
    </row>
    <row r="299">
      <c r="G299" s="21"/>
    </row>
    <row r="300">
      <c r="G300" s="21"/>
    </row>
    <row r="301">
      <c r="G301" s="21"/>
    </row>
    <row r="302">
      <c r="G302" s="21"/>
    </row>
    <row r="303">
      <c r="G303" s="21"/>
    </row>
    <row r="304">
      <c r="G304" s="21"/>
    </row>
    <row r="305">
      <c r="G305" s="21"/>
    </row>
    <row r="306">
      <c r="G306" s="21"/>
    </row>
    <row r="307">
      <c r="G307" s="21"/>
    </row>
    <row r="308">
      <c r="G308" s="21"/>
    </row>
    <row r="309">
      <c r="G309" s="21"/>
    </row>
    <row r="310">
      <c r="G310" s="21"/>
    </row>
    <row r="311">
      <c r="G311" s="21"/>
    </row>
    <row r="312">
      <c r="G312" s="21"/>
    </row>
    <row r="313">
      <c r="G313" s="21"/>
    </row>
    <row r="314">
      <c r="G314" s="21"/>
    </row>
    <row r="315">
      <c r="G315" s="21"/>
    </row>
    <row r="316">
      <c r="G316" s="21"/>
    </row>
    <row r="317">
      <c r="G317" s="21"/>
    </row>
    <row r="318">
      <c r="G318" s="21"/>
    </row>
    <row r="319">
      <c r="G319" s="21"/>
    </row>
    <row r="320">
      <c r="G320" s="21"/>
    </row>
    <row r="321">
      <c r="G321" s="21"/>
    </row>
    <row r="322">
      <c r="G322" s="21"/>
    </row>
    <row r="323">
      <c r="G323" s="21"/>
    </row>
    <row r="324">
      <c r="G324" s="21"/>
    </row>
    <row r="325">
      <c r="G325" s="21"/>
    </row>
    <row r="326">
      <c r="G326" s="21"/>
    </row>
    <row r="327">
      <c r="G327" s="21"/>
    </row>
    <row r="328">
      <c r="G328" s="21"/>
    </row>
    <row r="329">
      <c r="G329" s="21"/>
    </row>
    <row r="330">
      <c r="G330" s="21"/>
    </row>
    <row r="331">
      <c r="G331" s="21"/>
    </row>
    <row r="332">
      <c r="G332" s="21"/>
    </row>
    <row r="333">
      <c r="G333" s="21"/>
    </row>
    <row r="334">
      <c r="G334" s="21"/>
    </row>
    <row r="335">
      <c r="G335" s="21"/>
    </row>
    <row r="336">
      <c r="G336" s="21"/>
    </row>
    <row r="337">
      <c r="G337" s="21"/>
    </row>
    <row r="338">
      <c r="G338" s="21"/>
    </row>
    <row r="339">
      <c r="G339" s="21"/>
    </row>
    <row r="340">
      <c r="G340" s="21"/>
    </row>
    <row r="341">
      <c r="G341" s="21"/>
    </row>
    <row r="342">
      <c r="G342" s="21"/>
    </row>
    <row r="343">
      <c r="G343" s="21"/>
    </row>
    <row r="344">
      <c r="G344" s="21"/>
    </row>
    <row r="345">
      <c r="G345" s="21"/>
    </row>
    <row r="346">
      <c r="G346" s="21"/>
    </row>
    <row r="347">
      <c r="G347" s="21"/>
    </row>
    <row r="348">
      <c r="G348" s="21"/>
    </row>
    <row r="349">
      <c r="G349" s="21"/>
    </row>
    <row r="350">
      <c r="G350" s="21"/>
    </row>
    <row r="351">
      <c r="G351" s="21"/>
    </row>
    <row r="352">
      <c r="G352" s="21"/>
    </row>
    <row r="353">
      <c r="G353" s="21"/>
    </row>
    <row r="354">
      <c r="G354" s="21"/>
    </row>
    <row r="355">
      <c r="G355" s="21"/>
    </row>
    <row r="356">
      <c r="G356" s="21"/>
    </row>
    <row r="357">
      <c r="G357" s="21"/>
    </row>
    <row r="358">
      <c r="G358" s="21"/>
    </row>
    <row r="359">
      <c r="G359" s="21"/>
    </row>
    <row r="360">
      <c r="G360" s="21"/>
    </row>
    <row r="361">
      <c r="G361" s="21"/>
    </row>
    <row r="362">
      <c r="G362" s="21"/>
    </row>
    <row r="363">
      <c r="G363" s="21"/>
    </row>
    <row r="364">
      <c r="G364" s="21"/>
    </row>
    <row r="365">
      <c r="G365" s="21"/>
    </row>
    <row r="366">
      <c r="G366" s="21"/>
    </row>
    <row r="367">
      <c r="G367" s="21"/>
    </row>
    <row r="368">
      <c r="G368" s="21"/>
    </row>
    <row r="369">
      <c r="G369" s="21"/>
    </row>
    <row r="370">
      <c r="G370" s="21"/>
    </row>
    <row r="371">
      <c r="G371" s="21"/>
    </row>
    <row r="372">
      <c r="G372" s="21"/>
    </row>
    <row r="373">
      <c r="G373" s="21"/>
    </row>
    <row r="374">
      <c r="G374" s="21"/>
    </row>
    <row r="375">
      <c r="G375" s="21"/>
    </row>
    <row r="376">
      <c r="G376" s="21"/>
    </row>
    <row r="377">
      <c r="G377" s="21"/>
    </row>
    <row r="378">
      <c r="G378" s="21"/>
    </row>
    <row r="379">
      <c r="G379" s="21"/>
    </row>
    <row r="380">
      <c r="G380" s="21"/>
    </row>
    <row r="381">
      <c r="G381" s="21"/>
    </row>
    <row r="382">
      <c r="G382" s="21"/>
    </row>
    <row r="383">
      <c r="G383" s="21"/>
    </row>
    <row r="384">
      <c r="G384" s="21"/>
    </row>
    <row r="385">
      <c r="G385" s="21"/>
    </row>
    <row r="386">
      <c r="G386" s="21"/>
    </row>
    <row r="387">
      <c r="G387" s="21"/>
    </row>
    <row r="388">
      <c r="G388" s="21"/>
    </row>
    <row r="389">
      <c r="G389" s="21"/>
    </row>
    <row r="390">
      <c r="G390" s="21"/>
    </row>
    <row r="391">
      <c r="G391" s="21"/>
    </row>
    <row r="392">
      <c r="G392" s="21"/>
    </row>
    <row r="393">
      <c r="G393" s="21"/>
    </row>
    <row r="394">
      <c r="G394" s="21"/>
    </row>
    <row r="395">
      <c r="G395" s="21"/>
    </row>
    <row r="396">
      <c r="G396" s="21"/>
    </row>
    <row r="397">
      <c r="G397" s="21"/>
    </row>
    <row r="398">
      <c r="G398" s="21"/>
    </row>
    <row r="399">
      <c r="G399" s="21"/>
    </row>
    <row r="400">
      <c r="G400" s="21"/>
    </row>
    <row r="401">
      <c r="G401" s="21"/>
    </row>
    <row r="402">
      <c r="G402" s="21"/>
    </row>
    <row r="403">
      <c r="G403" s="21"/>
    </row>
    <row r="404">
      <c r="G404" s="21"/>
    </row>
    <row r="405">
      <c r="G405" s="21"/>
    </row>
    <row r="406">
      <c r="G406" s="21"/>
    </row>
    <row r="407">
      <c r="G407" s="21"/>
    </row>
    <row r="408">
      <c r="G408" s="21"/>
    </row>
    <row r="409">
      <c r="G409" s="21"/>
    </row>
    <row r="410">
      <c r="G410" s="21"/>
    </row>
    <row r="411">
      <c r="G411" s="21"/>
    </row>
    <row r="412">
      <c r="G412" s="21"/>
    </row>
    <row r="413">
      <c r="G413" s="21"/>
    </row>
    <row r="414">
      <c r="G414" s="21"/>
    </row>
    <row r="415">
      <c r="G415" s="21"/>
    </row>
    <row r="416">
      <c r="G416" s="21"/>
    </row>
    <row r="417">
      <c r="G417" s="21"/>
    </row>
    <row r="418">
      <c r="G418" s="21"/>
    </row>
    <row r="419">
      <c r="G419" s="21"/>
    </row>
    <row r="420">
      <c r="G420" s="21"/>
    </row>
    <row r="421">
      <c r="G421" s="21"/>
    </row>
    <row r="422">
      <c r="G422" s="21"/>
    </row>
    <row r="423">
      <c r="G423" s="21"/>
    </row>
    <row r="424">
      <c r="G424" s="21"/>
    </row>
    <row r="425">
      <c r="G425" s="21"/>
    </row>
    <row r="426">
      <c r="G426" s="21"/>
    </row>
    <row r="427">
      <c r="G427" s="21"/>
    </row>
    <row r="428">
      <c r="G428" s="21"/>
    </row>
    <row r="429">
      <c r="G429" s="21"/>
    </row>
    <row r="430">
      <c r="G430" s="21"/>
    </row>
    <row r="431">
      <c r="G431" s="21"/>
    </row>
    <row r="432">
      <c r="G432" s="21"/>
    </row>
    <row r="433">
      <c r="G433" s="21"/>
    </row>
    <row r="434">
      <c r="G434" s="21"/>
    </row>
    <row r="435">
      <c r="G435" s="21"/>
    </row>
    <row r="436">
      <c r="G436" s="21"/>
    </row>
    <row r="437">
      <c r="G437" s="21"/>
    </row>
    <row r="438">
      <c r="G438" s="21"/>
    </row>
    <row r="439">
      <c r="G439" s="21"/>
    </row>
    <row r="440">
      <c r="G440" s="21"/>
    </row>
    <row r="441">
      <c r="G441" s="21"/>
    </row>
    <row r="442">
      <c r="G442" s="21"/>
    </row>
    <row r="443">
      <c r="G443" s="21"/>
    </row>
    <row r="444">
      <c r="G444" s="21"/>
    </row>
    <row r="445">
      <c r="G445" s="21"/>
    </row>
    <row r="446">
      <c r="G446" s="21"/>
    </row>
    <row r="447">
      <c r="G447" s="21"/>
    </row>
    <row r="448">
      <c r="G448" s="21"/>
    </row>
    <row r="449">
      <c r="G449" s="21"/>
    </row>
    <row r="450">
      <c r="G450" s="21"/>
    </row>
    <row r="451">
      <c r="G451" s="21"/>
    </row>
    <row r="452">
      <c r="G452" s="21"/>
    </row>
    <row r="453">
      <c r="G453" s="21"/>
    </row>
    <row r="454">
      <c r="G454" s="21"/>
    </row>
    <row r="455">
      <c r="G455" s="21"/>
    </row>
    <row r="456">
      <c r="G456" s="21"/>
    </row>
    <row r="457">
      <c r="G457" s="21"/>
    </row>
    <row r="458">
      <c r="G458" s="21"/>
    </row>
    <row r="459">
      <c r="G459" s="21"/>
    </row>
    <row r="460">
      <c r="G460" s="21"/>
    </row>
    <row r="461">
      <c r="G461" s="21"/>
    </row>
    <row r="462">
      <c r="G462" s="21"/>
    </row>
    <row r="463">
      <c r="G463" s="21"/>
    </row>
    <row r="464">
      <c r="G464" s="21"/>
    </row>
    <row r="465">
      <c r="G465" s="21"/>
    </row>
    <row r="466">
      <c r="G466" s="21"/>
    </row>
    <row r="467">
      <c r="G467" s="21"/>
    </row>
    <row r="468">
      <c r="G468" s="21"/>
    </row>
    <row r="469">
      <c r="G469" s="21"/>
    </row>
    <row r="470">
      <c r="G470" s="21"/>
    </row>
    <row r="471">
      <c r="G471" s="21"/>
    </row>
    <row r="472">
      <c r="G472" s="21"/>
    </row>
    <row r="473">
      <c r="G473" s="21"/>
    </row>
    <row r="474">
      <c r="G474" s="21"/>
    </row>
    <row r="475">
      <c r="G475" s="21"/>
    </row>
    <row r="476">
      <c r="G476" s="21"/>
    </row>
    <row r="477">
      <c r="G477" s="21"/>
    </row>
    <row r="478">
      <c r="G478" s="21"/>
    </row>
    <row r="479">
      <c r="G479" s="21"/>
    </row>
    <row r="480">
      <c r="G480" s="21"/>
    </row>
    <row r="481">
      <c r="G481" s="21"/>
    </row>
    <row r="482">
      <c r="G482" s="21"/>
    </row>
    <row r="483">
      <c r="G483" s="21"/>
    </row>
    <row r="484">
      <c r="G484" s="21"/>
    </row>
    <row r="485">
      <c r="G485" s="21"/>
    </row>
    <row r="486">
      <c r="G486" s="21"/>
    </row>
    <row r="487">
      <c r="G487" s="21"/>
    </row>
    <row r="488">
      <c r="G488" s="21"/>
    </row>
    <row r="489">
      <c r="G489" s="21"/>
    </row>
    <row r="490">
      <c r="G490" s="21"/>
    </row>
    <row r="491">
      <c r="G491" s="21"/>
    </row>
    <row r="492">
      <c r="G492" s="21"/>
    </row>
    <row r="493">
      <c r="G493" s="21"/>
    </row>
    <row r="494">
      <c r="G494" s="21"/>
    </row>
    <row r="495">
      <c r="G495" s="21"/>
    </row>
    <row r="496">
      <c r="G496" s="21"/>
    </row>
    <row r="497">
      <c r="G497" s="21"/>
    </row>
    <row r="498">
      <c r="G498" s="21"/>
    </row>
    <row r="499">
      <c r="G499" s="21"/>
    </row>
    <row r="500">
      <c r="G500" s="21"/>
    </row>
    <row r="501">
      <c r="G501" s="21"/>
    </row>
    <row r="502">
      <c r="G502" s="21"/>
    </row>
    <row r="503">
      <c r="G503" s="21"/>
    </row>
    <row r="504">
      <c r="G504" s="21"/>
    </row>
    <row r="505">
      <c r="G505" s="21"/>
    </row>
    <row r="506">
      <c r="G506" s="21"/>
    </row>
    <row r="507">
      <c r="G507" s="21"/>
    </row>
    <row r="508">
      <c r="G508" s="21"/>
    </row>
    <row r="509">
      <c r="G509" s="21"/>
    </row>
    <row r="510">
      <c r="G510" s="21"/>
    </row>
    <row r="511">
      <c r="G511" s="21"/>
    </row>
    <row r="512">
      <c r="G512" s="21"/>
    </row>
    <row r="513">
      <c r="G513" s="21"/>
    </row>
    <row r="514">
      <c r="G514" s="21"/>
    </row>
    <row r="515">
      <c r="G515" s="21"/>
    </row>
    <row r="516">
      <c r="G516" s="21"/>
    </row>
    <row r="517">
      <c r="G517" s="21"/>
    </row>
    <row r="518">
      <c r="G518" s="21"/>
    </row>
    <row r="519">
      <c r="G519" s="21"/>
    </row>
    <row r="520">
      <c r="G520" s="21"/>
    </row>
    <row r="521">
      <c r="G521" s="21"/>
    </row>
    <row r="522">
      <c r="G522" s="21"/>
    </row>
    <row r="523">
      <c r="G523" s="21"/>
    </row>
    <row r="524">
      <c r="G524" s="21"/>
    </row>
    <row r="525">
      <c r="G525" s="21"/>
    </row>
    <row r="526">
      <c r="G526" s="21"/>
    </row>
    <row r="527">
      <c r="G527" s="21"/>
    </row>
    <row r="528">
      <c r="G528" s="21"/>
    </row>
    <row r="529">
      <c r="G529" s="21"/>
    </row>
    <row r="530">
      <c r="G530" s="21"/>
    </row>
    <row r="531">
      <c r="G531" s="21"/>
    </row>
    <row r="532">
      <c r="G532" s="21"/>
    </row>
    <row r="533">
      <c r="G533" s="21"/>
    </row>
    <row r="534">
      <c r="G534" s="21"/>
    </row>
    <row r="535">
      <c r="G535" s="21"/>
    </row>
    <row r="536">
      <c r="G536" s="21"/>
    </row>
    <row r="537">
      <c r="G537" s="21"/>
    </row>
    <row r="538">
      <c r="G538" s="21"/>
    </row>
    <row r="539">
      <c r="G539" s="21"/>
    </row>
    <row r="540">
      <c r="G540" s="21"/>
    </row>
    <row r="541">
      <c r="G541" s="21"/>
    </row>
    <row r="542">
      <c r="G542" s="21"/>
    </row>
    <row r="543">
      <c r="G543" s="21"/>
    </row>
    <row r="544">
      <c r="G544" s="21"/>
    </row>
    <row r="545">
      <c r="G545" s="21"/>
    </row>
    <row r="546">
      <c r="G546" s="21"/>
    </row>
    <row r="547">
      <c r="G547" s="21"/>
    </row>
    <row r="548">
      <c r="G548" s="21"/>
    </row>
    <row r="549">
      <c r="G549" s="21"/>
    </row>
    <row r="550">
      <c r="G550" s="21"/>
    </row>
    <row r="551">
      <c r="G551" s="21"/>
    </row>
    <row r="552">
      <c r="G552" s="21"/>
    </row>
    <row r="553">
      <c r="G553" s="21"/>
    </row>
    <row r="554">
      <c r="G554" s="21"/>
    </row>
    <row r="555">
      <c r="G555" s="21"/>
    </row>
    <row r="556">
      <c r="G556" s="21"/>
    </row>
    <row r="557">
      <c r="G557" s="21"/>
    </row>
    <row r="558">
      <c r="G558" s="21"/>
    </row>
    <row r="559">
      <c r="G559" s="21"/>
    </row>
    <row r="560">
      <c r="G560" s="21"/>
    </row>
    <row r="561">
      <c r="G561" s="21"/>
    </row>
    <row r="562">
      <c r="G562" s="21"/>
    </row>
    <row r="563">
      <c r="G563" s="21"/>
    </row>
    <row r="564">
      <c r="G564" s="21"/>
    </row>
    <row r="565">
      <c r="G565" s="21"/>
    </row>
    <row r="566">
      <c r="G566" s="21"/>
    </row>
    <row r="567">
      <c r="G567" s="21"/>
    </row>
    <row r="568">
      <c r="G568" s="21"/>
    </row>
    <row r="569">
      <c r="G569" s="21"/>
    </row>
    <row r="570">
      <c r="G570" s="21"/>
    </row>
    <row r="571">
      <c r="G571" s="21"/>
    </row>
    <row r="572">
      <c r="G572" s="21"/>
    </row>
    <row r="573">
      <c r="G573" s="21"/>
    </row>
    <row r="574">
      <c r="G574" s="21"/>
    </row>
    <row r="575">
      <c r="G575" s="21"/>
    </row>
    <row r="576">
      <c r="G576" s="21"/>
    </row>
    <row r="577">
      <c r="G577" s="21"/>
    </row>
    <row r="578">
      <c r="G578" s="21"/>
    </row>
    <row r="579">
      <c r="G579" s="21"/>
    </row>
    <row r="580">
      <c r="G580" s="21"/>
    </row>
    <row r="581">
      <c r="G581" s="21"/>
    </row>
    <row r="582">
      <c r="G582" s="21"/>
    </row>
    <row r="583">
      <c r="G583" s="21"/>
    </row>
    <row r="584">
      <c r="G584" s="21"/>
    </row>
    <row r="585">
      <c r="G585" s="21"/>
    </row>
    <row r="586">
      <c r="G586" s="21"/>
    </row>
    <row r="587">
      <c r="G587" s="21"/>
    </row>
    <row r="588">
      <c r="G588" s="21"/>
    </row>
    <row r="589">
      <c r="G589" s="21"/>
    </row>
    <row r="590">
      <c r="G590" s="21"/>
    </row>
    <row r="591">
      <c r="G591" s="21"/>
    </row>
    <row r="592">
      <c r="G592" s="21"/>
    </row>
    <row r="593">
      <c r="G593" s="21"/>
    </row>
    <row r="594">
      <c r="G594" s="21"/>
    </row>
    <row r="595">
      <c r="G595" s="21"/>
    </row>
    <row r="596">
      <c r="G596" s="21"/>
    </row>
    <row r="597">
      <c r="G597" s="21"/>
    </row>
    <row r="598">
      <c r="G598" s="21"/>
    </row>
    <row r="599">
      <c r="G599" s="21"/>
    </row>
    <row r="600">
      <c r="G600" s="21"/>
    </row>
    <row r="601">
      <c r="G601" s="21"/>
    </row>
    <row r="602">
      <c r="G602" s="21"/>
    </row>
    <row r="603">
      <c r="G603" s="21"/>
    </row>
    <row r="604">
      <c r="G604" s="21"/>
    </row>
    <row r="605">
      <c r="G605" s="21"/>
    </row>
    <row r="606">
      <c r="G606" s="21"/>
    </row>
    <row r="607">
      <c r="G607" s="21"/>
    </row>
    <row r="608">
      <c r="G608" s="21"/>
    </row>
    <row r="609">
      <c r="G609" s="21"/>
    </row>
    <row r="610">
      <c r="G610" s="21"/>
    </row>
    <row r="611">
      <c r="G611" s="21"/>
    </row>
    <row r="612">
      <c r="G612" s="21"/>
    </row>
    <row r="613">
      <c r="G613" s="21"/>
    </row>
    <row r="614">
      <c r="G614" s="21"/>
    </row>
    <row r="615">
      <c r="G615" s="21"/>
    </row>
    <row r="616">
      <c r="G616" s="21"/>
    </row>
    <row r="617">
      <c r="G617" s="21"/>
    </row>
    <row r="618">
      <c r="G618" s="21"/>
    </row>
    <row r="619">
      <c r="G619" s="21"/>
    </row>
    <row r="620">
      <c r="G620" s="21"/>
    </row>
    <row r="621">
      <c r="G621" s="21"/>
    </row>
    <row r="622">
      <c r="G622" s="21"/>
    </row>
    <row r="623">
      <c r="G623" s="21"/>
    </row>
    <row r="624">
      <c r="G624" s="21"/>
    </row>
    <row r="625">
      <c r="G625" s="21"/>
    </row>
    <row r="626">
      <c r="G626" s="21"/>
    </row>
    <row r="627">
      <c r="G627" s="21"/>
    </row>
    <row r="628">
      <c r="G628" s="21"/>
    </row>
    <row r="629">
      <c r="G629" s="21"/>
    </row>
    <row r="630">
      <c r="G630" s="21"/>
    </row>
    <row r="631">
      <c r="G631" s="21"/>
    </row>
    <row r="632">
      <c r="G632" s="21"/>
    </row>
    <row r="633">
      <c r="G633" s="21"/>
    </row>
    <row r="634">
      <c r="G634" s="21"/>
    </row>
    <row r="635">
      <c r="G635" s="21"/>
    </row>
    <row r="636">
      <c r="G636" s="21"/>
    </row>
    <row r="637">
      <c r="G637" s="21"/>
    </row>
    <row r="638">
      <c r="G638" s="21"/>
    </row>
    <row r="639">
      <c r="G639" s="21"/>
    </row>
    <row r="640">
      <c r="G640" s="21"/>
    </row>
    <row r="641">
      <c r="G641" s="21"/>
    </row>
    <row r="642">
      <c r="G642" s="21"/>
    </row>
    <row r="643">
      <c r="G643" s="21"/>
    </row>
    <row r="644">
      <c r="G644" s="21"/>
    </row>
    <row r="645">
      <c r="G645" s="21"/>
    </row>
    <row r="646">
      <c r="G646" s="21"/>
    </row>
    <row r="647">
      <c r="G647" s="21"/>
    </row>
    <row r="648">
      <c r="G648" s="21"/>
    </row>
    <row r="649">
      <c r="G649" s="21"/>
    </row>
    <row r="650">
      <c r="G650" s="21"/>
    </row>
    <row r="651">
      <c r="G651" s="21"/>
    </row>
    <row r="652">
      <c r="G652" s="21"/>
    </row>
    <row r="653">
      <c r="G653" s="21"/>
    </row>
    <row r="654">
      <c r="G654" s="21"/>
    </row>
    <row r="655">
      <c r="G655" s="21"/>
    </row>
    <row r="656">
      <c r="G656" s="21"/>
    </row>
    <row r="657">
      <c r="G657" s="21"/>
    </row>
    <row r="658">
      <c r="G658" s="21"/>
    </row>
    <row r="659">
      <c r="G659" s="21"/>
    </row>
    <row r="660">
      <c r="G660" s="21"/>
    </row>
    <row r="661">
      <c r="G661" s="21"/>
    </row>
    <row r="662">
      <c r="G662" s="21"/>
    </row>
    <row r="663">
      <c r="G663" s="21"/>
    </row>
    <row r="664">
      <c r="G664" s="21"/>
    </row>
    <row r="665">
      <c r="G665" s="21"/>
    </row>
    <row r="666">
      <c r="G666" s="21"/>
    </row>
    <row r="667">
      <c r="G667" s="21"/>
    </row>
    <row r="668">
      <c r="G668" s="21"/>
    </row>
    <row r="669">
      <c r="G669" s="21"/>
    </row>
    <row r="670">
      <c r="G670" s="21"/>
    </row>
    <row r="671">
      <c r="G671" s="21"/>
    </row>
    <row r="672">
      <c r="G672" s="21"/>
    </row>
    <row r="673">
      <c r="G673" s="21"/>
    </row>
    <row r="674">
      <c r="G674" s="21"/>
    </row>
    <row r="675">
      <c r="G675" s="21"/>
    </row>
    <row r="676">
      <c r="G676" s="21"/>
    </row>
    <row r="677">
      <c r="G677" s="21"/>
    </row>
    <row r="678">
      <c r="G678" s="21"/>
    </row>
    <row r="679">
      <c r="G679" s="21"/>
    </row>
    <row r="680">
      <c r="G680" s="21"/>
    </row>
    <row r="681">
      <c r="G681" s="21"/>
    </row>
    <row r="682">
      <c r="G682" s="21"/>
    </row>
    <row r="683">
      <c r="G683" s="21"/>
    </row>
    <row r="684">
      <c r="G684" s="21"/>
    </row>
    <row r="685">
      <c r="G685" s="21"/>
    </row>
    <row r="686">
      <c r="G686" s="21"/>
    </row>
    <row r="687">
      <c r="G687" s="21"/>
    </row>
    <row r="688">
      <c r="G688" s="21"/>
    </row>
    <row r="689">
      <c r="G689" s="21"/>
    </row>
    <row r="690">
      <c r="G690" s="21"/>
    </row>
    <row r="691">
      <c r="G691" s="21"/>
    </row>
    <row r="692">
      <c r="G692" s="21"/>
    </row>
    <row r="693">
      <c r="G693" s="21"/>
    </row>
    <row r="694">
      <c r="G694" s="21"/>
    </row>
    <row r="695">
      <c r="G695" s="21"/>
    </row>
    <row r="696">
      <c r="G696" s="21"/>
    </row>
    <row r="697">
      <c r="G697" s="21"/>
    </row>
    <row r="698">
      <c r="G698" s="21"/>
    </row>
    <row r="699">
      <c r="G699" s="21"/>
    </row>
    <row r="700">
      <c r="G700" s="21"/>
    </row>
    <row r="701">
      <c r="G701" s="21"/>
    </row>
    <row r="702">
      <c r="G702" s="21"/>
    </row>
    <row r="703">
      <c r="G703" s="21"/>
    </row>
    <row r="704">
      <c r="G704" s="21"/>
    </row>
    <row r="705">
      <c r="G705" s="21"/>
    </row>
    <row r="706">
      <c r="G706" s="21"/>
    </row>
    <row r="707">
      <c r="G707" s="21"/>
    </row>
    <row r="708">
      <c r="G708" s="21"/>
    </row>
    <row r="709">
      <c r="G709" s="21"/>
    </row>
    <row r="710">
      <c r="G710" s="21"/>
    </row>
    <row r="711">
      <c r="G711" s="21"/>
    </row>
    <row r="712">
      <c r="G712" s="21"/>
    </row>
    <row r="713">
      <c r="G713" s="21"/>
    </row>
    <row r="714">
      <c r="G714" s="21"/>
    </row>
    <row r="715">
      <c r="G715" s="21"/>
    </row>
    <row r="716">
      <c r="G716" s="21"/>
    </row>
    <row r="717">
      <c r="G717" s="21"/>
    </row>
    <row r="718">
      <c r="G718" s="21"/>
    </row>
    <row r="719">
      <c r="G719" s="21"/>
    </row>
    <row r="720">
      <c r="G720" s="21"/>
    </row>
    <row r="721">
      <c r="G721" s="21"/>
    </row>
    <row r="722">
      <c r="G722" s="21"/>
    </row>
    <row r="723">
      <c r="G723" s="21"/>
    </row>
    <row r="724">
      <c r="G724" s="21"/>
    </row>
    <row r="725">
      <c r="G725" s="21"/>
    </row>
    <row r="726">
      <c r="G726" s="21"/>
    </row>
    <row r="727">
      <c r="G727" s="21"/>
    </row>
    <row r="728">
      <c r="G728" s="21"/>
    </row>
    <row r="729">
      <c r="G729" s="21"/>
    </row>
    <row r="730">
      <c r="G730" s="21"/>
    </row>
    <row r="731">
      <c r="G731" s="21"/>
    </row>
    <row r="732">
      <c r="G732" s="21"/>
    </row>
    <row r="733">
      <c r="G733" s="21"/>
    </row>
    <row r="734">
      <c r="G734" s="21"/>
    </row>
    <row r="735">
      <c r="G735" s="21"/>
    </row>
    <row r="736">
      <c r="G736" s="21"/>
    </row>
    <row r="737">
      <c r="G737" s="21"/>
    </row>
    <row r="738">
      <c r="G738" s="21"/>
    </row>
    <row r="739">
      <c r="G739" s="21"/>
    </row>
    <row r="740">
      <c r="G740" s="21"/>
    </row>
    <row r="741">
      <c r="G741" s="21"/>
    </row>
    <row r="742">
      <c r="G742" s="21"/>
    </row>
    <row r="743">
      <c r="G743" s="21"/>
    </row>
    <row r="744">
      <c r="G744" s="21"/>
    </row>
    <row r="745">
      <c r="G745" s="21"/>
    </row>
    <row r="746">
      <c r="G746" s="21"/>
    </row>
    <row r="747">
      <c r="G747" s="21"/>
    </row>
    <row r="748">
      <c r="G748" s="21"/>
    </row>
    <row r="749">
      <c r="G749" s="21"/>
    </row>
    <row r="750">
      <c r="G750" s="21"/>
    </row>
    <row r="751">
      <c r="G751" s="21"/>
    </row>
    <row r="752">
      <c r="G752" s="21"/>
    </row>
    <row r="753">
      <c r="G753" s="21"/>
    </row>
    <row r="754">
      <c r="G754" s="21"/>
    </row>
    <row r="755">
      <c r="G755" s="21"/>
    </row>
    <row r="756">
      <c r="G756" s="21"/>
    </row>
    <row r="757">
      <c r="G757" s="21"/>
    </row>
    <row r="758">
      <c r="G758" s="21"/>
    </row>
    <row r="759">
      <c r="G759" s="21"/>
    </row>
    <row r="760">
      <c r="G760" s="21"/>
    </row>
    <row r="761">
      <c r="G761" s="21"/>
    </row>
    <row r="762">
      <c r="G762" s="21"/>
    </row>
    <row r="763">
      <c r="G763" s="21"/>
    </row>
    <row r="764">
      <c r="G764" s="21"/>
    </row>
    <row r="765">
      <c r="G765" s="21"/>
    </row>
    <row r="766">
      <c r="G766" s="21"/>
    </row>
    <row r="767">
      <c r="G767" s="21"/>
    </row>
    <row r="768">
      <c r="G768" s="21"/>
    </row>
    <row r="769">
      <c r="G769" s="21"/>
    </row>
    <row r="770">
      <c r="G770" s="21"/>
    </row>
    <row r="771">
      <c r="G771" s="21"/>
    </row>
    <row r="772">
      <c r="G772" s="21"/>
    </row>
    <row r="773">
      <c r="G773" s="21"/>
    </row>
    <row r="774">
      <c r="G774" s="21"/>
    </row>
    <row r="775">
      <c r="G775" s="21"/>
    </row>
    <row r="776">
      <c r="G776" s="21"/>
    </row>
    <row r="777">
      <c r="G777" s="21"/>
    </row>
    <row r="778">
      <c r="G778" s="21"/>
    </row>
    <row r="779">
      <c r="G779" s="21"/>
    </row>
    <row r="780">
      <c r="G780" s="21"/>
    </row>
    <row r="781">
      <c r="G781" s="21"/>
    </row>
    <row r="782">
      <c r="G782" s="21"/>
    </row>
    <row r="783">
      <c r="G783" s="21"/>
    </row>
    <row r="784">
      <c r="G784" s="21"/>
    </row>
    <row r="785">
      <c r="G785" s="21"/>
    </row>
    <row r="786">
      <c r="G786" s="21"/>
    </row>
    <row r="787">
      <c r="G787" s="21"/>
    </row>
    <row r="788">
      <c r="G788" s="21"/>
    </row>
    <row r="789">
      <c r="G789" s="21"/>
    </row>
    <row r="790">
      <c r="G790" s="21"/>
    </row>
    <row r="791">
      <c r="G791" s="21"/>
    </row>
    <row r="792">
      <c r="G792" s="21"/>
    </row>
    <row r="793">
      <c r="G793" s="21"/>
    </row>
    <row r="794">
      <c r="G794" s="21"/>
    </row>
    <row r="795">
      <c r="G795" s="21"/>
    </row>
    <row r="796">
      <c r="G796" s="21"/>
    </row>
    <row r="797">
      <c r="G797" s="21"/>
    </row>
    <row r="798">
      <c r="G798" s="21"/>
    </row>
    <row r="799">
      <c r="G799" s="21"/>
    </row>
    <row r="800">
      <c r="G800" s="21"/>
    </row>
    <row r="801">
      <c r="G801" s="21"/>
    </row>
    <row r="802">
      <c r="G802" s="21"/>
    </row>
    <row r="803">
      <c r="G803" s="21"/>
    </row>
    <row r="804">
      <c r="G804" s="21"/>
    </row>
    <row r="805">
      <c r="G805" s="21"/>
    </row>
    <row r="806">
      <c r="G806" s="21"/>
    </row>
    <row r="807">
      <c r="G807" s="21"/>
    </row>
    <row r="808">
      <c r="G808" s="21"/>
    </row>
    <row r="809">
      <c r="G809" s="21"/>
    </row>
    <row r="810">
      <c r="G810" s="21"/>
    </row>
    <row r="811">
      <c r="G811" s="21"/>
    </row>
    <row r="812">
      <c r="G812" s="21"/>
    </row>
    <row r="813">
      <c r="G813" s="21"/>
    </row>
    <row r="814">
      <c r="G814" s="21"/>
    </row>
    <row r="815">
      <c r="G815" s="21"/>
    </row>
    <row r="816">
      <c r="G816" s="21"/>
    </row>
    <row r="817">
      <c r="G817" s="21"/>
    </row>
    <row r="818">
      <c r="G818" s="21"/>
    </row>
    <row r="819">
      <c r="G819" s="21"/>
    </row>
    <row r="820">
      <c r="G820" s="21"/>
    </row>
    <row r="821">
      <c r="G821" s="21"/>
    </row>
    <row r="822">
      <c r="G822" s="21"/>
    </row>
    <row r="823">
      <c r="G823" s="21"/>
    </row>
    <row r="824">
      <c r="G824" s="21"/>
    </row>
    <row r="825">
      <c r="G825" s="21"/>
    </row>
    <row r="826">
      <c r="G826" s="21"/>
    </row>
    <row r="827">
      <c r="G827" s="21"/>
    </row>
    <row r="828">
      <c r="G828" s="21"/>
    </row>
    <row r="829">
      <c r="G829" s="21"/>
    </row>
    <row r="830">
      <c r="G830" s="21"/>
    </row>
    <row r="831">
      <c r="G831" s="21"/>
    </row>
    <row r="832">
      <c r="G832" s="21"/>
    </row>
    <row r="833">
      <c r="G833" s="21"/>
    </row>
    <row r="834">
      <c r="G834" s="21"/>
    </row>
    <row r="835">
      <c r="G835" s="21"/>
    </row>
    <row r="836">
      <c r="G836" s="21"/>
    </row>
    <row r="837">
      <c r="G837" s="21"/>
    </row>
    <row r="838">
      <c r="G838" s="21"/>
    </row>
    <row r="839">
      <c r="G839" s="21"/>
    </row>
    <row r="840">
      <c r="G840" s="21"/>
    </row>
    <row r="841">
      <c r="G841" s="21"/>
    </row>
    <row r="842">
      <c r="G842" s="21"/>
    </row>
    <row r="843">
      <c r="G843" s="21"/>
    </row>
    <row r="844">
      <c r="G844" s="21"/>
    </row>
    <row r="845">
      <c r="G845" s="21"/>
    </row>
    <row r="846">
      <c r="G846" s="21"/>
    </row>
    <row r="847">
      <c r="G847" s="21"/>
    </row>
    <row r="848">
      <c r="G848" s="21"/>
    </row>
    <row r="849">
      <c r="G849" s="21"/>
    </row>
    <row r="850">
      <c r="G850" s="21"/>
    </row>
    <row r="851">
      <c r="G851" s="21"/>
    </row>
    <row r="852">
      <c r="G852" s="21"/>
    </row>
    <row r="853">
      <c r="G853" s="21"/>
    </row>
    <row r="854">
      <c r="G854" s="21"/>
    </row>
    <row r="855">
      <c r="G855" s="21"/>
    </row>
    <row r="856">
      <c r="G856" s="21"/>
    </row>
    <row r="857">
      <c r="G857" s="21"/>
    </row>
    <row r="858">
      <c r="G858" s="21"/>
    </row>
    <row r="859">
      <c r="G859" s="21"/>
    </row>
    <row r="860">
      <c r="G860" s="21"/>
    </row>
    <row r="861">
      <c r="G861" s="21"/>
    </row>
    <row r="862">
      <c r="G862" s="21"/>
    </row>
    <row r="863">
      <c r="G863" s="21"/>
    </row>
    <row r="864">
      <c r="G864" s="21"/>
    </row>
    <row r="865">
      <c r="G865" s="21"/>
    </row>
    <row r="866">
      <c r="G866" s="21"/>
    </row>
    <row r="867">
      <c r="G867" s="21"/>
    </row>
    <row r="868">
      <c r="G868" s="21"/>
    </row>
    <row r="869">
      <c r="G869" s="21"/>
    </row>
    <row r="870">
      <c r="G870" s="21"/>
    </row>
    <row r="871">
      <c r="G871" s="21"/>
    </row>
    <row r="872">
      <c r="G872" s="21"/>
    </row>
    <row r="873">
      <c r="G873" s="21"/>
    </row>
    <row r="874">
      <c r="G874" s="21"/>
    </row>
    <row r="875">
      <c r="G875" s="21"/>
    </row>
    <row r="876">
      <c r="G876" s="21"/>
    </row>
    <row r="877">
      <c r="G877" s="21"/>
    </row>
    <row r="878">
      <c r="G878" s="21"/>
    </row>
    <row r="879">
      <c r="G879" s="21"/>
    </row>
    <row r="880">
      <c r="G880" s="21"/>
    </row>
    <row r="881">
      <c r="G881" s="21"/>
    </row>
    <row r="882">
      <c r="G882" s="21"/>
    </row>
    <row r="883">
      <c r="G883" s="21"/>
    </row>
    <row r="884">
      <c r="G884" s="21"/>
    </row>
    <row r="885">
      <c r="G885" s="21"/>
    </row>
    <row r="886">
      <c r="G886" s="21"/>
    </row>
    <row r="887">
      <c r="G887" s="21"/>
    </row>
    <row r="888">
      <c r="G888" s="21"/>
    </row>
    <row r="889">
      <c r="G889" s="21"/>
    </row>
    <row r="890">
      <c r="G890" s="21"/>
    </row>
    <row r="891">
      <c r="G891" s="21"/>
    </row>
    <row r="892">
      <c r="G892" s="21"/>
    </row>
    <row r="893">
      <c r="G893" s="21"/>
    </row>
    <row r="894">
      <c r="G894" s="21"/>
    </row>
    <row r="895">
      <c r="G895" s="21"/>
    </row>
    <row r="896">
      <c r="G896" s="21"/>
    </row>
    <row r="897">
      <c r="G897" s="21"/>
    </row>
    <row r="898">
      <c r="G898" s="21"/>
    </row>
    <row r="899">
      <c r="G899" s="21"/>
    </row>
    <row r="900">
      <c r="G900" s="21"/>
    </row>
    <row r="901">
      <c r="G901" s="21"/>
    </row>
    <row r="902">
      <c r="G902" s="21"/>
    </row>
    <row r="903">
      <c r="G903" s="21"/>
    </row>
    <row r="904">
      <c r="G904" s="21"/>
    </row>
    <row r="905">
      <c r="G905" s="21"/>
    </row>
    <row r="906">
      <c r="G906" s="21"/>
    </row>
    <row r="907">
      <c r="G907" s="21"/>
    </row>
    <row r="908">
      <c r="G908" s="21"/>
    </row>
    <row r="909">
      <c r="G909" s="21"/>
    </row>
    <row r="910">
      <c r="G910" s="21"/>
    </row>
    <row r="911">
      <c r="G911" s="21"/>
    </row>
    <row r="912">
      <c r="G912" s="21"/>
    </row>
    <row r="913">
      <c r="G913" s="21"/>
    </row>
    <row r="914">
      <c r="G914" s="21"/>
    </row>
    <row r="915">
      <c r="G915" s="21"/>
    </row>
    <row r="916">
      <c r="G916" s="21"/>
    </row>
    <row r="917">
      <c r="G917" s="21"/>
    </row>
    <row r="918">
      <c r="G918" s="21"/>
    </row>
    <row r="919">
      <c r="G919" s="21"/>
    </row>
    <row r="920">
      <c r="G920" s="21"/>
    </row>
    <row r="921">
      <c r="G921" s="21"/>
    </row>
    <row r="922">
      <c r="G922" s="21"/>
    </row>
    <row r="923">
      <c r="G923" s="21"/>
    </row>
    <row r="924">
      <c r="G924" s="21"/>
    </row>
    <row r="925">
      <c r="G925" s="21"/>
    </row>
    <row r="926">
      <c r="G926" s="21"/>
    </row>
    <row r="927">
      <c r="G927" s="21"/>
    </row>
    <row r="928">
      <c r="G928" s="21"/>
    </row>
    <row r="929">
      <c r="G929" s="21"/>
    </row>
    <row r="930">
      <c r="G930" s="21"/>
    </row>
    <row r="931">
      <c r="G931" s="21"/>
    </row>
    <row r="932">
      <c r="G932" s="21"/>
    </row>
    <row r="933">
      <c r="G933" s="21"/>
    </row>
    <row r="934">
      <c r="G934" s="21"/>
    </row>
    <row r="935">
      <c r="G935" s="21"/>
    </row>
    <row r="936">
      <c r="G936" s="21"/>
    </row>
    <row r="937">
      <c r="G937" s="21"/>
    </row>
    <row r="938">
      <c r="G938" s="21"/>
    </row>
    <row r="939">
      <c r="G939" s="21"/>
    </row>
    <row r="940">
      <c r="G940" s="21"/>
    </row>
    <row r="941">
      <c r="G941" s="21"/>
    </row>
    <row r="942">
      <c r="G942" s="21"/>
    </row>
    <row r="943">
      <c r="G943" s="21"/>
    </row>
    <row r="944">
      <c r="G944" s="21"/>
    </row>
    <row r="945">
      <c r="G945" s="21"/>
    </row>
    <row r="946">
      <c r="G946" s="21"/>
    </row>
    <row r="947">
      <c r="G947" s="21"/>
    </row>
    <row r="948">
      <c r="G948" s="21"/>
    </row>
    <row r="949">
      <c r="G949" s="21"/>
    </row>
    <row r="950">
      <c r="G950" s="21"/>
    </row>
    <row r="951">
      <c r="G951" s="21"/>
    </row>
    <row r="952">
      <c r="G952" s="21"/>
    </row>
    <row r="953">
      <c r="G953" s="21"/>
    </row>
    <row r="954">
      <c r="G954" s="21"/>
    </row>
    <row r="955">
      <c r="G955" s="21"/>
    </row>
    <row r="956">
      <c r="G956" s="21"/>
    </row>
    <row r="957">
      <c r="G957" s="21"/>
    </row>
    <row r="958">
      <c r="G958" s="21"/>
    </row>
    <row r="959">
      <c r="G959" s="21"/>
    </row>
    <row r="960">
      <c r="G960" s="21"/>
    </row>
    <row r="961">
      <c r="G961" s="21"/>
    </row>
    <row r="962">
      <c r="G962" s="21"/>
    </row>
    <row r="963">
      <c r="G963" s="21"/>
    </row>
    <row r="964">
      <c r="G964" s="21"/>
    </row>
    <row r="965">
      <c r="G965" s="21"/>
    </row>
    <row r="966">
      <c r="G966" s="21"/>
    </row>
    <row r="967">
      <c r="G967" s="21"/>
    </row>
    <row r="968">
      <c r="G968" s="21"/>
    </row>
    <row r="969">
      <c r="G969" s="21"/>
    </row>
    <row r="970">
      <c r="G970" s="21"/>
    </row>
    <row r="971">
      <c r="G971" s="21"/>
    </row>
    <row r="972">
      <c r="G972" s="21"/>
    </row>
    <row r="973">
      <c r="G973" s="21"/>
    </row>
    <row r="974">
      <c r="G974" s="21"/>
    </row>
    <row r="975">
      <c r="G975" s="21"/>
    </row>
    <row r="976">
      <c r="G976" s="21"/>
    </row>
    <row r="977">
      <c r="G977" s="21"/>
    </row>
    <row r="978">
      <c r="G978" s="21"/>
    </row>
    <row r="979">
      <c r="G979" s="21"/>
    </row>
    <row r="980">
      <c r="G980" s="21"/>
    </row>
    <row r="981">
      <c r="G981" s="21"/>
    </row>
    <row r="982">
      <c r="G982" s="21"/>
    </row>
    <row r="983">
      <c r="G983" s="21"/>
    </row>
    <row r="984">
      <c r="G984" s="21"/>
    </row>
    <row r="985">
      <c r="G985" s="21"/>
    </row>
    <row r="986">
      <c r="G986" s="21"/>
    </row>
    <row r="987">
      <c r="G987" s="21"/>
    </row>
    <row r="988">
      <c r="G988" s="21"/>
    </row>
    <row r="989">
      <c r="G989" s="21"/>
    </row>
    <row r="990">
      <c r="G990" s="21"/>
    </row>
    <row r="991">
      <c r="G991" s="21"/>
    </row>
    <row r="992">
      <c r="G992" s="21"/>
    </row>
    <row r="993">
      <c r="G993" s="21"/>
    </row>
    <row r="994">
      <c r="G994" s="21"/>
    </row>
    <row r="995">
      <c r="G995" s="21"/>
    </row>
    <row r="996">
      <c r="G996" s="2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s>
  <sheetData>
    <row r="1">
      <c r="A1" s="4" t="s">
        <v>2125</v>
      </c>
      <c r="B1" s="4" t="s">
        <v>1690</v>
      </c>
      <c r="C1" s="4" t="s">
        <v>2126</v>
      </c>
      <c r="D1" s="4" t="s">
        <v>1911</v>
      </c>
    </row>
    <row r="2">
      <c r="A2" s="7" t="s">
        <v>2127</v>
      </c>
      <c r="B2" s="4" t="s">
        <v>1710</v>
      </c>
      <c r="C2" s="4" t="s">
        <v>2128</v>
      </c>
      <c r="D2" s="4" t="s">
        <v>2129</v>
      </c>
    </row>
    <row r="3">
      <c r="A3" s="4" t="s">
        <v>2130</v>
      </c>
      <c r="B3" s="4" t="s">
        <v>1710</v>
      </c>
      <c r="C3" s="5" t="s">
        <v>62</v>
      </c>
      <c r="D3" s="4" t="s">
        <v>2131</v>
      </c>
    </row>
    <row r="4">
      <c r="A4" s="4" t="s">
        <v>2132</v>
      </c>
      <c r="B4" s="4" t="s">
        <v>1790</v>
      </c>
      <c r="C4" s="4" t="s">
        <v>2133</v>
      </c>
      <c r="D4" s="4" t="s">
        <v>2134</v>
      </c>
    </row>
    <row r="5">
      <c r="A5" s="4" t="s">
        <v>2135</v>
      </c>
      <c r="B5" s="4" t="s">
        <v>1798</v>
      </c>
      <c r="C5" s="4" t="s">
        <v>2136</v>
      </c>
      <c r="D5" s="4" t="s">
        <v>2137</v>
      </c>
    </row>
    <row r="6">
      <c r="A6" s="4" t="s">
        <v>2138</v>
      </c>
      <c r="B6" s="7" t="s">
        <v>1811</v>
      </c>
      <c r="C6" s="4" t="s">
        <v>2139</v>
      </c>
      <c r="D6" s="4" t="s">
        <v>2140</v>
      </c>
    </row>
  </sheetData>
  <hyperlinks>
    <hyperlink r:id="rId1" ref="C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38"/>
  </cols>
  <sheetData>
    <row r="1">
      <c r="A1" s="4" t="s">
        <v>2141</v>
      </c>
      <c r="B1" s="4" t="s">
        <v>2142</v>
      </c>
      <c r="C1" s="4" t="s">
        <v>2143</v>
      </c>
      <c r="D1" s="4" t="s">
        <v>3</v>
      </c>
      <c r="E1" s="8" t="s">
        <v>2144</v>
      </c>
      <c r="F1" s="8" t="s">
        <v>2105</v>
      </c>
      <c r="G1" s="4" t="s">
        <v>13</v>
      </c>
    </row>
    <row r="2">
      <c r="A2" s="4">
        <v>1.0</v>
      </c>
      <c r="B2" s="22" t="s">
        <v>2145</v>
      </c>
      <c r="C2" s="4" t="s">
        <v>2146</v>
      </c>
      <c r="D2" s="4" t="s">
        <v>26</v>
      </c>
      <c r="E2" s="19" t="s">
        <v>2147</v>
      </c>
      <c r="F2" s="19" t="s">
        <v>2148</v>
      </c>
      <c r="G2" s="4" t="s">
        <v>2149</v>
      </c>
    </row>
    <row r="3">
      <c r="A3" s="4">
        <v>2.0</v>
      </c>
      <c r="B3" s="22" t="s">
        <v>2150</v>
      </c>
      <c r="C3" s="4" t="s">
        <v>2151</v>
      </c>
      <c r="D3" s="4" t="s">
        <v>26</v>
      </c>
      <c r="E3" s="19" t="s">
        <v>2147</v>
      </c>
      <c r="F3" s="19" t="s">
        <v>2148</v>
      </c>
      <c r="G3" s="4" t="s">
        <v>2149</v>
      </c>
    </row>
    <row r="4">
      <c r="A4" s="4"/>
      <c r="B4" s="22"/>
      <c r="C4" s="4"/>
      <c r="D4" s="4"/>
      <c r="E4" s="8"/>
      <c r="F4" s="8"/>
      <c r="G4" s="4"/>
      <c r="L4" s="6"/>
    </row>
    <row r="5">
      <c r="A5" s="4">
        <v>4.0</v>
      </c>
      <c r="B5" s="22" t="s">
        <v>2152</v>
      </c>
      <c r="C5" s="4" t="s">
        <v>2153</v>
      </c>
      <c r="D5" s="4" t="s">
        <v>26</v>
      </c>
      <c r="E5" s="19" t="s">
        <v>2154</v>
      </c>
      <c r="F5" s="8">
        <v>4.0</v>
      </c>
      <c r="G5" s="4" t="s">
        <v>2149</v>
      </c>
      <c r="L5" s="6"/>
    </row>
    <row r="6">
      <c r="A6" s="4">
        <v>5.0</v>
      </c>
      <c r="B6" s="22" t="s">
        <v>2152</v>
      </c>
      <c r="C6" s="4" t="s">
        <v>2155</v>
      </c>
      <c r="D6" s="4" t="s">
        <v>26</v>
      </c>
      <c r="E6" s="8">
        <v>2.0</v>
      </c>
      <c r="F6" s="8">
        <v>4.0</v>
      </c>
      <c r="G6" s="4" t="s">
        <v>2149</v>
      </c>
      <c r="L6" s="6"/>
    </row>
    <row r="7">
      <c r="A7" s="4">
        <v>6.0</v>
      </c>
      <c r="B7" s="22" t="s">
        <v>2156</v>
      </c>
      <c r="C7" s="4" t="s">
        <v>2157</v>
      </c>
      <c r="D7" s="4" t="s">
        <v>26</v>
      </c>
      <c r="E7" s="8">
        <v>1.0</v>
      </c>
      <c r="F7" s="8">
        <v>4.0</v>
      </c>
      <c r="G7" s="4" t="s">
        <v>2149</v>
      </c>
      <c r="L7" s="6"/>
    </row>
    <row r="8">
      <c r="A8" s="4">
        <v>7.0</v>
      </c>
      <c r="B8" s="22" t="s">
        <v>2156</v>
      </c>
      <c r="C8" s="4" t="s">
        <v>2158</v>
      </c>
      <c r="D8" s="4" t="s">
        <v>26</v>
      </c>
      <c r="E8" s="8">
        <v>1.0</v>
      </c>
      <c r="F8" s="8">
        <v>4.0</v>
      </c>
      <c r="G8" s="4" t="s">
        <v>2149</v>
      </c>
    </row>
    <row r="9">
      <c r="A9" s="4">
        <v>8.0</v>
      </c>
      <c r="B9" s="22" t="s">
        <v>2156</v>
      </c>
      <c r="C9" s="4" t="s">
        <v>2159</v>
      </c>
      <c r="D9" s="4" t="s">
        <v>26</v>
      </c>
      <c r="E9" s="8">
        <v>1.0</v>
      </c>
      <c r="F9" s="8">
        <v>4.0</v>
      </c>
      <c r="G9" s="4" t="s">
        <v>2149</v>
      </c>
    </row>
    <row r="10">
      <c r="A10" s="4">
        <v>9.0</v>
      </c>
      <c r="B10" s="22" t="s">
        <v>2156</v>
      </c>
      <c r="C10" s="4" t="s">
        <v>2160</v>
      </c>
      <c r="D10" s="4" t="s">
        <v>26</v>
      </c>
      <c r="E10" s="8">
        <v>1.0</v>
      </c>
      <c r="F10" s="8">
        <v>4.0</v>
      </c>
      <c r="G10" s="4" t="s">
        <v>2149</v>
      </c>
    </row>
    <row r="11">
      <c r="A11" s="4">
        <v>10.0</v>
      </c>
      <c r="B11" s="22" t="s">
        <v>2161</v>
      </c>
      <c r="C11" s="4" t="s">
        <v>2162</v>
      </c>
      <c r="D11" s="4" t="s">
        <v>26</v>
      </c>
      <c r="E11" s="8">
        <v>4.0</v>
      </c>
      <c r="F11" s="8">
        <v>1.0</v>
      </c>
      <c r="G11" s="4" t="s">
        <v>2149</v>
      </c>
    </row>
    <row r="12">
      <c r="A12" s="4">
        <v>11.0</v>
      </c>
      <c r="B12" s="22" t="s">
        <v>2161</v>
      </c>
      <c r="C12" s="4" t="s">
        <v>2163</v>
      </c>
      <c r="D12" s="4" t="s">
        <v>26</v>
      </c>
      <c r="E12" s="8">
        <v>4.0</v>
      </c>
      <c r="F12" s="8">
        <v>1.0</v>
      </c>
      <c r="G12" s="4" t="s">
        <v>2149</v>
      </c>
    </row>
    <row r="13">
      <c r="A13" s="4">
        <v>12.0</v>
      </c>
      <c r="B13" s="22" t="s">
        <v>2161</v>
      </c>
      <c r="C13" s="4" t="s">
        <v>2164</v>
      </c>
      <c r="D13" s="4" t="s">
        <v>26</v>
      </c>
      <c r="E13" s="8">
        <v>4.0</v>
      </c>
      <c r="F13" s="8">
        <v>1.0</v>
      </c>
      <c r="G13" s="4" t="s">
        <v>2149</v>
      </c>
    </row>
    <row r="14">
      <c r="A14" s="4">
        <v>13.0</v>
      </c>
      <c r="B14" s="22" t="s">
        <v>2161</v>
      </c>
      <c r="C14" s="4" t="s">
        <v>2165</v>
      </c>
      <c r="D14" s="4" t="s">
        <v>26</v>
      </c>
      <c r="E14" s="8">
        <v>4.0</v>
      </c>
      <c r="F14" s="8">
        <v>2.0</v>
      </c>
      <c r="G14" s="4" t="s">
        <v>2149</v>
      </c>
      <c r="M14" s="6"/>
      <c r="P14" s="6"/>
    </row>
    <row r="15">
      <c r="A15" s="4">
        <v>14.0</v>
      </c>
      <c r="B15" s="22" t="s">
        <v>2161</v>
      </c>
      <c r="C15" s="4" t="s">
        <v>2166</v>
      </c>
      <c r="D15" s="4" t="s">
        <v>26</v>
      </c>
      <c r="E15" s="8">
        <v>4.0</v>
      </c>
      <c r="F15" s="8">
        <v>1.0</v>
      </c>
      <c r="G15" s="4" t="s">
        <v>2149</v>
      </c>
      <c r="M15" s="6"/>
      <c r="P15" s="6"/>
    </row>
    <row r="16">
      <c r="A16" s="4">
        <v>15.0</v>
      </c>
      <c r="B16" s="22" t="s">
        <v>2161</v>
      </c>
      <c r="C16" s="4" t="s">
        <v>2167</v>
      </c>
      <c r="D16" s="4" t="s">
        <v>26</v>
      </c>
      <c r="E16" s="8">
        <v>2.0</v>
      </c>
      <c r="F16" s="8">
        <v>4.0</v>
      </c>
      <c r="G16" s="4" t="s">
        <v>2149</v>
      </c>
      <c r="M16" s="6"/>
      <c r="P16" s="17"/>
      <c r="Q16" s="17"/>
    </row>
    <row r="17">
      <c r="A17" s="4">
        <v>16.0</v>
      </c>
      <c r="B17" s="22" t="s">
        <v>2161</v>
      </c>
      <c r="C17" s="4" t="s">
        <v>2168</v>
      </c>
      <c r="D17" s="4" t="s">
        <v>26</v>
      </c>
      <c r="E17" s="8">
        <v>2.0</v>
      </c>
      <c r="F17" s="8">
        <v>4.0</v>
      </c>
      <c r="G17" s="4" t="s">
        <v>2149</v>
      </c>
      <c r="M17" s="6"/>
      <c r="P17" s="6"/>
    </row>
    <row r="18">
      <c r="A18" s="4">
        <v>17.0</v>
      </c>
      <c r="B18" s="22" t="s">
        <v>2145</v>
      </c>
      <c r="C18" s="4" t="s">
        <v>2169</v>
      </c>
      <c r="D18" s="4" t="s">
        <v>26</v>
      </c>
      <c r="E18" s="8">
        <v>1.0</v>
      </c>
      <c r="F18" s="8">
        <v>4.0</v>
      </c>
      <c r="G18" s="4" t="s">
        <v>2149</v>
      </c>
      <c r="M18" s="6"/>
      <c r="P18" s="6"/>
      <c r="Q18" s="6"/>
    </row>
    <row r="19">
      <c r="A19" s="4">
        <v>18.0</v>
      </c>
      <c r="B19" s="22" t="s">
        <v>2145</v>
      </c>
      <c r="C19" s="4" t="s">
        <v>2170</v>
      </c>
      <c r="D19" s="4" t="s">
        <v>26</v>
      </c>
      <c r="E19" s="8">
        <v>1.0</v>
      </c>
      <c r="F19" s="8">
        <v>4.0</v>
      </c>
      <c r="G19" s="4" t="s">
        <v>2149</v>
      </c>
    </row>
    <row r="20">
      <c r="A20" s="4">
        <v>19.0</v>
      </c>
      <c r="B20" s="22" t="s">
        <v>2145</v>
      </c>
      <c r="C20" s="4" t="s">
        <v>2171</v>
      </c>
      <c r="D20" s="4" t="s">
        <v>26</v>
      </c>
      <c r="E20" s="8">
        <v>1.0</v>
      </c>
      <c r="F20" s="8">
        <v>4.0</v>
      </c>
      <c r="G20" s="4" t="s">
        <v>2149</v>
      </c>
    </row>
    <row r="21">
      <c r="A21" s="4">
        <v>20.0</v>
      </c>
      <c r="B21" s="22" t="s">
        <v>2145</v>
      </c>
      <c r="C21" s="4" t="s">
        <v>2172</v>
      </c>
      <c r="D21" s="4" t="s">
        <v>26</v>
      </c>
      <c r="E21" s="8">
        <v>1.0</v>
      </c>
      <c r="F21" s="8">
        <v>4.0</v>
      </c>
      <c r="G21" s="4" t="s">
        <v>2149</v>
      </c>
    </row>
    <row r="22">
      <c r="A22" s="4">
        <v>21.0</v>
      </c>
      <c r="B22" s="22" t="s">
        <v>2145</v>
      </c>
      <c r="C22" s="4" t="s">
        <v>2173</v>
      </c>
      <c r="D22" s="4" t="s">
        <v>26</v>
      </c>
      <c r="E22" s="8">
        <v>2.0</v>
      </c>
      <c r="F22" s="8">
        <v>4.0</v>
      </c>
      <c r="G22" s="4" t="s">
        <v>2149</v>
      </c>
    </row>
    <row r="23">
      <c r="A23" s="4">
        <v>22.0</v>
      </c>
      <c r="B23" s="22" t="s">
        <v>2174</v>
      </c>
      <c r="C23" s="4" t="s">
        <v>2175</v>
      </c>
      <c r="D23" s="4" t="s">
        <v>26</v>
      </c>
      <c r="E23" s="8">
        <v>1.0</v>
      </c>
      <c r="F23" s="8">
        <v>4.0</v>
      </c>
      <c r="G23" s="4" t="s">
        <v>2149</v>
      </c>
    </row>
    <row r="24">
      <c r="A24" s="4">
        <v>23.0</v>
      </c>
      <c r="B24" s="22" t="s">
        <v>2174</v>
      </c>
      <c r="C24" s="4" t="s">
        <v>2176</v>
      </c>
      <c r="D24" s="4" t="s">
        <v>26</v>
      </c>
      <c r="E24" s="8">
        <v>1.0</v>
      </c>
      <c r="F24" s="8">
        <v>4.0</v>
      </c>
      <c r="G24" s="4" t="s">
        <v>2149</v>
      </c>
    </row>
    <row r="25">
      <c r="A25" s="4">
        <v>24.0</v>
      </c>
      <c r="B25" s="22" t="s">
        <v>2174</v>
      </c>
      <c r="C25" s="4" t="s">
        <v>2177</v>
      </c>
      <c r="D25" s="4" t="s">
        <v>26</v>
      </c>
      <c r="E25" s="8">
        <v>1.0</v>
      </c>
      <c r="F25" s="8">
        <v>4.0</v>
      </c>
      <c r="G25" s="4" t="s">
        <v>2149</v>
      </c>
    </row>
    <row r="26">
      <c r="A26" s="4">
        <v>25.0</v>
      </c>
      <c r="B26" s="22" t="s">
        <v>2174</v>
      </c>
      <c r="C26" s="4" t="s">
        <v>2178</v>
      </c>
      <c r="D26" s="4" t="s">
        <v>26</v>
      </c>
      <c r="E26" s="8">
        <v>1.0</v>
      </c>
      <c r="F26" s="8">
        <v>4.0</v>
      </c>
      <c r="G26" s="4" t="s">
        <v>2149</v>
      </c>
    </row>
    <row r="27">
      <c r="A27" s="4">
        <v>26.0</v>
      </c>
      <c r="B27" s="22" t="s">
        <v>2150</v>
      </c>
      <c r="C27" s="4" t="s">
        <v>2179</v>
      </c>
      <c r="D27" s="4" t="s">
        <v>26</v>
      </c>
      <c r="E27" s="8">
        <v>1.0</v>
      </c>
      <c r="F27" s="8">
        <v>4.0</v>
      </c>
      <c r="G27" s="4" t="s">
        <v>2149</v>
      </c>
    </row>
    <row r="28">
      <c r="A28" s="4">
        <v>27.0</v>
      </c>
      <c r="B28" s="22" t="s">
        <v>2150</v>
      </c>
      <c r="C28" s="4" t="s">
        <v>2180</v>
      </c>
      <c r="D28" s="4" t="s">
        <v>26</v>
      </c>
      <c r="E28" s="8">
        <v>1.0</v>
      </c>
      <c r="F28" s="8">
        <v>4.0</v>
      </c>
      <c r="G28" s="4" t="s">
        <v>2149</v>
      </c>
    </row>
    <row r="29">
      <c r="A29" s="4">
        <v>28.0</v>
      </c>
      <c r="B29" s="22" t="s">
        <v>2150</v>
      </c>
      <c r="C29" s="4" t="s">
        <v>2181</v>
      </c>
      <c r="D29" s="4" t="s">
        <v>26</v>
      </c>
      <c r="E29" s="8">
        <v>4.0</v>
      </c>
      <c r="F29" s="8">
        <v>1.0</v>
      </c>
      <c r="G29" s="4" t="s">
        <v>2149</v>
      </c>
    </row>
    <row r="30">
      <c r="A30" s="4">
        <v>29.0</v>
      </c>
      <c r="B30" s="22" t="s">
        <v>2150</v>
      </c>
      <c r="C30" s="4" t="s">
        <v>2182</v>
      </c>
      <c r="D30" s="4" t="s">
        <v>26</v>
      </c>
      <c r="E30" s="8">
        <v>4.0</v>
      </c>
      <c r="F30" s="8">
        <v>1.0</v>
      </c>
      <c r="G30" s="4" t="s">
        <v>2149</v>
      </c>
    </row>
    <row r="31">
      <c r="A31" s="4"/>
      <c r="B31" s="22"/>
      <c r="C31" s="4"/>
      <c r="D31" s="4"/>
      <c r="E31" s="8"/>
      <c r="F31" s="8"/>
      <c r="G31" s="4"/>
    </row>
    <row r="32">
      <c r="A32" s="4">
        <v>31.0</v>
      </c>
      <c r="B32" s="22" t="s">
        <v>2183</v>
      </c>
      <c r="C32" s="4" t="s">
        <v>2184</v>
      </c>
      <c r="D32" s="4" t="s">
        <v>26</v>
      </c>
      <c r="E32" s="8">
        <v>4.0</v>
      </c>
      <c r="F32" s="21"/>
      <c r="G32" s="4" t="s">
        <v>2149</v>
      </c>
    </row>
    <row r="33">
      <c r="A33" s="4" t="s">
        <v>2185</v>
      </c>
      <c r="B33" s="4" t="s">
        <v>2186</v>
      </c>
      <c r="C33" s="4" t="s">
        <v>2187</v>
      </c>
      <c r="D33" s="4" t="s">
        <v>2188</v>
      </c>
      <c r="E33" s="19" t="s">
        <v>2154</v>
      </c>
      <c r="F33" s="19" t="s">
        <v>2148</v>
      </c>
      <c r="G33" s="4" t="s">
        <v>2189</v>
      </c>
    </row>
    <row r="34">
      <c r="A34" s="4" t="s">
        <v>2190</v>
      </c>
      <c r="B34" s="4" t="s">
        <v>2191</v>
      </c>
      <c r="C34" s="4" t="s">
        <v>2192</v>
      </c>
      <c r="D34" s="4" t="s">
        <v>2188</v>
      </c>
      <c r="E34" s="19" t="s">
        <v>2154</v>
      </c>
      <c r="F34" s="19" t="s">
        <v>2148</v>
      </c>
      <c r="G34" s="4" t="s">
        <v>2193</v>
      </c>
    </row>
    <row r="35">
      <c r="A35" s="4" t="s">
        <v>2194</v>
      </c>
      <c r="B35" s="4" t="s">
        <v>2195</v>
      </c>
      <c r="C35" s="4" t="s">
        <v>2196</v>
      </c>
      <c r="D35" s="4" t="s">
        <v>2188</v>
      </c>
      <c r="E35" s="19" t="s">
        <v>2147</v>
      </c>
      <c r="F35" s="19" t="s">
        <v>2148</v>
      </c>
      <c r="G35" s="4" t="s">
        <v>2193</v>
      </c>
    </row>
    <row r="36">
      <c r="A36" s="4" t="s">
        <v>2197</v>
      </c>
      <c r="B36" s="4" t="s">
        <v>2198</v>
      </c>
      <c r="C36" s="4" t="s">
        <v>2199</v>
      </c>
      <c r="D36" s="4" t="s">
        <v>26</v>
      </c>
      <c r="E36" s="19" t="s">
        <v>2200</v>
      </c>
      <c r="F36" s="19" t="s">
        <v>2148</v>
      </c>
      <c r="G36" s="4" t="s">
        <v>2189</v>
      </c>
    </row>
    <row r="37">
      <c r="A37" s="4" t="s">
        <v>2201</v>
      </c>
      <c r="B37" s="4" t="s">
        <v>2174</v>
      </c>
      <c r="C37" s="4" t="s">
        <v>2202</v>
      </c>
      <c r="D37" s="4" t="s">
        <v>26</v>
      </c>
      <c r="E37" s="19" t="s">
        <v>2148</v>
      </c>
      <c r="F37" s="19" t="s">
        <v>2147</v>
      </c>
      <c r="G37" s="4" t="s">
        <v>2189</v>
      </c>
    </row>
    <row r="38">
      <c r="A38" s="4" t="s">
        <v>2203</v>
      </c>
      <c r="B38" s="4" t="s">
        <v>2195</v>
      </c>
      <c r="C38" s="4" t="s">
        <v>2204</v>
      </c>
      <c r="D38" s="4" t="s">
        <v>26</v>
      </c>
      <c r="E38" s="19" t="s">
        <v>2148</v>
      </c>
      <c r="F38" s="19" t="s">
        <v>2147</v>
      </c>
      <c r="G38" s="4" t="s">
        <v>2189</v>
      </c>
    </row>
    <row r="39">
      <c r="A39" s="4" t="s">
        <v>2205</v>
      </c>
      <c r="B39" s="4" t="s">
        <v>2145</v>
      </c>
      <c r="C39" s="4" t="s">
        <v>2206</v>
      </c>
      <c r="D39" s="4" t="s">
        <v>26</v>
      </c>
      <c r="E39" s="19" t="s">
        <v>2148</v>
      </c>
      <c r="F39" s="19" t="s">
        <v>2147</v>
      </c>
      <c r="G39" s="4" t="s">
        <v>2189</v>
      </c>
    </row>
    <row r="40">
      <c r="A40" s="4"/>
      <c r="B40" s="4"/>
      <c r="C40" s="4"/>
      <c r="D40" s="4"/>
      <c r="E40" s="8"/>
      <c r="F40" s="8"/>
      <c r="G40" s="4"/>
    </row>
    <row r="41">
      <c r="A41" s="4" t="s">
        <v>2207</v>
      </c>
      <c r="B41" s="4" t="s">
        <v>2161</v>
      </c>
      <c r="C41" s="4" t="s">
        <v>2208</v>
      </c>
      <c r="D41" s="4" t="s">
        <v>26</v>
      </c>
      <c r="E41" s="19" t="s">
        <v>2148</v>
      </c>
      <c r="F41" s="21"/>
      <c r="G41" s="4" t="s">
        <v>2189</v>
      </c>
    </row>
    <row r="42">
      <c r="A42" s="4" t="s">
        <v>2209</v>
      </c>
      <c r="B42" s="4" t="s">
        <v>2161</v>
      </c>
      <c r="C42" s="4" t="s">
        <v>2210</v>
      </c>
      <c r="D42" s="4" t="s">
        <v>26</v>
      </c>
      <c r="E42" s="19" t="s">
        <v>2154</v>
      </c>
      <c r="F42" s="19" t="s">
        <v>2148</v>
      </c>
      <c r="G42" s="4" t="s">
        <v>2189</v>
      </c>
    </row>
    <row r="43">
      <c r="A43" s="4" t="s">
        <v>2211</v>
      </c>
      <c r="B43" s="4" t="s">
        <v>2152</v>
      </c>
      <c r="C43" s="4" t="s">
        <v>2212</v>
      </c>
      <c r="D43" s="4" t="s">
        <v>26</v>
      </c>
      <c r="E43" s="19" t="s">
        <v>2148</v>
      </c>
      <c r="F43" s="19" t="s">
        <v>2154</v>
      </c>
      <c r="G43" s="4" t="s">
        <v>2189</v>
      </c>
    </row>
    <row r="44">
      <c r="A44" s="4" t="s">
        <v>2213</v>
      </c>
      <c r="B44" s="4" t="s">
        <v>2191</v>
      </c>
      <c r="C44" s="4" t="s">
        <v>2214</v>
      </c>
      <c r="D44" s="4" t="s">
        <v>26</v>
      </c>
      <c r="E44" s="19" t="s">
        <v>2148</v>
      </c>
      <c r="F44" s="19" t="s">
        <v>2154</v>
      </c>
      <c r="G44" s="4" t="s">
        <v>2189</v>
      </c>
    </row>
    <row r="45">
      <c r="A45" s="4" t="s">
        <v>2215</v>
      </c>
      <c r="B45" s="4" t="s">
        <v>2216</v>
      </c>
      <c r="C45" s="4" t="s">
        <v>2217</v>
      </c>
      <c r="D45" s="4" t="s">
        <v>26</v>
      </c>
      <c r="E45" s="19" t="s">
        <v>2147</v>
      </c>
      <c r="F45" s="19" t="s">
        <v>2148</v>
      </c>
      <c r="G45" s="4" t="s">
        <v>2193</v>
      </c>
    </row>
    <row r="46">
      <c r="A46" s="7" t="s">
        <v>2218</v>
      </c>
      <c r="B46" s="4" t="s">
        <v>2150</v>
      </c>
      <c r="C46" s="4" t="s">
        <v>2219</v>
      </c>
      <c r="D46" s="4" t="s">
        <v>26</v>
      </c>
      <c r="E46" s="19" t="s">
        <v>2154</v>
      </c>
      <c r="F46" s="19" t="s">
        <v>2148</v>
      </c>
      <c r="G46" s="4" t="s">
        <v>2189</v>
      </c>
    </row>
    <row r="47">
      <c r="A47" s="4" t="s">
        <v>2220</v>
      </c>
      <c r="B47" s="4" t="s">
        <v>2216</v>
      </c>
      <c r="C47" s="4" t="s">
        <v>2221</v>
      </c>
      <c r="D47" s="4" t="s">
        <v>26</v>
      </c>
      <c r="E47" s="19" t="s">
        <v>2148</v>
      </c>
      <c r="F47" s="19" t="s">
        <v>2154</v>
      </c>
      <c r="G47" s="4" t="s">
        <v>2189</v>
      </c>
    </row>
    <row r="48">
      <c r="A48" s="4" t="s">
        <v>2222</v>
      </c>
      <c r="B48" s="4" t="s">
        <v>2216</v>
      </c>
      <c r="C48" s="4" t="s">
        <v>2223</v>
      </c>
      <c r="D48" s="4" t="s">
        <v>26</v>
      </c>
      <c r="E48" s="19" t="s">
        <v>2148</v>
      </c>
      <c r="F48" s="19" t="s">
        <v>2147</v>
      </c>
      <c r="G48" s="4" t="s">
        <v>2189</v>
      </c>
    </row>
    <row r="49">
      <c r="A49" s="7" t="s">
        <v>2224</v>
      </c>
      <c r="B49" s="4" t="s">
        <v>2225</v>
      </c>
      <c r="C49" s="4" t="s">
        <v>2226</v>
      </c>
      <c r="D49" s="4" t="s">
        <v>26</v>
      </c>
      <c r="E49" s="19" t="s">
        <v>2154</v>
      </c>
      <c r="F49" s="21"/>
      <c r="G49" s="4" t="s">
        <v>2189</v>
      </c>
    </row>
    <row r="50">
      <c r="A50" s="4" t="s">
        <v>2227</v>
      </c>
      <c r="B50" s="4" t="s">
        <v>2216</v>
      </c>
      <c r="C50" s="4" t="s">
        <v>2228</v>
      </c>
      <c r="D50" s="4" t="s">
        <v>26</v>
      </c>
      <c r="E50" s="19" t="s">
        <v>2148</v>
      </c>
      <c r="F50" s="21"/>
      <c r="G50" s="4" t="s">
        <v>2189</v>
      </c>
    </row>
    <row r="51">
      <c r="E51" s="21"/>
      <c r="F51" s="21"/>
    </row>
    <row r="52">
      <c r="E52" s="21"/>
      <c r="F52" s="21"/>
    </row>
    <row r="53">
      <c r="E53" s="21"/>
      <c r="F53" s="21"/>
    </row>
    <row r="54">
      <c r="E54" s="21"/>
      <c r="F54" s="21"/>
    </row>
    <row r="55">
      <c r="E55" s="21"/>
      <c r="F55" s="21"/>
    </row>
    <row r="56">
      <c r="E56" s="21"/>
      <c r="F56" s="21"/>
    </row>
    <row r="57">
      <c r="E57" s="21"/>
      <c r="F57" s="21"/>
    </row>
    <row r="58">
      <c r="E58" s="21"/>
      <c r="F58" s="21"/>
    </row>
    <row r="59">
      <c r="E59" s="21"/>
      <c r="F59" s="21"/>
    </row>
    <row r="60">
      <c r="E60" s="21"/>
      <c r="F60" s="21"/>
    </row>
    <row r="61">
      <c r="E61" s="21"/>
      <c r="F61" s="21"/>
    </row>
    <row r="62">
      <c r="E62" s="21"/>
      <c r="F62" s="21"/>
    </row>
    <row r="63">
      <c r="E63" s="21"/>
      <c r="F63" s="21"/>
    </row>
    <row r="64">
      <c r="E64" s="21"/>
      <c r="F64" s="21"/>
    </row>
    <row r="65">
      <c r="E65" s="21"/>
      <c r="F65" s="21"/>
    </row>
    <row r="66">
      <c r="E66" s="21"/>
      <c r="F66" s="21"/>
    </row>
    <row r="67">
      <c r="E67" s="21"/>
      <c r="F67" s="21"/>
    </row>
    <row r="68">
      <c r="E68" s="21"/>
      <c r="F68" s="21"/>
    </row>
    <row r="69">
      <c r="E69" s="21"/>
      <c r="F69" s="21"/>
    </row>
    <row r="70">
      <c r="E70" s="21"/>
      <c r="F70" s="21"/>
    </row>
    <row r="71">
      <c r="E71" s="21"/>
      <c r="F71" s="21"/>
    </row>
    <row r="72">
      <c r="E72" s="21"/>
      <c r="F72" s="21"/>
    </row>
    <row r="73">
      <c r="E73" s="21"/>
      <c r="F73" s="21"/>
    </row>
    <row r="74">
      <c r="E74" s="21"/>
      <c r="F74" s="21"/>
    </row>
    <row r="75">
      <c r="E75" s="21"/>
      <c r="F75" s="21"/>
    </row>
    <row r="76">
      <c r="E76" s="21"/>
      <c r="F76" s="21"/>
    </row>
    <row r="77">
      <c r="E77" s="21"/>
      <c r="F77" s="21"/>
    </row>
    <row r="78">
      <c r="E78" s="21"/>
      <c r="F78" s="21"/>
    </row>
    <row r="79">
      <c r="E79" s="21"/>
      <c r="F79" s="21"/>
    </row>
    <row r="80">
      <c r="E80" s="21"/>
      <c r="F80" s="21"/>
    </row>
    <row r="81">
      <c r="E81" s="21"/>
      <c r="F81" s="21"/>
    </row>
    <row r="82">
      <c r="E82" s="21"/>
      <c r="F82" s="21"/>
    </row>
    <row r="83">
      <c r="E83" s="21"/>
      <c r="F83" s="21"/>
    </row>
    <row r="84">
      <c r="E84" s="21"/>
      <c r="F84" s="21"/>
    </row>
    <row r="85">
      <c r="E85" s="21"/>
      <c r="F85" s="21"/>
    </row>
    <row r="86">
      <c r="E86" s="21"/>
      <c r="F86" s="21"/>
    </row>
    <row r="87">
      <c r="E87" s="21"/>
      <c r="F87" s="21"/>
    </row>
    <row r="88">
      <c r="E88" s="21"/>
      <c r="F88" s="21"/>
    </row>
    <row r="89">
      <c r="E89" s="21"/>
      <c r="F89" s="21"/>
    </row>
    <row r="90">
      <c r="E90" s="21"/>
      <c r="F90" s="21"/>
    </row>
    <row r="91">
      <c r="E91" s="21"/>
      <c r="F91" s="21"/>
    </row>
    <row r="92">
      <c r="E92" s="21"/>
      <c r="F92" s="21"/>
    </row>
    <row r="93">
      <c r="E93" s="21"/>
      <c r="F93" s="21"/>
    </row>
    <row r="94">
      <c r="E94" s="21"/>
      <c r="F94" s="21"/>
    </row>
    <row r="95">
      <c r="E95" s="21"/>
      <c r="F95" s="21"/>
    </row>
    <row r="96">
      <c r="E96" s="21"/>
      <c r="F96" s="21"/>
    </row>
    <row r="97">
      <c r="E97" s="21"/>
      <c r="F97" s="21"/>
    </row>
    <row r="98">
      <c r="E98" s="21"/>
      <c r="F98" s="21"/>
    </row>
    <row r="99">
      <c r="E99" s="21"/>
      <c r="F99" s="21"/>
    </row>
    <row r="100">
      <c r="E100" s="21"/>
      <c r="F100" s="21"/>
    </row>
    <row r="101">
      <c r="E101" s="21"/>
      <c r="F101" s="21"/>
    </row>
    <row r="102">
      <c r="E102" s="21"/>
      <c r="F102" s="21"/>
    </row>
    <row r="103">
      <c r="E103" s="21"/>
      <c r="F103" s="21"/>
    </row>
    <row r="104">
      <c r="E104" s="21"/>
      <c r="F104" s="21"/>
    </row>
    <row r="105">
      <c r="E105" s="21"/>
      <c r="F105" s="21"/>
    </row>
    <row r="106">
      <c r="E106" s="21"/>
      <c r="F106" s="21"/>
    </row>
    <row r="107">
      <c r="E107" s="21"/>
      <c r="F107" s="21"/>
    </row>
    <row r="108">
      <c r="E108" s="21"/>
      <c r="F108" s="21"/>
    </row>
    <row r="109">
      <c r="E109" s="21"/>
      <c r="F109" s="21"/>
    </row>
    <row r="110">
      <c r="E110" s="21"/>
      <c r="F110" s="21"/>
    </row>
    <row r="111">
      <c r="E111" s="21"/>
      <c r="F111" s="21"/>
    </row>
    <row r="112">
      <c r="E112" s="21"/>
      <c r="F112" s="21"/>
    </row>
    <row r="113">
      <c r="E113" s="21"/>
      <c r="F113" s="21"/>
    </row>
    <row r="114">
      <c r="E114" s="21"/>
      <c r="F114" s="21"/>
    </row>
    <row r="115">
      <c r="E115" s="21"/>
      <c r="F115" s="21"/>
    </row>
    <row r="116">
      <c r="E116" s="21"/>
      <c r="F116" s="21"/>
    </row>
    <row r="117">
      <c r="E117" s="21"/>
      <c r="F117" s="21"/>
    </row>
    <row r="118">
      <c r="E118" s="21"/>
      <c r="F118" s="21"/>
    </row>
    <row r="119">
      <c r="E119" s="21"/>
      <c r="F119" s="21"/>
    </row>
    <row r="120">
      <c r="E120" s="21"/>
      <c r="F120" s="21"/>
    </row>
    <row r="121">
      <c r="E121" s="21"/>
      <c r="F121" s="21"/>
    </row>
    <row r="122">
      <c r="E122" s="21"/>
      <c r="F122" s="21"/>
    </row>
    <row r="123">
      <c r="E123" s="21"/>
      <c r="F123" s="21"/>
    </row>
    <row r="124">
      <c r="E124" s="21"/>
      <c r="F124" s="21"/>
    </row>
    <row r="125">
      <c r="E125" s="21"/>
      <c r="F125" s="21"/>
    </row>
    <row r="126">
      <c r="E126" s="21"/>
      <c r="F126" s="21"/>
    </row>
    <row r="127">
      <c r="E127" s="21"/>
      <c r="F127" s="21"/>
    </row>
    <row r="128">
      <c r="E128" s="21"/>
      <c r="F128" s="21"/>
    </row>
    <row r="129">
      <c r="E129" s="21"/>
      <c r="F129" s="21"/>
    </row>
    <row r="130">
      <c r="E130" s="21"/>
      <c r="F130" s="21"/>
    </row>
    <row r="131">
      <c r="E131" s="21"/>
      <c r="F131" s="21"/>
    </row>
    <row r="132">
      <c r="E132" s="21"/>
      <c r="F132" s="21"/>
    </row>
    <row r="133">
      <c r="E133" s="21"/>
      <c r="F133" s="21"/>
    </row>
    <row r="134">
      <c r="E134" s="21"/>
      <c r="F134" s="21"/>
    </row>
    <row r="135">
      <c r="E135" s="21"/>
      <c r="F135" s="21"/>
    </row>
    <row r="136">
      <c r="E136" s="21"/>
      <c r="F136" s="21"/>
    </row>
    <row r="137">
      <c r="E137" s="21"/>
      <c r="F137" s="21"/>
    </row>
    <row r="138">
      <c r="E138" s="21"/>
      <c r="F138" s="21"/>
    </row>
    <row r="139">
      <c r="E139" s="21"/>
      <c r="F139" s="21"/>
    </row>
    <row r="140">
      <c r="E140" s="21"/>
      <c r="F140" s="21"/>
    </row>
    <row r="141">
      <c r="E141" s="21"/>
      <c r="F141" s="21"/>
    </row>
    <row r="142">
      <c r="E142" s="21"/>
      <c r="F142" s="21"/>
    </row>
    <row r="143">
      <c r="E143" s="21"/>
      <c r="F143" s="21"/>
    </row>
    <row r="144">
      <c r="E144" s="21"/>
      <c r="F144" s="21"/>
    </row>
    <row r="145">
      <c r="E145" s="21"/>
      <c r="F145" s="21"/>
    </row>
    <row r="146">
      <c r="E146" s="21"/>
      <c r="F146" s="21"/>
    </row>
    <row r="147">
      <c r="E147" s="21"/>
      <c r="F147" s="21"/>
    </row>
    <row r="148">
      <c r="E148" s="21"/>
      <c r="F148" s="21"/>
    </row>
    <row r="149">
      <c r="E149" s="21"/>
      <c r="F149" s="21"/>
    </row>
    <row r="150">
      <c r="E150" s="21"/>
      <c r="F150" s="21"/>
    </row>
    <row r="151">
      <c r="E151" s="21"/>
      <c r="F151" s="21"/>
    </row>
    <row r="152">
      <c r="E152" s="21"/>
      <c r="F152" s="21"/>
    </row>
    <row r="153">
      <c r="E153" s="21"/>
      <c r="F153" s="21"/>
    </row>
    <row r="154">
      <c r="E154" s="21"/>
      <c r="F154" s="21"/>
    </row>
    <row r="155">
      <c r="E155" s="21"/>
      <c r="F155" s="21"/>
    </row>
    <row r="156">
      <c r="E156" s="21"/>
      <c r="F156" s="21"/>
    </row>
    <row r="157">
      <c r="E157" s="21"/>
      <c r="F157" s="21"/>
    </row>
    <row r="158">
      <c r="E158" s="21"/>
      <c r="F158" s="21"/>
    </row>
    <row r="159">
      <c r="E159" s="21"/>
      <c r="F159" s="21"/>
    </row>
    <row r="160">
      <c r="E160" s="21"/>
      <c r="F160" s="21"/>
    </row>
    <row r="161">
      <c r="E161" s="21"/>
      <c r="F161" s="21"/>
    </row>
    <row r="162">
      <c r="E162" s="21"/>
      <c r="F162" s="21"/>
    </row>
    <row r="163">
      <c r="E163" s="21"/>
      <c r="F163" s="21"/>
    </row>
    <row r="164">
      <c r="E164" s="21"/>
      <c r="F164" s="21"/>
    </row>
    <row r="165">
      <c r="E165" s="21"/>
      <c r="F165" s="21"/>
    </row>
    <row r="166">
      <c r="E166" s="21"/>
      <c r="F166" s="21"/>
    </row>
    <row r="167">
      <c r="E167" s="21"/>
      <c r="F167" s="21"/>
    </row>
    <row r="168">
      <c r="E168" s="21"/>
      <c r="F168" s="21"/>
    </row>
    <row r="169">
      <c r="E169" s="21"/>
      <c r="F169" s="21"/>
    </row>
    <row r="170">
      <c r="E170" s="21"/>
      <c r="F170" s="21"/>
    </row>
    <row r="171">
      <c r="E171" s="21"/>
      <c r="F171" s="21"/>
    </row>
    <row r="172">
      <c r="E172" s="21"/>
      <c r="F172" s="21"/>
    </row>
    <row r="173">
      <c r="E173" s="21"/>
      <c r="F173" s="21"/>
    </row>
    <row r="174">
      <c r="E174" s="21"/>
      <c r="F174" s="21"/>
    </row>
    <row r="175">
      <c r="E175" s="21"/>
      <c r="F175" s="21"/>
    </row>
    <row r="176">
      <c r="E176" s="21"/>
      <c r="F176" s="21"/>
    </row>
    <row r="177">
      <c r="E177" s="21"/>
      <c r="F177" s="21"/>
    </row>
    <row r="178">
      <c r="E178" s="21"/>
      <c r="F178" s="21"/>
    </row>
    <row r="179">
      <c r="E179" s="21"/>
      <c r="F179" s="21"/>
    </row>
    <row r="180">
      <c r="E180" s="21"/>
      <c r="F180" s="21"/>
    </row>
    <row r="181">
      <c r="E181" s="21"/>
      <c r="F181" s="21"/>
    </row>
    <row r="182">
      <c r="E182" s="21"/>
      <c r="F182" s="21"/>
    </row>
    <row r="183">
      <c r="E183" s="21"/>
      <c r="F183" s="21"/>
    </row>
    <row r="184">
      <c r="E184" s="21"/>
      <c r="F184" s="21"/>
    </row>
    <row r="185">
      <c r="E185" s="21"/>
      <c r="F185" s="21"/>
    </row>
    <row r="186">
      <c r="E186" s="21"/>
      <c r="F186" s="21"/>
    </row>
    <row r="187">
      <c r="E187" s="21"/>
      <c r="F187" s="21"/>
    </row>
    <row r="188">
      <c r="E188" s="21"/>
      <c r="F188" s="21"/>
    </row>
    <row r="189">
      <c r="E189" s="21"/>
      <c r="F189" s="21"/>
    </row>
    <row r="190">
      <c r="E190" s="21"/>
      <c r="F190" s="21"/>
    </row>
    <row r="191">
      <c r="E191" s="21"/>
      <c r="F191" s="21"/>
    </row>
    <row r="192">
      <c r="E192" s="21"/>
      <c r="F192" s="21"/>
    </row>
    <row r="193">
      <c r="E193" s="21"/>
      <c r="F193" s="21"/>
    </row>
    <row r="194">
      <c r="E194" s="21"/>
      <c r="F194" s="21"/>
    </row>
    <row r="195">
      <c r="E195" s="21"/>
      <c r="F195" s="21"/>
    </row>
    <row r="196">
      <c r="E196" s="21"/>
      <c r="F196" s="21"/>
    </row>
    <row r="197">
      <c r="E197" s="21"/>
      <c r="F197" s="21"/>
    </row>
    <row r="198">
      <c r="E198" s="21"/>
      <c r="F198" s="21"/>
    </row>
    <row r="199">
      <c r="E199" s="21"/>
      <c r="F199" s="21"/>
    </row>
    <row r="200">
      <c r="E200" s="21"/>
      <c r="F200" s="21"/>
    </row>
    <row r="201">
      <c r="E201" s="21"/>
      <c r="F201" s="21"/>
    </row>
    <row r="202">
      <c r="E202" s="21"/>
      <c r="F202" s="21"/>
    </row>
    <row r="203">
      <c r="E203" s="21"/>
      <c r="F203" s="21"/>
    </row>
    <row r="204">
      <c r="E204" s="21"/>
      <c r="F204" s="21"/>
    </row>
    <row r="205">
      <c r="E205" s="21"/>
      <c r="F205" s="21"/>
    </row>
    <row r="206">
      <c r="E206" s="21"/>
      <c r="F206" s="21"/>
    </row>
    <row r="207">
      <c r="E207" s="21"/>
      <c r="F207" s="21"/>
    </row>
    <row r="208">
      <c r="E208" s="21"/>
      <c r="F208" s="21"/>
    </row>
    <row r="209">
      <c r="E209" s="21"/>
      <c r="F209" s="21"/>
    </row>
    <row r="210">
      <c r="E210" s="21"/>
      <c r="F210" s="21"/>
    </row>
    <row r="211">
      <c r="E211" s="21"/>
      <c r="F211" s="21"/>
    </row>
    <row r="212">
      <c r="E212" s="21"/>
      <c r="F212" s="21"/>
    </row>
    <row r="213">
      <c r="E213" s="21"/>
      <c r="F213" s="21"/>
    </row>
    <row r="214">
      <c r="E214" s="21"/>
      <c r="F214" s="21"/>
    </row>
    <row r="215">
      <c r="E215" s="21"/>
      <c r="F215" s="21"/>
    </row>
    <row r="216">
      <c r="E216" s="21"/>
      <c r="F216" s="21"/>
    </row>
    <row r="217">
      <c r="E217" s="21"/>
      <c r="F217" s="21"/>
    </row>
    <row r="218">
      <c r="E218" s="21"/>
      <c r="F218" s="21"/>
    </row>
    <row r="219">
      <c r="E219" s="21"/>
      <c r="F219" s="21"/>
    </row>
    <row r="220">
      <c r="E220" s="21"/>
      <c r="F220" s="21"/>
    </row>
    <row r="221">
      <c r="E221" s="21"/>
      <c r="F221" s="21"/>
    </row>
    <row r="222">
      <c r="E222" s="21"/>
      <c r="F222" s="21"/>
    </row>
    <row r="223">
      <c r="E223" s="21"/>
      <c r="F223" s="21"/>
    </row>
    <row r="224">
      <c r="E224" s="21"/>
      <c r="F224" s="21"/>
    </row>
    <row r="225">
      <c r="E225" s="21"/>
      <c r="F225" s="21"/>
    </row>
    <row r="226">
      <c r="E226" s="21"/>
      <c r="F226" s="21"/>
    </row>
    <row r="227">
      <c r="E227" s="21"/>
      <c r="F227" s="21"/>
    </row>
    <row r="228">
      <c r="E228" s="21"/>
      <c r="F228" s="21"/>
    </row>
    <row r="229">
      <c r="E229" s="21"/>
      <c r="F229" s="21"/>
    </row>
    <row r="230">
      <c r="E230" s="21"/>
      <c r="F230" s="21"/>
    </row>
    <row r="231">
      <c r="E231" s="21"/>
      <c r="F231" s="21"/>
    </row>
    <row r="232">
      <c r="E232" s="21"/>
      <c r="F232" s="21"/>
    </row>
    <row r="233">
      <c r="E233" s="21"/>
      <c r="F233" s="21"/>
    </row>
    <row r="234">
      <c r="E234" s="21"/>
      <c r="F234" s="21"/>
    </row>
    <row r="235">
      <c r="E235" s="21"/>
      <c r="F235" s="21"/>
    </row>
    <row r="236">
      <c r="E236" s="21"/>
      <c r="F236" s="21"/>
    </row>
    <row r="237">
      <c r="E237" s="21"/>
      <c r="F237" s="21"/>
    </row>
    <row r="238">
      <c r="E238" s="21"/>
      <c r="F238" s="21"/>
    </row>
    <row r="239">
      <c r="E239" s="21"/>
      <c r="F239" s="21"/>
    </row>
    <row r="240">
      <c r="E240" s="21"/>
      <c r="F240" s="21"/>
    </row>
    <row r="241">
      <c r="E241" s="21"/>
      <c r="F241" s="21"/>
    </row>
    <row r="242">
      <c r="E242" s="21"/>
      <c r="F242" s="21"/>
    </row>
    <row r="243">
      <c r="E243" s="21"/>
      <c r="F243" s="21"/>
    </row>
    <row r="244">
      <c r="E244" s="21"/>
      <c r="F244" s="21"/>
    </row>
    <row r="245">
      <c r="E245" s="21"/>
      <c r="F245" s="21"/>
    </row>
    <row r="246">
      <c r="E246" s="21"/>
      <c r="F246" s="21"/>
    </row>
    <row r="247">
      <c r="E247" s="21"/>
      <c r="F247" s="21"/>
    </row>
    <row r="248">
      <c r="E248" s="21"/>
      <c r="F248" s="21"/>
    </row>
    <row r="249">
      <c r="E249" s="21"/>
      <c r="F249" s="21"/>
    </row>
    <row r="250">
      <c r="E250" s="21"/>
      <c r="F250" s="21"/>
    </row>
    <row r="251">
      <c r="E251" s="21"/>
      <c r="F251" s="21"/>
    </row>
    <row r="252">
      <c r="E252" s="21"/>
      <c r="F252" s="21"/>
    </row>
    <row r="253">
      <c r="E253" s="21"/>
      <c r="F253" s="21"/>
    </row>
    <row r="254">
      <c r="E254" s="21"/>
      <c r="F254" s="21"/>
    </row>
    <row r="255">
      <c r="E255" s="21"/>
      <c r="F255" s="21"/>
    </row>
    <row r="256">
      <c r="E256" s="21"/>
      <c r="F256" s="21"/>
    </row>
    <row r="257">
      <c r="E257" s="21"/>
      <c r="F257" s="21"/>
    </row>
    <row r="258">
      <c r="E258" s="21"/>
      <c r="F258" s="21"/>
    </row>
    <row r="259">
      <c r="E259" s="21"/>
      <c r="F259" s="21"/>
    </row>
    <row r="260">
      <c r="E260" s="21"/>
      <c r="F260" s="21"/>
    </row>
    <row r="261">
      <c r="E261" s="21"/>
      <c r="F261" s="21"/>
    </row>
    <row r="262">
      <c r="E262" s="21"/>
      <c r="F262" s="21"/>
    </row>
    <row r="263">
      <c r="E263" s="21"/>
      <c r="F263" s="21"/>
    </row>
    <row r="264">
      <c r="E264" s="21"/>
      <c r="F264" s="21"/>
    </row>
    <row r="265">
      <c r="E265" s="21"/>
      <c r="F265" s="21"/>
    </row>
    <row r="266">
      <c r="E266" s="21"/>
      <c r="F266" s="21"/>
    </row>
    <row r="267">
      <c r="E267" s="21"/>
      <c r="F267" s="21"/>
    </row>
    <row r="268">
      <c r="E268" s="21"/>
      <c r="F268" s="21"/>
    </row>
    <row r="269">
      <c r="E269" s="21"/>
      <c r="F269" s="21"/>
    </row>
    <row r="270">
      <c r="E270" s="21"/>
      <c r="F270" s="21"/>
    </row>
    <row r="271">
      <c r="E271" s="21"/>
      <c r="F271" s="21"/>
    </row>
    <row r="272">
      <c r="E272" s="21"/>
      <c r="F272" s="21"/>
    </row>
    <row r="273">
      <c r="E273" s="21"/>
      <c r="F273" s="21"/>
    </row>
    <row r="274">
      <c r="E274" s="21"/>
      <c r="F274" s="21"/>
    </row>
    <row r="275">
      <c r="E275" s="21"/>
      <c r="F275" s="21"/>
    </row>
    <row r="276">
      <c r="E276" s="21"/>
      <c r="F276" s="21"/>
    </row>
    <row r="277">
      <c r="E277" s="21"/>
      <c r="F277" s="21"/>
    </row>
    <row r="278">
      <c r="E278" s="21"/>
      <c r="F278" s="21"/>
    </row>
    <row r="279">
      <c r="E279" s="21"/>
      <c r="F279" s="21"/>
    </row>
    <row r="280">
      <c r="E280" s="21"/>
      <c r="F280" s="21"/>
    </row>
    <row r="281">
      <c r="E281" s="21"/>
      <c r="F281" s="21"/>
    </row>
    <row r="282">
      <c r="E282" s="21"/>
      <c r="F282" s="21"/>
    </row>
    <row r="283">
      <c r="E283" s="21"/>
      <c r="F283" s="21"/>
    </row>
    <row r="284">
      <c r="E284" s="21"/>
      <c r="F284" s="21"/>
    </row>
    <row r="285">
      <c r="E285" s="21"/>
      <c r="F285" s="21"/>
    </row>
    <row r="286">
      <c r="E286" s="21"/>
      <c r="F286" s="21"/>
    </row>
    <row r="287">
      <c r="E287" s="21"/>
      <c r="F287" s="21"/>
    </row>
    <row r="288">
      <c r="E288" s="21"/>
      <c r="F288" s="21"/>
    </row>
    <row r="289">
      <c r="E289" s="21"/>
      <c r="F289" s="21"/>
    </row>
    <row r="290">
      <c r="E290" s="21"/>
      <c r="F290" s="21"/>
    </row>
    <row r="291">
      <c r="E291" s="21"/>
      <c r="F291" s="21"/>
    </row>
    <row r="292">
      <c r="E292" s="21"/>
      <c r="F292" s="21"/>
    </row>
    <row r="293">
      <c r="E293" s="21"/>
      <c r="F293" s="21"/>
    </row>
    <row r="294">
      <c r="E294" s="21"/>
      <c r="F294" s="21"/>
    </row>
    <row r="295">
      <c r="E295" s="21"/>
      <c r="F295" s="21"/>
    </row>
    <row r="296">
      <c r="E296" s="21"/>
      <c r="F296" s="21"/>
    </row>
    <row r="297">
      <c r="E297" s="21"/>
      <c r="F297" s="21"/>
    </row>
    <row r="298">
      <c r="E298" s="21"/>
      <c r="F298" s="21"/>
    </row>
    <row r="299">
      <c r="E299" s="21"/>
      <c r="F299" s="21"/>
    </row>
    <row r="300">
      <c r="E300" s="21"/>
      <c r="F300" s="21"/>
    </row>
    <row r="301">
      <c r="E301" s="21"/>
      <c r="F301" s="21"/>
    </row>
    <row r="302">
      <c r="E302" s="21"/>
      <c r="F302" s="21"/>
    </row>
    <row r="303">
      <c r="E303" s="21"/>
      <c r="F303" s="21"/>
    </row>
    <row r="304">
      <c r="E304" s="21"/>
      <c r="F304" s="21"/>
    </row>
    <row r="305">
      <c r="E305" s="21"/>
      <c r="F305" s="21"/>
    </row>
    <row r="306">
      <c r="E306" s="21"/>
      <c r="F306" s="21"/>
    </row>
    <row r="307">
      <c r="E307" s="21"/>
      <c r="F307" s="21"/>
    </row>
    <row r="308">
      <c r="E308" s="21"/>
      <c r="F308" s="21"/>
    </row>
    <row r="309">
      <c r="E309" s="21"/>
      <c r="F309" s="21"/>
    </row>
    <row r="310">
      <c r="E310" s="21"/>
      <c r="F310" s="21"/>
    </row>
    <row r="311">
      <c r="E311" s="21"/>
      <c r="F311" s="21"/>
    </row>
    <row r="312">
      <c r="E312" s="21"/>
      <c r="F312" s="21"/>
    </row>
    <row r="313">
      <c r="E313" s="21"/>
      <c r="F313" s="21"/>
    </row>
    <row r="314">
      <c r="E314" s="21"/>
      <c r="F314" s="21"/>
    </row>
    <row r="315">
      <c r="E315" s="21"/>
      <c r="F315" s="21"/>
    </row>
    <row r="316">
      <c r="E316" s="21"/>
      <c r="F316" s="21"/>
    </row>
    <row r="317">
      <c r="E317" s="21"/>
      <c r="F317" s="21"/>
    </row>
    <row r="318">
      <c r="E318" s="21"/>
      <c r="F318" s="21"/>
    </row>
    <row r="319">
      <c r="E319" s="21"/>
      <c r="F319" s="21"/>
    </row>
    <row r="320">
      <c r="E320" s="21"/>
      <c r="F320" s="21"/>
    </row>
    <row r="321">
      <c r="E321" s="21"/>
      <c r="F321" s="21"/>
    </row>
    <row r="322">
      <c r="E322" s="21"/>
      <c r="F322" s="21"/>
    </row>
    <row r="323">
      <c r="E323" s="21"/>
      <c r="F323" s="21"/>
    </row>
    <row r="324">
      <c r="E324" s="21"/>
      <c r="F324" s="21"/>
    </row>
    <row r="325">
      <c r="E325" s="21"/>
      <c r="F325" s="21"/>
    </row>
    <row r="326">
      <c r="E326" s="21"/>
      <c r="F326" s="21"/>
    </row>
    <row r="327">
      <c r="E327" s="21"/>
      <c r="F327" s="21"/>
    </row>
    <row r="328">
      <c r="E328" s="21"/>
      <c r="F328" s="21"/>
    </row>
    <row r="329">
      <c r="E329" s="21"/>
      <c r="F329" s="21"/>
    </row>
    <row r="330">
      <c r="E330" s="21"/>
      <c r="F330" s="21"/>
    </row>
    <row r="331">
      <c r="E331" s="21"/>
      <c r="F331" s="21"/>
    </row>
    <row r="332">
      <c r="E332" s="21"/>
      <c r="F332" s="21"/>
    </row>
    <row r="333">
      <c r="E333" s="21"/>
      <c r="F333" s="21"/>
    </row>
    <row r="334">
      <c r="E334" s="21"/>
      <c r="F334" s="21"/>
    </row>
    <row r="335">
      <c r="E335" s="21"/>
      <c r="F335" s="21"/>
    </row>
    <row r="336">
      <c r="E336" s="21"/>
      <c r="F336" s="21"/>
    </row>
    <row r="337">
      <c r="E337" s="21"/>
      <c r="F337" s="21"/>
    </row>
    <row r="338">
      <c r="E338" s="21"/>
      <c r="F338" s="21"/>
    </row>
    <row r="339">
      <c r="E339" s="21"/>
      <c r="F339" s="21"/>
    </row>
    <row r="340">
      <c r="E340" s="21"/>
      <c r="F340" s="21"/>
    </row>
    <row r="341">
      <c r="E341" s="21"/>
      <c r="F341" s="21"/>
    </row>
    <row r="342">
      <c r="E342" s="21"/>
      <c r="F342" s="21"/>
    </row>
    <row r="343">
      <c r="E343" s="21"/>
      <c r="F343" s="21"/>
    </row>
    <row r="344">
      <c r="E344" s="21"/>
      <c r="F344" s="21"/>
    </row>
    <row r="345">
      <c r="E345" s="21"/>
      <c r="F345" s="21"/>
    </row>
    <row r="346">
      <c r="E346" s="21"/>
      <c r="F346" s="21"/>
    </row>
    <row r="347">
      <c r="E347" s="21"/>
      <c r="F347" s="21"/>
    </row>
    <row r="348">
      <c r="E348" s="21"/>
      <c r="F348" s="21"/>
    </row>
    <row r="349">
      <c r="E349" s="21"/>
      <c r="F349" s="21"/>
    </row>
    <row r="350">
      <c r="E350" s="21"/>
      <c r="F350" s="21"/>
    </row>
    <row r="351">
      <c r="E351" s="21"/>
      <c r="F351" s="21"/>
    </row>
    <row r="352">
      <c r="E352" s="21"/>
      <c r="F352" s="21"/>
    </row>
    <row r="353">
      <c r="E353" s="21"/>
      <c r="F353" s="21"/>
    </row>
    <row r="354">
      <c r="E354" s="21"/>
      <c r="F354" s="21"/>
    </row>
    <row r="355">
      <c r="E355" s="21"/>
      <c r="F355" s="21"/>
    </row>
    <row r="356">
      <c r="E356" s="21"/>
      <c r="F356" s="21"/>
    </row>
    <row r="357">
      <c r="E357" s="21"/>
      <c r="F357" s="21"/>
    </row>
    <row r="358">
      <c r="E358" s="21"/>
      <c r="F358" s="21"/>
    </row>
    <row r="359">
      <c r="E359" s="21"/>
      <c r="F359" s="21"/>
    </row>
    <row r="360">
      <c r="E360" s="21"/>
      <c r="F360" s="21"/>
    </row>
    <row r="361">
      <c r="E361" s="21"/>
      <c r="F361" s="21"/>
    </row>
    <row r="362">
      <c r="E362" s="21"/>
      <c r="F362" s="21"/>
    </row>
    <row r="363">
      <c r="E363" s="21"/>
      <c r="F363" s="21"/>
    </row>
    <row r="364">
      <c r="E364" s="21"/>
      <c r="F364" s="21"/>
    </row>
    <row r="365">
      <c r="E365" s="21"/>
      <c r="F365" s="21"/>
    </row>
    <row r="366">
      <c r="E366" s="21"/>
      <c r="F366" s="21"/>
    </row>
    <row r="367">
      <c r="E367" s="21"/>
      <c r="F367" s="21"/>
    </row>
    <row r="368">
      <c r="E368" s="21"/>
      <c r="F368" s="21"/>
    </row>
    <row r="369">
      <c r="E369" s="21"/>
      <c r="F369" s="21"/>
    </row>
    <row r="370">
      <c r="E370" s="21"/>
      <c r="F370" s="21"/>
    </row>
    <row r="371">
      <c r="E371" s="21"/>
      <c r="F371" s="21"/>
    </row>
    <row r="372">
      <c r="E372" s="21"/>
      <c r="F372" s="21"/>
    </row>
    <row r="373">
      <c r="E373" s="21"/>
      <c r="F373" s="21"/>
    </row>
    <row r="374">
      <c r="E374" s="21"/>
      <c r="F374" s="21"/>
    </row>
    <row r="375">
      <c r="E375" s="21"/>
      <c r="F375" s="21"/>
    </row>
    <row r="376">
      <c r="E376" s="21"/>
      <c r="F376" s="21"/>
    </row>
    <row r="377">
      <c r="E377" s="21"/>
      <c r="F377" s="21"/>
    </row>
    <row r="378">
      <c r="E378" s="21"/>
      <c r="F378" s="21"/>
    </row>
    <row r="379">
      <c r="E379" s="21"/>
      <c r="F379" s="21"/>
    </row>
    <row r="380">
      <c r="E380" s="21"/>
      <c r="F380" s="21"/>
    </row>
    <row r="381">
      <c r="E381" s="21"/>
      <c r="F381" s="21"/>
    </row>
    <row r="382">
      <c r="E382" s="21"/>
      <c r="F382" s="21"/>
    </row>
    <row r="383">
      <c r="E383" s="21"/>
      <c r="F383" s="21"/>
    </row>
    <row r="384">
      <c r="E384" s="21"/>
      <c r="F384" s="21"/>
    </row>
    <row r="385">
      <c r="E385" s="21"/>
      <c r="F385" s="21"/>
    </row>
    <row r="386">
      <c r="E386" s="21"/>
      <c r="F386" s="21"/>
    </row>
    <row r="387">
      <c r="E387" s="21"/>
      <c r="F387" s="21"/>
    </row>
    <row r="388">
      <c r="E388" s="21"/>
      <c r="F388" s="21"/>
    </row>
    <row r="389">
      <c r="E389" s="21"/>
      <c r="F389" s="21"/>
    </row>
    <row r="390">
      <c r="E390" s="21"/>
      <c r="F390" s="21"/>
    </row>
    <row r="391">
      <c r="E391" s="21"/>
      <c r="F391" s="21"/>
    </row>
    <row r="392">
      <c r="E392" s="21"/>
      <c r="F392" s="21"/>
    </row>
    <row r="393">
      <c r="E393" s="21"/>
      <c r="F393" s="21"/>
    </row>
    <row r="394">
      <c r="E394" s="21"/>
      <c r="F394" s="21"/>
    </row>
    <row r="395">
      <c r="E395" s="21"/>
      <c r="F395" s="21"/>
    </row>
    <row r="396">
      <c r="E396" s="21"/>
      <c r="F396" s="21"/>
    </row>
    <row r="397">
      <c r="E397" s="21"/>
      <c r="F397" s="21"/>
    </row>
    <row r="398">
      <c r="E398" s="21"/>
      <c r="F398" s="21"/>
    </row>
    <row r="399">
      <c r="E399" s="21"/>
      <c r="F399" s="21"/>
    </row>
    <row r="400">
      <c r="E400" s="21"/>
      <c r="F400" s="21"/>
    </row>
    <row r="401">
      <c r="E401" s="21"/>
      <c r="F401" s="21"/>
    </row>
    <row r="402">
      <c r="E402" s="21"/>
      <c r="F402" s="21"/>
    </row>
    <row r="403">
      <c r="E403" s="21"/>
      <c r="F403" s="21"/>
    </row>
    <row r="404">
      <c r="E404" s="21"/>
      <c r="F404" s="21"/>
    </row>
    <row r="405">
      <c r="E405" s="21"/>
      <c r="F405" s="21"/>
    </row>
    <row r="406">
      <c r="E406" s="21"/>
      <c r="F406" s="21"/>
    </row>
    <row r="407">
      <c r="E407" s="21"/>
      <c r="F407" s="21"/>
    </row>
    <row r="408">
      <c r="E408" s="21"/>
      <c r="F408" s="21"/>
    </row>
    <row r="409">
      <c r="E409" s="21"/>
      <c r="F409" s="21"/>
    </row>
    <row r="410">
      <c r="E410" s="21"/>
      <c r="F410" s="21"/>
    </row>
    <row r="411">
      <c r="E411" s="21"/>
      <c r="F411" s="21"/>
    </row>
    <row r="412">
      <c r="E412" s="21"/>
      <c r="F412" s="21"/>
    </row>
    <row r="413">
      <c r="E413" s="21"/>
      <c r="F413" s="21"/>
    </row>
    <row r="414">
      <c r="E414" s="21"/>
      <c r="F414" s="21"/>
    </row>
    <row r="415">
      <c r="E415" s="21"/>
      <c r="F415" s="21"/>
    </row>
    <row r="416">
      <c r="E416" s="21"/>
      <c r="F416" s="21"/>
    </row>
    <row r="417">
      <c r="E417" s="21"/>
      <c r="F417" s="21"/>
    </row>
    <row r="418">
      <c r="E418" s="21"/>
      <c r="F418" s="21"/>
    </row>
    <row r="419">
      <c r="E419" s="21"/>
      <c r="F419" s="21"/>
    </row>
    <row r="420">
      <c r="E420" s="21"/>
      <c r="F420" s="21"/>
    </row>
    <row r="421">
      <c r="E421" s="21"/>
      <c r="F421" s="21"/>
    </row>
    <row r="422">
      <c r="E422" s="21"/>
      <c r="F422" s="21"/>
    </row>
    <row r="423">
      <c r="E423" s="21"/>
      <c r="F423" s="21"/>
    </row>
    <row r="424">
      <c r="E424" s="21"/>
      <c r="F424" s="21"/>
    </row>
    <row r="425">
      <c r="E425" s="21"/>
      <c r="F425" s="21"/>
    </row>
    <row r="426">
      <c r="E426" s="21"/>
      <c r="F426" s="21"/>
    </row>
    <row r="427">
      <c r="E427" s="21"/>
      <c r="F427" s="21"/>
    </row>
    <row r="428">
      <c r="E428" s="21"/>
      <c r="F428" s="21"/>
    </row>
    <row r="429">
      <c r="E429" s="21"/>
      <c r="F429" s="21"/>
    </row>
    <row r="430">
      <c r="E430" s="21"/>
      <c r="F430" s="21"/>
    </row>
    <row r="431">
      <c r="E431" s="21"/>
      <c r="F431" s="21"/>
    </row>
    <row r="432">
      <c r="E432" s="21"/>
      <c r="F432" s="21"/>
    </row>
    <row r="433">
      <c r="E433" s="21"/>
      <c r="F433" s="21"/>
    </row>
    <row r="434">
      <c r="E434" s="21"/>
      <c r="F434" s="21"/>
    </row>
    <row r="435">
      <c r="E435" s="21"/>
      <c r="F435" s="21"/>
    </row>
    <row r="436">
      <c r="E436" s="21"/>
      <c r="F436" s="21"/>
    </row>
    <row r="437">
      <c r="E437" s="21"/>
      <c r="F437" s="21"/>
    </row>
    <row r="438">
      <c r="E438" s="21"/>
      <c r="F438" s="21"/>
    </row>
    <row r="439">
      <c r="E439" s="21"/>
      <c r="F439" s="21"/>
    </row>
    <row r="440">
      <c r="E440" s="21"/>
      <c r="F440" s="21"/>
    </row>
    <row r="441">
      <c r="E441" s="21"/>
      <c r="F441" s="21"/>
    </row>
    <row r="442">
      <c r="E442" s="21"/>
      <c r="F442" s="21"/>
    </row>
    <row r="443">
      <c r="E443" s="21"/>
      <c r="F443" s="21"/>
    </row>
    <row r="444">
      <c r="E444" s="21"/>
      <c r="F444" s="21"/>
    </row>
    <row r="445">
      <c r="E445" s="21"/>
      <c r="F445" s="21"/>
    </row>
    <row r="446">
      <c r="E446" s="21"/>
      <c r="F446" s="21"/>
    </row>
    <row r="447">
      <c r="E447" s="21"/>
      <c r="F447" s="21"/>
    </row>
    <row r="448">
      <c r="E448" s="21"/>
      <c r="F448" s="21"/>
    </row>
    <row r="449">
      <c r="E449" s="21"/>
      <c r="F449" s="21"/>
    </row>
    <row r="450">
      <c r="E450" s="21"/>
      <c r="F450" s="21"/>
    </row>
    <row r="451">
      <c r="E451" s="21"/>
      <c r="F451" s="21"/>
    </row>
    <row r="452">
      <c r="E452" s="21"/>
      <c r="F452" s="21"/>
    </row>
    <row r="453">
      <c r="E453" s="21"/>
      <c r="F453" s="21"/>
    </row>
    <row r="454">
      <c r="E454" s="21"/>
      <c r="F454" s="21"/>
    </row>
    <row r="455">
      <c r="E455" s="21"/>
      <c r="F455" s="21"/>
    </row>
    <row r="456">
      <c r="E456" s="21"/>
      <c r="F456" s="21"/>
    </row>
    <row r="457">
      <c r="E457" s="21"/>
      <c r="F457" s="21"/>
    </row>
    <row r="458">
      <c r="E458" s="21"/>
      <c r="F458" s="21"/>
    </row>
    <row r="459">
      <c r="E459" s="21"/>
      <c r="F459" s="21"/>
    </row>
    <row r="460">
      <c r="E460" s="21"/>
      <c r="F460" s="21"/>
    </row>
    <row r="461">
      <c r="E461" s="21"/>
      <c r="F461" s="21"/>
    </row>
    <row r="462">
      <c r="E462" s="21"/>
      <c r="F462" s="21"/>
    </row>
    <row r="463">
      <c r="E463" s="21"/>
      <c r="F463" s="21"/>
    </row>
    <row r="464">
      <c r="E464" s="21"/>
      <c r="F464" s="21"/>
    </row>
    <row r="465">
      <c r="E465" s="21"/>
      <c r="F465" s="21"/>
    </row>
    <row r="466">
      <c r="E466" s="21"/>
      <c r="F466" s="21"/>
    </row>
    <row r="467">
      <c r="E467" s="21"/>
      <c r="F467" s="21"/>
    </row>
    <row r="468">
      <c r="E468" s="21"/>
      <c r="F468" s="21"/>
    </row>
    <row r="469">
      <c r="E469" s="21"/>
      <c r="F469" s="21"/>
    </row>
    <row r="470">
      <c r="E470" s="21"/>
      <c r="F470" s="21"/>
    </row>
    <row r="471">
      <c r="E471" s="21"/>
      <c r="F471" s="21"/>
    </row>
    <row r="472">
      <c r="E472" s="21"/>
      <c r="F472" s="21"/>
    </row>
    <row r="473">
      <c r="E473" s="21"/>
      <c r="F473" s="21"/>
    </row>
    <row r="474">
      <c r="E474" s="21"/>
      <c r="F474" s="21"/>
    </row>
    <row r="475">
      <c r="E475" s="21"/>
      <c r="F475" s="21"/>
    </row>
    <row r="476">
      <c r="E476" s="21"/>
      <c r="F476" s="21"/>
    </row>
    <row r="477">
      <c r="E477" s="21"/>
      <c r="F477" s="21"/>
    </row>
    <row r="478">
      <c r="E478" s="21"/>
      <c r="F478" s="21"/>
    </row>
    <row r="479">
      <c r="E479" s="21"/>
      <c r="F479" s="21"/>
    </row>
    <row r="480">
      <c r="E480" s="21"/>
      <c r="F480" s="21"/>
    </row>
    <row r="481">
      <c r="E481" s="21"/>
      <c r="F481" s="21"/>
    </row>
    <row r="482">
      <c r="E482" s="21"/>
      <c r="F482" s="21"/>
    </row>
    <row r="483">
      <c r="E483" s="21"/>
      <c r="F483" s="21"/>
    </row>
    <row r="484">
      <c r="E484" s="21"/>
      <c r="F484" s="21"/>
    </row>
    <row r="485">
      <c r="E485" s="21"/>
      <c r="F485" s="21"/>
    </row>
    <row r="486">
      <c r="E486" s="21"/>
      <c r="F486" s="21"/>
    </row>
    <row r="487">
      <c r="E487" s="21"/>
      <c r="F487" s="21"/>
    </row>
    <row r="488">
      <c r="E488" s="21"/>
      <c r="F488" s="21"/>
    </row>
    <row r="489">
      <c r="E489" s="21"/>
      <c r="F489" s="21"/>
    </row>
    <row r="490">
      <c r="E490" s="21"/>
      <c r="F490" s="21"/>
    </row>
    <row r="491">
      <c r="E491" s="21"/>
      <c r="F491" s="21"/>
    </row>
    <row r="492">
      <c r="E492" s="21"/>
      <c r="F492" s="21"/>
    </row>
    <row r="493">
      <c r="E493" s="21"/>
      <c r="F493" s="21"/>
    </row>
    <row r="494">
      <c r="E494" s="21"/>
      <c r="F494" s="21"/>
    </row>
    <row r="495">
      <c r="E495" s="21"/>
      <c r="F495" s="21"/>
    </row>
    <row r="496">
      <c r="E496" s="21"/>
      <c r="F496" s="21"/>
    </row>
    <row r="497">
      <c r="E497" s="21"/>
      <c r="F497" s="21"/>
    </row>
    <row r="498">
      <c r="E498" s="21"/>
      <c r="F498" s="21"/>
    </row>
    <row r="499">
      <c r="E499" s="21"/>
      <c r="F499" s="21"/>
    </row>
    <row r="500">
      <c r="E500" s="21"/>
      <c r="F500" s="21"/>
    </row>
    <row r="501">
      <c r="E501" s="21"/>
      <c r="F501" s="21"/>
    </row>
    <row r="502">
      <c r="E502" s="21"/>
      <c r="F502" s="21"/>
    </row>
    <row r="503">
      <c r="E503" s="21"/>
      <c r="F503" s="21"/>
    </row>
    <row r="504">
      <c r="E504" s="21"/>
      <c r="F504" s="21"/>
    </row>
    <row r="505">
      <c r="E505" s="21"/>
      <c r="F505" s="21"/>
    </row>
    <row r="506">
      <c r="E506" s="21"/>
      <c r="F506" s="21"/>
    </row>
    <row r="507">
      <c r="E507" s="21"/>
      <c r="F507" s="21"/>
    </row>
    <row r="508">
      <c r="E508" s="21"/>
      <c r="F508" s="21"/>
    </row>
    <row r="509">
      <c r="E509" s="21"/>
      <c r="F509" s="21"/>
    </row>
    <row r="510">
      <c r="E510" s="21"/>
      <c r="F510" s="21"/>
    </row>
    <row r="511">
      <c r="E511" s="21"/>
      <c r="F511" s="21"/>
    </row>
    <row r="512">
      <c r="E512" s="21"/>
      <c r="F512" s="21"/>
    </row>
    <row r="513">
      <c r="E513" s="21"/>
      <c r="F513" s="21"/>
    </row>
    <row r="514">
      <c r="E514" s="21"/>
      <c r="F514" s="21"/>
    </row>
    <row r="515">
      <c r="E515" s="21"/>
      <c r="F515" s="21"/>
    </row>
    <row r="516">
      <c r="E516" s="21"/>
      <c r="F516" s="21"/>
    </row>
    <row r="517">
      <c r="E517" s="21"/>
      <c r="F517" s="21"/>
    </row>
    <row r="518">
      <c r="E518" s="21"/>
      <c r="F518" s="21"/>
    </row>
    <row r="519">
      <c r="E519" s="21"/>
      <c r="F519" s="21"/>
    </row>
    <row r="520">
      <c r="E520" s="21"/>
      <c r="F520" s="21"/>
    </row>
    <row r="521">
      <c r="E521" s="21"/>
      <c r="F521" s="21"/>
    </row>
    <row r="522">
      <c r="E522" s="21"/>
      <c r="F522" s="21"/>
    </row>
    <row r="523">
      <c r="E523" s="21"/>
      <c r="F523" s="21"/>
    </row>
    <row r="524">
      <c r="E524" s="21"/>
      <c r="F524" s="21"/>
    </row>
    <row r="525">
      <c r="E525" s="21"/>
      <c r="F525" s="21"/>
    </row>
    <row r="526">
      <c r="E526" s="21"/>
      <c r="F526" s="21"/>
    </row>
    <row r="527">
      <c r="E527" s="21"/>
      <c r="F527" s="21"/>
    </row>
    <row r="528">
      <c r="E528" s="21"/>
      <c r="F528" s="21"/>
    </row>
    <row r="529">
      <c r="E529" s="21"/>
      <c r="F529" s="21"/>
    </row>
    <row r="530">
      <c r="E530" s="21"/>
      <c r="F530" s="21"/>
    </row>
    <row r="531">
      <c r="E531" s="21"/>
      <c r="F531" s="21"/>
    </row>
    <row r="532">
      <c r="E532" s="21"/>
      <c r="F532" s="21"/>
    </row>
    <row r="533">
      <c r="E533" s="21"/>
      <c r="F533" s="21"/>
    </row>
    <row r="534">
      <c r="E534" s="21"/>
      <c r="F534" s="21"/>
    </row>
    <row r="535">
      <c r="E535" s="21"/>
      <c r="F535" s="21"/>
    </row>
    <row r="536">
      <c r="E536" s="21"/>
      <c r="F536" s="21"/>
    </row>
    <row r="537">
      <c r="E537" s="21"/>
      <c r="F537" s="21"/>
    </row>
    <row r="538">
      <c r="E538" s="21"/>
      <c r="F538" s="21"/>
    </row>
    <row r="539">
      <c r="E539" s="21"/>
      <c r="F539" s="21"/>
    </row>
    <row r="540">
      <c r="E540" s="21"/>
      <c r="F540" s="21"/>
    </row>
    <row r="541">
      <c r="E541" s="21"/>
      <c r="F541" s="21"/>
    </row>
    <row r="542">
      <c r="E542" s="21"/>
      <c r="F542" s="21"/>
    </row>
    <row r="543">
      <c r="E543" s="21"/>
      <c r="F543" s="21"/>
    </row>
    <row r="544">
      <c r="E544" s="21"/>
      <c r="F544" s="21"/>
    </row>
    <row r="545">
      <c r="E545" s="21"/>
      <c r="F545" s="21"/>
    </row>
    <row r="546">
      <c r="E546" s="21"/>
      <c r="F546" s="21"/>
    </row>
    <row r="547">
      <c r="E547" s="21"/>
      <c r="F547" s="21"/>
    </row>
    <row r="548">
      <c r="E548" s="21"/>
      <c r="F548" s="21"/>
    </row>
    <row r="549">
      <c r="E549" s="21"/>
      <c r="F549" s="21"/>
    </row>
    <row r="550">
      <c r="E550" s="21"/>
      <c r="F550" s="21"/>
    </row>
    <row r="551">
      <c r="E551" s="21"/>
      <c r="F551" s="21"/>
    </row>
    <row r="552">
      <c r="E552" s="21"/>
      <c r="F552" s="21"/>
    </row>
    <row r="553">
      <c r="E553" s="21"/>
      <c r="F553" s="21"/>
    </row>
    <row r="554">
      <c r="E554" s="21"/>
      <c r="F554" s="21"/>
    </row>
    <row r="555">
      <c r="E555" s="21"/>
      <c r="F555" s="21"/>
    </row>
    <row r="556">
      <c r="E556" s="21"/>
      <c r="F556" s="21"/>
    </row>
    <row r="557">
      <c r="E557" s="21"/>
      <c r="F557" s="21"/>
    </row>
    <row r="558">
      <c r="E558" s="21"/>
      <c r="F558" s="21"/>
    </row>
    <row r="559">
      <c r="E559" s="21"/>
      <c r="F559" s="21"/>
    </row>
    <row r="560">
      <c r="E560" s="21"/>
      <c r="F560" s="21"/>
    </row>
    <row r="561">
      <c r="E561" s="21"/>
      <c r="F561" s="21"/>
    </row>
    <row r="562">
      <c r="E562" s="21"/>
      <c r="F562" s="21"/>
    </row>
    <row r="563">
      <c r="E563" s="21"/>
      <c r="F563" s="21"/>
    </row>
    <row r="564">
      <c r="E564" s="21"/>
      <c r="F564" s="21"/>
    </row>
    <row r="565">
      <c r="E565" s="21"/>
      <c r="F565" s="21"/>
    </row>
    <row r="566">
      <c r="E566" s="21"/>
      <c r="F566" s="21"/>
    </row>
    <row r="567">
      <c r="E567" s="21"/>
      <c r="F567" s="21"/>
    </row>
    <row r="568">
      <c r="E568" s="21"/>
      <c r="F568" s="21"/>
    </row>
    <row r="569">
      <c r="E569" s="21"/>
      <c r="F569" s="21"/>
    </row>
    <row r="570">
      <c r="E570" s="21"/>
      <c r="F570" s="21"/>
    </row>
    <row r="571">
      <c r="E571" s="21"/>
      <c r="F571" s="21"/>
    </row>
    <row r="572">
      <c r="E572" s="21"/>
      <c r="F572" s="21"/>
    </row>
    <row r="573">
      <c r="E573" s="21"/>
      <c r="F573" s="21"/>
    </row>
    <row r="574">
      <c r="E574" s="21"/>
      <c r="F574" s="21"/>
    </row>
    <row r="575">
      <c r="E575" s="21"/>
      <c r="F575" s="21"/>
    </row>
    <row r="576">
      <c r="E576" s="21"/>
      <c r="F576" s="21"/>
    </row>
    <row r="577">
      <c r="E577" s="21"/>
      <c r="F577" s="21"/>
    </row>
    <row r="578">
      <c r="E578" s="21"/>
      <c r="F578" s="21"/>
    </row>
    <row r="579">
      <c r="E579" s="21"/>
      <c r="F579" s="21"/>
    </row>
    <row r="580">
      <c r="E580" s="21"/>
      <c r="F580" s="21"/>
    </row>
    <row r="581">
      <c r="E581" s="21"/>
      <c r="F581" s="21"/>
    </row>
    <row r="582">
      <c r="E582" s="21"/>
      <c r="F582" s="21"/>
    </row>
    <row r="583">
      <c r="E583" s="21"/>
      <c r="F583" s="21"/>
    </row>
    <row r="584">
      <c r="E584" s="21"/>
      <c r="F584" s="21"/>
    </row>
    <row r="585">
      <c r="E585" s="21"/>
      <c r="F585" s="21"/>
    </row>
    <row r="586">
      <c r="E586" s="21"/>
      <c r="F586" s="21"/>
    </row>
    <row r="587">
      <c r="E587" s="21"/>
      <c r="F587" s="21"/>
    </row>
    <row r="588">
      <c r="E588" s="21"/>
      <c r="F588" s="21"/>
    </row>
    <row r="589">
      <c r="E589" s="21"/>
      <c r="F589" s="21"/>
    </row>
    <row r="590">
      <c r="E590" s="21"/>
      <c r="F590" s="21"/>
    </row>
    <row r="591">
      <c r="E591" s="21"/>
      <c r="F591" s="21"/>
    </row>
    <row r="592">
      <c r="E592" s="21"/>
      <c r="F592" s="21"/>
    </row>
    <row r="593">
      <c r="E593" s="21"/>
      <c r="F593" s="21"/>
    </row>
    <row r="594">
      <c r="E594" s="21"/>
      <c r="F594" s="21"/>
    </row>
    <row r="595">
      <c r="E595" s="21"/>
      <c r="F595" s="21"/>
    </row>
    <row r="596">
      <c r="E596" s="21"/>
      <c r="F596" s="21"/>
    </row>
    <row r="597">
      <c r="E597" s="21"/>
      <c r="F597" s="21"/>
    </row>
    <row r="598">
      <c r="E598" s="21"/>
      <c r="F598" s="21"/>
    </row>
    <row r="599">
      <c r="E599" s="21"/>
      <c r="F599" s="21"/>
    </row>
    <row r="600">
      <c r="E600" s="21"/>
      <c r="F600" s="21"/>
    </row>
    <row r="601">
      <c r="E601" s="21"/>
      <c r="F601" s="21"/>
    </row>
    <row r="602">
      <c r="E602" s="21"/>
      <c r="F602" s="21"/>
    </row>
    <row r="603">
      <c r="E603" s="21"/>
      <c r="F603" s="21"/>
    </row>
    <row r="604">
      <c r="E604" s="21"/>
      <c r="F604" s="21"/>
    </row>
    <row r="605">
      <c r="E605" s="21"/>
      <c r="F605" s="21"/>
    </row>
    <row r="606">
      <c r="E606" s="21"/>
      <c r="F606" s="21"/>
    </row>
    <row r="607">
      <c r="E607" s="21"/>
      <c r="F607" s="21"/>
    </row>
    <row r="608">
      <c r="E608" s="21"/>
      <c r="F608" s="21"/>
    </row>
    <row r="609">
      <c r="E609" s="21"/>
      <c r="F609" s="21"/>
    </row>
    <row r="610">
      <c r="E610" s="21"/>
      <c r="F610" s="21"/>
    </row>
    <row r="611">
      <c r="E611" s="21"/>
      <c r="F611" s="21"/>
    </row>
    <row r="612">
      <c r="E612" s="21"/>
      <c r="F612" s="21"/>
    </row>
    <row r="613">
      <c r="E613" s="21"/>
      <c r="F613" s="21"/>
    </row>
    <row r="614">
      <c r="E614" s="21"/>
      <c r="F614" s="21"/>
    </row>
    <row r="615">
      <c r="E615" s="21"/>
      <c r="F615" s="21"/>
    </row>
    <row r="616">
      <c r="E616" s="21"/>
      <c r="F616" s="21"/>
    </row>
    <row r="617">
      <c r="E617" s="21"/>
      <c r="F617" s="21"/>
    </row>
    <row r="618">
      <c r="E618" s="21"/>
      <c r="F618" s="21"/>
    </row>
    <row r="619">
      <c r="E619" s="21"/>
      <c r="F619" s="21"/>
    </row>
    <row r="620">
      <c r="E620" s="21"/>
      <c r="F620" s="21"/>
    </row>
    <row r="621">
      <c r="E621" s="21"/>
      <c r="F621" s="21"/>
    </row>
    <row r="622">
      <c r="E622" s="21"/>
      <c r="F622" s="21"/>
    </row>
    <row r="623">
      <c r="E623" s="21"/>
      <c r="F623" s="21"/>
    </row>
    <row r="624">
      <c r="E624" s="21"/>
      <c r="F624" s="21"/>
    </row>
    <row r="625">
      <c r="E625" s="21"/>
      <c r="F625" s="21"/>
    </row>
    <row r="626">
      <c r="E626" s="21"/>
      <c r="F626" s="21"/>
    </row>
    <row r="627">
      <c r="E627" s="21"/>
      <c r="F627" s="21"/>
    </row>
    <row r="628">
      <c r="E628" s="21"/>
      <c r="F628" s="21"/>
    </row>
    <row r="629">
      <c r="E629" s="21"/>
      <c r="F629" s="21"/>
    </row>
    <row r="630">
      <c r="E630" s="21"/>
      <c r="F630" s="21"/>
    </row>
    <row r="631">
      <c r="E631" s="21"/>
      <c r="F631" s="21"/>
    </row>
    <row r="632">
      <c r="E632" s="21"/>
      <c r="F632" s="21"/>
    </row>
    <row r="633">
      <c r="E633" s="21"/>
      <c r="F633" s="21"/>
    </row>
    <row r="634">
      <c r="E634" s="21"/>
      <c r="F634" s="21"/>
    </row>
    <row r="635">
      <c r="E635" s="21"/>
      <c r="F635" s="21"/>
    </row>
    <row r="636">
      <c r="E636" s="21"/>
      <c r="F636" s="21"/>
    </row>
    <row r="637">
      <c r="E637" s="21"/>
      <c r="F637" s="21"/>
    </row>
    <row r="638">
      <c r="E638" s="21"/>
      <c r="F638" s="21"/>
    </row>
    <row r="639">
      <c r="E639" s="21"/>
      <c r="F639" s="21"/>
    </row>
    <row r="640">
      <c r="E640" s="21"/>
      <c r="F640" s="21"/>
    </row>
    <row r="641">
      <c r="E641" s="21"/>
      <c r="F641" s="21"/>
    </row>
    <row r="642">
      <c r="E642" s="21"/>
      <c r="F642" s="21"/>
    </row>
    <row r="643">
      <c r="E643" s="21"/>
      <c r="F643" s="21"/>
    </row>
    <row r="644">
      <c r="E644" s="21"/>
      <c r="F644" s="21"/>
    </row>
    <row r="645">
      <c r="E645" s="21"/>
      <c r="F645" s="21"/>
    </row>
    <row r="646">
      <c r="E646" s="21"/>
      <c r="F646" s="21"/>
    </row>
    <row r="647">
      <c r="E647" s="21"/>
      <c r="F647" s="21"/>
    </row>
    <row r="648">
      <c r="E648" s="21"/>
      <c r="F648" s="21"/>
    </row>
    <row r="649">
      <c r="E649" s="21"/>
      <c r="F649" s="21"/>
    </row>
    <row r="650">
      <c r="E650" s="21"/>
      <c r="F650" s="21"/>
    </row>
    <row r="651">
      <c r="E651" s="21"/>
      <c r="F651" s="21"/>
    </row>
    <row r="652">
      <c r="E652" s="21"/>
      <c r="F652" s="21"/>
    </row>
    <row r="653">
      <c r="E653" s="21"/>
      <c r="F653" s="21"/>
    </row>
    <row r="654">
      <c r="E654" s="21"/>
      <c r="F654" s="21"/>
    </row>
    <row r="655">
      <c r="E655" s="21"/>
      <c r="F655" s="21"/>
    </row>
    <row r="656">
      <c r="E656" s="21"/>
      <c r="F656" s="21"/>
    </row>
    <row r="657">
      <c r="E657" s="21"/>
      <c r="F657" s="21"/>
    </row>
    <row r="658">
      <c r="E658" s="21"/>
      <c r="F658" s="21"/>
    </row>
    <row r="659">
      <c r="E659" s="21"/>
      <c r="F659" s="21"/>
    </row>
    <row r="660">
      <c r="E660" s="21"/>
      <c r="F660" s="21"/>
    </row>
    <row r="661">
      <c r="E661" s="21"/>
      <c r="F661" s="21"/>
    </row>
    <row r="662">
      <c r="E662" s="21"/>
      <c r="F662" s="21"/>
    </row>
    <row r="663">
      <c r="E663" s="21"/>
      <c r="F663" s="21"/>
    </row>
    <row r="664">
      <c r="E664" s="21"/>
      <c r="F664" s="21"/>
    </row>
    <row r="665">
      <c r="E665" s="21"/>
      <c r="F665" s="21"/>
    </row>
    <row r="666">
      <c r="E666" s="21"/>
      <c r="F666" s="21"/>
    </row>
    <row r="667">
      <c r="E667" s="21"/>
      <c r="F667" s="21"/>
    </row>
    <row r="668">
      <c r="E668" s="21"/>
      <c r="F668" s="21"/>
    </row>
    <row r="669">
      <c r="E669" s="21"/>
      <c r="F669" s="21"/>
    </row>
    <row r="670">
      <c r="E670" s="21"/>
      <c r="F670" s="21"/>
    </row>
    <row r="671">
      <c r="E671" s="21"/>
      <c r="F671" s="21"/>
    </row>
    <row r="672">
      <c r="E672" s="21"/>
      <c r="F672" s="21"/>
    </row>
    <row r="673">
      <c r="E673" s="21"/>
      <c r="F673" s="21"/>
    </row>
    <row r="674">
      <c r="E674" s="21"/>
      <c r="F674" s="21"/>
    </row>
    <row r="675">
      <c r="E675" s="21"/>
      <c r="F675" s="21"/>
    </row>
    <row r="676">
      <c r="E676" s="21"/>
      <c r="F676" s="21"/>
    </row>
    <row r="677">
      <c r="E677" s="21"/>
      <c r="F677" s="21"/>
    </row>
    <row r="678">
      <c r="E678" s="21"/>
      <c r="F678" s="21"/>
    </row>
    <row r="679">
      <c r="E679" s="21"/>
      <c r="F679" s="21"/>
    </row>
    <row r="680">
      <c r="E680" s="21"/>
      <c r="F680" s="21"/>
    </row>
    <row r="681">
      <c r="E681" s="21"/>
      <c r="F681" s="21"/>
    </row>
    <row r="682">
      <c r="E682" s="21"/>
      <c r="F682" s="21"/>
    </row>
    <row r="683">
      <c r="E683" s="21"/>
      <c r="F683" s="21"/>
    </row>
    <row r="684">
      <c r="E684" s="21"/>
      <c r="F684" s="21"/>
    </row>
    <row r="685">
      <c r="E685" s="21"/>
      <c r="F685" s="21"/>
    </row>
    <row r="686">
      <c r="E686" s="21"/>
      <c r="F686" s="21"/>
    </row>
    <row r="687">
      <c r="E687" s="21"/>
      <c r="F687" s="21"/>
    </row>
    <row r="688">
      <c r="E688" s="21"/>
      <c r="F688" s="21"/>
    </row>
    <row r="689">
      <c r="E689" s="21"/>
      <c r="F689" s="21"/>
    </row>
    <row r="690">
      <c r="E690" s="21"/>
      <c r="F690" s="21"/>
    </row>
    <row r="691">
      <c r="E691" s="21"/>
      <c r="F691" s="21"/>
    </row>
    <row r="692">
      <c r="E692" s="21"/>
      <c r="F692" s="21"/>
    </row>
    <row r="693">
      <c r="E693" s="21"/>
      <c r="F693" s="21"/>
    </row>
    <row r="694">
      <c r="E694" s="21"/>
      <c r="F694" s="21"/>
    </row>
    <row r="695">
      <c r="E695" s="21"/>
      <c r="F695" s="21"/>
    </row>
    <row r="696">
      <c r="E696" s="21"/>
      <c r="F696" s="21"/>
    </row>
    <row r="697">
      <c r="E697" s="21"/>
      <c r="F697" s="21"/>
    </row>
    <row r="698">
      <c r="E698" s="21"/>
      <c r="F698" s="21"/>
    </row>
    <row r="699">
      <c r="E699" s="21"/>
      <c r="F699" s="21"/>
    </row>
    <row r="700">
      <c r="E700" s="21"/>
      <c r="F700" s="21"/>
    </row>
    <row r="701">
      <c r="E701" s="21"/>
      <c r="F701" s="21"/>
    </row>
    <row r="702">
      <c r="E702" s="21"/>
      <c r="F702" s="21"/>
    </row>
    <row r="703">
      <c r="E703" s="21"/>
      <c r="F703" s="21"/>
    </row>
    <row r="704">
      <c r="E704" s="21"/>
      <c r="F704" s="21"/>
    </row>
    <row r="705">
      <c r="E705" s="21"/>
      <c r="F705" s="21"/>
    </row>
    <row r="706">
      <c r="E706" s="21"/>
      <c r="F706" s="21"/>
    </row>
    <row r="707">
      <c r="E707" s="21"/>
      <c r="F707" s="21"/>
    </row>
    <row r="708">
      <c r="E708" s="21"/>
      <c r="F708" s="21"/>
    </row>
    <row r="709">
      <c r="E709" s="21"/>
      <c r="F709" s="21"/>
    </row>
    <row r="710">
      <c r="E710" s="21"/>
      <c r="F710" s="21"/>
    </row>
    <row r="711">
      <c r="E711" s="21"/>
      <c r="F711" s="21"/>
    </row>
    <row r="712">
      <c r="E712" s="21"/>
      <c r="F712" s="21"/>
    </row>
    <row r="713">
      <c r="E713" s="21"/>
      <c r="F713" s="21"/>
    </row>
    <row r="714">
      <c r="E714" s="21"/>
      <c r="F714" s="21"/>
    </row>
    <row r="715">
      <c r="E715" s="21"/>
      <c r="F715" s="21"/>
    </row>
    <row r="716">
      <c r="E716" s="21"/>
      <c r="F716" s="21"/>
    </row>
    <row r="717">
      <c r="E717" s="21"/>
      <c r="F717" s="21"/>
    </row>
    <row r="718">
      <c r="E718" s="21"/>
      <c r="F718" s="21"/>
    </row>
    <row r="719">
      <c r="E719" s="21"/>
      <c r="F719" s="21"/>
    </row>
    <row r="720">
      <c r="E720" s="21"/>
      <c r="F720" s="21"/>
    </row>
    <row r="721">
      <c r="E721" s="21"/>
      <c r="F721" s="21"/>
    </row>
    <row r="722">
      <c r="E722" s="21"/>
      <c r="F722" s="21"/>
    </row>
    <row r="723">
      <c r="E723" s="21"/>
      <c r="F723" s="21"/>
    </row>
    <row r="724">
      <c r="E724" s="21"/>
      <c r="F724" s="21"/>
    </row>
    <row r="725">
      <c r="E725" s="21"/>
      <c r="F725" s="21"/>
    </row>
    <row r="726">
      <c r="E726" s="21"/>
      <c r="F726" s="21"/>
    </row>
    <row r="727">
      <c r="E727" s="21"/>
      <c r="F727" s="21"/>
    </row>
    <row r="728">
      <c r="E728" s="21"/>
      <c r="F728" s="21"/>
    </row>
    <row r="729">
      <c r="E729" s="21"/>
      <c r="F729" s="21"/>
    </row>
    <row r="730">
      <c r="E730" s="21"/>
      <c r="F730" s="21"/>
    </row>
    <row r="731">
      <c r="E731" s="21"/>
      <c r="F731" s="21"/>
    </row>
    <row r="732">
      <c r="E732" s="21"/>
      <c r="F732" s="21"/>
    </row>
    <row r="733">
      <c r="E733" s="21"/>
      <c r="F733" s="21"/>
    </row>
    <row r="734">
      <c r="E734" s="21"/>
      <c r="F734" s="21"/>
    </row>
    <row r="735">
      <c r="E735" s="21"/>
      <c r="F735" s="21"/>
    </row>
    <row r="736">
      <c r="E736" s="21"/>
      <c r="F736" s="21"/>
    </row>
    <row r="737">
      <c r="E737" s="21"/>
      <c r="F737" s="21"/>
    </row>
    <row r="738">
      <c r="E738" s="21"/>
      <c r="F738" s="21"/>
    </row>
    <row r="739">
      <c r="E739" s="21"/>
      <c r="F739" s="21"/>
    </row>
    <row r="740">
      <c r="E740" s="21"/>
      <c r="F740" s="21"/>
    </row>
    <row r="741">
      <c r="E741" s="21"/>
      <c r="F741" s="21"/>
    </row>
    <row r="742">
      <c r="E742" s="21"/>
      <c r="F742" s="21"/>
    </row>
    <row r="743">
      <c r="E743" s="21"/>
      <c r="F743" s="21"/>
    </row>
    <row r="744">
      <c r="E744" s="21"/>
      <c r="F744" s="21"/>
    </row>
    <row r="745">
      <c r="E745" s="21"/>
      <c r="F745" s="21"/>
    </row>
    <row r="746">
      <c r="E746" s="21"/>
      <c r="F746" s="21"/>
    </row>
    <row r="747">
      <c r="E747" s="21"/>
      <c r="F747" s="21"/>
    </row>
    <row r="748">
      <c r="E748" s="21"/>
      <c r="F748" s="21"/>
    </row>
    <row r="749">
      <c r="E749" s="21"/>
      <c r="F749" s="21"/>
    </row>
    <row r="750">
      <c r="E750" s="21"/>
      <c r="F750" s="21"/>
    </row>
    <row r="751">
      <c r="E751" s="21"/>
      <c r="F751" s="21"/>
    </row>
    <row r="752">
      <c r="E752" s="21"/>
      <c r="F752" s="21"/>
    </row>
    <row r="753">
      <c r="E753" s="21"/>
      <c r="F753" s="21"/>
    </row>
    <row r="754">
      <c r="E754" s="21"/>
      <c r="F754" s="21"/>
    </row>
    <row r="755">
      <c r="E755" s="21"/>
      <c r="F755" s="21"/>
    </row>
    <row r="756">
      <c r="E756" s="21"/>
      <c r="F756" s="21"/>
    </row>
    <row r="757">
      <c r="E757" s="21"/>
      <c r="F757" s="21"/>
    </row>
    <row r="758">
      <c r="E758" s="21"/>
      <c r="F758" s="21"/>
    </row>
    <row r="759">
      <c r="E759" s="21"/>
      <c r="F759" s="21"/>
    </row>
    <row r="760">
      <c r="E760" s="21"/>
      <c r="F760" s="21"/>
    </row>
    <row r="761">
      <c r="E761" s="21"/>
      <c r="F761" s="21"/>
    </row>
    <row r="762">
      <c r="E762" s="21"/>
      <c r="F762" s="21"/>
    </row>
    <row r="763">
      <c r="E763" s="21"/>
      <c r="F763" s="21"/>
    </row>
    <row r="764">
      <c r="E764" s="21"/>
      <c r="F764" s="21"/>
    </row>
    <row r="765">
      <c r="E765" s="21"/>
      <c r="F765" s="21"/>
    </row>
    <row r="766">
      <c r="E766" s="21"/>
      <c r="F766" s="21"/>
    </row>
    <row r="767">
      <c r="E767" s="21"/>
      <c r="F767" s="21"/>
    </row>
    <row r="768">
      <c r="E768" s="21"/>
      <c r="F768" s="21"/>
    </row>
    <row r="769">
      <c r="E769" s="21"/>
      <c r="F769" s="21"/>
    </row>
    <row r="770">
      <c r="E770" s="21"/>
      <c r="F770" s="21"/>
    </row>
    <row r="771">
      <c r="E771" s="21"/>
      <c r="F771" s="21"/>
    </row>
    <row r="772">
      <c r="E772" s="21"/>
      <c r="F772" s="21"/>
    </row>
    <row r="773">
      <c r="E773" s="21"/>
      <c r="F773" s="21"/>
    </row>
    <row r="774">
      <c r="E774" s="21"/>
      <c r="F774" s="21"/>
    </row>
    <row r="775">
      <c r="E775" s="21"/>
      <c r="F775" s="21"/>
    </row>
    <row r="776">
      <c r="E776" s="21"/>
      <c r="F776" s="21"/>
    </row>
    <row r="777">
      <c r="E777" s="21"/>
      <c r="F777" s="21"/>
    </row>
    <row r="778">
      <c r="E778" s="21"/>
      <c r="F778" s="21"/>
    </row>
    <row r="779">
      <c r="E779" s="21"/>
      <c r="F779" s="21"/>
    </row>
    <row r="780">
      <c r="E780" s="21"/>
      <c r="F780" s="21"/>
    </row>
    <row r="781">
      <c r="E781" s="21"/>
      <c r="F781" s="21"/>
    </row>
    <row r="782">
      <c r="E782" s="21"/>
      <c r="F782" s="21"/>
    </row>
    <row r="783">
      <c r="E783" s="21"/>
      <c r="F783" s="21"/>
    </row>
    <row r="784">
      <c r="E784" s="21"/>
      <c r="F784" s="21"/>
    </row>
    <row r="785">
      <c r="E785" s="21"/>
      <c r="F785" s="21"/>
    </row>
    <row r="786">
      <c r="E786" s="21"/>
      <c r="F786" s="21"/>
    </row>
    <row r="787">
      <c r="E787" s="21"/>
      <c r="F787" s="21"/>
    </row>
    <row r="788">
      <c r="E788" s="21"/>
      <c r="F788" s="21"/>
    </row>
    <row r="789">
      <c r="E789" s="21"/>
      <c r="F789" s="21"/>
    </row>
    <row r="790">
      <c r="E790" s="21"/>
      <c r="F790" s="21"/>
    </row>
    <row r="791">
      <c r="E791" s="21"/>
      <c r="F791" s="21"/>
    </row>
    <row r="792">
      <c r="E792" s="21"/>
      <c r="F792" s="21"/>
    </row>
    <row r="793">
      <c r="E793" s="21"/>
      <c r="F793" s="21"/>
    </row>
    <row r="794">
      <c r="E794" s="21"/>
      <c r="F794" s="21"/>
    </row>
    <row r="795">
      <c r="E795" s="21"/>
      <c r="F795" s="21"/>
    </row>
    <row r="796">
      <c r="E796" s="21"/>
      <c r="F796" s="21"/>
    </row>
    <row r="797">
      <c r="E797" s="21"/>
      <c r="F797" s="21"/>
    </row>
    <row r="798">
      <c r="E798" s="21"/>
      <c r="F798" s="21"/>
    </row>
    <row r="799">
      <c r="E799" s="21"/>
      <c r="F799" s="21"/>
    </row>
    <row r="800">
      <c r="E800" s="21"/>
      <c r="F800" s="21"/>
    </row>
    <row r="801">
      <c r="E801" s="21"/>
      <c r="F801" s="21"/>
    </row>
    <row r="802">
      <c r="E802" s="21"/>
      <c r="F802" s="21"/>
    </row>
    <row r="803">
      <c r="E803" s="21"/>
      <c r="F803" s="21"/>
    </row>
    <row r="804">
      <c r="E804" s="21"/>
      <c r="F804" s="21"/>
    </row>
    <row r="805">
      <c r="E805" s="21"/>
      <c r="F805" s="21"/>
    </row>
    <row r="806">
      <c r="E806" s="21"/>
      <c r="F806" s="21"/>
    </row>
    <row r="807">
      <c r="E807" s="21"/>
      <c r="F807" s="21"/>
    </row>
    <row r="808">
      <c r="E808" s="21"/>
      <c r="F808" s="21"/>
    </row>
    <row r="809">
      <c r="E809" s="21"/>
      <c r="F809" s="21"/>
    </row>
    <row r="810">
      <c r="E810" s="21"/>
      <c r="F810" s="21"/>
    </row>
    <row r="811">
      <c r="E811" s="21"/>
      <c r="F811" s="21"/>
    </row>
    <row r="812">
      <c r="E812" s="21"/>
      <c r="F812" s="21"/>
    </row>
    <row r="813">
      <c r="E813" s="21"/>
      <c r="F813" s="21"/>
    </row>
    <row r="814">
      <c r="E814" s="21"/>
      <c r="F814" s="21"/>
    </row>
    <row r="815">
      <c r="E815" s="21"/>
      <c r="F815" s="21"/>
    </row>
    <row r="816">
      <c r="E816" s="21"/>
      <c r="F816" s="21"/>
    </row>
    <row r="817">
      <c r="E817" s="21"/>
      <c r="F817" s="21"/>
    </row>
    <row r="818">
      <c r="E818" s="21"/>
      <c r="F818" s="21"/>
    </row>
    <row r="819">
      <c r="E819" s="21"/>
      <c r="F819" s="21"/>
    </row>
    <row r="820">
      <c r="E820" s="21"/>
      <c r="F820" s="21"/>
    </row>
    <row r="821">
      <c r="E821" s="21"/>
      <c r="F821" s="21"/>
    </row>
    <row r="822">
      <c r="E822" s="21"/>
      <c r="F822" s="21"/>
    </row>
    <row r="823">
      <c r="E823" s="21"/>
      <c r="F823" s="21"/>
    </row>
    <row r="824">
      <c r="E824" s="21"/>
      <c r="F824" s="21"/>
    </row>
    <row r="825">
      <c r="E825" s="21"/>
      <c r="F825" s="21"/>
    </row>
    <row r="826">
      <c r="E826" s="21"/>
      <c r="F826" s="21"/>
    </row>
    <row r="827">
      <c r="E827" s="21"/>
      <c r="F827" s="21"/>
    </row>
    <row r="828">
      <c r="E828" s="21"/>
      <c r="F828" s="21"/>
    </row>
    <row r="829">
      <c r="E829" s="21"/>
      <c r="F829" s="21"/>
    </row>
    <row r="830">
      <c r="E830" s="21"/>
      <c r="F830" s="21"/>
    </row>
    <row r="831">
      <c r="E831" s="21"/>
      <c r="F831" s="21"/>
    </row>
    <row r="832">
      <c r="E832" s="21"/>
      <c r="F832" s="21"/>
    </row>
    <row r="833">
      <c r="E833" s="21"/>
      <c r="F833" s="21"/>
    </row>
    <row r="834">
      <c r="E834" s="21"/>
      <c r="F834" s="21"/>
    </row>
    <row r="835">
      <c r="E835" s="21"/>
      <c r="F835" s="21"/>
    </row>
    <row r="836">
      <c r="E836" s="21"/>
      <c r="F836" s="21"/>
    </row>
    <row r="837">
      <c r="E837" s="21"/>
      <c r="F837" s="21"/>
    </row>
    <row r="838">
      <c r="E838" s="21"/>
      <c r="F838" s="21"/>
    </row>
    <row r="839">
      <c r="E839" s="21"/>
      <c r="F839" s="21"/>
    </row>
    <row r="840">
      <c r="E840" s="21"/>
      <c r="F840" s="21"/>
    </row>
    <row r="841">
      <c r="E841" s="21"/>
      <c r="F841" s="21"/>
    </row>
    <row r="842">
      <c r="E842" s="21"/>
      <c r="F842" s="21"/>
    </row>
    <row r="843">
      <c r="E843" s="21"/>
      <c r="F843" s="21"/>
    </row>
    <row r="844">
      <c r="E844" s="21"/>
      <c r="F844" s="21"/>
    </row>
    <row r="845">
      <c r="E845" s="21"/>
      <c r="F845" s="21"/>
    </row>
    <row r="846">
      <c r="E846" s="21"/>
      <c r="F846" s="21"/>
    </row>
    <row r="847">
      <c r="E847" s="21"/>
      <c r="F847" s="21"/>
    </row>
    <row r="848">
      <c r="E848" s="21"/>
      <c r="F848" s="21"/>
    </row>
    <row r="849">
      <c r="E849" s="21"/>
      <c r="F849" s="21"/>
    </row>
    <row r="850">
      <c r="E850" s="21"/>
      <c r="F850" s="21"/>
    </row>
    <row r="851">
      <c r="E851" s="21"/>
      <c r="F851" s="21"/>
    </row>
    <row r="852">
      <c r="E852" s="21"/>
      <c r="F852" s="21"/>
    </row>
    <row r="853">
      <c r="E853" s="21"/>
      <c r="F853" s="21"/>
    </row>
    <row r="854">
      <c r="E854" s="21"/>
      <c r="F854" s="21"/>
    </row>
    <row r="855">
      <c r="E855" s="21"/>
      <c r="F855" s="21"/>
    </row>
    <row r="856">
      <c r="E856" s="21"/>
      <c r="F856" s="21"/>
    </row>
    <row r="857">
      <c r="E857" s="21"/>
      <c r="F857" s="21"/>
    </row>
    <row r="858">
      <c r="E858" s="21"/>
      <c r="F858" s="21"/>
    </row>
    <row r="859">
      <c r="E859" s="21"/>
      <c r="F859" s="21"/>
    </row>
    <row r="860">
      <c r="E860" s="21"/>
      <c r="F860" s="21"/>
    </row>
    <row r="861">
      <c r="E861" s="21"/>
      <c r="F861" s="21"/>
    </row>
    <row r="862">
      <c r="E862" s="21"/>
      <c r="F862" s="21"/>
    </row>
    <row r="863">
      <c r="E863" s="21"/>
      <c r="F863" s="21"/>
    </row>
    <row r="864">
      <c r="E864" s="21"/>
      <c r="F864" s="21"/>
    </row>
    <row r="865">
      <c r="E865" s="21"/>
      <c r="F865" s="21"/>
    </row>
    <row r="866">
      <c r="E866" s="21"/>
      <c r="F866" s="21"/>
    </row>
    <row r="867">
      <c r="E867" s="21"/>
      <c r="F867" s="21"/>
    </row>
    <row r="868">
      <c r="E868" s="21"/>
      <c r="F868" s="21"/>
    </row>
    <row r="869">
      <c r="E869" s="21"/>
      <c r="F869" s="21"/>
    </row>
    <row r="870">
      <c r="E870" s="21"/>
      <c r="F870" s="21"/>
    </row>
    <row r="871">
      <c r="E871" s="21"/>
      <c r="F871" s="21"/>
    </row>
    <row r="872">
      <c r="E872" s="21"/>
      <c r="F872" s="21"/>
    </row>
    <row r="873">
      <c r="E873" s="21"/>
      <c r="F873" s="21"/>
    </row>
    <row r="874">
      <c r="E874" s="21"/>
      <c r="F874" s="21"/>
    </row>
    <row r="875">
      <c r="E875" s="21"/>
      <c r="F875" s="21"/>
    </row>
    <row r="876">
      <c r="E876" s="21"/>
      <c r="F876" s="21"/>
    </row>
    <row r="877">
      <c r="E877" s="21"/>
      <c r="F877" s="21"/>
    </row>
    <row r="878">
      <c r="E878" s="21"/>
      <c r="F878" s="21"/>
    </row>
    <row r="879">
      <c r="E879" s="21"/>
      <c r="F879" s="21"/>
    </row>
    <row r="880">
      <c r="E880" s="21"/>
      <c r="F880" s="21"/>
    </row>
    <row r="881">
      <c r="E881" s="21"/>
      <c r="F881" s="21"/>
    </row>
    <row r="882">
      <c r="E882" s="21"/>
      <c r="F882" s="21"/>
    </row>
    <row r="883">
      <c r="E883" s="21"/>
      <c r="F883" s="21"/>
    </row>
    <row r="884">
      <c r="E884" s="21"/>
      <c r="F884" s="21"/>
    </row>
    <row r="885">
      <c r="E885" s="21"/>
      <c r="F885" s="21"/>
    </row>
    <row r="886">
      <c r="E886" s="21"/>
      <c r="F886" s="21"/>
    </row>
    <row r="887">
      <c r="E887" s="21"/>
      <c r="F887" s="21"/>
    </row>
    <row r="888">
      <c r="E888" s="21"/>
      <c r="F888" s="21"/>
    </row>
    <row r="889">
      <c r="E889" s="21"/>
      <c r="F889" s="21"/>
    </row>
    <row r="890">
      <c r="E890" s="21"/>
      <c r="F890" s="21"/>
    </row>
    <row r="891">
      <c r="E891" s="21"/>
      <c r="F891" s="21"/>
    </row>
    <row r="892">
      <c r="E892" s="21"/>
      <c r="F892" s="21"/>
    </row>
    <row r="893">
      <c r="E893" s="21"/>
      <c r="F893" s="21"/>
    </row>
    <row r="894">
      <c r="E894" s="21"/>
      <c r="F894" s="21"/>
    </row>
    <row r="895">
      <c r="E895" s="21"/>
      <c r="F895" s="21"/>
    </row>
    <row r="896">
      <c r="E896" s="21"/>
      <c r="F896" s="21"/>
    </row>
    <row r="897">
      <c r="E897" s="21"/>
      <c r="F897" s="21"/>
    </row>
    <row r="898">
      <c r="E898" s="21"/>
      <c r="F898" s="21"/>
    </row>
    <row r="899">
      <c r="E899" s="21"/>
      <c r="F899" s="21"/>
    </row>
    <row r="900">
      <c r="E900" s="21"/>
      <c r="F900" s="21"/>
    </row>
    <row r="901">
      <c r="E901" s="21"/>
      <c r="F901" s="21"/>
    </row>
    <row r="902">
      <c r="E902" s="21"/>
      <c r="F902" s="21"/>
    </row>
    <row r="903">
      <c r="E903" s="21"/>
      <c r="F903" s="21"/>
    </row>
    <row r="904">
      <c r="E904" s="21"/>
      <c r="F904" s="21"/>
    </row>
    <row r="905">
      <c r="E905" s="21"/>
      <c r="F905" s="21"/>
    </row>
    <row r="906">
      <c r="E906" s="21"/>
      <c r="F906" s="21"/>
    </row>
    <row r="907">
      <c r="E907" s="21"/>
      <c r="F907" s="21"/>
    </row>
    <row r="908">
      <c r="E908" s="21"/>
      <c r="F908" s="21"/>
    </row>
    <row r="909">
      <c r="E909" s="21"/>
      <c r="F909" s="21"/>
    </row>
    <row r="910">
      <c r="E910" s="21"/>
      <c r="F910" s="21"/>
    </row>
    <row r="911">
      <c r="E911" s="21"/>
      <c r="F911" s="21"/>
    </row>
    <row r="912">
      <c r="E912" s="21"/>
      <c r="F912" s="21"/>
    </row>
    <row r="913">
      <c r="E913" s="21"/>
      <c r="F913" s="21"/>
    </row>
    <row r="914">
      <c r="E914" s="21"/>
      <c r="F914" s="21"/>
    </row>
    <row r="915">
      <c r="E915" s="21"/>
      <c r="F915" s="21"/>
    </row>
    <row r="916">
      <c r="E916" s="21"/>
      <c r="F916" s="21"/>
    </row>
    <row r="917">
      <c r="E917" s="21"/>
      <c r="F917" s="21"/>
    </row>
    <row r="918">
      <c r="E918" s="21"/>
      <c r="F918" s="21"/>
    </row>
    <row r="919">
      <c r="E919" s="21"/>
      <c r="F919" s="21"/>
    </row>
    <row r="920">
      <c r="E920" s="21"/>
      <c r="F920" s="21"/>
    </row>
    <row r="921">
      <c r="E921" s="21"/>
      <c r="F921" s="21"/>
    </row>
    <row r="922">
      <c r="E922" s="21"/>
      <c r="F922" s="21"/>
    </row>
    <row r="923">
      <c r="E923" s="21"/>
      <c r="F923" s="21"/>
    </row>
    <row r="924">
      <c r="E924" s="21"/>
      <c r="F924" s="21"/>
    </row>
    <row r="925">
      <c r="E925" s="21"/>
      <c r="F925" s="21"/>
    </row>
    <row r="926">
      <c r="E926" s="21"/>
      <c r="F926" s="21"/>
    </row>
    <row r="927">
      <c r="E927" s="21"/>
      <c r="F927" s="21"/>
    </row>
    <row r="928">
      <c r="E928" s="21"/>
      <c r="F928" s="21"/>
    </row>
    <row r="929">
      <c r="E929" s="21"/>
      <c r="F929" s="21"/>
    </row>
    <row r="930">
      <c r="E930" s="21"/>
      <c r="F930" s="21"/>
    </row>
    <row r="931">
      <c r="E931" s="21"/>
      <c r="F931" s="21"/>
    </row>
    <row r="932">
      <c r="E932" s="21"/>
      <c r="F932" s="21"/>
    </row>
    <row r="933">
      <c r="E933" s="21"/>
      <c r="F933" s="21"/>
    </row>
    <row r="934">
      <c r="E934" s="21"/>
      <c r="F934" s="21"/>
    </row>
    <row r="935">
      <c r="E935" s="21"/>
      <c r="F935" s="21"/>
    </row>
    <row r="936">
      <c r="E936" s="21"/>
      <c r="F936" s="21"/>
    </row>
    <row r="937">
      <c r="E937" s="21"/>
      <c r="F937" s="21"/>
    </row>
    <row r="938">
      <c r="E938" s="21"/>
      <c r="F938" s="21"/>
    </row>
    <row r="939">
      <c r="E939" s="21"/>
      <c r="F939" s="21"/>
    </row>
    <row r="940">
      <c r="E940" s="21"/>
      <c r="F940" s="21"/>
    </row>
    <row r="941">
      <c r="E941" s="21"/>
      <c r="F941" s="21"/>
    </row>
    <row r="942">
      <c r="E942" s="21"/>
      <c r="F942" s="21"/>
    </row>
    <row r="943">
      <c r="E943" s="21"/>
      <c r="F943" s="21"/>
    </row>
    <row r="944">
      <c r="E944" s="21"/>
      <c r="F944" s="21"/>
    </row>
    <row r="945">
      <c r="E945" s="21"/>
      <c r="F945" s="21"/>
    </row>
    <row r="946">
      <c r="E946" s="21"/>
      <c r="F946" s="21"/>
    </row>
    <row r="947">
      <c r="E947" s="21"/>
      <c r="F947" s="21"/>
    </row>
    <row r="948">
      <c r="E948" s="21"/>
      <c r="F948" s="21"/>
    </row>
    <row r="949">
      <c r="E949" s="21"/>
      <c r="F949" s="21"/>
    </row>
    <row r="950">
      <c r="E950" s="21"/>
      <c r="F950" s="21"/>
    </row>
    <row r="951">
      <c r="E951" s="21"/>
      <c r="F951" s="21"/>
    </row>
    <row r="952">
      <c r="E952" s="21"/>
      <c r="F952" s="21"/>
    </row>
    <row r="953">
      <c r="E953" s="21"/>
      <c r="F953" s="21"/>
    </row>
    <row r="954">
      <c r="E954" s="21"/>
      <c r="F954" s="21"/>
    </row>
    <row r="955">
      <c r="E955" s="21"/>
      <c r="F955" s="21"/>
    </row>
    <row r="956">
      <c r="E956" s="21"/>
      <c r="F956" s="21"/>
    </row>
    <row r="957">
      <c r="E957" s="21"/>
      <c r="F957" s="21"/>
    </row>
    <row r="958">
      <c r="E958" s="21"/>
      <c r="F958" s="21"/>
    </row>
    <row r="959">
      <c r="E959" s="21"/>
      <c r="F959" s="21"/>
    </row>
    <row r="960">
      <c r="E960" s="21"/>
      <c r="F960" s="21"/>
    </row>
    <row r="961">
      <c r="E961" s="21"/>
      <c r="F961" s="21"/>
    </row>
    <row r="962">
      <c r="E962" s="21"/>
      <c r="F962" s="21"/>
    </row>
    <row r="963">
      <c r="E963" s="21"/>
      <c r="F963" s="21"/>
    </row>
    <row r="964">
      <c r="E964" s="21"/>
      <c r="F964" s="21"/>
    </row>
    <row r="965">
      <c r="E965" s="21"/>
      <c r="F965" s="21"/>
    </row>
    <row r="966">
      <c r="E966" s="21"/>
      <c r="F966" s="21"/>
    </row>
    <row r="967">
      <c r="E967" s="21"/>
      <c r="F967" s="21"/>
    </row>
    <row r="968">
      <c r="E968" s="21"/>
      <c r="F968" s="21"/>
    </row>
    <row r="969">
      <c r="E969" s="21"/>
      <c r="F969" s="21"/>
    </row>
    <row r="970">
      <c r="E970" s="21"/>
      <c r="F970" s="21"/>
    </row>
    <row r="971">
      <c r="E971" s="21"/>
      <c r="F971" s="21"/>
    </row>
    <row r="972">
      <c r="E972" s="21"/>
      <c r="F972" s="21"/>
    </row>
    <row r="973">
      <c r="E973" s="21"/>
      <c r="F973" s="21"/>
    </row>
    <row r="974">
      <c r="E974" s="21"/>
      <c r="F974" s="21"/>
    </row>
    <row r="975">
      <c r="E975" s="21"/>
      <c r="F975" s="21"/>
    </row>
    <row r="976">
      <c r="E976" s="21"/>
      <c r="F976" s="21"/>
    </row>
    <row r="977">
      <c r="E977" s="21"/>
      <c r="F977" s="21"/>
    </row>
    <row r="978">
      <c r="E978" s="21"/>
      <c r="F978" s="21"/>
    </row>
    <row r="979">
      <c r="E979" s="21"/>
      <c r="F979" s="21"/>
    </row>
    <row r="980">
      <c r="E980" s="21"/>
      <c r="F980" s="21"/>
    </row>
    <row r="981">
      <c r="E981" s="21"/>
      <c r="F981" s="21"/>
    </row>
    <row r="982">
      <c r="E982" s="21"/>
      <c r="F982" s="21"/>
    </row>
    <row r="983">
      <c r="E983" s="21"/>
      <c r="F983" s="21"/>
    </row>
    <row r="984">
      <c r="E984" s="21"/>
      <c r="F984" s="21"/>
    </row>
    <row r="985">
      <c r="E985" s="21"/>
      <c r="F985" s="21"/>
    </row>
    <row r="986">
      <c r="E986" s="21"/>
      <c r="F986" s="21"/>
    </row>
    <row r="987">
      <c r="E987" s="21"/>
      <c r="F987" s="21"/>
    </row>
    <row r="988">
      <c r="E988" s="21"/>
      <c r="F988" s="21"/>
    </row>
    <row r="989">
      <c r="E989" s="21"/>
      <c r="F989" s="21"/>
    </row>
    <row r="990">
      <c r="E990" s="21"/>
      <c r="F990" s="21"/>
    </row>
    <row r="991">
      <c r="E991" s="21"/>
      <c r="F991" s="21"/>
    </row>
    <row r="992">
      <c r="E992" s="21"/>
      <c r="F992" s="21"/>
    </row>
    <row r="993">
      <c r="E993" s="21"/>
      <c r="F993" s="21"/>
    </row>
    <row r="994">
      <c r="E994" s="21"/>
      <c r="F994" s="21"/>
    </row>
    <row r="995">
      <c r="E995" s="21"/>
      <c r="F995" s="21"/>
    </row>
    <row r="996">
      <c r="E996" s="21"/>
      <c r="F996" s="21"/>
    </row>
    <row r="997">
      <c r="E997" s="21"/>
      <c r="F997" s="21"/>
    </row>
    <row r="998">
      <c r="E998" s="21"/>
      <c r="F998" s="21"/>
    </row>
    <row r="999">
      <c r="E999" s="21"/>
      <c r="F999" s="21"/>
    </row>
    <row r="1000">
      <c r="E1000" s="21"/>
      <c r="F1000" s="21"/>
    </row>
  </sheetData>
  <autoFilter ref="$A$1:$G$1000"/>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14.75"/>
    <col customWidth="1" min="5" max="5" width="18.25"/>
    <col customWidth="1" min="6" max="7" width="14.75"/>
    <col customWidth="1" min="8" max="8" width="15.5"/>
    <col customWidth="1" min="9" max="9" width="20.25"/>
    <col customWidth="1" min="10" max="10" width="13.88"/>
    <col customWidth="1" min="12" max="12" width="19.75"/>
    <col customWidth="1" min="13" max="13" width="23.0"/>
    <col customWidth="1" min="14" max="14" width="16.13"/>
    <col customWidth="1" min="18" max="18" width="28.75"/>
    <col customWidth="1" min="19" max="19" width="14.5"/>
    <col customWidth="1" min="20" max="20" width="26.38"/>
  </cols>
  <sheetData>
    <row r="1">
      <c r="A1" s="1" t="s">
        <v>2229</v>
      </c>
      <c r="B1" s="1" t="s">
        <v>2230</v>
      </c>
      <c r="C1" s="1" t="s">
        <v>2231</v>
      </c>
      <c r="D1" s="1" t="s">
        <v>2232</v>
      </c>
      <c r="E1" s="1" t="s">
        <v>2233</v>
      </c>
      <c r="F1" s="1" t="s">
        <v>2234</v>
      </c>
      <c r="G1" s="1" t="s">
        <v>2235</v>
      </c>
      <c r="H1" s="1" t="s">
        <v>2236</v>
      </c>
      <c r="I1" s="12" t="s">
        <v>2237</v>
      </c>
      <c r="J1" s="1" t="s">
        <v>2238</v>
      </c>
      <c r="K1" s="1" t="s">
        <v>2239</v>
      </c>
      <c r="L1" s="1" t="s">
        <v>2240</v>
      </c>
      <c r="M1" s="1" t="s">
        <v>2241</v>
      </c>
      <c r="N1" s="1" t="s">
        <v>2242</v>
      </c>
      <c r="O1" s="1" t="s">
        <v>2243</v>
      </c>
      <c r="P1" s="1" t="s">
        <v>2244</v>
      </c>
      <c r="Q1" s="1" t="s">
        <v>1911</v>
      </c>
      <c r="R1" s="1" t="s">
        <v>2245</v>
      </c>
      <c r="S1" s="1" t="s">
        <v>2246</v>
      </c>
      <c r="T1" s="1" t="s">
        <v>2247</v>
      </c>
      <c r="U1" s="23"/>
      <c r="V1" s="23"/>
      <c r="W1" s="23"/>
      <c r="X1" s="23"/>
      <c r="Y1" s="23"/>
      <c r="Z1" s="23"/>
      <c r="AA1" s="23"/>
      <c r="AB1" s="23"/>
      <c r="AC1" s="23"/>
      <c r="AD1" s="23"/>
      <c r="AE1" s="23"/>
      <c r="AF1" s="23"/>
      <c r="AG1" s="23"/>
    </row>
    <row r="2">
      <c r="A2" s="4" t="s">
        <v>2248</v>
      </c>
      <c r="B2" s="4" t="s">
        <v>2201</v>
      </c>
      <c r="C2" s="4" t="s">
        <v>2249</v>
      </c>
      <c r="D2" s="4" t="b">
        <v>1</v>
      </c>
      <c r="E2" s="17">
        <v>45651.0</v>
      </c>
      <c r="H2" s="17">
        <v>45652.0</v>
      </c>
      <c r="I2" s="19" t="s">
        <v>2148</v>
      </c>
      <c r="J2" s="4" t="s">
        <v>2250</v>
      </c>
      <c r="K2" s="4" t="s">
        <v>2251</v>
      </c>
      <c r="L2" s="4" t="s">
        <v>2252</v>
      </c>
      <c r="M2" s="17">
        <v>45652.0</v>
      </c>
      <c r="N2" s="4" t="s">
        <v>2253</v>
      </c>
      <c r="P2" s="4">
        <v>1.0</v>
      </c>
      <c r="Q2" s="4" t="s">
        <v>2254</v>
      </c>
      <c r="R2" s="4" t="s">
        <v>2255</v>
      </c>
      <c r="S2" s="4" t="b">
        <v>0</v>
      </c>
    </row>
    <row r="3">
      <c r="A3" s="4" t="s">
        <v>2256</v>
      </c>
      <c r="B3" s="7" t="s">
        <v>2257</v>
      </c>
      <c r="C3" s="4" t="s">
        <v>2258</v>
      </c>
      <c r="D3" s="4" t="b">
        <v>0</v>
      </c>
      <c r="H3" s="17">
        <v>45639.0</v>
      </c>
      <c r="I3" s="19" t="s">
        <v>2148</v>
      </c>
      <c r="J3" s="4" t="s">
        <v>2259</v>
      </c>
      <c r="K3" s="4" t="s">
        <v>2251</v>
      </c>
      <c r="L3" s="4" t="s">
        <v>2260</v>
      </c>
      <c r="M3" s="17">
        <v>45639.0</v>
      </c>
      <c r="N3" s="4" t="s">
        <v>2261</v>
      </c>
      <c r="O3" s="4" t="s">
        <v>2262</v>
      </c>
      <c r="P3" s="4">
        <v>7.0</v>
      </c>
      <c r="Q3" s="4" t="s">
        <v>2263</v>
      </c>
      <c r="R3" s="4" t="s">
        <v>2264</v>
      </c>
      <c r="S3" s="4" t="b">
        <v>1</v>
      </c>
      <c r="T3" s="4" t="s">
        <v>2265</v>
      </c>
    </row>
    <row r="4">
      <c r="A4" s="4" t="s">
        <v>2266</v>
      </c>
      <c r="B4" s="7" t="s">
        <v>2267</v>
      </c>
      <c r="C4" s="4" t="s">
        <v>2258</v>
      </c>
      <c r="D4" s="4" t="b">
        <v>0</v>
      </c>
      <c r="E4" s="4"/>
      <c r="F4" s="4"/>
      <c r="G4" s="4"/>
      <c r="H4" s="6">
        <v>45628.0</v>
      </c>
      <c r="I4" s="19" t="s">
        <v>2148</v>
      </c>
      <c r="J4" s="4" t="s">
        <v>2268</v>
      </c>
      <c r="K4" s="4" t="s">
        <v>2269</v>
      </c>
      <c r="L4" s="4" t="s">
        <v>2270</v>
      </c>
      <c r="M4" s="6">
        <v>45636.0</v>
      </c>
      <c r="N4" s="4" t="s">
        <v>2271</v>
      </c>
      <c r="P4" s="4">
        <v>1.0</v>
      </c>
      <c r="Q4" s="4" t="s">
        <v>2272</v>
      </c>
      <c r="R4" s="4" t="s">
        <v>2273</v>
      </c>
      <c r="S4" s="4" t="b">
        <v>1</v>
      </c>
      <c r="T4" s="4" t="s">
        <v>2274</v>
      </c>
    </row>
    <row r="5">
      <c r="A5" s="4" t="s">
        <v>2275</v>
      </c>
      <c r="B5" s="7" t="s">
        <v>2276</v>
      </c>
      <c r="C5" s="4" t="s">
        <v>2258</v>
      </c>
      <c r="D5" s="4" t="b">
        <v>0</v>
      </c>
      <c r="E5" s="4"/>
      <c r="F5" s="4"/>
      <c r="G5" s="4"/>
      <c r="H5" s="6">
        <v>45629.0</v>
      </c>
      <c r="I5" s="19" t="s">
        <v>2147</v>
      </c>
      <c r="J5" s="4" t="s">
        <v>2268</v>
      </c>
      <c r="K5" s="4" t="s">
        <v>2269</v>
      </c>
      <c r="L5" s="4" t="s">
        <v>2277</v>
      </c>
      <c r="M5" s="6">
        <v>45629.0</v>
      </c>
      <c r="N5" s="4" t="s">
        <v>2278</v>
      </c>
      <c r="P5" s="4">
        <v>1.0</v>
      </c>
      <c r="Q5" s="4" t="s">
        <v>2279</v>
      </c>
      <c r="R5" s="4" t="s">
        <v>2280</v>
      </c>
    </row>
    <row r="6">
      <c r="A6" s="4" t="s">
        <v>2281</v>
      </c>
      <c r="B6" s="7" t="s">
        <v>2154</v>
      </c>
      <c r="C6" s="4" t="s">
        <v>2258</v>
      </c>
      <c r="D6" s="4" t="b">
        <v>0</v>
      </c>
      <c r="E6" s="4"/>
      <c r="F6" s="4"/>
      <c r="G6" s="4"/>
      <c r="H6" s="6">
        <v>45629.0</v>
      </c>
      <c r="I6" s="19" t="s">
        <v>2147</v>
      </c>
      <c r="J6" s="4" t="s">
        <v>2282</v>
      </c>
      <c r="K6" s="4" t="s">
        <v>2269</v>
      </c>
      <c r="L6" s="4" t="s">
        <v>2283</v>
      </c>
      <c r="M6" s="6">
        <v>45630.0</v>
      </c>
      <c r="N6" s="4" t="s">
        <v>2284</v>
      </c>
      <c r="O6" s="4" t="s">
        <v>2285</v>
      </c>
      <c r="P6" s="4">
        <v>1.0</v>
      </c>
      <c r="Q6" s="4" t="s">
        <v>2286</v>
      </c>
      <c r="R6" s="4" t="s">
        <v>2287</v>
      </c>
    </row>
    <row r="7">
      <c r="A7" s="4" t="s">
        <v>2288</v>
      </c>
      <c r="B7" s="7" t="s">
        <v>2148</v>
      </c>
      <c r="C7" s="4" t="s">
        <v>2258</v>
      </c>
      <c r="D7" s="4" t="b">
        <v>0</v>
      </c>
      <c r="E7" s="4"/>
      <c r="F7" s="4"/>
      <c r="G7" s="4"/>
      <c r="H7" s="6">
        <v>45629.0</v>
      </c>
      <c r="I7" s="19" t="s">
        <v>2154</v>
      </c>
      <c r="J7" s="4" t="s">
        <v>2259</v>
      </c>
      <c r="K7" s="4" t="s">
        <v>2251</v>
      </c>
      <c r="L7" s="4" t="s">
        <v>2289</v>
      </c>
      <c r="M7" s="6">
        <v>45632.0</v>
      </c>
      <c r="N7" s="4" t="s">
        <v>2290</v>
      </c>
      <c r="P7" s="4">
        <v>7.0</v>
      </c>
      <c r="Q7" s="4" t="s">
        <v>2291</v>
      </c>
      <c r="R7" s="4" t="s">
        <v>2292</v>
      </c>
    </row>
    <row r="8">
      <c r="A8" s="4" t="s">
        <v>2293</v>
      </c>
      <c r="B8" s="7" t="s">
        <v>2257</v>
      </c>
      <c r="C8" s="4" t="s">
        <v>2258</v>
      </c>
      <c r="D8" s="4" t="b">
        <v>0</v>
      </c>
      <c r="H8" s="6">
        <v>45629.0</v>
      </c>
      <c r="I8" s="19" t="s">
        <v>2148</v>
      </c>
      <c r="J8" s="4" t="s">
        <v>2282</v>
      </c>
      <c r="K8" s="4" t="s">
        <v>2269</v>
      </c>
      <c r="L8" s="4" t="s">
        <v>2294</v>
      </c>
      <c r="M8" s="6">
        <v>45629.0</v>
      </c>
      <c r="N8" s="4" t="s">
        <v>2295</v>
      </c>
      <c r="P8" s="4">
        <v>1.0</v>
      </c>
      <c r="Q8" s="4" t="s">
        <v>2296</v>
      </c>
      <c r="R8" s="4" t="s">
        <v>2297</v>
      </c>
    </row>
    <row r="9">
      <c r="A9" s="4" t="s">
        <v>2298</v>
      </c>
      <c r="B9" s="7" t="s">
        <v>2276</v>
      </c>
      <c r="C9" s="4" t="s">
        <v>2258</v>
      </c>
      <c r="D9" s="4" t="b">
        <v>0</v>
      </c>
      <c r="E9" s="4"/>
      <c r="F9" s="4"/>
      <c r="G9" s="4"/>
      <c r="H9" s="6">
        <v>45630.0</v>
      </c>
      <c r="I9" s="19" t="s">
        <v>2147</v>
      </c>
      <c r="J9" s="4" t="s">
        <v>2259</v>
      </c>
      <c r="K9" s="4" t="s">
        <v>2251</v>
      </c>
      <c r="L9" s="4" t="s">
        <v>2299</v>
      </c>
      <c r="M9" s="6">
        <v>45635.0</v>
      </c>
      <c r="N9" s="4" t="s">
        <v>2300</v>
      </c>
      <c r="O9" s="4" t="s">
        <v>2301</v>
      </c>
      <c r="P9" s="4">
        <v>7.0</v>
      </c>
      <c r="Q9" s="4" t="s">
        <v>2302</v>
      </c>
      <c r="R9" s="4" t="s">
        <v>2303</v>
      </c>
    </row>
    <row r="10">
      <c r="A10" s="4" t="s">
        <v>2304</v>
      </c>
      <c r="B10" s="7" t="s">
        <v>2154</v>
      </c>
      <c r="C10" s="4" t="s">
        <v>2258</v>
      </c>
      <c r="D10" s="4" t="b">
        <v>0</v>
      </c>
      <c r="E10" s="4"/>
      <c r="F10" s="4"/>
      <c r="G10" s="4"/>
      <c r="H10" s="6">
        <v>45630.0</v>
      </c>
      <c r="I10" s="19" t="s">
        <v>2147</v>
      </c>
      <c r="J10" s="4" t="s">
        <v>2282</v>
      </c>
      <c r="K10" s="4" t="s">
        <v>2269</v>
      </c>
      <c r="L10" s="4" t="s">
        <v>2305</v>
      </c>
      <c r="M10" s="6">
        <v>45631.0</v>
      </c>
      <c r="N10" s="4" t="s">
        <v>2306</v>
      </c>
      <c r="P10" s="4">
        <v>1.0</v>
      </c>
      <c r="Q10" s="4" t="s">
        <v>2307</v>
      </c>
      <c r="R10" s="4" t="s">
        <v>2308</v>
      </c>
    </row>
    <row r="11">
      <c r="A11" s="4" t="s">
        <v>2309</v>
      </c>
      <c r="B11" s="7" t="s">
        <v>2310</v>
      </c>
      <c r="C11" s="4" t="s">
        <v>2258</v>
      </c>
      <c r="D11" s="4" t="b">
        <v>0</v>
      </c>
      <c r="E11" s="4"/>
      <c r="F11" s="4"/>
      <c r="G11" s="4"/>
      <c r="H11" s="6">
        <v>45631.0</v>
      </c>
      <c r="I11" s="19" t="s">
        <v>2148</v>
      </c>
      <c r="J11" s="4" t="s">
        <v>2268</v>
      </c>
      <c r="K11" s="4" t="s">
        <v>2269</v>
      </c>
      <c r="L11" s="4" t="s">
        <v>2311</v>
      </c>
      <c r="M11" s="6">
        <v>45635.0</v>
      </c>
      <c r="N11" s="4" t="s">
        <v>2312</v>
      </c>
      <c r="P11" s="4">
        <v>1.0</v>
      </c>
      <c r="Q11" s="4" t="s">
        <v>2313</v>
      </c>
      <c r="R11" s="4" t="s">
        <v>2314</v>
      </c>
    </row>
    <row r="12">
      <c r="A12" s="4" t="s">
        <v>2315</v>
      </c>
      <c r="B12" s="7" t="s">
        <v>2316</v>
      </c>
      <c r="C12" s="4" t="s">
        <v>2258</v>
      </c>
      <c r="D12" s="4" t="b">
        <v>0</v>
      </c>
      <c r="E12" s="4"/>
      <c r="F12" s="4"/>
      <c r="G12" s="4"/>
      <c r="H12" s="6">
        <v>45631.0</v>
      </c>
      <c r="I12" s="19" t="s">
        <v>2147</v>
      </c>
      <c r="J12" s="4" t="s">
        <v>2268</v>
      </c>
      <c r="K12" s="4" t="s">
        <v>2269</v>
      </c>
      <c r="L12" s="4" t="s">
        <v>2317</v>
      </c>
      <c r="M12" s="6">
        <v>45631.0</v>
      </c>
      <c r="N12" s="4" t="s">
        <v>2318</v>
      </c>
      <c r="P12" s="4">
        <v>1.0</v>
      </c>
      <c r="Q12" s="4" t="s">
        <v>2319</v>
      </c>
      <c r="R12" s="4" t="s">
        <v>2320</v>
      </c>
    </row>
    <row r="13">
      <c r="A13" s="4" t="s">
        <v>2321</v>
      </c>
      <c r="B13" s="7" t="s">
        <v>2322</v>
      </c>
      <c r="C13" s="4" t="s">
        <v>2258</v>
      </c>
      <c r="D13" s="4" t="b">
        <v>0</v>
      </c>
      <c r="E13" s="4"/>
      <c r="F13" s="4"/>
      <c r="G13" s="4"/>
      <c r="H13" s="6">
        <v>45631.0</v>
      </c>
      <c r="I13" s="19" t="s">
        <v>2147</v>
      </c>
      <c r="J13" s="4" t="s">
        <v>2268</v>
      </c>
      <c r="K13" s="4" t="s">
        <v>2269</v>
      </c>
      <c r="L13" s="4" t="s">
        <v>2317</v>
      </c>
      <c r="M13" s="6">
        <v>45631.0</v>
      </c>
      <c r="N13" s="4" t="s">
        <v>2318</v>
      </c>
      <c r="P13" s="4">
        <v>1.0</v>
      </c>
      <c r="Q13" s="4" t="s">
        <v>2319</v>
      </c>
      <c r="R13" s="4" t="s">
        <v>2320</v>
      </c>
    </row>
    <row r="14">
      <c r="A14" s="4" t="s">
        <v>2323</v>
      </c>
      <c r="B14" s="7" t="s">
        <v>2154</v>
      </c>
      <c r="C14" s="4" t="s">
        <v>2258</v>
      </c>
      <c r="D14" s="4" t="b">
        <v>0</v>
      </c>
      <c r="E14" s="4"/>
      <c r="F14" s="4"/>
      <c r="G14" s="4"/>
      <c r="H14" s="17">
        <v>45632.0</v>
      </c>
      <c r="I14" s="19" t="s">
        <v>2147</v>
      </c>
      <c r="J14" s="4" t="s">
        <v>2282</v>
      </c>
      <c r="K14" s="4" t="s">
        <v>2269</v>
      </c>
      <c r="L14" s="4" t="s">
        <v>2324</v>
      </c>
      <c r="M14" s="6">
        <v>45632.0</v>
      </c>
      <c r="N14" s="4" t="s">
        <v>2325</v>
      </c>
      <c r="O14" s="4" t="s">
        <v>2326</v>
      </c>
      <c r="P14" s="4">
        <v>1.0</v>
      </c>
      <c r="Q14" s="4" t="s">
        <v>2327</v>
      </c>
      <c r="R14" s="4" t="s">
        <v>2328</v>
      </c>
    </row>
    <row r="15">
      <c r="A15" s="4" t="s">
        <v>2329</v>
      </c>
      <c r="B15" s="7" t="s">
        <v>2148</v>
      </c>
      <c r="C15" s="4" t="s">
        <v>2258</v>
      </c>
      <c r="D15" s="4" t="b">
        <v>0</v>
      </c>
      <c r="E15" s="4"/>
      <c r="F15" s="4"/>
      <c r="G15" s="4"/>
      <c r="H15" s="17">
        <v>45635.0</v>
      </c>
      <c r="I15" s="19" t="s">
        <v>2154</v>
      </c>
      <c r="J15" s="4" t="s">
        <v>2282</v>
      </c>
      <c r="K15" s="4" t="s">
        <v>2269</v>
      </c>
      <c r="L15" s="4" t="s">
        <v>2330</v>
      </c>
      <c r="M15" s="6">
        <v>45637.0</v>
      </c>
      <c r="N15" s="4" t="s">
        <v>2331</v>
      </c>
      <c r="P15" s="4">
        <v>1.0</v>
      </c>
      <c r="Q15" s="4" t="s">
        <v>2332</v>
      </c>
      <c r="R15" s="4" t="s">
        <v>2333</v>
      </c>
    </row>
    <row r="16">
      <c r="A16" s="4" t="s">
        <v>2334</v>
      </c>
      <c r="B16" s="7" t="s">
        <v>2335</v>
      </c>
      <c r="C16" s="4" t="s">
        <v>2336</v>
      </c>
      <c r="D16" s="4" t="b">
        <v>0</v>
      </c>
      <c r="E16" s="4"/>
      <c r="F16" s="7" t="s">
        <v>2335</v>
      </c>
      <c r="G16" s="4" t="s">
        <v>2158</v>
      </c>
      <c r="H16" s="17">
        <v>46017.0</v>
      </c>
      <c r="I16" s="19" t="s">
        <v>2147</v>
      </c>
      <c r="J16" s="4"/>
      <c r="K16" s="4" t="s">
        <v>2251</v>
      </c>
      <c r="L16" s="4" t="s">
        <v>2337</v>
      </c>
      <c r="M16" s="6">
        <v>46017.0</v>
      </c>
      <c r="N16" s="4" t="s">
        <v>2338</v>
      </c>
      <c r="P16" s="4">
        <v>3.0</v>
      </c>
      <c r="Q16" s="4" t="s">
        <v>2339</v>
      </c>
      <c r="R16" s="4" t="s">
        <v>2340</v>
      </c>
      <c r="S16" s="4" t="b">
        <v>0</v>
      </c>
    </row>
    <row r="17">
      <c r="A17" s="4" t="s">
        <v>2341</v>
      </c>
      <c r="B17" s="7" t="s">
        <v>2342</v>
      </c>
      <c r="C17" s="4" t="s">
        <v>2336</v>
      </c>
      <c r="D17" s="4" t="b">
        <v>0</v>
      </c>
      <c r="E17" s="4"/>
      <c r="F17" s="7" t="s">
        <v>2342</v>
      </c>
      <c r="G17" s="4" t="s">
        <v>2159</v>
      </c>
      <c r="H17" s="6">
        <v>46124.0</v>
      </c>
      <c r="I17" s="19" t="s">
        <v>2147</v>
      </c>
      <c r="K17" s="4" t="s">
        <v>2251</v>
      </c>
      <c r="L17" s="4" t="s">
        <v>2337</v>
      </c>
      <c r="M17" s="6"/>
      <c r="N17" s="4"/>
      <c r="P17" s="4">
        <v>3.0</v>
      </c>
      <c r="Q17" s="4" t="s">
        <v>2343</v>
      </c>
      <c r="R17" s="4"/>
      <c r="S17" s="4" t="b">
        <v>0</v>
      </c>
    </row>
    <row r="18">
      <c r="A18" s="4" t="s">
        <v>2344</v>
      </c>
      <c r="B18" s="7" t="s">
        <v>2345</v>
      </c>
      <c r="C18" s="4" t="s">
        <v>2336</v>
      </c>
      <c r="D18" s="4" t="b">
        <v>0</v>
      </c>
      <c r="E18" s="4"/>
      <c r="F18" s="7" t="s">
        <v>2345</v>
      </c>
      <c r="G18" s="4" t="s">
        <v>2160</v>
      </c>
      <c r="H18" s="6">
        <v>46123.0</v>
      </c>
      <c r="I18" s="19" t="s">
        <v>2147</v>
      </c>
      <c r="K18" s="4" t="s">
        <v>2251</v>
      </c>
      <c r="L18" s="4" t="s">
        <v>2337</v>
      </c>
      <c r="M18" s="6"/>
      <c r="N18" s="4"/>
      <c r="P18" s="4">
        <v>3.0</v>
      </c>
      <c r="Q18" s="4" t="s">
        <v>2346</v>
      </c>
      <c r="R18" s="4"/>
      <c r="S18" s="4" t="b">
        <v>0</v>
      </c>
    </row>
    <row r="19">
      <c r="A19" s="4" t="s">
        <v>2347</v>
      </c>
      <c r="B19" s="7" t="s">
        <v>2267</v>
      </c>
      <c r="C19" s="4" t="s">
        <v>2336</v>
      </c>
      <c r="D19" s="4" t="b">
        <v>0</v>
      </c>
      <c r="E19" s="4"/>
      <c r="F19" s="7" t="s">
        <v>2267</v>
      </c>
      <c r="G19" s="4" t="s">
        <v>2163</v>
      </c>
      <c r="H19" s="17">
        <v>46075.0</v>
      </c>
      <c r="I19" s="19" t="s">
        <v>2148</v>
      </c>
      <c r="K19" s="4" t="s">
        <v>2251</v>
      </c>
      <c r="L19" s="4" t="s">
        <v>2348</v>
      </c>
      <c r="M19" s="6"/>
      <c r="N19" s="4"/>
      <c r="P19" s="4">
        <v>3.0</v>
      </c>
      <c r="Q19" s="4" t="s">
        <v>2349</v>
      </c>
      <c r="R19" s="4"/>
      <c r="S19" s="4" t="b">
        <v>0</v>
      </c>
    </row>
    <row r="20">
      <c r="A20" s="4" t="s">
        <v>2350</v>
      </c>
      <c r="B20" s="7" t="s">
        <v>2310</v>
      </c>
      <c r="C20" s="4" t="s">
        <v>2336</v>
      </c>
      <c r="D20" s="4" t="b">
        <v>0</v>
      </c>
      <c r="E20" s="4"/>
      <c r="F20" s="7" t="s">
        <v>2310</v>
      </c>
      <c r="G20" s="4" t="s">
        <v>2164</v>
      </c>
      <c r="H20" s="17">
        <v>46085.0</v>
      </c>
      <c r="I20" s="19" t="s">
        <v>2148</v>
      </c>
      <c r="K20" s="4" t="s">
        <v>2251</v>
      </c>
      <c r="L20" s="4" t="s">
        <v>2337</v>
      </c>
      <c r="M20" s="6"/>
      <c r="N20" s="4"/>
      <c r="P20" s="4">
        <v>3.0</v>
      </c>
      <c r="Q20" s="4" t="s">
        <v>2351</v>
      </c>
      <c r="R20" s="4"/>
      <c r="S20" s="4" t="b">
        <v>0</v>
      </c>
    </row>
    <row r="21">
      <c r="A21" s="4" t="s">
        <v>2352</v>
      </c>
      <c r="B21" s="4" t="s">
        <v>2194</v>
      </c>
      <c r="C21" s="4" t="s">
        <v>2258</v>
      </c>
      <c r="D21" s="4" t="b">
        <v>0</v>
      </c>
      <c r="E21" s="4"/>
      <c r="F21" s="4"/>
      <c r="G21" s="4"/>
      <c r="H21" s="17">
        <v>45636.0</v>
      </c>
      <c r="I21" s="19" t="s">
        <v>2147</v>
      </c>
      <c r="J21" s="4" t="s">
        <v>2353</v>
      </c>
      <c r="K21" s="4" t="s">
        <v>2269</v>
      </c>
      <c r="L21" s="4" t="s">
        <v>2354</v>
      </c>
      <c r="M21" s="6">
        <v>45636.0</v>
      </c>
      <c r="N21" s="4" t="s">
        <v>2355</v>
      </c>
      <c r="P21" s="4">
        <v>1.0</v>
      </c>
      <c r="Q21" s="4" t="s">
        <v>2356</v>
      </c>
      <c r="R21" s="4" t="s">
        <v>2357</v>
      </c>
    </row>
    <row r="22">
      <c r="A22" s="4" t="s">
        <v>2358</v>
      </c>
      <c r="B22" s="7" t="s">
        <v>2359</v>
      </c>
      <c r="C22" s="4" t="s">
        <v>2336</v>
      </c>
      <c r="D22" s="4" t="b">
        <v>0</v>
      </c>
      <c r="E22" s="4"/>
      <c r="F22" s="7" t="s">
        <v>2359</v>
      </c>
      <c r="G22" s="4" t="s">
        <v>2165</v>
      </c>
      <c r="H22" s="6">
        <v>46034.0</v>
      </c>
      <c r="I22" s="19" t="s">
        <v>2148</v>
      </c>
      <c r="K22" s="4" t="s">
        <v>2251</v>
      </c>
      <c r="L22" s="4" t="s">
        <v>2337</v>
      </c>
      <c r="M22" s="17">
        <v>46060.0</v>
      </c>
      <c r="N22" s="4" t="s">
        <v>2271</v>
      </c>
      <c r="P22" s="4">
        <v>3.0</v>
      </c>
      <c r="Q22" s="4" t="s">
        <v>2360</v>
      </c>
      <c r="R22" s="4" t="s">
        <v>2361</v>
      </c>
      <c r="S22" s="4" t="b">
        <v>0</v>
      </c>
    </row>
    <row r="23">
      <c r="A23" s="4" t="s">
        <v>2362</v>
      </c>
      <c r="B23" s="7" t="s">
        <v>2363</v>
      </c>
      <c r="C23" s="4" t="s">
        <v>2336</v>
      </c>
      <c r="D23" s="4" t="b">
        <v>0</v>
      </c>
      <c r="E23" s="4"/>
      <c r="F23" s="7" t="s">
        <v>2363</v>
      </c>
      <c r="G23" s="4" t="s">
        <v>2166</v>
      </c>
      <c r="H23" s="6">
        <v>46062.0</v>
      </c>
      <c r="I23" s="19" t="s">
        <v>2148</v>
      </c>
      <c r="K23" s="4" t="s">
        <v>2251</v>
      </c>
      <c r="L23" s="4" t="s">
        <v>2337</v>
      </c>
      <c r="M23" s="17"/>
      <c r="N23" s="4"/>
      <c r="P23" s="4">
        <v>3.0</v>
      </c>
      <c r="Q23" s="4" t="s">
        <v>2364</v>
      </c>
      <c r="R23" s="4"/>
      <c r="S23" s="4" t="b">
        <v>0</v>
      </c>
    </row>
    <row r="24">
      <c r="A24" s="4" t="s">
        <v>2365</v>
      </c>
      <c r="B24" s="7" t="s">
        <v>2366</v>
      </c>
      <c r="C24" s="4" t="s">
        <v>2336</v>
      </c>
      <c r="D24" s="4" t="b">
        <v>0</v>
      </c>
      <c r="E24" s="4"/>
      <c r="F24" s="7" t="s">
        <v>2366</v>
      </c>
      <c r="G24" s="4" t="s">
        <v>2167</v>
      </c>
      <c r="H24" s="6">
        <v>46034.0</v>
      </c>
      <c r="I24" s="19" t="s">
        <v>2154</v>
      </c>
      <c r="K24" s="4" t="s">
        <v>2251</v>
      </c>
      <c r="L24" s="4" t="s">
        <v>2337</v>
      </c>
      <c r="M24" s="17">
        <v>46036.0</v>
      </c>
      <c r="N24" s="4" t="s">
        <v>2367</v>
      </c>
      <c r="P24" s="4">
        <v>3.0</v>
      </c>
      <c r="Q24" s="4" t="s">
        <v>2360</v>
      </c>
      <c r="R24" s="4" t="s">
        <v>2368</v>
      </c>
      <c r="S24" s="4" t="b">
        <v>0</v>
      </c>
    </row>
    <row r="25">
      <c r="A25" s="4" t="s">
        <v>2369</v>
      </c>
      <c r="B25" s="7" t="s">
        <v>2370</v>
      </c>
      <c r="C25" s="4" t="s">
        <v>2336</v>
      </c>
      <c r="D25" s="4" t="b">
        <v>0</v>
      </c>
      <c r="E25" s="4"/>
      <c r="F25" s="7" t="s">
        <v>2370</v>
      </c>
      <c r="G25" s="4" t="s">
        <v>2168</v>
      </c>
      <c r="H25" s="6">
        <v>46034.0</v>
      </c>
      <c r="I25" s="19" t="s">
        <v>2154</v>
      </c>
      <c r="K25" s="4" t="s">
        <v>2251</v>
      </c>
      <c r="L25" s="4" t="s">
        <v>2337</v>
      </c>
      <c r="M25" s="17">
        <v>46036.0</v>
      </c>
      <c r="N25" s="4" t="s">
        <v>2367</v>
      </c>
      <c r="P25" s="4">
        <v>3.0</v>
      </c>
      <c r="Q25" s="4" t="s">
        <v>2360</v>
      </c>
      <c r="R25" s="4" t="s">
        <v>2368</v>
      </c>
      <c r="S25" s="4" t="b">
        <v>0</v>
      </c>
    </row>
    <row r="26">
      <c r="A26" s="4" t="s">
        <v>2371</v>
      </c>
      <c r="B26" s="7" t="s">
        <v>2322</v>
      </c>
      <c r="C26" s="4" t="s">
        <v>2336</v>
      </c>
      <c r="D26" s="4" t="b">
        <v>0</v>
      </c>
      <c r="E26" s="4"/>
      <c r="F26" s="7" t="s">
        <v>2322</v>
      </c>
      <c r="G26" s="4" t="s">
        <v>2169</v>
      </c>
      <c r="H26" s="6">
        <v>46104.0</v>
      </c>
      <c r="I26" s="19" t="s">
        <v>2147</v>
      </c>
      <c r="K26" s="4" t="s">
        <v>2251</v>
      </c>
      <c r="L26" s="4" t="s">
        <v>2337</v>
      </c>
      <c r="M26" s="6"/>
      <c r="N26" s="4"/>
      <c r="P26" s="4">
        <v>3.0</v>
      </c>
      <c r="Q26" s="4" t="s">
        <v>2372</v>
      </c>
      <c r="R26" s="4"/>
      <c r="S26" s="4" t="b">
        <v>0</v>
      </c>
    </row>
    <row r="27">
      <c r="A27" s="4" t="s">
        <v>2373</v>
      </c>
      <c r="B27" s="7" t="s">
        <v>2316</v>
      </c>
      <c r="C27" s="4" t="s">
        <v>2336</v>
      </c>
      <c r="D27" s="4" t="b">
        <v>0</v>
      </c>
      <c r="E27" s="4"/>
      <c r="F27" s="7" t="s">
        <v>2316</v>
      </c>
      <c r="G27" s="4" t="s">
        <v>2170</v>
      </c>
      <c r="H27" s="6">
        <v>46104.0</v>
      </c>
      <c r="I27" s="19" t="s">
        <v>2147</v>
      </c>
      <c r="K27" s="4" t="s">
        <v>2251</v>
      </c>
      <c r="L27" s="4" t="s">
        <v>2337</v>
      </c>
      <c r="M27" s="6"/>
      <c r="N27" s="4"/>
      <c r="P27" s="4">
        <v>3.0</v>
      </c>
      <c r="Q27" s="4" t="s">
        <v>2372</v>
      </c>
      <c r="R27" s="4"/>
      <c r="S27" s="4" t="b">
        <v>0</v>
      </c>
    </row>
    <row r="28">
      <c r="A28" s="4" t="s">
        <v>2374</v>
      </c>
      <c r="B28" s="7" t="s">
        <v>2375</v>
      </c>
      <c r="C28" s="4" t="s">
        <v>2336</v>
      </c>
      <c r="D28" s="4" t="b">
        <v>0</v>
      </c>
      <c r="E28" s="4"/>
      <c r="F28" s="7" t="s">
        <v>2375</v>
      </c>
      <c r="G28" s="4" t="s">
        <v>2171</v>
      </c>
      <c r="H28" s="6">
        <v>46104.0</v>
      </c>
      <c r="I28" s="19" t="s">
        <v>2147</v>
      </c>
      <c r="K28" s="4" t="s">
        <v>2251</v>
      </c>
      <c r="L28" s="4" t="s">
        <v>2337</v>
      </c>
      <c r="M28" s="6"/>
      <c r="N28" s="4"/>
      <c r="P28" s="4">
        <v>3.0</v>
      </c>
      <c r="Q28" s="4" t="s">
        <v>2372</v>
      </c>
      <c r="R28" s="4"/>
      <c r="S28" s="4" t="b">
        <v>0</v>
      </c>
    </row>
    <row r="29">
      <c r="A29" s="4" t="s">
        <v>2376</v>
      </c>
      <c r="B29" s="7" t="s">
        <v>2377</v>
      </c>
      <c r="C29" s="4" t="s">
        <v>2336</v>
      </c>
      <c r="D29" s="4" t="b">
        <v>0</v>
      </c>
      <c r="E29" s="4"/>
      <c r="F29" s="7" t="s">
        <v>2377</v>
      </c>
      <c r="G29" s="4" t="s">
        <v>2172</v>
      </c>
      <c r="H29" s="6">
        <v>46104.0</v>
      </c>
      <c r="I29" s="19" t="s">
        <v>2147</v>
      </c>
      <c r="K29" s="4" t="s">
        <v>2251</v>
      </c>
      <c r="L29" s="4" t="s">
        <v>2337</v>
      </c>
      <c r="M29" s="6"/>
      <c r="N29" s="4"/>
      <c r="P29" s="4">
        <v>3.0</v>
      </c>
      <c r="Q29" s="4" t="s">
        <v>2372</v>
      </c>
      <c r="R29" s="4"/>
      <c r="S29" s="4" t="b">
        <v>0</v>
      </c>
    </row>
    <row r="30">
      <c r="A30" s="4" t="s">
        <v>2378</v>
      </c>
      <c r="B30" s="7" t="s">
        <v>2379</v>
      </c>
      <c r="C30" s="4" t="s">
        <v>2336</v>
      </c>
      <c r="D30" s="4" t="b">
        <v>0</v>
      </c>
      <c r="E30" s="4"/>
      <c r="F30" s="7" t="s">
        <v>2379</v>
      </c>
      <c r="G30" s="4" t="s">
        <v>2173</v>
      </c>
      <c r="H30" s="6">
        <v>46102.0</v>
      </c>
      <c r="I30" s="19" t="s">
        <v>2154</v>
      </c>
      <c r="K30" s="4" t="s">
        <v>2251</v>
      </c>
      <c r="L30" s="4" t="s">
        <v>2337</v>
      </c>
      <c r="M30" s="17">
        <v>46106.0</v>
      </c>
      <c r="N30" s="4" t="s">
        <v>2380</v>
      </c>
      <c r="P30" s="4">
        <v>3.0</v>
      </c>
      <c r="Q30" s="4" t="s">
        <v>2381</v>
      </c>
      <c r="R30" s="4" t="s">
        <v>2382</v>
      </c>
      <c r="S30" s="4" t="b">
        <v>0</v>
      </c>
    </row>
    <row r="31">
      <c r="A31" s="4" t="s">
        <v>2383</v>
      </c>
      <c r="B31" s="7" t="s">
        <v>2384</v>
      </c>
      <c r="C31" s="4" t="s">
        <v>2336</v>
      </c>
      <c r="D31" s="4" t="b">
        <v>0</v>
      </c>
      <c r="E31" s="4"/>
      <c r="F31" s="7" t="s">
        <v>2384</v>
      </c>
      <c r="G31" s="4" t="s">
        <v>2176</v>
      </c>
      <c r="H31" s="6">
        <v>46118.0</v>
      </c>
      <c r="I31" s="19" t="s">
        <v>2147</v>
      </c>
      <c r="K31" s="4" t="s">
        <v>2251</v>
      </c>
      <c r="L31" s="4" t="s">
        <v>2337</v>
      </c>
      <c r="M31" s="17"/>
      <c r="N31" s="4"/>
      <c r="P31" s="4">
        <v>3.0</v>
      </c>
      <c r="Q31" s="4" t="s">
        <v>2385</v>
      </c>
      <c r="R31" s="4"/>
      <c r="S31" s="4" t="b">
        <v>0</v>
      </c>
    </row>
    <row r="32">
      <c r="A32" s="4" t="s">
        <v>2386</v>
      </c>
      <c r="B32" s="7" t="s">
        <v>2387</v>
      </c>
      <c r="C32" s="4" t="s">
        <v>2258</v>
      </c>
      <c r="D32" s="4" t="b">
        <v>0</v>
      </c>
      <c r="H32" s="6">
        <v>45637.0</v>
      </c>
      <c r="I32" s="19" t="s">
        <v>2147</v>
      </c>
      <c r="J32" s="4" t="s">
        <v>2268</v>
      </c>
      <c r="K32" s="4" t="s">
        <v>2269</v>
      </c>
      <c r="L32" s="4" t="s">
        <v>2388</v>
      </c>
      <c r="M32" s="17">
        <v>45637.0</v>
      </c>
      <c r="N32" s="4" t="s">
        <v>2389</v>
      </c>
      <c r="P32" s="4">
        <v>1.0</v>
      </c>
      <c r="Q32" s="4" t="s">
        <v>2390</v>
      </c>
      <c r="R32" s="4" t="s">
        <v>2391</v>
      </c>
      <c r="S32" s="4" t="b">
        <v>1</v>
      </c>
      <c r="T32" s="4" t="s">
        <v>2274</v>
      </c>
    </row>
    <row r="33">
      <c r="A33" s="4"/>
      <c r="B33" s="4"/>
      <c r="C33" s="4"/>
      <c r="D33" s="4" t="b">
        <v>0</v>
      </c>
      <c r="H33" s="6"/>
      <c r="I33" s="8"/>
      <c r="J33" s="4"/>
      <c r="K33" s="4"/>
      <c r="L33" s="4"/>
      <c r="P33" s="4"/>
      <c r="Q33" s="4"/>
      <c r="S33" s="4"/>
      <c r="T33" s="4"/>
    </row>
    <row r="34">
      <c r="A34" s="4" t="s">
        <v>2392</v>
      </c>
      <c r="B34" s="7" t="s">
        <v>2393</v>
      </c>
      <c r="C34" s="4" t="s">
        <v>2336</v>
      </c>
      <c r="D34" s="4" t="b">
        <v>0</v>
      </c>
      <c r="E34" s="4"/>
      <c r="F34" s="7" t="s">
        <v>2393</v>
      </c>
      <c r="G34" s="4" t="s">
        <v>2177</v>
      </c>
      <c r="H34" s="6">
        <v>46118.0</v>
      </c>
      <c r="I34" s="19" t="s">
        <v>2147</v>
      </c>
      <c r="K34" s="4" t="s">
        <v>2251</v>
      </c>
      <c r="L34" s="4" t="s">
        <v>2337</v>
      </c>
      <c r="M34" s="17"/>
      <c r="N34" s="4"/>
      <c r="P34" s="4">
        <v>3.0</v>
      </c>
      <c r="Q34" s="4" t="s">
        <v>2385</v>
      </c>
      <c r="R34" s="4"/>
      <c r="S34" s="4" t="b">
        <v>0</v>
      </c>
    </row>
    <row r="35">
      <c r="A35" s="4" t="s">
        <v>2394</v>
      </c>
      <c r="B35" s="7" t="s">
        <v>2276</v>
      </c>
      <c r="C35" s="4" t="s">
        <v>2336</v>
      </c>
      <c r="D35" s="4" t="b">
        <v>0</v>
      </c>
      <c r="E35" s="4"/>
      <c r="F35" s="7" t="s">
        <v>2276</v>
      </c>
      <c r="G35" s="4" t="s">
        <v>2178</v>
      </c>
      <c r="H35" s="6">
        <v>46118.0</v>
      </c>
      <c r="I35" s="19" t="s">
        <v>2147</v>
      </c>
      <c r="K35" s="4" t="s">
        <v>2251</v>
      </c>
      <c r="L35" s="4" t="s">
        <v>2337</v>
      </c>
      <c r="M35" s="17"/>
      <c r="N35" s="4"/>
      <c r="P35" s="4">
        <v>3.0</v>
      </c>
      <c r="Q35" s="4" t="s">
        <v>2385</v>
      </c>
      <c r="R35" s="4"/>
      <c r="S35" s="4" t="b">
        <v>0</v>
      </c>
    </row>
    <row r="36">
      <c r="A36" s="4" t="s">
        <v>2395</v>
      </c>
      <c r="B36" s="7" t="s">
        <v>2396</v>
      </c>
      <c r="C36" s="4" t="s">
        <v>2336</v>
      </c>
      <c r="D36" s="4" t="b">
        <v>0</v>
      </c>
      <c r="E36" s="4"/>
      <c r="F36" s="7" t="s">
        <v>2396</v>
      </c>
      <c r="G36" s="4" t="s">
        <v>2179</v>
      </c>
      <c r="H36" s="6">
        <v>46136.0</v>
      </c>
      <c r="I36" s="19" t="s">
        <v>2147</v>
      </c>
      <c r="K36" s="4" t="s">
        <v>2251</v>
      </c>
      <c r="L36" s="4" t="s">
        <v>2337</v>
      </c>
      <c r="M36" s="17"/>
      <c r="N36" s="4"/>
      <c r="P36" s="4">
        <v>3.0</v>
      </c>
      <c r="Q36" s="4" t="s">
        <v>2397</v>
      </c>
      <c r="R36" s="4"/>
      <c r="S36" s="4" t="b">
        <v>0</v>
      </c>
    </row>
    <row r="37">
      <c r="A37" s="4" t="s">
        <v>2398</v>
      </c>
      <c r="B37" s="7" t="s">
        <v>2399</v>
      </c>
      <c r="C37" s="4" t="s">
        <v>2336</v>
      </c>
      <c r="D37" s="4" t="b">
        <v>0</v>
      </c>
      <c r="E37" s="4"/>
      <c r="F37" s="7" t="s">
        <v>2399</v>
      </c>
      <c r="G37" s="4" t="s">
        <v>2180</v>
      </c>
      <c r="H37" s="6">
        <v>46136.0</v>
      </c>
      <c r="I37" s="19" t="s">
        <v>2147</v>
      </c>
      <c r="K37" s="4" t="s">
        <v>2251</v>
      </c>
      <c r="L37" s="4" t="s">
        <v>2337</v>
      </c>
      <c r="M37" s="17"/>
      <c r="N37" s="4"/>
      <c r="P37" s="4">
        <v>3.0</v>
      </c>
      <c r="Q37" s="4" t="s">
        <v>2397</v>
      </c>
      <c r="R37" s="4"/>
      <c r="S37" s="4" t="b">
        <v>0</v>
      </c>
    </row>
    <row r="38">
      <c r="A38" s="4" t="s">
        <v>2400</v>
      </c>
      <c r="B38" s="7" t="s">
        <v>2401</v>
      </c>
      <c r="C38" s="4" t="s">
        <v>2336</v>
      </c>
      <c r="D38" s="4" t="b">
        <v>0</v>
      </c>
      <c r="E38" s="4"/>
      <c r="F38" s="7" t="s">
        <v>2401</v>
      </c>
      <c r="G38" s="4" t="s">
        <v>2181</v>
      </c>
      <c r="H38" s="6">
        <v>45829.0</v>
      </c>
      <c r="I38" s="19" t="s">
        <v>2148</v>
      </c>
      <c r="K38" s="4" t="s">
        <v>2251</v>
      </c>
      <c r="L38" s="4" t="s">
        <v>2337</v>
      </c>
      <c r="M38" s="17">
        <v>45832.0</v>
      </c>
      <c r="N38" s="4" t="s">
        <v>2402</v>
      </c>
      <c r="P38" s="4">
        <v>3.0</v>
      </c>
      <c r="Q38" s="4" t="s">
        <v>2403</v>
      </c>
      <c r="R38" s="4" t="s">
        <v>2404</v>
      </c>
      <c r="S38" s="4" t="b">
        <v>0</v>
      </c>
    </row>
    <row r="39">
      <c r="A39" s="4" t="s">
        <v>2405</v>
      </c>
      <c r="B39" s="7" t="s">
        <v>2147</v>
      </c>
      <c r="C39" s="4" t="s">
        <v>2258</v>
      </c>
      <c r="D39" s="4" t="b">
        <v>0</v>
      </c>
      <c r="H39" s="6">
        <v>45638.0</v>
      </c>
      <c r="I39" s="19" t="s">
        <v>2147</v>
      </c>
      <c r="J39" s="4" t="s">
        <v>2282</v>
      </c>
      <c r="K39" s="4" t="s">
        <v>2269</v>
      </c>
      <c r="L39" s="4" t="s">
        <v>2406</v>
      </c>
      <c r="M39" s="17">
        <v>45642.0</v>
      </c>
      <c r="N39" s="4" t="s">
        <v>2407</v>
      </c>
      <c r="P39" s="4">
        <v>1.0</v>
      </c>
      <c r="Q39" s="4" t="s">
        <v>2408</v>
      </c>
      <c r="R39" s="4" t="s">
        <v>2409</v>
      </c>
      <c r="S39" s="4" t="b">
        <v>1</v>
      </c>
      <c r="T39" s="4" t="s">
        <v>2410</v>
      </c>
    </row>
    <row r="40">
      <c r="A40" s="4" t="s">
        <v>2411</v>
      </c>
      <c r="B40" s="7" t="s">
        <v>2412</v>
      </c>
      <c r="C40" s="4" t="s">
        <v>2336</v>
      </c>
      <c r="D40" s="4" t="b">
        <v>0</v>
      </c>
      <c r="E40" s="4"/>
      <c r="F40" s="7" t="s">
        <v>2412</v>
      </c>
      <c r="G40" s="4" t="s">
        <v>2182</v>
      </c>
      <c r="H40" s="6">
        <v>45829.0</v>
      </c>
      <c r="I40" s="19" t="s">
        <v>2148</v>
      </c>
      <c r="K40" s="4" t="s">
        <v>2251</v>
      </c>
      <c r="L40" s="4" t="s">
        <v>2337</v>
      </c>
      <c r="M40" s="17">
        <v>45832.0</v>
      </c>
      <c r="N40" s="4" t="s">
        <v>2413</v>
      </c>
      <c r="P40" s="4">
        <v>3.0</v>
      </c>
      <c r="Q40" s="4" t="s">
        <v>2403</v>
      </c>
      <c r="R40" s="4" t="s">
        <v>2414</v>
      </c>
      <c r="S40" s="4" t="b">
        <v>0</v>
      </c>
    </row>
    <row r="41">
      <c r="A41" s="4" t="s">
        <v>2415</v>
      </c>
      <c r="B41" s="7" t="s">
        <v>2106</v>
      </c>
      <c r="C41" s="4" t="s">
        <v>2336</v>
      </c>
      <c r="D41" s="4" t="b">
        <v>0</v>
      </c>
      <c r="E41" s="4"/>
      <c r="F41" s="7" t="s">
        <v>2106</v>
      </c>
      <c r="G41" s="4" t="s">
        <v>2416</v>
      </c>
      <c r="H41" s="6">
        <v>45884.0</v>
      </c>
      <c r="I41" s="19" t="s">
        <v>2148</v>
      </c>
      <c r="K41" s="4" t="s">
        <v>2251</v>
      </c>
      <c r="L41" s="4" t="s">
        <v>2337</v>
      </c>
      <c r="M41" s="17">
        <v>45887.0</v>
      </c>
      <c r="N41" s="4" t="s">
        <v>2417</v>
      </c>
      <c r="P41" s="4">
        <v>3.0</v>
      </c>
      <c r="Q41" s="4" t="s">
        <v>2418</v>
      </c>
      <c r="R41" s="4" t="s">
        <v>2419</v>
      </c>
      <c r="S41" s="4" t="b">
        <v>0</v>
      </c>
    </row>
    <row r="42">
      <c r="A42" s="4" t="s">
        <v>2420</v>
      </c>
      <c r="B42" s="4" t="s">
        <v>2194</v>
      </c>
      <c r="C42" s="4" t="s">
        <v>2258</v>
      </c>
      <c r="D42" s="4" t="b">
        <v>0</v>
      </c>
      <c r="H42" s="17">
        <v>45642.0</v>
      </c>
      <c r="I42" s="19" t="s">
        <v>2147</v>
      </c>
      <c r="J42" s="4" t="s">
        <v>2282</v>
      </c>
      <c r="K42" s="4" t="s">
        <v>2269</v>
      </c>
      <c r="L42" s="4" t="s">
        <v>2421</v>
      </c>
      <c r="M42" s="17">
        <v>45643.0</v>
      </c>
      <c r="N42" s="4" t="s">
        <v>2422</v>
      </c>
      <c r="P42" s="4">
        <v>1.0</v>
      </c>
      <c r="Q42" s="4" t="s">
        <v>2423</v>
      </c>
      <c r="R42" s="4" t="s">
        <v>2424</v>
      </c>
      <c r="S42" s="4" t="b">
        <v>1</v>
      </c>
      <c r="T42" s="7" t="s">
        <v>2425</v>
      </c>
    </row>
    <row r="43">
      <c r="A43" s="4" t="s">
        <v>2426</v>
      </c>
      <c r="B43" s="7" t="s">
        <v>2393</v>
      </c>
      <c r="C43" s="4" t="s">
        <v>2258</v>
      </c>
      <c r="D43" s="4" t="b">
        <v>0</v>
      </c>
      <c r="H43" s="17">
        <v>45642.0</v>
      </c>
      <c r="I43" s="19" t="s">
        <v>2147</v>
      </c>
      <c r="J43" s="4" t="s">
        <v>2268</v>
      </c>
      <c r="K43" s="4" t="s">
        <v>2269</v>
      </c>
      <c r="L43" s="4" t="s">
        <v>2427</v>
      </c>
      <c r="M43" s="17">
        <v>45643.0</v>
      </c>
      <c r="N43" s="4" t="s">
        <v>2428</v>
      </c>
      <c r="P43" s="4">
        <v>1.0</v>
      </c>
      <c r="Q43" s="4" t="s">
        <v>2429</v>
      </c>
      <c r="R43" s="4" t="s">
        <v>2430</v>
      </c>
      <c r="S43" s="4" t="b">
        <v>0</v>
      </c>
    </row>
    <row r="44">
      <c r="A44" s="4"/>
      <c r="B44" s="4"/>
      <c r="C44" s="4"/>
      <c r="D44" s="4"/>
      <c r="H44" s="17"/>
      <c r="I44" s="8"/>
      <c r="J44" s="4"/>
      <c r="K44" s="4"/>
      <c r="L44" s="4"/>
      <c r="M44" s="17"/>
      <c r="N44" s="4"/>
      <c r="P44" s="4"/>
      <c r="Q44" s="4"/>
      <c r="R44" s="4"/>
      <c r="S44" s="4"/>
    </row>
    <row r="45">
      <c r="A45" s="4" t="s">
        <v>2431</v>
      </c>
      <c r="B45" s="7" t="s">
        <v>2257</v>
      </c>
      <c r="C45" s="4" t="s">
        <v>2258</v>
      </c>
      <c r="D45" s="4" t="b">
        <v>0</v>
      </c>
      <c r="H45" s="17">
        <v>45644.0</v>
      </c>
      <c r="I45" s="19" t="s">
        <v>2154</v>
      </c>
      <c r="J45" s="4" t="s">
        <v>2259</v>
      </c>
      <c r="K45" s="4" t="s">
        <v>2251</v>
      </c>
      <c r="L45" s="4" t="s">
        <v>2432</v>
      </c>
      <c r="M45" s="17">
        <v>45649.0</v>
      </c>
      <c r="N45" s="4" t="s">
        <v>2433</v>
      </c>
      <c r="P45" s="4">
        <v>7.0</v>
      </c>
      <c r="Q45" s="4" t="s">
        <v>2434</v>
      </c>
      <c r="R45" s="4" t="s">
        <v>2435</v>
      </c>
      <c r="S45" s="4" t="b">
        <v>0</v>
      </c>
    </row>
    <row r="46">
      <c r="A46" s="4" t="s">
        <v>2436</v>
      </c>
      <c r="B46" s="7" t="s">
        <v>2148</v>
      </c>
      <c r="C46" s="4" t="s">
        <v>2258</v>
      </c>
      <c r="D46" s="4" t="b">
        <v>0</v>
      </c>
      <c r="H46" s="17">
        <v>45644.0</v>
      </c>
      <c r="I46" s="19" t="s">
        <v>2154</v>
      </c>
      <c r="J46" s="4" t="s">
        <v>2259</v>
      </c>
      <c r="K46" s="4" t="s">
        <v>2251</v>
      </c>
      <c r="L46" s="4" t="s">
        <v>2437</v>
      </c>
      <c r="M46" s="17">
        <v>45649.0</v>
      </c>
      <c r="N46" s="4" t="s">
        <v>2438</v>
      </c>
      <c r="P46" s="4">
        <v>7.0</v>
      </c>
      <c r="Q46" s="4" t="s">
        <v>2439</v>
      </c>
      <c r="R46" s="4" t="s">
        <v>2440</v>
      </c>
      <c r="S46" s="4" t="b">
        <v>0</v>
      </c>
    </row>
    <row r="47">
      <c r="A47" s="4" t="s">
        <v>2441</v>
      </c>
      <c r="B47" s="7" t="s">
        <v>2147</v>
      </c>
      <c r="C47" s="4" t="s">
        <v>2258</v>
      </c>
      <c r="D47" s="4" t="b">
        <v>0</v>
      </c>
      <c r="H47" s="17">
        <v>45645.0</v>
      </c>
      <c r="I47" s="19" t="s">
        <v>2147</v>
      </c>
      <c r="J47" s="4" t="s">
        <v>2353</v>
      </c>
      <c r="K47" s="4" t="s">
        <v>2269</v>
      </c>
      <c r="L47" s="4" t="s">
        <v>2442</v>
      </c>
      <c r="M47" s="17">
        <v>45653.0</v>
      </c>
      <c r="N47" s="4" t="s">
        <v>2443</v>
      </c>
      <c r="P47" s="4">
        <v>1.0</v>
      </c>
      <c r="Q47" s="4" t="s">
        <v>2444</v>
      </c>
      <c r="R47" s="4" t="s">
        <v>2445</v>
      </c>
      <c r="S47" s="4" t="b">
        <v>0</v>
      </c>
    </row>
    <row r="48">
      <c r="A48" s="4"/>
      <c r="B48" s="4"/>
      <c r="C48" s="4"/>
      <c r="D48" s="4"/>
      <c r="E48" s="17"/>
      <c r="H48" s="17"/>
      <c r="I48" s="8"/>
      <c r="J48" s="4"/>
      <c r="K48" s="4"/>
      <c r="L48" s="4"/>
      <c r="P48" s="4"/>
      <c r="Q48" s="4"/>
      <c r="S48" s="4"/>
    </row>
    <row r="49">
      <c r="A49" s="4" t="s">
        <v>2446</v>
      </c>
      <c r="B49" s="7" t="s">
        <v>2200</v>
      </c>
      <c r="C49" s="4" t="s">
        <v>2258</v>
      </c>
      <c r="D49" s="4" t="b">
        <v>0</v>
      </c>
      <c r="H49" s="17">
        <v>45649.0</v>
      </c>
      <c r="I49" s="19" t="s">
        <v>2147</v>
      </c>
      <c r="J49" s="4" t="s">
        <v>2353</v>
      </c>
      <c r="K49" s="4" t="s">
        <v>2269</v>
      </c>
      <c r="L49" s="4" t="s">
        <v>2447</v>
      </c>
      <c r="M49" s="17">
        <v>45649.0</v>
      </c>
      <c r="N49" s="4" t="s">
        <v>2448</v>
      </c>
      <c r="P49" s="4">
        <v>1.0</v>
      </c>
      <c r="Q49" s="4" t="s">
        <v>2449</v>
      </c>
      <c r="R49" s="4" t="s">
        <v>2450</v>
      </c>
      <c r="S49" s="4" t="b">
        <v>0</v>
      </c>
    </row>
    <row r="50">
      <c r="A50" s="4" t="s">
        <v>2451</v>
      </c>
      <c r="B50" s="7" t="s">
        <v>2276</v>
      </c>
      <c r="C50" s="4" t="s">
        <v>2258</v>
      </c>
      <c r="D50" s="4" t="b">
        <v>0</v>
      </c>
      <c r="H50" s="17">
        <v>45652.0</v>
      </c>
      <c r="I50" s="19" t="s">
        <v>2147</v>
      </c>
      <c r="J50" s="4" t="s">
        <v>2353</v>
      </c>
      <c r="K50" s="4" t="s">
        <v>2269</v>
      </c>
      <c r="L50" s="4" t="s">
        <v>2452</v>
      </c>
      <c r="M50" s="17">
        <v>45652.0</v>
      </c>
      <c r="N50" s="4" t="s">
        <v>2453</v>
      </c>
      <c r="P50" s="4">
        <v>1.0</v>
      </c>
      <c r="Q50" s="4" t="s">
        <v>2454</v>
      </c>
      <c r="R50" s="4" t="s">
        <v>2455</v>
      </c>
      <c r="S50" s="4" t="b">
        <v>0</v>
      </c>
    </row>
    <row r="51">
      <c r="A51" s="4"/>
      <c r="B51" s="4"/>
      <c r="C51" s="4"/>
      <c r="D51" s="4"/>
      <c r="H51" s="17"/>
      <c r="I51" s="8"/>
      <c r="J51" s="4"/>
      <c r="K51" s="4"/>
      <c r="L51" s="4"/>
      <c r="P51" s="4"/>
      <c r="Q51" s="4"/>
      <c r="S51" s="4"/>
      <c r="T51" s="4"/>
    </row>
    <row r="52">
      <c r="A52" s="4"/>
      <c r="B52" s="4"/>
      <c r="C52" s="4"/>
      <c r="D52" s="4"/>
      <c r="E52" s="17"/>
      <c r="H52" s="17"/>
      <c r="I52" s="8"/>
      <c r="J52" s="4"/>
      <c r="K52" s="4"/>
      <c r="L52" s="4"/>
      <c r="P52" s="4"/>
      <c r="Q52" s="4"/>
      <c r="S52" s="4"/>
    </row>
    <row r="53">
      <c r="A53" s="4" t="s">
        <v>2456</v>
      </c>
      <c r="B53" s="4" t="s">
        <v>2201</v>
      </c>
      <c r="C53" s="4" t="s">
        <v>2249</v>
      </c>
      <c r="D53" s="4" t="b">
        <v>1</v>
      </c>
      <c r="E53" s="17">
        <v>45653.0</v>
      </c>
      <c r="H53" s="17">
        <v>45652.0</v>
      </c>
      <c r="I53" s="19" t="s">
        <v>2148</v>
      </c>
      <c r="J53" s="4" t="s">
        <v>2457</v>
      </c>
      <c r="K53" s="4" t="s">
        <v>2269</v>
      </c>
      <c r="L53" s="4" t="s">
        <v>2252</v>
      </c>
      <c r="M53" s="17">
        <v>45654.0</v>
      </c>
      <c r="N53" s="4" t="s">
        <v>2253</v>
      </c>
      <c r="P53" s="4">
        <v>1.0</v>
      </c>
      <c r="Q53" s="4" t="s">
        <v>2458</v>
      </c>
      <c r="R53" s="4" t="s">
        <v>2459</v>
      </c>
      <c r="S53" s="4" t="b">
        <v>0</v>
      </c>
    </row>
    <row r="54">
      <c r="A54" s="4"/>
      <c r="B54" s="4"/>
      <c r="C54" s="4"/>
      <c r="D54" s="4"/>
      <c r="E54" s="6"/>
      <c r="H54" s="17"/>
      <c r="I54" s="8"/>
      <c r="J54" s="4"/>
      <c r="K54" s="4"/>
      <c r="L54" s="4"/>
      <c r="P54" s="4"/>
      <c r="Q54" s="4"/>
      <c r="S54" s="4"/>
    </row>
    <row r="55">
      <c r="A55" s="4" t="s">
        <v>2460</v>
      </c>
      <c r="B55" s="7" t="s">
        <v>2387</v>
      </c>
      <c r="C55" s="4" t="s">
        <v>2258</v>
      </c>
      <c r="D55" s="4" t="b">
        <v>0</v>
      </c>
      <c r="H55" s="17">
        <v>45653.0</v>
      </c>
      <c r="I55" s="19" t="s">
        <v>2147</v>
      </c>
      <c r="J55" s="4" t="s">
        <v>2282</v>
      </c>
      <c r="K55" s="4" t="s">
        <v>2269</v>
      </c>
      <c r="L55" s="4" t="s">
        <v>2461</v>
      </c>
      <c r="M55" s="17">
        <v>45659.0</v>
      </c>
      <c r="N55" s="4" t="s">
        <v>2462</v>
      </c>
      <c r="O55" s="4" t="s">
        <v>2463</v>
      </c>
      <c r="P55" s="4">
        <v>1.0</v>
      </c>
      <c r="Q55" s="4" t="s">
        <v>2464</v>
      </c>
      <c r="R55" s="4" t="s">
        <v>2465</v>
      </c>
      <c r="S55" s="4" t="b">
        <v>1</v>
      </c>
      <c r="T55" s="7" t="s">
        <v>2466</v>
      </c>
    </row>
    <row r="56">
      <c r="E56" s="17"/>
      <c r="H56" s="17"/>
      <c r="I56" s="8"/>
    </row>
    <row r="57">
      <c r="A57" s="4"/>
      <c r="B57" s="4"/>
      <c r="C57" s="4"/>
      <c r="D57" s="4"/>
      <c r="E57" s="17"/>
      <c r="H57" s="17"/>
      <c r="I57" s="8"/>
      <c r="J57" s="4"/>
      <c r="K57" s="4"/>
      <c r="L57" s="4"/>
      <c r="P57" s="4"/>
      <c r="Q57" s="4"/>
      <c r="S57" s="4"/>
    </row>
    <row r="58">
      <c r="A58" s="4" t="s">
        <v>2467</v>
      </c>
      <c r="B58" s="7" t="s">
        <v>2387</v>
      </c>
      <c r="C58" s="4" t="s">
        <v>2258</v>
      </c>
      <c r="D58" s="4" t="b">
        <v>0</v>
      </c>
      <c r="H58" s="6">
        <v>45659.0</v>
      </c>
      <c r="I58" s="19" t="s">
        <v>2147</v>
      </c>
      <c r="J58" s="4" t="s">
        <v>2282</v>
      </c>
      <c r="K58" s="4" t="s">
        <v>2269</v>
      </c>
      <c r="L58" s="4" t="s">
        <v>2468</v>
      </c>
      <c r="M58" s="6">
        <v>45659.0</v>
      </c>
      <c r="N58" s="4" t="s">
        <v>2469</v>
      </c>
      <c r="P58" s="4">
        <v>1.0</v>
      </c>
      <c r="Q58" s="4" t="s">
        <v>2470</v>
      </c>
      <c r="R58" s="4" t="s">
        <v>2471</v>
      </c>
      <c r="S58" s="4" t="b">
        <v>0</v>
      </c>
    </row>
    <row r="59">
      <c r="A59" s="4" t="s">
        <v>2472</v>
      </c>
      <c r="B59" s="7" t="s">
        <v>2276</v>
      </c>
      <c r="C59" s="4" t="s">
        <v>2258</v>
      </c>
      <c r="D59" s="4" t="b">
        <v>0</v>
      </c>
      <c r="H59" s="6">
        <v>45660.0</v>
      </c>
      <c r="I59" s="19" t="s">
        <v>2147</v>
      </c>
      <c r="J59" s="4" t="s">
        <v>2473</v>
      </c>
      <c r="K59" s="4" t="s">
        <v>2269</v>
      </c>
      <c r="L59" s="4" t="s">
        <v>2474</v>
      </c>
      <c r="M59" s="6">
        <v>45672.0</v>
      </c>
      <c r="N59" s="4" t="s">
        <v>2475</v>
      </c>
      <c r="P59" s="4">
        <v>1.0</v>
      </c>
      <c r="Q59" s="4" t="s">
        <v>2476</v>
      </c>
      <c r="R59" s="4" t="s">
        <v>2477</v>
      </c>
      <c r="S59" s="4" t="b">
        <v>1</v>
      </c>
      <c r="T59" s="4" t="s">
        <v>2478</v>
      </c>
    </row>
    <row r="60">
      <c r="A60" s="4" t="s">
        <v>2479</v>
      </c>
      <c r="B60" s="7" t="s">
        <v>2147</v>
      </c>
      <c r="C60" s="4" t="s">
        <v>2258</v>
      </c>
      <c r="D60" s="4" t="b">
        <v>0</v>
      </c>
      <c r="H60" s="6">
        <v>45660.0</v>
      </c>
      <c r="I60" s="19" t="s">
        <v>2147</v>
      </c>
      <c r="J60" s="4" t="s">
        <v>2282</v>
      </c>
      <c r="K60" s="4" t="s">
        <v>2269</v>
      </c>
      <c r="L60" s="4" t="s">
        <v>2480</v>
      </c>
      <c r="M60" s="6">
        <v>45660.0</v>
      </c>
      <c r="N60" s="4" t="s">
        <v>2481</v>
      </c>
      <c r="P60" s="4">
        <v>1.0</v>
      </c>
      <c r="Q60" s="4" t="s">
        <v>2482</v>
      </c>
      <c r="R60" s="4" t="s">
        <v>2483</v>
      </c>
      <c r="S60" s="4" t="b">
        <v>0</v>
      </c>
    </row>
    <row r="61">
      <c r="A61" s="4" t="s">
        <v>2484</v>
      </c>
      <c r="B61" s="7" t="s">
        <v>2147</v>
      </c>
      <c r="C61" s="4" t="s">
        <v>2258</v>
      </c>
      <c r="D61" s="4" t="b">
        <v>0</v>
      </c>
      <c r="H61" s="6">
        <v>45660.0</v>
      </c>
      <c r="I61" s="19" t="s">
        <v>2147</v>
      </c>
      <c r="J61" s="4" t="s">
        <v>2282</v>
      </c>
      <c r="K61" s="4" t="s">
        <v>2269</v>
      </c>
      <c r="L61" s="4" t="s">
        <v>2485</v>
      </c>
      <c r="M61" s="6">
        <v>45660.0</v>
      </c>
      <c r="N61" s="4" t="s">
        <v>2486</v>
      </c>
      <c r="P61" s="4">
        <v>1.0</v>
      </c>
      <c r="Q61" s="4" t="s">
        <v>2487</v>
      </c>
      <c r="R61" s="4" t="s">
        <v>2488</v>
      </c>
      <c r="S61" s="4" t="b">
        <v>0</v>
      </c>
    </row>
    <row r="62">
      <c r="A62" s="4" t="s">
        <v>2489</v>
      </c>
      <c r="B62" s="7" t="s">
        <v>2387</v>
      </c>
      <c r="C62" s="4" t="s">
        <v>2258</v>
      </c>
      <c r="D62" s="4" t="b">
        <v>0</v>
      </c>
      <c r="H62" s="6">
        <v>45663.0</v>
      </c>
      <c r="I62" s="19" t="s">
        <v>2147</v>
      </c>
      <c r="J62" s="4" t="s">
        <v>2268</v>
      </c>
      <c r="K62" s="4" t="s">
        <v>2269</v>
      </c>
      <c r="L62" s="4" t="s">
        <v>2490</v>
      </c>
      <c r="M62" s="6">
        <v>45664.0</v>
      </c>
      <c r="N62" s="4" t="s">
        <v>2491</v>
      </c>
      <c r="O62" s="4" t="s">
        <v>2492</v>
      </c>
      <c r="P62" s="4">
        <v>1.0</v>
      </c>
      <c r="Q62" s="4" t="s">
        <v>2493</v>
      </c>
      <c r="R62" s="4" t="s">
        <v>2494</v>
      </c>
      <c r="S62" s="4" t="b">
        <v>1</v>
      </c>
      <c r="T62" s="4" t="s">
        <v>2495</v>
      </c>
    </row>
    <row r="63">
      <c r="A63" s="4" t="s">
        <v>2496</v>
      </c>
      <c r="B63" s="7" t="s">
        <v>2384</v>
      </c>
      <c r="C63" s="4" t="s">
        <v>2258</v>
      </c>
      <c r="D63" s="4" t="b">
        <v>0</v>
      </c>
      <c r="H63" s="6">
        <v>45665.0</v>
      </c>
      <c r="I63" s="19" t="s">
        <v>2147</v>
      </c>
      <c r="J63" s="4" t="s">
        <v>2259</v>
      </c>
      <c r="K63" s="4" t="s">
        <v>2251</v>
      </c>
      <c r="L63" s="4" t="s">
        <v>2497</v>
      </c>
      <c r="M63" s="6">
        <v>45665.0</v>
      </c>
      <c r="N63" s="4" t="s">
        <v>2498</v>
      </c>
      <c r="P63" s="4">
        <v>7.0</v>
      </c>
      <c r="Q63" s="4" t="s">
        <v>2499</v>
      </c>
      <c r="R63" s="4" t="s">
        <v>2500</v>
      </c>
      <c r="S63" s="4" t="b">
        <v>0</v>
      </c>
    </row>
    <row r="64">
      <c r="A64" s="4" t="s">
        <v>2501</v>
      </c>
      <c r="B64" s="7" t="s">
        <v>2147</v>
      </c>
      <c r="C64" s="4" t="s">
        <v>2258</v>
      </c>
      <c r="D64" s="4" t="b">
        <v>0</v>
      </c>
      <c r="H64" s="6">
        <v>45665.0</v>
      </c>
      <c r="I64" s="19" t="s">
        <v>2147</v>
      </c>
      <c r="J64" s="4" t="s">
        <v>2282</v>
      </c>
      <c r="K64" s="4" t="s">
        <v>2269</v>
      </c>
      <c r="L64" s="4" t="s">
        <v>2502</v>
      </c>
      <c r="M64" s="6">
        <v>45666.0</v>
      </c>
      <c r="N64" s="4" t="s">
        <v>2503</v>
      </c>
      <c r="P64" s="4">
        <v>1.0</v>
      </c>
      <c r="Q64" s="4" t="s">
        <v>2504</v>
      </c>
      <c r="R64" s="4" t="s">
        <v>2505</v>
      </c>
      <c r="S64" s="4" t="b">
        <v>1</v>
      </c>
      <c r="T64" s="4" t="s">
        <v>2410</v>
      </c>
    </row>
    <row r="65">
      <c r="A65" s="4" t="s">
        <v>2506</v>
      </c>
      <c r="B65" s="7" t="s">
        <v>2384</v>
      </c>
      <c r="C65" s="4" t="s">
        <v>2258</v>
      </c>
      <c r="D65" s="4" t="b">
        <v>0</v>
      </c>
      <c r="H65" s="6">
        <v>45666.0</v>
      </c>
      <c r="I65" s="19" t="s">
        <v>2147</v>
      </c>
      <c r="J65" s="4" t="s">
        <v>2268</v>
      </c>
      <c r="K65" s="4" t="s">
        <v>2269</v>
      </c>
      <c r="L65" s="4" t="s">
        <v>2507</v>
      </c>
      <c r="M65" s="6">
        <v>45666.0</v>
      </c>
      <c r="N65" s="4" t="s">
        <v>2508</v>
      </c>
      <c r="P65" s="4">
        <v>1.0</v>
      </c>
      <c r="Q65" s="4" t="s">
        <v>2509</v>
      </c>
      <c r="R65" s="4" t="s">
        <v>2510</v>
      </c>
      <c r="S65" s="4" t="b">
        <v>0</v>
      </c>
    </row>
    <row r="66">
      <c r="A66" s="4" t="s">
        <v>2511</v>
      </c>
      <c r="B66" s="7" t="s">
        <v>2342</v>
      </c>
      <c r="C66" s="4" t="s">
        <v>2258</v>
      </c>
      <c r="D66" s="4" t="b">
        <v>0</v>
      </c>
      <c r="H66" s="6">
        <v>45667.0</v>
      </c>
      <c r="I66" s="19" t="s">
        <v>2147</v>
      </c>
      <c r="J66" s="4" t="s">
        <v>2473</v>
      </c>
      <c r="K66" s="4" t="s">
        <v>2269</v>
      </c>
      <c r="L66" s="4" t="s">
        <v>2512</v>
      </c>
      <c r="M66" s="6">
        <v>45667.0</v>
      </c>
      <c r="N66" s="4" t="s">
        <v>2513</v>
      </c>
      <c r="O66" s="4" t="s">
        <v>2514</v>
      </c>
      <c r="P66" s="4">
        <v>1.0</v>
      </c>
      <c r="Q66" s="4" t="s">
        <v>2515</v>
      </c>
      <c r="R66" s="4" t="s">
        <v>2516</v>
      </c>
      <c r="S66" s="4" t="b">
        <v>1</v>
      </c>
      <c r="T66" s="4" t="s">
        <v>2517</v>
      </c>
    </row>
    <row r="67">
      <c r="A67" s="4" t="s">
        <v>2518</v>
      </c>
      <c r="B67" s="7" t="s">
        <v>2148</v>
      </c>
      <c r="C67" s="4" t="s">
        <v>2258</v>
      </c>
      <c r="D67" s="4" t="b">
        <v>0</v>
      </c>
      <c r="H67" s="6">
        <v>45670.0</v>
      </c>
      <c r="I67" s="19" t="s">
        <v>2154</v>
      </c>
      <c r="J67" s="4" t="s">
        <v>2282</v>
      </c>
      <c r="K67" s="4" t="s">
        <v>2269</v>
      </c>
      <c r="L67" s="4" t="s">
        <v>2519</v>
      </c>
      <c r="M67" s="6">
        <v>45670.0</v>
      </c>
      <c r="N67" s="4" t="s">
        <v>2520</v>
      </c>
      <c r="P67" s="4">
        <v>1.0</v>
      </c>
      <c r="Q67" s="4" t="s">
        <v>2521</v>
      </c>
      <c r="R67" s="4" t="s">
        <v>2522</v>
      </c>
      <c r="S67" s="4" t="b">
        <v>0</v>
      </c>
    </row>
    <row r="68">
      <c r="A68" s="4" t="s">
        <v>2523</v>
      </c>
      <c r="B68" s="7" t="s">
        <v>2200</v>
      </c>
      <c r="C68" s="4" t="s">
        <v>2258</v>
      </c>
      <c r="D68" s="4" t="b">
        <v>0</v>
      </c>
      <c r="H68" s="6">
        <v>45671.0</v>
      </c>
      <c r="I68" s="19" t="s">
        <v>2147</v>
      </c>
      <c r="J68" s="4" t="s">
        <v>2259</v>
      </c>
      <c r="K68" s="4" t="s">
        <v>2251</v>
      </c>
      <c r="L68" s="4" t="s">
        <v>2524</v>
      </c>
      <c r="M68" s="6">
        <v>45671.0</v>
      </c>
      <c r="N68" s="4" t="s">
        <v>2525</v>
      </c>
      <c r="P68" s="4">
        <v>7.0</v>
      </c>
      <c r="Q68" s="4" t="s">
        <v>2526</v>
      </c>
      <c r="R68" s="4" t="s">
        <v>2527</v>
      </c>
      <c r="S68" s="4" t="b">
        <v>1</v>
      </c>
      <c r="T68" s="4" t="s">
        <v>2528</v>
      </c>
    </row>
    <row r="69">
      <c r="A69" s="4" t="s">
        <v>2529</v>
      </c>
      <c r="B69" s="4" t="s">
        <v>2194</v>
      </c>
      <c r="C69" s="4" t="s">
        <v>2258</v>
      </c>
      <c r="D69" s="4" t="b">
        <v>0</v>
      </c>
      <c r="H69" s="6">
        <v>45671.0</v>
      </c>
      <c r="I69" s="19" t="s">
        <v>2147</v>
      </c>
      <c r="J69" s="4" t="s">
        <v>2259</v>
      </c>
      <c r="K69" s="4" t="s">
        <v>2251</v>
      </c>
      <c r="L69" s="4" t="s">
        <v>2530</v>
      </c>
      <c r="M69" s="6">
        <v>45673.0</v>
      </c>
      <c r="N69" s="4" t="s">
        <v>2531</v>
      </c>
      <c r="P69" s="4">
        <v>7.0</v>
      </c>
      <c r="Q69" s="4" t="s">
        <v>2532</v>
      </c>
      <c r="R69" s="4" t="s">
        <v>2533</v>
      </c>
      <c r="S69" s="4" t="b">
        <v>1</v>
      </c>
      <c r="T69" s="4" t="s">
        <v>2534</v>
      </c>
    </row>
    <row r="70">
      <c r="A70" s="4" t="s">
        <v>2535</v>
      </c>
      <c r="B70" s="7" t="s">
        <v>2276</v>
      </c>
      <c r="C70" s="4" t="s">
        <v>2258</v>
      </c>
      <c r="D70" s="4" t="b">
        <v>0</v>
      </c>
      <c r="H70" s="6">
        <v>45671.0</v>
      </c>
      <c r="I70" s="19" t="s">
        <v>2147</v>
      </c>
      <c r="J70" s="4" t="s">
        <v>2268</v>
      </c>
      <c r="K70" s="4" t="s">
        <v>2269</v>
      </c>
      <c r="L70" s="4" t="s">
        <v>2536</v>
      </c>
      <c r="M70" s="6">
        <v>45672.0</v>
      </c>
      <c r="N70" s="4" t="s">
        <v>2537</v>
      </c>
      <c r="P70" s="4">
        <v>1.0</v>
      </c>
      <c r="Q70" s="4" t="s">
        <v>2538</v>
      </c>
      <c r="R70" s="4" t="s">
        <v>2539</v>
      </c>
      <c r="S70" s="4" t="b">
        <v>0</v>
      </c>
    </row>
    <row r="71">
      <c r="A71" s="4" t="s">
        <v>2540</v>
      </c>
      <c r="B71" s="7" t="s">
        <v>2310</v>
      </c>
      <c r="C71" s="4" t="s">
        <v>2258</v>
      </c>
      <c r="D71" s="4" t="b">
        <v>0</v>
      </c>
      <c r="H71" s="6">
        <v>45672.0</v>
      </c>
      <c r="I71" s="19" t="s">
        <v>2154</v>
      </c>
      <c r="J71" s="4" t="s">
        <v>2268</v>
      </c>
      <c r="K71" s="4" t="s">
        <v>2269</v>
      </c>
      <c r="L71" s="4" t="s">
        <v>2541</v>
      </c>
      <c r="M71" s="6">
        <v>45685.0</v>
      </c>
      <c r="N71" s="4" t="s">
        <v>2542</v>
      </c>
      <c r="P71" s="4">
        <v>1.0</v>
      </c>
      <c r="Q71" s="4" t="s">
        <v>2543</v>
      </c>
      <c r="R71" s="4" t="s">
        <v>2544</v>
      </c>
      <c r="S71" s="4" t="b">
        <v>0</v>
      </c>
    </row>
    <row r="72">
      <c r="A72" s="4" t="s">
        <v>2545</v>
      </c>
      <c r="B72" s="7" t="s">
        <v>2322</v>
      </c>
      <c r="C72" s="4" t="s">
        <v>2249</v>
      </c>
      <c r="D72" s="4" t="b">
        <v>1</v>
      </c>
      <c r="E72" s="6">
        <v>45677.0</v>
      </c>
      <c r="H72" s="6">
        <v>45673.0</v>
      </c>
      <c r="I72" s="19" t="s">
        <v>2147</v>
      </c>
      <c r="J72" s="4" t="s">
        <v>2250</v>
      </c>
      <c r="K72" s="4" t="s">
        <v>2251</v>
      </c>
      <c r="L72" s="4" t="s">
        <v>2546</v>
      </c>
      <c r="M72" s="6">
        <v>45677.0</v>
      </c>
      <c r="N72" s="4" t="s">
        <v>2547</v>
      </c>
      <c r="O72" s="4" t="s">
        <v>2548</v>
      </c>
      <c r="P72" s="4">
        <v>1.0</v>
      </c>
      <c r="Q72" s="4" t="s">
        <v>2549</v>
      </c>
      <c r="R72" s="4" t="s">
        <v>2550</v>
      </c>
      <c r="S72" s="4" t="b">
        <v>0</v>
      </c>
    </row>
    <row r="73">
      <c r="A73" s="4" t="s">
        <v>2551</v>
      </c>
      <c r="B73" s="7" t="s">
        <v>2154</v>
      </c>
      <c r="C73" s="4" t="s">
        <v>2258</v>
      </c>
      <c r="D73" s="4" t="b">
        <v>0</v>
      </c>
      <c r="E73" s="6">
        <v>45677.0</v>
      </c>
      <c r="H73" s="6">
        <v>45677.0</v>
      </c>
      <c r="I73" s="19" t="s">
        <v>2147</v>
      </c>
      <c r="J73" s="4" t="s">
        <v>2353</v>
      </c>
      <c r="K73" s="4" t="s">
        <v>2269</v>
      </c>
      <c r="L73" s="4" t="s">
        <v>2552</v>
      </c>
      <c r="M73" s="6">
        <v>45679.0</v>
      </c>
      <c r="N73" s="4" t="s">
        <v>2553</v>
      </c>
      <c r="O73" s="4" t="s">
        <v>2554</v>
      </c>
      <c r="P73" s="4">
        <v>1.0</v>
      </c>
      <c r="Q73" s="4" t="s">
        <v>2555</v>
      </c>
      <c r="R73" s="4" t="s">
        <v>2556</v>
      </c>
      <c r="S73" s="4" t="b">
        <v>0</v>
      </c>
    </row>
    <row r="74">
      <c r="A74" s="4" t="s">
        <v>2557</v>
      </c>
      <c r="B74" s="7" t="s">
        <v>2387</v>
      </c>
      <c r="C74" s="4" t="s">
        <v>2258</v>
      </c>
      <c r="D74" s="4" t="b">
        <v>0</v>
      </c>
      <c r="H74" s="6">
        <v>45678.0</v>
      </c>
      <c r="I74" s="19" t="s">
        <v>2147</v>
      </c>
      <c r="J74" s="4" t="s">
        <v>2259</v>
      </c>
      <c r="K74" s="4" t="s">
        <v>2251</v>
      </c>
      <c r="L74" s="4" t="s">
        <v>2558</v>
      </c>
      <c r="M74" s="6">
        <v>45678.0</v>
      </c>
      <c r="N74" s="4" t="s">
        <v>2559</v>
      </c>
      <c r="P74" s="4">
        <v>7.0</v>
      </c>
      <c r="Q74" s="4" t="s">
        <v>2560</v>
      </c>
      <c r="R74" s="4" t="s">
        <v>2561</v>
      </c>
      <c r="S74" s="4" t="b">
        <v>1</v>
      </c>
      <c r="T74" s="4" t="s">
        <v>2562</v>
      </c>
    </row>
    <row r="75">
      <c r="A75" s="4" t="s">
        <v>2563</v>
      </c>
      <c r="B75" s="7" t="s">
        <v>2148</v>
      </c>
      <c r="C75" s="4" t="s">
        <v>2258</v>
      </c>
      <c r="D75" s="4" t="b">
        <v>0</v>
      </c>
      <c r="H75" s="6">
        <v>45681.0</v>
      </c>
      <c r="I75" s="19" t="s">
        <v>2154</v>
      </c>
      <c r="J75" s="4" t="s">
        <v>2259</v>
      </c>
      <c r="K75" s="4" t="s">
        <v>2251</v>
      </c>
      <c r="L75" s="4" t="s">
        <v>2564</v>
      </c>
      <c r="M75" s="6">
        <v>45685.0</v>
      </c>
      <c r="N75" s="4" t="s">
        <v>2565</v>
      </c>
      <c r="P75" s="4">
        <v>7.0</v>
      </c>
      <c r="Q75" s="4" t="s">
        <v>2566</v>
      </c>
      <c r="R75" s="4" t="s">
        <v>2567</v>
      </c>
      <c r="S75" s="4" t="b">
        <v>0</v>
      </c>
    </row>
    <row r="76">
      <c r="A76" s="4" t="s">
        <v>2568</v>
      </c>
      <c r="B76" s="7" t="s">
        <v>2148</v>
      </c>
      <c r="C76" s="4" t="s">
        <v>2258</v>
      </c>
      <c r="D76" s="4" t="b">
        <v>0</v>
      </c>
      <c r="H76" s="6">
        <v>45681.0</v>
      </c>
      <c r="I76" s="19" t="s">
        <v>2154</v>
      </c>
      <c r="J76" s="4" t="s">
        <v>2259</v>
      </c>
      <c r="K76" s="4" t="s">
        <v>2251</v>
      </c>
      <c r="L76" s="4" t="s">
        <v>2569</v>
      </c>
      <c r="M76" s="6">
        <v>45685.0</v>
      </c>
      <c r="N76" s="4" t="s">
        <v>2570</v>
      </c>
      <c r="P76" s="4">
        <v>7.0</v>
      </c>
      <c r="Q76" s="4" t="s">
        <v>2571</v>
      </c>
      <c r="R76" s="4" t="s">
        <v>2567</v>
      </c>
      <c r="S76" s="4" t="b">
        <v>0</v>
      </c>
    </row>
    <row r="77">
      <c r="A77" s="4" t="s">
        <v>2572</v>
      </c>
      <c r="B77" s="4" t="s">
        <v>2209</v>
      </c>
      <c r="C77" s="4" t="s">
        <v>2336</v>
      </c>
      <c r="D77" s="4" t="b">
        <v>0</v>
      </c>
      <c r="F77" s="4" t="s">
        <v>2573</v>
      </c>
      <c r="G77" s="4" t="s">
        <v>2574</v>
      </c>
      <c r="H77" s="6">
        <v>46081.0</v>
      </c>
      <c r="I77" s="19" t="s">
        <v>2154</v>
      </c>
      <c r="K77" s="4" t="s">
        <v>2251</v>
      </c>
      <c r="L77" s="4" t="s">
        <v>2575</v>
      </c>
      <c r="M77" s="6">
        <v>46101.0</v>
      </c>
      <c r="N77" s="4" t="s">
        <v>2380</v>
      </c>
      <c r="P77" s="4">
        <v>3.0</v>
      </c>
      <c r="Q77" s="4" t="s">
        <v>2576</v>
      </c>
      <c r="R77" s="4" t="s">
        <v>2577</v>
      </c>
      <c r="S77" s="4" t="b">
        <v>0</v>
      </c>
    </row>
    <row r="78">
      <c r="A78" s="4" t="s">
        <v>2578</v>
      </c>
      <c r="B78" s="7" t="s">
        <v>2316</v>
      </c>
      <c r="C78" s="4" t="s">
        <v>2258</v>
      </c>
      <c r="D78" s="4" t="b">
        <v>0</v>
      </c>
      <c r="H78" s="6">
        <v>45685.0</v>
      </c>
      <c r="I78" s="19" t="s">
        <v>2147</v>
      </c>
      <c r="J78" s="4" t="s">
        <v>2259</v>
      </c>
      <c r="K78" s="4" t="s">
        <v>2251</v>
      </c>
      <c r="L78" s="4" t="s">
        <v>2579</v>
      </c>
      <c r="M78" s="6">
        <v>45685.0</v>
      </c>
      <c r="N78" s="4" t="s">
        <v>2580</v>
      </c>
      <c r="P78" s="4">
        <v>7.0</v>
      </c>
      <c r="Q78" s="4" t="s">
        <v>2581</v>
      </c>
      <c r="R78" s="4" t="s">
        <v>2582</v>
      </c>
      <c r="S78" s="4" t="b">
        <v>1</v>
      </c>
      <c r="T78" s="4" t="s">
        <v>2583</v>
      </c>
    </row>
    <row r="79">
      <c r="A79" s="4" t="s">
        <v>2584</v>
      </c>
      <c r="B79" s="7" t="s">
        <v>2154</v>
      </c>
      <c r="C79" s="4" t="s">
        <v>2258</v>
      </c>
      <c r="D79" s="4" t="b">
        <v>0</v>
      </c>
      <c r="H79" s="6">
        <v>45685.0</v>
      </c>
      <c r="I79" s="19" t="s">
        <v>2147</v>
      </c>
      <c r="J79" s="4" t="s">
        <v>2259</v>
      </c>
      <c r="K79" s="4" t="s">
        <v>2251</v>
      </c>
      <c r="L79" s="4" t="s">
        <v>2585</v>
      </c>
      <c r="M79" s="6">
        <v>45685.0</v>
      </c>
      <c r="N79" s="4" t="s">
        <v>2586</v>
      </c>
      <c r="P79" s="4">
        <v>7.0</v>
      </c>
      <c r="Q79" s="4" t="s">
        <v>2587</v>
      </c>
      <c r="R79" s="4" t="s">
        <v>2588</v>
      </c>
      <c r="S79" s="4" t="b">
        <v>1</v>
      </c>
      <c r="T79" s="4" t="s">
        <v>2589</v>
      </c>
    </row>
    <row r="80">
      <c r="A80" s="4" t="s">
        <v>2590</v>
      </c>
      <c r="B80" s="7" t="s">
        <v>2147</v>
      </c>
      <c r="C80" s="4" t="s">
        <v>2258</v>
      </c>
      <c r="D80" s="4" t="b">
        <v>0</v>
      </c>
      <c r="H80" s="6">
        <v>45686.0</v>
      </c>
      <c r="I80" s="19" t="s">
        <v>2147</v>
      </c>
      <c r="J80" s="4" t="s">
        <v>2282</v>
      </c>
      <c r="K80" s="4" t="s">
        <v>2269</v>
      </c>
      <c r="L80" s="4" t="s">
        <v>2591</v>
      </c>
      <c r="M80" s="6">
        <v>45687.0</v>
      </c>
      <c r="N80" s="4" t="s">
        <v>2592</v>
      </c>
      <c r="P80" s="4">
        <v>1.0</v>
      </c>
      <c r="Q80" s="4" t="s">
        <v>2593</v>
      </c>
      <c r="R80" s="4" t="s">
        <v>2594</v>
      </c>
      <c r="S80" s="4" t="b">
        <v>1</v>
      </c>
      <c r="T80" s="4" t="s">
        <v>2410</v>
      </c>
    </row>
    <row r="81">
      <c r="A81" s="4" t="s">
        <v>2595</v>
      </c>
      <c r="B81" s="7" t="s">
        <v>2154</v>
      </c>
      <c r="C81" s="4" t="s">
        <v>2258</v>
      </c>
      <c r="D81" s="4" t="b">
        <v>0</v>
      </c>
      <c r="H81" s="6">
        <v>45687.0</v>
      </c>
      <c r="I81" s="19" t="s">
        <v>2147</v>
      </c>
      <c r="J81" s="4" t="s">
        <v>2259</v>
      </c>
      <c r="K81" s="4" t="s">
        <v>2251</v>
      </c>
      <c r="L81" s="4" t="s">
        <v>2596</v>
      </c>
      <c r="M81" s="6">
        <v>45688.0</v>
      </c>
      <c r="N81" s="4" t="s">
        <v>2597</v>
      </c>
      <c r="P81" s="4">
        <v>7.0</v>
      </c>
      <c r="Q81" s="4" t="s">
        <v>2598</v>
      </c>
      <c r="R81" s="4" t="s">
        <v>2599</v>
      </c>
      <c r="S81" s="4" t="b">
        <v>1</v>
      </c>
      <c r="T81" s="4" t="s">
        <v>2589</v>
      </c>
    </row>
    <row r="82">
      <c r="A82" s="4" t="s">
        <v>2600</v>
      </c>
      <c r="B82" s="7" t="s">
        <v>2154</v>
      </c>
      <c r="C82" s="4" t="s">
        <v>2258</v>
      </c>
      <c r="D82" s="4" t="b">
        <v>0</v>
      </c>
      <c r="H82" s="6">
        <v>45687.0</v>
      </c>
      <c r="I82" s="19" t="s">
        <v>2147</v>
      </c>
      <c r="J82" s="4" t="s">
        <v>2259</v>
      </c>
      <c r="K82" s="4" t="s">
        <v>2251</v>
      </c>
      <c r="L82" s="4" t="s">
        <v>2601</v>
      </c>
      <c r="M82" s="6">
        <v>45688.0</v>
      </c>
      <c r="N82" s="4" t="s">
        <v>2602</v>
      </c>
      <c r="P82" s="4">
        <v>7.0</v>
      </c>
      <c r="Q82" s="4" t="s">
        <v>2603</v>
      </c>
      <c r="R82" s="4" t="s">
        <v>2604</v>
      </c>
      <c r="S82" s="4" t="b">
        <v>1</v>
      </c>
      <c r="T82" s="4" t="s">
        <v>2589</v>
      </c>
    </row>
    <row r="83">
      <c r="A83" s="4" t="s">
        <v>2605</v>
      </c>
      <c r="B83" s="7" t="s">
        <v>2342</v>
      </c>
      <c r="C83" s="4" t="s">
        <v>2258</v>
      </c>
      <c r="D83" s="4" t="b">
        <v>0</v>
      </c>
      <c r="H83" s="6">
        <v>45687.0</v>
      </c>
      <c r="I83" s="19" t="s">
        <v>2147</v>
      </c>
      <c r="J83" s="4" t="s">
        <v>2473</v>
      </c>
      <c r="K83" s="4" t="s">
        <v>2269</v>
      </c>
      <c r="L83" s="4" t="s">
        <v>2606</v>
      </c>
      <c r="M83" s="6">
        <v>45688.0</v>
      </c>
      <c r="N83" s="4" t="s">
        <v>2607</v>
      </c>
      <c r="P83" s="4">
        <v>1.0</v>
      </c>
      <c r="Q83" s="4" t="s">
        <v>2608</v>
      </c>
      <c r="R83" s="4" t="s">
        <v>2609</v>
      </c>
      <c r="S83" s="4" t="b">
        <v>1</v>
      </c>
      <c r="T83" s="4" t="s">
        <v>2517</v>
      </c>
    </row>
    <row r="84">
      <c r="A84" s="4" t="s">
        <v>2610</v>
      </c>
      <c r="B84" s="7" t="s">
        <v>2322</v>
      </c>
      <c r="C84" s="4" t="s">
        <v>2258</v>
      </c>
      <c r="D84" s="4" t="b">
        <v>0</v>
      </c>
      <c r="H84" s="6">
        <v>45688.0</v>
      </c>
      <c r="I84" s="19" t="s">
        <v>2147</v>
      </c>
      <c r="J84" s="4" t="s">
        <v>2259</v>
      </c>
      <c r="K84" s="4" t="s">
        <v>2251</v>
      </c>
      <c r="L84" s="4" t="s">
        <v>2611</v>
      </c>
      <c r="M84" s="6">
        <v>45688.0</v>
      </c>
      <c r="N84" s="4" t="s">
        <v>2612</v>
      </c>
      <c r="P84" s="4">
        <v>7.0</v>
      </c>
      <c r="Q84" s="4" t="s">
        <v>2613</v>
      </c>
      <c r="R84" s="4" t="s">
        <v>2614</v>
      </c>
      <c r="S84" s="4" t="b">
        <v>1</v>
      </c>
      <c r="T84" s="4" t="s">
        <v>2583</v>
      </c>
    </row>
    <row r="85">
      <c r="A85" s="4" t="s">
        <v>2615</v>
      </c>
      <c r="B85" s="7" t="s">
        <v>2322</v>
      </c>
      <c r="C85" s="4" t="s">
        <v>2258</v>
      </c>
      <c r="D85" s="4" t="b">
        <v>0</v>
      </c>
      <c r="H85" s="6">
        <v>45688.0</v>
      </c>
      <c r="I85" s="19" t="s">
        <v>2147</v>
      </c>
      <c r="J85" s="4" t="s">
        <v>2259</v>
      </c>
      <c r="K85" s="4" t="s">
        <v>2251</v>
      </c>
      <c r="L85" s="4" t="s">
        <v>2616</v>
      </c>
      <c r="M85" s="6">
        <v>45693.0</v>
      </c>
      <c r="N85" s="4" t="s">
        <v>2617</v>
      </c>
      <c r="P85" s="4">
        <v>7.0</v>
      </c>
      <c r="Q85" s="4" t="s">
        <v>2618</v>
      </c>
      <c r="R85" s="4" t="s">
        <v>2619</v>
      </c>
      <c r="S85" s="4" t="b">
        <v>1</v>
      </c>
      <c r="T85" s="4" t="s">
        <v>2583</v>
      </c>
    </row>
    <row r="86">
      <c r="A86" s="4" t="s">
        <v>2620</v>
      </c>
      <c r="B86" s="7" t="s">
        <v>2154</v>
      </c>
      <c r="C86" s="4" t="s">
        <v>2249</v>
      </c>
      <c r="D86" s="4" t="b">
        <v>1</v>
      </c>
      <c r="E86" s="6">
        <v>45691.0</v>
      </c>
      <c r="H86" s="6">
        <v>45688.0</v>
      </c>
      <c r="I86" s="19" t="s">
        <v>2147</v>
      </c>
      <c r="J86" s="4" t="s">
        <v>2250</v>
      </c>
      <c r="K86" s="4" t="s">
        <v>2251</v>
      </c>
      <c r="L86" s="4" t="s">
        <v>2621</v>
      </c>
      <c r="M86" s="6">
        <v>45695.0</v>
      </c>
      <c r="N86" s="4" t="s">
        <v>2622</v>
      </c>
      <c r="P86" s="4">
        <v>1.0</v>
      </c>
      <c r="Q86" s="4" t="s">
        <v>2623</v>
      </c>
      <c r="R86" s="4" t="s">
        <v>2624</v>
      </c>
      <c r="S86" s="4" t="b">
        <v>0</v>
      </c>
    </row>
    <row r="87">
      <c r="A87" s="4" t="s">
        <v>2625</v>
      </c>
      <c r="B87" s="7" t="s">
        <v>2154</v>
      </c>
      <c r="C87" s="4" t="s">
        <v>2258</v>
      </c>
      <c r="D87" s="4" t="b">
        <v>0</v>
      </c>
      <c r="H87" s="6">
        <v>45691.0</v>
      </c>
      <c r="I87" s="19" t="s">
        <v>2147</v>
      </c>
      <c r="J87" s="4" t="s">
        <v>2259</v>
      </c>
      <c r="K87" s="4" t="s">
        <v>2251</v>
      </c>
      <c r="L87" s="4" t="s">
        <v>2626</v>
      </c>
      <c r="M87" s="6">
        <v>45691.0</v>
      </c>
      <c r="N87" s="4" t="s">
        <v>2627</v>
      </c>
      <c r="P87" s="4">
        <v>7.0</v>
      </c>
      <c r="Q87" s="4" t="s">
        <v>2628</v>
      </c>
      <c r="R87" s="4" t="s">
        <v>2629</v>
      </c>
      <c r="S87" s="4" t="b">
        <v>1</v>
      </c>
      <c r="T87" s="4" t="s">
        <v>2589</v>
      </c>
    </row>
    <row r="88">
      <c r="A88" s="4" t="s">
        <v>2630</v>
      </c>
      <c r="B88" s="7" t="s">
        <v>2342</v>
      </c>
      <c r="C88" s="4" t="s">
        <v>2258</v>
      </c>
      <c r="D88" s="4" t="b">
        <v>0</v>
      </c>
      <c r="H88" s="6">
        <v>45691.0</v>
      </c>
      <c r="I88" s="19" t="s">
        <v>2147</v>
      </c>
      <c r="J88" s="4" t="s">
        <v>2259</v>
      </c>
      <c r="K88" s="4" t="s">
        <v>2251</v>
      </c>
      <c r="L88" s="4" t="s">
        <v>2631</v>
      </c>
      <c r="M88" s="6">
        <v>45694.0</v>
      </c>
      <c r="N88" s="4" t="s">
        <v>2632</v>
      </c>
      <c r="P88" s="4">
        <v>7.0</v>
      </c>
      <c r="Q88" s="4" t="s">
        <v>2633</v>
      </c>
      <c r="R88" s="4" t="s">
        <v>2634</v>
      </c>
      <c r="S88" s="4" t="b">
        <v>0</v>
      </c>
    </row>
    <row r="89">
      <c r="A89" s="4" t="s">
        <v>2635</v>
      </c>
      <c r="B89" s="7" t="s">
        <v>2154</v>
      </c>
      <c r="C89" s="4" t="s">
        <v>2258</v>
      </c>
      <c r="D89" s="4" t="b">
        <v>0</v>
      </c>
      <c r="H89" s="6">
        <v>45691.0</v>
      </c>
      <c r="I89" s="19" t="s">
        <v>2147</v>
      </c>
      <c r="J89" s="4" t="s">
        <v>2259</v>
      </c>
      <c r="K89" s="4" t="s">
        <v>2251</v>
      </c>
      <c r="L89" s="4" t="s">
        <v>2636</v>
      </c>
      <c r="M89" s="6">
        <v>45695.0</v>
      </c>
      <c r="N89" s="4" t="s">
        <v>2637</v>
      </c>
      <c r="P89" s="4">
        <v>7.0</v>
      </c>
      <c r="Q89" s="4" t="s">
        <v>2638</v>
      </c>
      <c r="R89" s="4" t="s">
        <v>2639</v>
      </c>
      <c r="S89" s="4" t="b">
        <v>1</v>
      </c>
      <c r="T89" s="4" t="s">
        <v>2589</v>
      </c>
    </row>
    <row r="90">
      <c r="A90" s="4" t="s">
        <v>2640</v>
      </c>
      <c r="B90" s="7" t="s">
        <v>2154</v>
      </c>
      <c r="C90" s="4" t="s">
        <v>2258</v>
      </c>
      <c r="D90" s="4" t="b">
        <v>0</v>
      </c>
      <c r="H90" s="6">
        <v>45693.0</v>
      </c>
      <c r="I90" s="19" t="s">
        <v>2147</v>
      </c>
      <c r="J90" s="4" t="s">
        <v>2259</v>
      </c>
      <c r="K90" s="4" t="s">
        <v>2251</v>
      </c>
      <c r="L90" s="4" t="s">
        <v>2641</v>
      </c>
      <c r="M90" s="6">
        <v>45693.0</v>
      </c>
      <c r="N90" s="4" t="s">
        <v>2642</v>
      </c>
      <c r="P90" s="4">
        <v>7.0</v>
      </c>
      <c r="Q90" s="4" t="s">
        <v>2643</v>
      </c>
      <c r="R90" s="4" t="s">
        <v>2644</v>
      </c>
      <c r="S90" s="4" t="b">
        <v>1</v>
      </c>
      <c r="T90" s="4" t="s">
        <v>2589</v>
      </c>
    </row>
    <row r="91">
      <c r="A91" s="4" t="s">
        <v>2645</v>
      </c>
      <c r="B91" s="7" t="s">
        <v>2154</v>
      </c>
      <c r="C91" s="4" t="s">
        <v>2258</v>
      </c>
      <c r="D91" s="4" t="b">
        <v>0</v>
      </c>
      <c r="H91" s="6">
        <v>45694.0</v>
      </c>
      <c r="I91" s="19" t="s">
        <v>2147</v>
      </c>
      <c r="J91" s="4" t="s">
        <v>2259</v>
      </c>
      <c r="K91" s="4" t="s">
        <v>2251</v>
      </c>
      <c r="L91" s="4" t="s">
        <v>2646</v>
      </c>
      <c r="M91" s="6">
        <v>45695.0</v>
      </c>
      <c r="N91" s="4" t="s">
        <v>2647</v>
      </c>
      <c r="P91" s="4">
        <v>7.0</v>
      </c>
      <c r="Q91" s="4" t="s">
        <v>2648</v>
      </c>
      <c r="R91" s="4" t="s">
        <v>2649</v>
      </c>
      <c r="S91" s="4" t="b">
        <v>1</v>
      </c>
      <c r="T91" s="4" t="s">
        <v>2589</v>
      </c>
    </row>
    <row r="92">
      <c r="A92" s="4" t="s">
        <v>2650</v>
      </c>
      <c r="B92" s="7" t="s">
        <v>2154</v>
      </c>
      <c r="C92" s="4" t="s">
        <v>2258</v>
      </c>
      <c r="D92" s="4" t="b">
        <v>0</v>
      </c>
      <c r="H92" s="6">
        <v>45694.0</v>
      </c>
      <c r="I92" s="19" t="s">
        <v>2147</v>
      </c>
      <c r="J92" s="4" t="s">
        <v>2259</v>
      </c>
      <c r="K92" s="4" t="s">
        <v>2251</v>
      </c>
      <c r="L92" s="4" t="s">
        <v>2651</v>
      </c>
      <c r="M92" s="6">
        <v>45695.0</v>
      </c>
      <c r="N92" s="4" t="s">
        <v>2652</v>
      </c>
      <c r="P92" s="4">
        <v>7.0</v>
      </c>
      <c r="Q92" s="4" t="s">
        <v>2653</v>
      </c>
      <c r="R92" s="4" t="s">
        <v>2649</v>
      </c>
      <c r="S92" s="4" t="b">
        <v>1</v>
      </c>
      <c r="T92" s="4" t="s">
        <v>2589</v>
      </c>
    </row>
    <row r="93">
      <c r="A93" s="4" t="s">
        <v>2654</v>
      </c>
      <c r="B93" s="7" t="s">
        <v>2322</v>
      </c>
      <c r="C93" s="4" t="s">
        <v>2258</v>
      </c>
      <c r="D93" s="4" t="b">
        <v>0</v>
      </c>
      <c r="H93" s="6">
        <v>45694.0</v>
      </c>
      <c r="I93" s="19" t="s">
        <v>2147</v>
      </c>
      <c r="J93" s="4" t="s">
        <v>2259</v>
      </c>
      <c r="K93" s="4" t="s">
        <v>2251</v>
      </c>
      <c r="L93" s="4" t="s">
        <v>2655</v>
      </c>
      <c r="M93" s="6">
        <v>45698.0</v>
      </c>
      <c r="N93" s="4" t="s">
        <v>2656</v>
      </c>
      <c r="P93" s="4">
        <v>7.0</v>
      </c>
      <c r="Q93" s="4" t="s">
        <v>2657</v>
      </c>
      <c r="R93" s="4" t="s">
        <v>2658</v>
      </c>
      <c r="S93" s="4" t="b">
        <v>1</v>
      </c>
      <c r="T93" s="4" t="s">
        <v>2583</v>
      </c>
    </row>
    <row r="94">
      <c r="A94" s="4" t="s">
        <v>2659</v>
      </c>
      <c r="B94" s="7" t="s">
        <v>2316</v>
      </c>
      <c r="C94" s="4" t="s">
        <v>2258</v>
      </c>
      <c r="D94" s="4" t="b">
        <v>0</v>
      </c>
      <c r="H94" s="6">
        <v>45698.0</v>
      </c>
      <c r="I94" s="19" t="s">
        <v>2147</v>
      </c>
      <c r="J94" s="4" t="s">
        <v>2259</v>
      </c>
      <c r="K94" s="4" t="s">
        <v>2251</v>
      </c>
      <c r="L94" s="4" t="s">
        <v>2660</v>
      </c>
      <c r="M94" s="6">
        <v>45699.0</v>
      </c>
      <c r="N94" s="4" t="s">
        <v>2661</v>
      </c>
      <c r="P94" s="4">
        <v>7.0</v>
      </c>
      <c r="Q94" s="4" t="s">
        <v>2662</v>
      </c>
      <c r="R94" s="4" t="s">
        <v>2663</v>
      </c>
      <c r="S94" s="4" t="b">
        <v>1</v>
      </c>
      <c r="T94" s="4" t="s">
        <v>2583</v>
      </c>
    </row>
    <row r="95">
      <c r="A95" s="4" t="s">
        <v>2664</v>
      </c>
      <c r="B95" s="7" t="s">
        <v>2200</v>
      </c>
      <c r="C95" s="4" t="s">
        <v>2258</v>
      </c>
      <c r="D95" s="4" t="b">
        <v>0</v>
      </c>
      <c r="H95" s="6">
        <v>45699.0</v>
      </c>
      <c r="I95" s="19" t="s">
        <v>2147</v>
      </c>
      <c r="J95" s="4" t="s">
        <v>2353</v>
      </c>
      <c r="K95" s="4" t="s">
        <v>2269</v>
      </c>
      <c r="L95" s="4" t="s">
        <v>2665</v>
      </c>
      <c r="M95" s="6">
        <v>45699.0</v>
      </c>
      <c r="N95" s="4" t="s">
        <v>2666</v>
      </c>
      <c r="P95" s="4">
        <v>1.0</v>
      </c>
      <c r="Q95" s="4" t="s">
        <v>2667</v>
      </c>
      <c r="R95" s="4" t="s">
        <v>2668</v>
      </c>
      <c r="S95" s="4" t="b">
        <v>1</v>
      </c>
      <c r="T95" s="4" t="s">
        <v>2528</v>
      </c>
    </row>
    <row r="96">
      <c r="A96" s="4" t="s">
        <v>2669</v>
      </c>
      <c r="B96" s="7" t="s">
        <v>2106</v>
      </c>
      <c r="C96" s="4" t="s">
        <v>2258</v>
      </c>
      <c r="D96" s="4" t="b">
        <v>0</v>
      </c>
      <c r="H96" s="6">
        <v>45701.0</v>
      </c>
      <c r="I96" s="19" t="s">
        <v>2147</v>
      </c>
      <c r="J96" s="4" t="s">
        <v>2353</v>
      </c>
      <c r="K96" s="4" t="s">
        <v>2269</v>
      </c>
      <c r="L96" s="4" t="s">
        <v>2670</v>
      </c>
      <c r="M96" s="6">
        <v>45701.0</v>
      </c>
      <c r="N96" s="4" t="s">
        <v>2671</v>
      </c>
      <c r="P96" s="4">
        <v>1.0</v>
      </c>
      <c r="Q96" s="4" t="s">
        <v>2672</v>
      </c>
      <c r="R96" s="4" t="s">
        <v>2673</v>
      </c>
      <c r="S96" s="4" t="b">
        <v>0</v>
      </c>
    </row>
    <row r="97">
      <c r="A97" s="4" t="s">
        <v>2674</v>
      </c>
      <c r="B97" s="7" t="s">
        <v>2342</v>
      </c>
      <c r="C97" s="4" t="s">
        <v>2249</v>
      </c>
      <c r="D97" s="4" t="b">
        <v>1</v>
      </c>
      <c r="E97" s="6">
        <v>45712.0</v>
      </c>
      <c r="H97" s="6">
        <v>45705.0</v>
      </c>
      <c r="I97" s="19" t="s">
        <v>2147</v>
      </c>
      <c r="J97" s="4" t="s">
        <v>2250</v>
      </c>
      <c r="K97" s="4" t="s">
        <v>2251</v>
      </c>
      <c r="L97" s="4" t="s">
        <v>2675</v>
      </c>
      <c r="M97" s="6">
        <v>45709.0</v>
      </c>
      <c r="N97" s="4" t="s">
        <v>2676</v>
      </c>
      <c r="P97" s="4">
        <v>1.0</v>
      </c>
      <c r="Q97" s="4" t="s">
        <v>2677</v>
      </c>
      <c r="R97" s="4" t="s">
        <v>2678</v>
      </c>
      <c r="S97" s="4" t="b">
        <v>0</v>
      </c>
    </row>
    <row r="98">
      <c r="A98" s="4" t="s">
        <v>2679</v>
      </c>
      <c r="B98" s="7" t="s">
        <v>2342</v>
      </c>
      <c r="C98" s="4" t="s">
        <v>2258</v>
      </c>
      <c r="D98" s="4" t="b">
        <v>0</v>
      </c>
      <c r="H98" s="6">
        <v>45706.0</v>
      </c>
      <c r="I98" s="19" t="s">
        <v>2147</v>
      </c>
      <c r="J98" s="4" t="s">
        <v>2473</v>
      </c>
      <c r="K98" s="4" t="s">
        <v>2269</v>
      </c>
      <c r="L98" s="4" t="s">
        <v>2680</v>
      </c>
      <c r="M98" s="6">
        <v>45706.0</v>
      </c>
      <c r="N98" s="4" t="s">
        <v>2681</v>
      </c>
      <c r="O98" s="4" t="s">
        <v>2682</v>
      </c>
      <c r="P98" s="4">
        <v>1.0</v>
      </c>
      <c r="Q98" s="4" t="s">
        <v>2683</v>
      </c>
      <c r="R98" s="4" t="s">
        <v>2684</v>
      </c>
      <c r="S98" s="4" t="b">
        <v>1</v>
      </c>
      <c r="T98" s="4" t="s">
        <v>2517</v>
      </c>
    </row>
    <row r="99">
      <c r="A99" s="4" t="s">
        <v>2685</v>
      </c>
      <c r="B99" s="7" t="s">
        <v>2154</v>
      </c>
      <c r="C99" s="4" t="s">
        <v>2258</v>
      </c>
      <c r="D99" s="4" t="b">
        <v>0</v>
      </c>
      <c r="H99" s="6">
        <v>45706.0</v>
      </c>
      <c r="I99" s="19" t="s">
        <v>2147</v>
      </c>
      <c r="J99" s="4" t="s">
        <v>2259</v>
      </c>
      <c r="K99" s="4" t="s">
        <v>2251</v>
      </c>
      <c r="L99" s="4" t="s">
        <v>2686</v>
      </c>
      <c r="M99" s="6">
        <v>45706.0</v>
      </c>
      <c r="N99" s="4" t="s">
        <v>2687</v>
      </c>
      <c r="P99" s="4">
        <v>7.0</v>
      </c>
      <c r="Q99" s="4" t="s">
        <v>2688</v>
      </c>
      <c r="R99" s="4" t="s">
        <v>2689</v>
      </c>
      <c r="S99" s="4" t="b">
        <v>1</v>
      </c>
      <c r="T99" s="4" t="s">
        <v>2589</v>
      </c>
    </row>
    <row r="100">
      <c r="A100" s="4" t="s">
        <v>2690</v>
      </c>
      <c r="B100" s="7" t="s">
        <v>2154</v>
      </c>
      <c r="C100" s="4" t="s">
        <v>2249</v>
      </c>
      <c r="D100" s="4" t="b">
        <v>1</v>
      </c>
      <c r="E100" s="6">
        <v>45709.0</v>
      </c>
      <c r="H100" s="6">
        <v>45707.0</v>
      </c>
      <c r="I100" s="19" t="s">
        <v>2147</v>
      </c>
      <c r="J100" s="4" t="s">
        <v>2250</v>
      </c>
      <c r="K100" s="4" t="s">
        <v>2251</v>
      </c>
      <c r="L100" s="4" t="s">
        <v>2691</v>
      </c>
      <c r="M100" s="6">
        <v>45712.0</v>
      </c>
      <c r="N100" s="4" t="s">
        <v>2692</v>
      </c>
      <c r="P100" s="4">
        <v>1.0</v>
      </c>
      <c r="Q100" s="4" t="s">
        <v>2693</v>
      </c>
      <c r="R100" s="4" t="s">
        <v>2694</v>
      </c>
      <c r="S100" s="4" t="b">
        <v>0</v>
      </c>
    </row>
    <row r="101">
      <c r="A101" s="4" t="s">
        <v>2695</v>
      </c>
      <c r="B101" s="7" t="s">
        <v>2218</v>
      </c>
      <c r="C101" s="4" t="s">
        <v>2249</v>
      </c>
      <c r="D101" s="4" t="b">
        <v>1</v>
      </c>
      <c r="E101" s="6">
        <v>45709.0</v>
      </c>
      <c r="H101" s="6">
        <v>45707.0</v>
      </c>
      <c r="I101" s="19" t="s">
        <v>2154</v>
      </c>
      <c r="J101" s="4" t="s">
        <v>2457</v>
      </c>
      <c r="K101" s="4" t="s">
        <v>2251</v>
      </c>
      <c r="L101" s="4" t="s">
        <v>2696</v>
      </c>
      <c r="M101" s="6">
        <v>45715.0</v>
      </c>
      <c r="N101" s="4" t="s">
        <v>2697</v>
      </c>
      <c r="P101" s="4">
        <v>1.0</v>
      </c>
      <c r="Q101" s="4" t="s">
        <v>2698</v>
      </c>
      <c r="R101" s="4" t="s">
        <v>2699</v>
      </c>
      <c r="S101" s="4" t="b">
        <v>0</v>
      </c>
    </row>
    <row r="102">
      <c r="A102" s="4" t="s">
        <v>2700</v>
      </c>
      <c r="B102" s="7" t="s">
        <v>2342</v>
      </c>
      <c r="C102" s="4" t="s">
        <v>2258</v>
      </c>
      <c r="D102" s="4" t="b">
        <v>0</v>
      </c>
      <c r="H102" s="6">
        <v>45708.0</v>
      </c>
      <c r="I102" s="19" t="s">
        <v>2147</v>
      </c>
      <c r="J102" s="4" t="s">
        <v>2473</v>
      </c>
      <c r="K102" s="4" t="s">
        <v>2269</v>
      </c>
      <c r="L102" s="4" t="s">
        <v>2701</v>
      </c>
      <c r="M102" s="6">
        <v>45709.0</v>
      </c>
      <c r="N102" s="4" t="s">
        <v>2702</v>
      </c>
      <c r="O102" s="4" t="s">
        <v>2703</v>
      </c>
      <c r="P102" s="4">
        <v>1.0</v>
      </c>
      <c r="Q102" s="4" t="s">
        <v>2704</v>
      </c>
      <c r="R102" s="4" t="s">
        <v>2705</v>
      </c>
      <c r="S102" s="4" t="b">
        <v>1</v>
      </c>
      <c r="T102" s="4" t="s">
        <v>2517</v>
      </c>
    </row>
    <row r="103">
      <c r="A103" s="4" t="s">
        <v>2706</v>
      </c>
      <c r="B103" s="7" t="s">
        <v>2257</v>
      </c>
      <c r="C103" s="4" t="s">
        <v>2258</v>
      </c>
      <c r="D103" s="4" t="b">
        <v>0</v>
      </c>
      <c r="H103" s="6">
        <v>45709.0</v>
      </c>
      <c r="I103" s="19" t="s">
        <v>2148</v>
      </c>
      <c r="J103" s="4" t="s">
        <v>2353</v>
      </c>
      <c r="K103" s="4" t="s">
        <v>2269</v>
      </c>
      <c r="L103" s="4" t="s">
        <v>2707</v>
      </c>
      <c r="M103" s="6">
        <v>45709.0</v>
      </c>
      <c r="N103" s="4" t="s">
        <v>2708</v>
      </c>
      <c r="O103" s="4" t="s">
        <v>2709</v>
      </c>
      <c r="P103" s="4">
        <v>1.0</v>
      </c>
      <c r="Q103" s="4" t="s">
        <v>2710</v>
      </c>
      <c r="R103" s="4" t="s">
        <v>2711</v>
      </c>
      <c r="S103" s="4" t="b">
        <v>0</v>
      </c>
    </row>
    <row r="104">
      <c r="A104" s="4" t="s">
        <v>2712</v>
      </c>
      <c r="B104" s="7" t="s">
        <v>2267</v>
      </c>
      <c r="C104" s="4" t="s">
        <v>2258</v>
      </c>
      <c r="D104" s="4" t="b">
        <v>0</v>
      </c>
      <c r="H104" s="6">
        <v>45709.0</v>
      </c>
      <c r="I104" s="8">
        <v>2.0</v>
      </c>
      <c r="J104" s="4" t="s">
        <v>2268</v>
      </c>
      <c r="K104" s="4" t="s">
        <v>2269</v>
      </c>
      <c r="L104" s="4" t="s">
        <v>2713</v>
      </c>
      <c r="M104" s="6">
        <v>45722.0</v>
      </c>
      <c r="N104" s="4" t="s">
        <v>2714</v>
      </c>
      <c r="P104" s="4">
        <v>1.0</v>
      </c>
      <c r="Q104" s="4" t="s">
        <v>2715</v>
      </c>
      <c r="R104" s="4" t="s">
        <v>2716</v>
      </c>
      <c r="S104" s="4" t="b">
        <v>0</v>
      </c>
    </row>
    <row r="105">
      <c r="A105" s="4" t="s">
        <v>2717</v>
      </c>
      <c r="B105" s="7" t="s">
        <v>2218</v>
      </c>
      <c r="C105" s="4" t="s">
        <v>2258</v>
      </c>
      <c r="D105" s="4" t="b">
        <v>0</v>
      </c>
      <c r="H105" s="6">
        <v>45715.0</v>
      </c>
      <c r="I105" s="19" t="s">
        <v>2154</v>
      </c>
      <c r="J105" s="4" t="s">
        <v>2259</v>
      </c>
      <c r="K105" s="4" t="s">
        <v>2251</v>
      </c>
      <c r="L105" s="4" t="s">
        <v>2718</v>
      </c>
      <c r="M105" s="6">
        <v>45723.0</v>
      </c>
      <c r="N105" s="4" t="s">
        <v>2719</v>
      </c>
      <c r="P105" s="4">
        <v>7.0</v>
      </c>
      <c r="Q105" s="4" t="s">
        <v>2720</v>
      </c>
      <c r="R105" s="4" t="s">
        <v>2721</v>
      </c>
      <c r="S105" s="4" t="b">
        <v>0</v>
      </c>
    </row>
    <row r="106">
      <c r="A106" s="4" t="s">
        <v>2722</v>
      </c>
      <c r="B106" s="7" t="s">
        <v>2384</v>
      </c>
      <c r="C106" s="4" t="s">
        <v>2258</v>
      </c>
      <c r="D106" s="4" t="b">
        <v>0</v>
      </c>
      <c r="H106" s="6">
        <v>45715.0</v>
      </c>
      <c r="I106" s="19" t="s">
        <v>2147</v>
      </c>
      <c r="J106" s="4" t="s">
        <v>2259</v>
      </c>
      <c r="K106" s="4" t="s">
        <v>2251</v>
      </c>
      <c r="L106" s="4" t="s">
        <v>2723</v>
      </c>
      <c r="M106" s="6">
        <v>45716.0</v>
      </c>
      <c r="N106" s="4" t="s">
        <v>2724</v>
      </c>
      <c r="P106" s="4">
        <v>7.0</v>
      </c>
      <c r="Q106" s="4" t="s">
        <v>2725</v>
      </c>
      <c r="R106" s="4" t="s">
        <v>2726</v>
      </c>
      <c r="S106" s="4" t="b">
        <v>1</v>
      </c>
      <c r="T106" s="4" t="s">
        <v>2495</v>
      </c>
    </row>
    <row r="107">
      <c r="A107" s="4" t="s">
        <v>2727</v>
      </c>
      <c r="B107" s="7" t="s">
        <v>2147</v>
      </c>
      <c r="C107" s="4" t="s">
        <v>2258</v>
      </c>
      <c r="D107" s="4" t="b">
        <v>0</v>
      </c>
      <c r="H107" s="6">
        <v>45721.0</v>
      </c>
      <c r="I107" s="19" t="s">
        <v>2147</v>
      </c>
      <c r="J107" s="4" t="s">
        <v>2259</v>
      </c>
      <c r="K107" s="4" t="s">
        <v>2251</v>
      </c>
      <c r="L107" s="4" t="s">
        <v>2728</v>
      </c>
      <c r="M107" s="6">
        <v>45721.0</v>
      </c>
      <c r="N107" s="4" t="s">
        <v>2729</v>
      </c>
      <c r="P107" s="4">
        <v>7.0</v>
      </c>
      <c r="Q107" s="4" t="s">
        <v>2730</v>
      </c>
      <c r="R107" s="4" t="s">
        <v>2731</v>
      </c>
      <c r="S107" s="4" t="b">
        <v>1</v>
      </c>
      <c r="T107" s="4" t="s">
        <v>2732</v>
      </c>
    </row>
    <row r="108">
      <c r="A108" s="4" t="s">
        <v>2733</v>
      </c>
      <c r="B108" s="7" t="s">
        <v>2384</v>
      </c>
      <c r="C108" s="4" t="s">
        <v>2258</v>
      </c>
      <c r="D108" s="4" t="b">
        <v>0</v>
      </c>
      <c r="H108" s="6">
        <v>45721.0</v>
      </c>
      <c r="I108" s="19" t="s">
        <v>2147</v>
      </c>
      <c r="J108" s="4" t="s">
        <v>2259</v>
      </c>
      <c r="K108" s="4" t="s">
        <v>2251</v>
      </c>
      <c r="L108" s="4" t="s">
        <v>2734</v>
      </c>
      <c r="M108" s="6">
        <v>45727.0</v>
      </c>
      <c r="N108" s="4" t="s">
        <v>2735</v>
      </c>
      <c r="P108" s="4">
        <v>7.0</v>
      </c>
      <c r="Q108" s="4" t="s">
        <v>2736</v>
      </c>
      <c r="R108" s="4" t="s">
        <v>2737</v>
      </c>
      <c r="S108" s="4" t="b">
        <v>1</v>
      </c>
      <c r="T108" s="4" t="s">
        <v>2495</v>
      </c>
    </row>
    <row r="109">
      <c r="A109" s="4" t="s">
        <v>2738</v>
      </c>
      <c r="B109" s="7" t="s">
        <v>2322</v>
      </c>
      <c r="C109" s="4" t="s">
        <v>2258</v>
      </c>
      <c r="D109" s="4" t="b">
        <v>0</v>
      </c>
      <c r="H109" s="6">
        <v>45722.0</v>
      </c>
      <c r="I109" s="19" t="s">
        <v>2147</v>
      </c>
      <c r="J109" s="4" t="s">
        <v>2259</v>
      </c>
      <c r="K109" s="4" t="s">
        <v>2251</v>
      </c>
      <c r="L109" s="4" t="s">
        <v>2739</v>
      </c>
      <c r="M109" s="6">
        <v>45734.0</v>
      </c>
      <c r="N109" s="4" t="s">
        <v>2740</v>
      </c>
      <c r="P109" s="4">
        <v>7.0</v>
      </c>
      <c r="Q109" s="4" t="s">
        <v>2741</v>
      </c>
      <c r="R109" s="4" t="s">
        <v>2742</v>
      </c>
      <c r="S109" s="4" t="b">
        <v>0</v>
      </c>
    </row>
    <row r="110">
      <c r="A110" s="4" t="s">
        <v>2743</v>
      </c>
      <c r="B110" s="7" t="s">
        <v>2322</v>
      </c>
      <c r="C110" s="4" t="s">
        <v>2258</v>
      </c>
      <c r="D110" s="4" t="b">
        <v>0</v>
      </c>
      <c r="H110" s="6">
        <v>45722.0</v>
      </c>
      <c r="I110" s="19" t="s">
        <v>2147</v>
      </c>
      <c r="J110" s="4" t="s">
        <v>2259</v>
      </c>
      <c r="K110" s="4" t="s">
        <v>2251</v>
      </c>
      <c r="L110" s="4" t="s">
        <v>2744</v>
      </c>
      <c r="M110" s="6">
        <v>45743.0</v>
      </c>
      <c r="N110" s="4" t="s">
        <v>2745</v>
      </c>
      <c r="O110" s="4" t="s">
        <v>2746</v>
      </c>
      <c r="P110" s="4">
        <v>7.0</v>
      </c>
      <c r="Q110" s="4" t="s">
        <v>2747</v>
      </c>
      <c r="R110" s="4" t="s">
        <v>2748</v>
      </c>
      <c r="S110" s="4" t="b">
        <v>0</v>
      </c>
    </row>
    <row r="111">
      <c r="A111" s="4" t="s">
        <v>2749</v>
      </c>
      <c r="B111" s="7" t="s">
        <v>2387</v>
      </c>
      <c r="C111" s="4" t="s">
        <v>2258</v>
      </c>
      <c r="D111" s="4" t="b">
        <v>0</v>
      </c>
      <c r="H111" s="6">
        <v>45722.0</v>
      </c>
      <c r="I111" s="19" t="s">
        <v>2147</v>
      </c>
      <c r="J111" s="4" t="s">
        <v>2259</v>
      </c>
      <c r="K111" s="4" t="s">
        <v>2251</v>
      </c>
      <c r="L111" s="4" t="s">
        <v>2750</v>
      </c>
      <c r="M111" s="6">
        <v>45733.0</v>
      </c>
      <c r="N111" s="4" t="s">
        <v>2751</v>
      </c>
      <c r="O111" s="4" t="s">
        <v>2752</v>
      </c>
      <c r="P111" s="4">
        <v>7.0</v>
      </c>
      <c r="Q111" s="4" t="s">
        <v>2753</v>
      </c>
      <c r="R111" s="4" t="s">
        <v>2754</v>
      </c>
      <c r="S111" s="4" t="b">
        <v>1</v>
      </c>
      <c r="T111" s="4" t="s">
        <v>2495</v>
      </c>
    </row>
    <row r="112">
      <c r="A112" s="4" t="s">
        <v>2755</v>
      </c>
      <c r="B112" s="7" t="s">
        <v>2276</v>
      </c>
      <c r="C112" s="4" t="s">
        <v>2258</v>
      </c>
      <c r="D112" s="4" t="b">
        <v>0</v>
      </c>
      <c r="H112" s="6">
        <v>45722.0</v>
      </c>
      <c r="I112" s="19" t="s">
        <v>2148</v>
      </c>
      <c r="J112" s="4" t="s">
        <v>2268</v>
      </c>
      <c r="K112" s="4" t="s">
        <v>2269</v>
      </c>
      <c r="L112" s="4" t="s">
        <v>2756</v>
      </c>
      <c r="M112" s="6">
        <v>45722.0</v>
      </c>
      <c r="N112" s="4" t="s">
        <v>2757</v>
      </c>
      <c r="P112" s="4">
        <v>1.0</v>
      </c>
      <c r="Q112" s="4" t="s">
        <v>2758</v>
      </c>
      <c r="R112" s="4" t="s">
        <v>2759</v>
      </c>
      <c r="S112" s="4" t="b">
        <v>1</v>
      </c>
      <c r="T112" s="4" t="s">
        <v>2478</v>
      </c>
    </row>
    <row r="113">
      <c r="A113" s="4" t="s">
        <v>2760</v>
      </c>
      <c r="B113" s="7" t="s">
        <v>2387</v>
      </c>
      <c r="C113" s="4" t="s">
        <v>2258</v>
      </c>
      <c r="D113" s="4" t="b">
        <v>0</v>
      </c>
      <c r="H113" s="6">
        <v>45723.0</v>
      </c>
      <c r="I113" s="19" t="s">
        <v>2147</v>
      </c>
      <c r="J113" s="4" t="s">
        <v>2259</v>
      </c>
      <c r="K113" s="4" t="s">
        <v>2251</v>
      </c>
      <c r="L113" s="4" t="s">
        <v>2761</v>
      </c>
      <c r="M113" s="6">
        <v>45733.0</v>
      </c>
      <c r="N113" s="4" t="s">
        <v>2762</v>
      </c>
      <c r="O113" s="4" t="s">
        <v>2763</v>
      </c>
      <c r="P113" s="4">
        <v>7.0</v>
      </c>
      <c r="Q113" s="4" t="s">
        <v>2764</v>
      </c>
      <c r="R113" s="4" t="s">
        <v>2765</v>
      </c>
      <c r="S113" s="4" t="b">
        <v>1</v>
      </c>
      <c r="T113" s="4" t="s">
        <v>2562</v>
      </c>
    </row>
    <row r="114">
      <c r="A114" s="4" t="s">
        <v>2766</v>
      </c>
      <c r="B114" s="7" t="s">
        <v>2342</v>
      </c>
      <c r="C114" s="4" t="s">
        <v>2258</v>
      </c>
      <c r="D114" s="4" t="b">
        <v>0</v>
      </c>
      <c r="H114" s="6">
        <v>45723.0</v>
      </c>
      <c r="I114" s="19" t="s">
        <v>2147</v>
      </c>
      <c r="J114" s="4" t="s">
        <v>2473</v>
      </c>
      <c r="K114" s="4" t="s">
        <v>2269</v>
      </c>
      <c r="L114" s="4" t="s">
        <v>2767</v>
      </c>
      <c r="M114" s="6">
        <v>45723.0</v>
      </c>
      <c r="N114" s="4" t="s">
        <v>2768</v>
      </c>
      <c r="P114" s="4">
        <v>1.0</v>
      </c>
      <c r="Q114" s="4" t="s">
        <v>2769</v>
      </c>
      <c r="R114" s="4" t="s">
        <v>2770</v>
      </c>
      <c r="S114" s="4" t="b">
        <v>1</v>
      </c>
      <c r="T114" s="4" t="s">
        <v>2517</v>
      </c>
    </row>
    <row r="115">
      <c r="A115" s="4" t="s">
        <v>2771</v>
      </c>
      <c r="B115" s="7" t="s">
        <v>2147</v>
      </c>
      <c r="C115" s="4" t="s">
        <v>2258</v>
      </c>
      <c r="D115" s="4" t="b">
        <v>0</v>
      </c>
      <c r="H115" s="6">
        <v>45727.0</v>
      </c>
      <c r="I115" s="19" t="s">
        <v>2147</v>
      </c>
      <c r="J115" s="4" t="s">
        <v>2259</v>
      </c>
      <c r="K115" s="4" t="s">
        <v>2251</v>
      </c>
      <c r="L115" s="4" t="s">
        <v>2772</v>
      </c>
      <c r="M115" s="6">
        <v>45727.0</v>
      </c>
      <c r="N115" s="4" t="s">
        <v>2773</v>
      </c>
      <c r="P115" s="4">
        <v>7.0</v>
      </c>
      <c r="Q115" s="4" t="s">
        <v>2774</v>
      </c>
      <c r="R115" s="4" t="s">
        <v>2775</v>
      </c>
      <c r="S115" s="4" t="b">
        <v>0</v>
      </c>
    </row>
    <row r="116">
      <c r="A116" s="4" t="s">
        <v>2776</v>
      </c>
      <c r="B116" s="7" t="s">
        <v>2148</v>
      </c>
      <c r="C116" s="4" t="s">
        <v>2258</v>
      </c>
      <c r="D116" s="4" t="b">
        <v>0</v>
      </c>
      <c r="H116" s="6">
        <v>45730.0</v>
      </c>
      <c r="I116" s="19" t="s">
        <v>2154</v>
      </c>
      <c r="J116" s="4" t="s">
        <v>2259</v>
      </c>
      <c r="K116" s="4" t="s">
        <v>2251</v>
      </c>
      <c r="L116" s="4" t="s">
        <v>2777</v>
      </c>
      <c r="M116" s="6">
        <v>45744.0</v>
      </c>
      <c r="N116" s="4" t="s">
        <v>2778</v>
      </c>
      <c r="O116" s="4" t="s">
        <v>2779</v>
      </c>
      <c r="P116" s="4">
        <v>7.0</v>
      </c>
      <c r="Q116" s="4" t="s">
        <v>2780</v>
      </c>
      <c r="R116" s="4" t="s">
        <v>2781</v>
      </c>
      <c r="S116" s="4" t="b">
        <v>1</v>
      </c>
      <c r="T116" s="4" t="s">
        <v>2782</v>
      </c>
    </row>
    <row r="117">
      <c r="A117" s="4" t="s">
        <v>2783</v>
      </c>
      <c r="B117" s="7" t="s">
        <v>2154</v>
      </c>
      <c r="C117" s="4" t="s">
        <v>2258</v>
      </c>
      <c r="D117" s="4" t="b">
        <v>0</v>
      </c>
      <c r="H117" s="6">
        <v>45733.0</v>
      </c>
      <c r="I117" s="19" t="s">
        <v>2147</v>
      </c>
      <c r="J117" s="4" t="s">
        <v>2259</v>
      </c>
      <c r="K117" s="4" t="s">
        <v>2251</v>
      </c>
      <c r="L117" s="4" t="s">
        <v>2784</v>
      </c>
      <c r="M117" s="6">
        <v>45734.0</v>
      </c>
      <c r="N117" s="4" t="s">
        <v>2785</v>
      </c>
      <c r="P117" s="4">
        <v>7.0</v>
      </c>
      <c r="Q117" s="4" t="s">
        <v>2786</v>
      </c>
      <c r="R117" s="4" t="s">
        <v>2787</v>
      </c>
      <c r="S117" s="4" t="b">
        <v>1</v>
      </c>
      <c r="T117" s="4" t="s">
        <v>2589</v>
      </c>
    </row>
    <row r="118">
      <c r="A118" s="4" t="s">
        <v>2788</v>
      </c>
      <c r="B118" s="7" t="s">
        <v>2322</v>
      </c>
      <c r="C118" s="4" t="s">
        <v>2258</v>
      </c>
      <c r="D118" s="4" t="b">
        <v>0</v>
      </c>
      <c r="H118" s="6">
        <v>45733.0</v>
      </c>
      <c r="I118" s="19" t="s">
        <v>2147</v>
      </c>
      <c r="J118" s="4" t="s">
        <v>2259</v>
      </c>
      <c r="K118" s="4" t="s">
        <v>2251</v>
      </c>
      <c r="L118" s="4" t="s">
        <v>2789</v>
      </c>
      <c r="M118" s="6">
        <v>45734.0</v>
      </c>
      <c r="N118" s="4" t="s">
        <v>2790</v>
      </c>
      <c r="O118" s="4" t="s">
        <v>2791</v>
      </c>
      <c r="P118" s="4">
        <v>7.0</v>
      </c>
      <c r="Q118" s="4" t="s">
        <v>2792</v>
      </c>
      <c r="R118" s="4" t="s">
        <v>2793</v>
      </c>
      <c r="S118" s="4" t="b">
        <v>0</v>
      </c>
    </row>
    <row r="119">
      <c r="A119" s="4" t="s">
        <v>2794</v>
      </c>
      <c r="B119" s="7" t="s">
        <v>2387</v>
      </c>
      <c r="C119" s="4" t="s">
        <v>2258</v>
      </c>
      <c r="D119" s="4" t="b">
        <v>0</v>
      </c>
      <c r="H119" s="6">
        <v>45733.0</v>
      </c>
      <c r="I119" s="19" t="s">
        <v>2147</v>
      </c>
      <c r="J119" s="4" t="s">
        <v>2259</v>
      </c>
      <c r="K119" s="4" t="s">
        <v>2251</v>
      </c>
      <c r="L119" s="4" t="s">
        <v>2795</v>
      </c>
      <c r="M119" s="6">
        <v>45733.0</v>
      </c>
      <c r="N119" s="4" t="s">
        <v>2796</v>
      </c>
      <c r="P119" s="4">
        <v>7.0</v>
      </c>
      <c r="Q119" s="4" t="s">
        <v>2797</v>
      </c>
      <c r="R119" s="4" t="s">
        <v>2798</v>
      </c>
      <c r="S119" s="4" t="b">
        <v>1</v>
      </c>
      <c r="T119" s="4" t="s">
        <v>2495</v>
      </c>
    </row>
    <row r="120">
      <c r="A120" s="4" t="s">
        <v>2799</v>
      </c>
      <c r="B120" s="7" t="s">
        <v>2342</v>
      </c>
      <c r="C120" s="4" t="s">
        <v>2258</v>
      </c>
      <c r="D120" s="4" t="b">
        <v>0</v>
      </c>
      <c r="H120" s="6">
        <v>45733.0</v>
      </c>
      <c r="I120" s="19" t="s">
        <v>2147</v>
      </c>
      <c r="J120" s="4" t="s">
        <v>2473</v>
      </c>
      <c r="K120" s="4" t="s">
        <v>2269</v>
      </c>
      <c r="L120" s="4" t="s">
        <v>2800</v>
      </c>
      <c r="M120" s="6">
        <v>45733.0</v>
      </c>
      <c r="N120" s="4" t="s">
        <v>2801</v>
      </c>
      <c r="P120" s="4">
        <v>1.0</v>
      </c>
      <c r="Q120" s="4" t="s">
        <v>2798</v>
      </c>
      <c r="R120" s="4" t="s">
        <v>2802</v>
      </c>
      <c r="S120" s="4" t="b">
        <v>1</v>
      </c>
      <c r="T120" s="4" t="s">
        <v>2517</v>
      </c>
    </row>
    <row r="121">
      <c r="A121" s="4" t="s">
        <v>2803</v>
      </c>
      <c r="B121" s="7" t="s">
        <v>2804</v>
      </c>
      <c r="C121" s="4" t="s">
        <v>2258</v>
      </c>
      <c r="D121" s="4" t="b">
        <v>0</v>
      </c>
      <c r="H121" s="6">
        <v>45734.0</v>
      </c>
      <c r="I121" s="19" t="s">
        <v>2147</v>
      </c>
      <c r="J121" s="4" t="s">
        <v>2259</v>
      </c>
      <c r="K121" s="4" t="s">
        <v>2251</v>
      </c>
      <c r="L121" s="4" t="s">
        <v>2805</v>
      </c>
      <c r="M121" s="6">
        <v>45734.0</v>
      </c>
      <c r="N121" s="4" t="s">
        <v>2806</v>
      </c>
      <c r="P121" s="4">
        <v>7.0</v>
      </c>
      <c r="Q121" s="4" t="s">
        <v>2807</v>
      </c>
      <c r="R121" s="4" t="s">
        <v>2808</v>
      </c>
      <c r="S121" s="4" t="b">
        <v>0</v>
      </c>
    </row>
    <row r="122">
      <c r="A122" s="4" t="s">
        <v>2809</v>
      </c>
      <c r="B122" s="7" t="s">
        <v>2804</v>
      </c>
      <c r="C122" s="4" t="s">
        <v>2258</v>
      </c>
      <c r="D122" s="4" t="b">
        <v>0</v>
      </c>
      <c r="H122" s="6">
        <v>45734.0</v>
      </c>
      <c r="I122" s="19" t="s">
        <v>2147</v>
      </c>
      <c r="J122" s="4" t="s">
        <v>2259</v>
      </c>
      <c r="K122" s="4" t="s">
        <v>2251</v>
      </c>
      <c r="L122" s="4" t="s">
        <v>2810</v>
      </c>
      <c r="M122" s="6">
        <v>45734.0</v>
      </c>
      <c r="N122" s="4" t="s">
        <v>2811</v>
      </c>
      <c r="O122" s="4" t="s">
        <v>2812</v>
      </c>
      <c r="P122" s="4">
        <v>7.0</v>
      </c>
      <c r="Q122" s="4" t="s">
        <v>2813</v>
      </c>
      <c r="R122" s="4" t="s">
        <v>2814</v>
      </c>
      <c r="S122" s="4" t="b">
        <v>0</v>
      </c>
    </row>
    <row r="123">
      <c r="A123" s="4" t="s">
        <v>2815</v>
      </c>
      <c r="B123" s="7" t="s">
        <v>2322</v>
      </c>
      <c r="C123" s="4" t="s">
        <v>2258</v>
      </c>
      <c r="D123" s="4" t="b">
        <v>0</v>
      </c>
      <c r="H123" s="6">
        <v>45735.0</v>
      </c>
      <c r="I123" s="19" t="s">
        <v>2147</v>
      </c>
      <c r="J123" s="4" t="s">
        <v>2259</v>
      </c>
      <c r="K123" s="4" t="s">
        <v>2251</v>
      </c>
      <c r="L123" s="4" t="s">
        <v>2816</v>
      </c>
      <c r="M123" s="6">
        <v>45735.0</v>
      </c>
      <c r="N123" s="4" t="s">
        <v>2817</v>
      </c>
      <c r="P123" s="4">
        <v>7.0</v>
      </c>
      <c r="Q123" s="4" t="s">
        <v>2818</v>
      </c>
      <c r="R123" s="4" t="s">
        <v>2819</v>
      </c>
      <c r="S123" s="4" t="b">
        <v>0</v>
      </c>
    </row>
    <row r="124">
      <c r="A124" s="4" t="s">
        <v>2820</v>
      </c>
      <c r="B124" s="7" t="s">
        <v>2322</v>
      </c>
      <c r="C124" s="4" t="s">
        <v>2258</v>
      </c>
      <c r="D124" s="4" t="b">
        <v>0</v>
      </c>
      <c r="H124" s="6">
        <v>45736.0</v>
      </c>
      <c r="I124" s="19" t="s">
        <v>2147</v>
      </c>
      <c r="J124" s="4" t="s">
        <v>2259</v>
      </c>
      <c r="K124" s="4" t="s">
        <v>2251</v>
      </c>
      <c r="L124" s="4" t="s">
        <v>2821</v>
      </c>
      <c r="M124" s="6">
        <v>45742.0</v>
      </c>
      <c r="N124" s="4" t="s">
        <v>2822</v>
      </c>
      <c r="P124" s="4">
        <v>7.0</v>
      </c>
      <c r="Q124" s="4" t="s">
        <v>2823</v>
      </c>
      <c r="R124" s="4" t="s">
        <v>2824</v>
      </c>
      <c r="S124" s="4" t="b">
        <v>0</v>
      </c>
    </row>
    <row r="125">
      <c r="A125" s="4" t="s">
        <v>2825</v>
      </c>
      <c r="B125" s="7" t="s">
        <v>2384</v>
      </c>
      <c r="C125" s="4" t="s">
        <v>2258</v>
      </c>
      <c r="D125" s="4" t="b">
        <v>0</v>
      </c>
      <c r="H125" s="6">
        <v>45736.0</v>
      </c>
      <c r="I125" s="19" t="s">
        <v>2147</v>
      </c>
      <c r="J125" s="4" t="s">
        <v>2259</v>
      </c>
      <c r="K125" s="4" t="s">
        <v>2251</v>
      </c>
      <c r="L125" s="4" t="s">
        <v>2826</v>
      </c>
      <c r="M125" s="6">
        <v>45761.0</v>
      </c>
      <c r="N125" s="4" t="s">
        <v>2827</v>
      </c>
      <c r="P125" s="4">
        <v>7.0</v>
      </c>
      <c r="Q125" s="4" t="s">
        <v>2828</v>
      </c>
      <c r="R125" s="4" t="s">
        <v>2829</v>
      </c>
      <c r="S125" s="4" t="b">
        <v>1</v>
      </c>
      <c r="T125" s="4" t="s">
        <v>2495</v>
      </c>
    </row>
    <row r="126">
      <c r="A126" s="4" t="s">
        <v>2830</v>
      </c>
      <c r="B126" s="7" t="s">
        <v>2322</v>
      </c>
      <c r="C126" s="4" t="s">
        <v>2258</v>
      </c>
      <c r="D126" s="4" t="b">
        <v>0</v>
      </c>
      <c r="H126" s="6">
        <v>45736.0</v>
      </c>
      <c r="I126" s="19" t="s">
        <v>2147</v>
      </c>
      <c r="J126" s="4" t="s">
        <v>2259</v>
      </c>
      <c r="K126" s="4" t="s">
        <v>2251</v>
      </c>
      <c r="L126" s="4" t="s">
        <v>2831</v>
      </c>
      <c r="M126" s="6">
        <v>45742.0</v>
      </c>
      <c r="N126" s="4" t="s">
        <v>2832</v>
      </c>
      <c r="P126" s="4">
        <v>7.0</v>
      </c>
      <c r="Q126" s="4" t="s">
        <v>2833</v>
      </c>
      <c r="R126" s="4" t="s">
        <v>2834</v>
      </c>
      <c r="S126" s="4" t="b">
        <v>0</v>
      </c>
    </row>
    <row r="127">
      <c r="A127" s="4" t="s">
        <v>2835</v>
      </c>
      <c r="B127" s="7" t="s">
        <v>2387</v>
      </c>
      <c r="C127" s="4" t="s">
        <v>2258</v>
      </c>
      <c r="D127" s="4" t="b">
        <v>0</v>
      </c>
      <c r="H127" s="6">
        <v>45737.0</v>
      </c>
      <c r="I127" s="19" t="s">
        <v>2147</v>
      </c>
      <c r="J127" s="4" t="s">
        <v>2282</v>
      </c>
      <c r="K127" s="4" t="s">
        <v>2269</v>
      </c>
      <c r="L127" s="4" t="s">
        <v>2836</v>
      </c>
      <c r="M127" s="6">
        <v>45737.0</v>
      </c>
      <c r="N127" s="4" t="s">
        <v>2837</v>
      </c>
      <c r="P127" s="4">
        <v>1.0</v>
      </c>
      <c r="Q127" s="4" t="s">
        <v>2838</v>
      </c>
      <c r="R127" s="4" t="s">
        <v>2839</v>
      </c>
      <c r="S127" s="4" t="b">
        <v>1</v>
      </c>
      <c r="T127" s="4" t="s">
        <v>2495</v>
      </c>
    </row>
    <row r="128">
      <c r="A128" s="4" t="s">
        <v>2840</v>
      </c>
      <c r="B128" s="7" t="s">
        <v>2147</v>
      </c>
      <c r="C128" s="4" t="s">
        <v>2258</v>
      </c>
      <c r="D128" s="4" t="b">
        <v>0</v>
      </c>
      <c r="E128" s="6">
        <v>45737.0</v>
      </c>
      <c r="H128" s="6">
        <v>45737.0</v>
      </c>
      <c r="I128" s="19" t="s">
        <v>2147</v>
      </c>
      <c r="J128" s="4" t="s">
        <v>2353</v>
      </c>
      <c r="K128" s="4" t="s">
        <v>2269</v>
      </c>
      <c r="L128" s="4" t="s">
        <v>2841</v>
      </c>
      <c r="M128" s="6">
        <v>45737.0</v>
      </c>
      <c r="N128" s="4" t="s">
        <v>2842</v>
      </c>
      <c r="P128" s="4">
        <v>1.0</v>
      </c>
      <c r="Q128" s="4" t="s">
        <v>2843</v>
      </c>
      <c r="R128" s="4" t="s">
        <v>2844</v>
      </c>
      <c r="S128" s="4" t="b">
        <v>0</v>
      </c>
    </row>
    <row r="129">
      <c r="A129" s="4" t="s">
        <v>2845</v>
      </c>
      <c r="B129" s="7" t="s">
        <v>2322</v>
      </c>
      <c r="C129" s="4" t="s">
        <v>2258</v>
      </c>
      <c r="D129" s="4" t="b">
        <v>0</v>
      </c>
      <c r="H129" s="6">
        <v>45743.0</v>
      </c>
      <c r="I129" s="19" t="s">
        <v>2147</v>
      </c>
      <c r="J129" s="4" t="s">
        <v>2259</v>
      </c>
      <c r="K129" s="4" t="s">
        <v>2251</v>
      </c>
      <c r="L129" s="4" t="s">
        <v>2846</v>
      </c>
      <c r="M129" s="6">
        <v>45812.0</v>
      </c>
      <c r="N129" s="4" t="s">
        <v>2847</v>
      </c>
      <c r="P129" s="4">
        <v>7.0</v>
      </c>
      <c r="Q129" s="4" t="s">
        <v>2848</v>
      </c>
      <c r="R129" s="4" t="s">
        <v>2849</v>
      </c>
      <c r="S129" s="4" t="b">
        <v>0</v>
      </c>
    </row>
    <row r="130">
      <c r="A130" s="4" t="s">
        <v>2850</v>
      </c>
      <c r="B130" s="7" t="s">
        <v>2387</v>
      </c>
      <c r="C130" s="4" t="s">
        <v>2258</v>
      </c>
      <c r="D130" s="4" t="b">
        <v>0</v>
      </c>
      <c r="H130" s="6">
        <v>45744.0</v>
      </c>
      <c r="I130" s="19" t="s">
        <v>2147</v>
      </c>
      <c r="J130" s="4" t="s">
        <v>2259</v>
      </c>
      <c r="K130" s="4" t="s">
        <v>2251</v>
      </c>
      <c r="L130" s="4" t="s">
        <v>2851</v>
      </c>
      <c r="M130" s="6">
        <v>45748.0</v>
      </c>
      <c r="N130" s="4" t="s">
        <v>2852</v>
      </c>
      <c r="P130" s="4">
        <v>7.0</v>
      </c>
      <c r="Q130" s="4" t="s">
        <v>2853</v>
      </c>
      <c r="R130" s="4" t="s">
        <v>2854</v>
      </c>
      <c r="S130" s="4" t="b">
        <v>1</v>
      </c>
      <c r="T130" s="4" t="s">
        <v>2495</v>
      </c>
    </row>
    <row r="131">
      <c r="A131" s="4" t="s">
        <v>2855</v>
      </c>
      <c r="B131" s="7" t="s">
        <v>2200</v>
      </c>
      <c r="C131" s="4" t="s">
        <v>2249</v>
      </c>
      <c r="D131" s="4" t="b">
        <v>1</v>
      </c>
      <c r="E131" s="6">
        <v>45748.0</v>
      </c>
      <c r="H131" s="6">
        <v>45747.0</v>
      </c>
      <c r="I131" s="19" t="s">
        <v>2147</v>
      </c>
      <c r="J131" s="4" t="s">
        <v>2457</v>
      </c>
      <c r="K131" s="4" t="s">
        <v>2251</v>
      </c>
      <c r="L131" s="4" t="s">
        <v>2856</v>
      </c>
      <c r="M131" s="6">
        <v>45750.0</v>
      </c>
      <c r="N131" s="4" t="s">
        <v>2857</v>
      </c>
      <c r="P131" s="4">
        <v>1.0</v>
      </c>
      <c r="Q131" s="4" t="s">
        <v>2858</v>
      </c>
      <c r="R131" s="4" t="s">
        <v>2859</v>
      </c>
      <c r="S131" s="4" t="b">
        <v>0</v>
      </c>
    </row>
    <row r="132">
      <c r="A132" s="4" t="s">
        <v>2860</v>
      </c>
      <c r="B132" s="7" t="s">
        <v>2342</v>
      </c>
      <c r="C132" s="4" t="s">
        <v>2258</v>
      </c>
      <c r="D132" s="4" t="b">
        <v>0</v>
      </c>
      <c r="H132" s="6">
        <v>45748.0</v>
      </c>
      <c r="I132" s="19" t="s">
        <v>2147</v>
      </c>
      <c r="J132" s="4" t="s">
        <v>2473</v>
      </c>
      <c r="K132" s="4" t="s">
        <v>2269</v>
      </c>
      <c r="L132" s="4" t="s">
        <v>2861</v>
      </c>
      <c r="M132" s="6">
        <v>45748.0</v>
      </c>
      <c r="N132" s="4" t="s">
        <v>2862</v>
      </c>
      <c r="O132" s="4" t="s">
        <v>2863</v>
      </c>
      <c r="P132" s="4">
        <v>1.0</v>
      </c>
      <c r="Q132" s="4" t="s">
        <v>2864</v>
      </c>
      <c r="R132" s="4" t="s">
        <v>2865</v>
      </c>
      <c r="S132" s="4" t="b">
        <v>1</v>
      </c>
      <c r="T132" s="4" t="s">
        <v>2517</v>
      </c>
    </row>
    <row r="133">
      <c r="A133" s="4" t="s">
        <v>2866</v>
      </c>
      <c r="B133" s="7" t="s">
        <v>2316</v>
      </c>
      <c r="C133" s="4" t="s">
        <v>2258</v>
      </c>
      <c r="D133" s="4" t="b">
        <v>0</v>
      </c>
      <c r="H133" s="6">
        <v>45751.0</v>
      </c>
      <c r="I133" s="19" t="s">
        <v>2147</v>
      </c>
      <c r="J133" s="4" t="s">
        <v>2473</v>
      </c>
      <c r="K133" s="4" t="s">
        <v>2269</v>
      </c>
      <c r="L133" s="4" t="s">
        <v>2867</v>
      </c>
      <c r="M133" s="6">
        <v>45754.0</v>
      </c>
      <c r="N133" s="4" t="s">
        <v>2868</v>
      </c>
      <c r="P133" s="4">
        <v>1.0</v>
      </c>
      <c r="Q133" s="4" t="s">
        <v>2869</v>
      </c>
      <c r="R133" s="4" t="s">
        <v>2870</v>
      </c>
      <c r="S133" s="4" t="b">
        <v>0</v>
      </c>
    </row>
    <row r="134">
      <c r="A134" s="4" t="s">
        <v>2871</v>
      </c>
      <c r="B134" s="7" t="s">
        <v>2384</v>
      </c>
      <c r="C134" s="4" t="s">
        <v>2258</v>
      </c>
      <c r="D134" s="4" t="b">
        <v>0</v>
      </c>
      <c r="H134" s="6">
        <v>45755.0</v>
      </c>
      <c r="I134" s="19" t="s">
        <v>2147</v>
      </c>
      <c r="J134" s="4" t="s">
        <v>2473</v>
      </c>
      <c r="K134" s="4" t="s">
        <v>2269</v>
      </c>
      <c r="L134" s="4" t="s">
        <v>2872</v>
      </c>
      <c r="M134" s="6">
        <v>45768.0</v>
      </c>
      <c r="N134" s="4" t="s">
        <v>2873</v>
      </c>
      <c r="P134" s="4">
        <v>1.0</v>
      </c>
      <c r="Q134" s="4" t="s">
        <v>2874</v>
      </c>
      <c r="R134" s="4" t="s">
        <v>2875</v>
      </c>
      <c r="S134" s="4" t="b">
        <v>1</v>
      </c>
      <c r="T134" s="4" t="s">
        <v>2495</v>
      </c>
    </row>
    <row r="135">
      <c r="A135" s="4" t="s">
        <v>2876</v>
      </c>
      <c r="B135" s="7" t="s">
        <v>2154</v>
      </c>
      <c r="C135" s="4" t="s">
        <v>2258</v>
      </c>
      <c r="D135" s="4" t="b">
        <v>0</v>
      </c>
      <c r="H135" s="6">
        <v>45756.0</v>
      </c>
      <c r="I135" s="19" t="s">
        <v>2147</v>
      </c>
      <c r="J135" s="4" t="s">
        <v>2259</v>
      </c>
      <c r="K135" s="4" t="s">
        <v>2251</v>
      </c>
      <c r="L135" s="4" t="s">
        <v>2877</v>
      </c>
      <c r="M135" s="6">
        <v>45763.0</v>
      </c>
      <c r="N135" s="4" t="s">
        <v>2878</v>
      </c>
      <c r="P135" s="4">
        <v>7.0</v>
      </c>
      <c r="Q135" s="4" t="s">
        <v>2879</v>
      </c>
      <c r="R135" s="4" t="s">
        <v>2880</v>
      </c>
      <c r="S135" s="4" t="b">
        <v>1</v>
      </c>
      <c r="T135" s="4" t="s">
        <v>2589</v>
      </c>
    </row>
    <row r="136">
      <c r="A136" s="4" t="s">
        <v>2881</v>
      </c>
      <c r="B136" s="4" t="s">
        <v>2185</v>
      </c>
      <c r="C136" s="4" t="s">
        <v>2258</v>
      </c>
      <c r="D136" s="4" t="b">
        <v>0</v>
      </c>
      <c r="H136" s="6">
        <v>45761.0</v>
      </c>
      <c r="I136" s="19" t="s">
        <v>2154</v>
      </c>
      <c r="J136" s="4" t="s">
        <v>2282</v>
      </c>
      <c r="K136" s="4" t="s">
        <v>2269</v>
      </c>
      <c r="L136" s="4" t="s">
        <v>2882</v>
      </c>
      <c r="M136" s="6">
        <v>45770.0</v>
      </c>
      <c r="N136" s="4" t="s">
        <v>2883</v>
      </c>
      <c r="O136" s="4" t="s">
        <v>2884</v>
      </c>
      <c r="P136" s="4">
        <v>1.0</v>
      </c>
      <c r="Q136" s="4" t="s">
        <v>2885</v>
      </c>
      <c r="R136" s="4" t="s">
        <v>2886</v>
      </c>
      <c r="S136" s="4" t="b">
        <v>1</v>
      </c>
      <c r="T136" s="4" t="s">
        <v>2887</v>
      </c>
    </row>
    <row r="137">
      <c r="A137" s="4" t="s">
        <v>2888</v>
      </c>
      <c r="B137" s="7" t="s">
        <v>2200</v>
      </c>
      <c r="C137" s="4" t="s">
        <v>2258</v>
      </c>
      <c r="D137" s="4" t="b">
        <v>0</v>
      </c>
      <c r="H137" s="6">
        <v>45761.0</v>
      </c>
      <c r="I137" s="19" t="s">
        <v>2148</v>
      </c>
      <c r="J137" s="4" t="s">
        <v>2889</v>
      </c>
      <c r="K137" s="4" t="s">
        <v>2269</v>
      </c>
      <c r="L137" s="4" t="s">
        <v>2890</v>
      </c>
      <c r="M137" s="6">
        <v>45762.0</v>
      </c>
      <c r="N137" s="4" t="s">
        <v>2891</v>
      </c>
      <c r="P137" s="4">
        <v>1.0</v>
      </c>
      <c r="Q137" s="4" t="s">
        <v>2892</v>
      </c>
      <c r="R137" s="4" t="s">
        <v>2893</v>
      </c>
      <c r="S137" s="4" t="b">
        <v>0</v>
      </c>
    </row>
    <row r="138">
      <c r="A138" s="4" t="s">
        <v>2894</v>
      </c>
      <c r="B138" s="7" t="s">
        <v>2200</v>
      </c>
      <c r="C138" s="4" t="s">
        <v>2249</v>
      </c>
      <c r="D138" s="4" t="b">
        <v>1</v>
      </c>
      <c r="E138" s="6">
        <v>45763.0</v>
      </c>
      <c r="H138" s="6">
        <v>45762.0</v>
      </c>
      <c r="I138" s="19" t="s">
        <v>2154</v>
      </c>
      <c r="J138" s="4" t="s">
        <v>2457</v>
      </c>
      <c r="K138" s="4" t="s">
        <v>2251</v>
      </c>
      <c r="L138" s="4" t="s">
        <v>2895</v>
      </c>
      <c r="M138" s="6">
        <v>45764.0</v>
      </c>
      <c r="N138" s="4" t="s">
        <v>2896</v>
      </c>
      <c r="P138" s="4">
        <v>1.0</v>
      </c>
      <c r="Q138" s="4" t="s">
        <v>2893</v>
      </c>
      <c r="R138" s="4" t="s">
        <v>2897</v>
      </c>
      <c r="S138" s="4" t="b">
        <v>0</v>
      </c>
    </row>
    <row r="139">
      <c r="A139" s="4" t="s">
        <v>2898</v>
      </c>
      <c r="B139" s="7" t="s">
        <v>2384</v>
      </c>
      <c r="C139" s="4" t="s">
        <v>2258</v>
      </c>
      <c r="D139" s="4" t="b">
        <v>0</v>
      </c>
      <c r="H139" s="6">
        <v>45763.0</v>
      </c>
      <c r="I139" s="19" t="s">
        <v>2147</v>
      </c>
      <c r="J139" s="4" t="s">
        <v>2473</v>
      </c>
      <c r="K139" s="4" t="s">
        <v>2269</v>
      </c>
      <c r="L139" s="4" t="s">
        <v>2899</v>
      </c>
      <c r="M139" s="6">
        <v>45763.0</v>
      </c>
      <c r="N139" s="4" t="s">
        <v>2900</v>
      </c>
      <c r="O139" s="4" t="s">
        <v>2901</v>
      </c>
      <c r="P139" s="4">
        <v>1.0</v>
      </c>
      <c r="Q139" s="4" t="s">
        <v>2902</v>
      </c>
      <c r="R139" s="4" t="s">
        <v>2903</v>
      </c>
      <c r="S139" s="4" t="b">
        <v>1</v>
      </c>
      <c r="T139" s="4" t="s">
        <v>2495</v>
      </c>
    </row>
    <row r="140">
      <c r="A140" s="4" t="s">
        <v>2904</v>
      </c>
      <c r="B140" s="7" t="s">
        <v>2384</v>
      </c>
      <c r="C140" s="4" t="s">
        <v>2258</v>
      </c>
      <c r="D140" s="4" t="b">
        <v>0</v>
      </c>
      <c r="H140" s="6">
        <v>45763.0</v>
      </c>
      <c r="I140" s="19" t="s">
        <v>2148</v>
      </c>
      <c r="J140" s="4" t="s">
        <v>2473</v>
      </c>
      <c r="K140" s="4" t="s">
        <v>2269</v>
      </c>
      <c r="L140" s="4" t="s">
        <v>2905</v>
      </c>
      <c r="M140" s="6">
        <v>45764.0</v>
      </c>
      <c r="N140" s="4" t="s">
        <v>2906</v>
      </c>
      <c r="O140" s="4" t="s">
        <v>2907</v>
      </c>
      <c r="P140" s="4">
        <v>1.0</v>
      </c>
      <c r="Q140" s="4" t="s">
        <v>2903</v>
      </c>
      <c r="R140" s="4" t="s">
        <v>2908</v>
      </c>
      <c r="S140" s="4" t="b">
        <v>1</v>
      </c>
      <c r="T140" s="4" t="s">
        <v>2495</v>
      </c>
    </row>
    <row r="141">
      <c r="A141" s="4" t="s">
        <v>2909</v>
      </c>
      <c r="B141" s="7" t="s">
        <v>2147</v>
      </c>
      <c r="C141" s="4" t="s">
        <v>2258</v>
      </c>
      <c r="D141" s="4" t="b">
        <v>0</v>
      </c>
      <c r="H141" s="6">
        <v>45769.0</v>
      </c>
      <c r="I141" s="19" t="s">
        <v>2147</v>
      </c>
      <c r="J141" s="4" t="s">
        <v>2259</v>
      </c>
      <c r="K141" s="4" t="s">
        <v>2251</v>
      </c>
      <c r="L141" s="4" t="s">
        <v>2910</v>
      </c>
      <c r="M141" s="6">
        <v>45776.0</v>
      </c>
      <c r="N141" s="4" t="s">
        <v>2911</v>
      </c>
      <c r="P141" s="4">
        <v>7.0</v>
      </c>
      <c r="Q141" s="4" t="s">
        <v>2912</v>
      </c>
      <c r="R141" s="4" t="s">
        <v>2913</v>
      </c>
      <c r="S141" s="4" t="b">
        <v>0</v>
      </c>
    </row>
    <row r="142">
      <c r="A142" s="4" t="s">
        <v>2914</v>
      </c>
      <c r="B142" s="7" t="s">
        <v>2200</v>
      </c>
      <c r="C142" s="4" t="s">
        <v>2258</v>
      </c>
      <c r="D142" s="4" t="b">
        <v>0</v>
      </c>
      <c r="H142" s="6">
        <v>45770.0</v>
      </c>
      <c r="I142" s="19" t="s">
        <v>2147</v>
      </c>
      <c r="J142" s="4" t="s">
        <v>2259</v>
      </c>
      <c r="K142" s="4" t="s">
        <v>2251</v>
      </c>
      <c r="L142" s="4" t="s">
        <v>2915</v>
      </c>
      <c r="M142" s="6">
        <v>45807.0</v>
      </c>
      <c r="N142" s="4" t="s">
        <v>2916</v>
      </c>
      <c r="P142" s="4">
        <v>7.0</v>
      </c>
      <c r="Q142" s="4" t="s">
        <v>2917</v>
      </c>
      <c r="R142" s="4" t="s">
        <v>2918</v>
      </c>
      <c r="S142" s="4" t="b">
        <v>1</v>
      </c>
      <c r="T142" s="4" t="s">
        <v>2528</v>
      </c>
    </row>
    <row r="143">
      <c r="A143" s="4" t="s">
        <v>2919</v>
      </c>
      <c r="B143" s="7" t="s">
        <v>2154</v>
      </c>
      <c r="C143" s="4" t="s">
        <v>2258</v>
      </c>
      <c r="D143" s="4" t="b">
        <v>0</v>
      </c>
      <c r="H143" s="6">
        <v>45772.0</v>
      </c>
      <c r="I143" s="19" t="s">
        <v>2147</v>
      </c>
      <c r="J143" s="4" t="s">
        <v>2282</v>
      </c>
      <c r="K143" s="4" t="s">
        <v>2269</v>
      </c>
      <c r="L143" s="4" t="s">
        <v>2920</v>
      </c>
      <c r="M143" s="6">
        <v>45776.0</v>
      </c>
      <c r="N143" s="4" t="s">
        <v>2921</v>
      </c>
      <c r="O143" s="4" t="s">
        <v>2922</v>
      </c>
      <c r="P143" s="4">
        <v>1.0</v>
      </c>
      <c r="Q143" s="4" t="s">
        <v>2923</v>
      </c>
      <c r="R143" s="4" t="s">
        <v>2924</v>
      </c>
      <c r="S143" s="4" t="b">
        <v>1</v>
      </c>
      <c r="T143" s="4" t="s">
        <v>2589</v>
      </c>
    </row>
    <row r="144">
      <c r="A144" s="4" t="s">
        <v>2925</v>
      </c>
      <c r="B144" s="7" t="s">
        <v>2154</v>
      </c>
      <c r="C144" s="4" t="s">
        <v>2258</v>
      </c>
      <c r="D144" s="4" t="b">
        <v>0</v>
      </c>
      <c r="H144" s="6">
        <v>45772.0</v>
      </c>
      <c r="I144" s="19" t="s">
        <v>2147</v>
      </c>
      <c r="J144" s="4" t="s">
        <v>2282</v>
      </c>
      <c r="K144" s="4" t="s">
        <v>2269</v>
      </c>
      <c r="L144" s="4" t="s">
        <v>2926</v>
      </c>
      <c r="M144" s="6">
        <v>45776.0</v>
      </c>
      <c r="N144" s="4" t="s">
        <v>2927</v>
      </c>
      <c r="O144" s="4" t="s">
        <v>2928</v>
      </c>
      <c r="P144" s="4">
        <v>1.0</v>
      </c>
      <c r="Q144" s="4" t="s">
        <v>2929</v>
      </c>
      <c r="R144" s="4" t="s">
        <v>2930</v>
      </c>
      <c r="S144" s="4" t="b">
        <v>1</v>
      </c>
      <c r="T144" s="4" t="s">
        <v>2931</v>
      </c>
    </row>
    <row r="145">
      <c r="A145" s="4" t="s">
        <v>2932</v>
      </c>
      <c r="B145" s="7" t="s">
        <v>2218</v>
      </c>
      <c r="C145" s="4" t="s">
        <v>2258</v>
      </c>
      <c r="D145" s="4" t="b">
        <v>0</v>
      </c>
      <c r="H145" s="6">
        <v>45772.0</v>
      </c>
      <c r="I145" s="19" t="s">
        <v>2154</v>
      </c>
      <c r="J145" s="4" t="s">
        <v>2282</v>
      </c>
      <c r="K145" s="4" t="s">
        <v>2269</v>
      </c>
      <c r="L145" s="4" t="s">
        <v>2933</v>
      </c>
      <c r="M145" s="6">
        <v>45779.0</v>
      </c>
      <c r="N145" s="4" t="s">
        <v>2934</v>
      </c>
      <c r="P145" s="4">
        <v>1.0</v>
      </c>
      <c r="Q145" s="4" t="s">
        <v>2935</v>
      </c>
      <c r="R145" s="4" t="s">
        <v>2936</v>
      </c>
      <c r="S145" s="4" t="b">
        <v>0</v>
      </c>
    </row>
    <row r="146">
      <c r="A146" s="4" t="s">
        <v>2937</v>
      </c>
      <c r="B146" s="4" t="s">
        <v>2203</v>
      </c>
      <c r="C146" s="4" t="s">
        <v>2336</v>
      </c>
      <c r="D146" s="4" t="b">
        <v>0</v>
      </c>
      <c r="F146" s="4" t="s">
        <v>2938</v>
      </c>
      <c r="G146" s="4" t="s">
        <v>2939</v>
      </c>
      <c r="H146" s="6">
        <v>45775.0</v>
      </c>
      <c r="I146" s="19" t="s">
        <v>2148</v>
      </c>
      <c r="K146" s="4" t="s">
        <v>2251</v>
      </c>
      <c r="L146" s="4" t="s">
        <v>2940</v>
      </c>
      <c r="M146" s="6">
        <v>45776.0</v>
      </c>
      <c r="N146" s="4" t="s">
        <v>2941</v>
      </c>
      <c r="P146" s="4">
        <v>3.0</v>
      </c>
      <c r="Q146" s="4" t="s">
        <v>2942</v>
      </c>
      <c r="R146" s="4" t="s">
        <v>2943</v>
      </c>
      <c r="S146" s="4" t="b">
        <v>0</v>
      </c>
    </row>
    <row r="147">
      <c r="A147" s="4" t="s">
        <v>2944</v>
      </c>
      <c r="B147" s="7" t="s">
        <v>2147</v>
      </c>
      <c r="C147" s="4" t="s">
        <v>2258</v>
      </c>
      <c r="D147" s="4" t="b">
        <v>0</v>
      </c>
      <c r="H147" s="6">
        <v>45775.0</v>
      </c>
      <c r="I147" s="19" t="s">
        <v>2147</v>
      </c>
      <c r="J147" s="4" t="s">
        <v>2282</v>
      </c>
      <c r="K147" s="4" t="s">
        <v>2269</v>
      </c>
      <c r="L147" s="4" t="s">
        <v>2945</v>
      </c>
      <c r="M147" s="6">
        <v>45776.0</v>
      </c>
      <c r="N147" s="4" t="s">
        <v>2946</v>
      </c>
      <c r="P147" s="4">
        <v>1.0</v>
      </c>
      <c r="Q147" s="4" t="s">
        <v>2947</v>
      </c>
      <c r="R147" s="4" t="s">
        <v>2948</v>
      </c>
      <c r="S147" s="4" t="b">
        <v>0</v>
      </c>
    </row>
    <row r="148">
      <c r="A148" s="4" t="s">
        <v>2949</v>
      </c>
      <c r="B148" s="7" t="s">
        <v>2147</v>
      </c>
      <c r="C148" s="4" t="s">
        <v>2258</v>
      </c>
      <c r="D148" s="4" t="b">
        <v>0</v>
      </c>
      <c r="H148" s="6">
        <v>45776.0</v>
      </c>
      <c r="I148" s="19" t="s">
        <v>2147</v>
      </c>
      <c r="J148" s="4" t="s">
        <v>2282</v>
      </c>
      <c r="K148" s="4" t="s">
        <v>2269</v>
      </c>
      <c r="L148" s="4" t="s">
        <v>2950</v>
      </c>
      <c r="M148" s="6">
        <v>45776.0</v>
      </c>
      <c r="N148" s="4" t="s">
        <v>2951</v>
      </c>
      <c r="P148" s="4">
        <v>1.0</v>
      </c>
      <c r="Q148" s="4" t="s">
        <v>2952</v>
      </c>
      <c r="R148" s="4" t="s">
        <v>2953</v>
      </c>
      <c r="S148" s="4" t="b">
        <v>0</v>
      </c>
    </row>
    <row r="149">
      <c r="A149" s="4" t="s">
        <v>2954</v>
      </c>
      <c r="B149" s="7" t="s">
        <v>2387</v>
      </c>
      <c r="C149" s="4" t="s">
        <v>2258</v>
      </c>
      <c r="D149" s="4" t="b">
        <v>0</v>
      </c>
      <c r="H149" s="6">
        <v>45779.0</v>
      </c>
      <c r="I149" s="19" t="s">
        <v>2147</v>
      </c>
      <c r="J149" s="4" t="s">
        <v>2259</v>
      </c>
      <c r="K149" s="4" t="s">
        <v>2251</v>
      </c>
      <c r="L149" s="4" t="s">
        <v>2955</v>
      </c>
      <c r="M149" s="6">
        <v>45786.0</v>
      </c>
      <c r="N149" s="4" t="s">
        <v>2956</v>
      </c>
      <c r="P149" s="4">
        <v>7.0</v>
      </c>
      <c r="Q149" s="4" t="s">
        <v>2957</v>
      </c>
      <c r="R149" s="4" t="s">
        <v>2958</v>
      </c>
      <c r="S149" s="4" t="b">
        <v>0</v>
      </c>
    </row>
    <row r="150">
      <c r="A150" s="4" t="s">
        <v>2959</v>
      </c>
      <c r="B150" s="7" t="s">
        <v>2218</v>
      </c>
      <c r="C150" s="4" t="s">
        <v>2258</v>
      </c>
      <c r="D150" s="4" t="b">
        <v>0</v>
      </c>
      <c r="H150" s="6">
        <v>45779.0</v>
      </c>
      <c r="I150" s="19" t="s">
        <v>2154</v>
      </c>
      <c r="J150" s="4" t="s">
        <v>2353</v>
      </c>
      <c r="K150" s="4" t="s">
        <v>2269</v>
      </c>
      <c r="L150" s="4" t="s">
        <v>2960</v>
      </c>
      <c r="M150" s="6">
        <v>45786.0</v>
      </c>
      <c r="N150" s="4" t="s">
        <v>2961</v>
      </c>
      <c r="P150" s="4">
        <v>1.0</v>
      </c>
      <c r="Q150" s="4" t="s">
        <v>2962</v>
      </c>
      <c r="R150" s="4" t="s">
        <v>2963</v>
      </c>
      <c r="S150" s="4" t="b">
        <v>0</v>
      </c>
    </row>
    <row r="151">
      <c r="A151" s="4" t="s">
        <v>2964</v>
      </c>
      <c r="B151" s="7" t="s">
        <v>2804</v>
      </c>
      <c r="C151" s="4" t="s">
        <v>2258</v>
      </c>
      <c r="D151" s="4" t="b">
        <v>0</v>
      </c>
      <c r="H151" s="6">
        <v>45782.0</v>
      </c>
      <c r="I151" s="19" t="s">
        <v>2147</v>
      </c>
      <c r="J151" s="4" t="s">
        <v>2259</v>
      </c>
      <c r="K151" s="4" t="s">
        <v>2251</v>
      </c>
      <c r="L151" s="4" t="s">
        <v>2965</v>
      </c>
      <c r="M151" s="6">
        <v>45782.0</v>
      </c>
      <c r="N151" s="4" t="s">
        <v>2966</v>
      </c>
      <c r="P151" s="4">
        <v>7.0</v>
      </c>
      <c r="Q151" s="4" t="s">
        <v>2967</v>
      </c>
      <c r="R151" s="4" t="s">
        <v>2968</v>
      </c>
      <c r="S151" s="4" t="b">
        <v>1</v>
      </c>
      <c r="T151" s="4" t="s">
        <v>2517</v>
      </c>
    </row>
    <row r="152">
      <c r="A152" s="4" t="s">
        <v>2969</v>
      </c>
      <c r="B152" s="7" t="s">
        <v>2154</v>
      </c>
      <c r="C152" s="4" t="s">
        <v>2258</v>
      </c>
      <c r="D152" s="4" t="b">
        <v>0</v>
      </c>
      <c r="H152" s="6">
        <v>45782.0</v>
      </c>
      <c r="I152" s="19" t="s">
        <v>2147</v>
      </c>
      <c r="J152" s="4" t="s">
        <v>2889</v>
      </c>
      <c r="K152" s="4" t="s">
        <v>2269</v>
      </c>
      <c r="L152" s="4" t="s">
        <v>2970</v>
      </c>
      <c r="M152" s="6">
        <v>45782.0</v>
      </c>
      <c r="N152" s="4" t="s">
        <v>2971</v>
      </c>
      <c r="P152" s="4">
        <v>1.0</v>
      </c>
      <c r="Q152" s="4" t="s">
        <v>2967</v>
      </c>
      <c r="R152" s="4" t="s">
        <v>2972</v>
      </c>
      <c r="S152" s="4" t="b">
        <v>1</v>
      </c>
      <c r="T152" s="4" t="s">
        <v>2589</v>
      </c>
    </row>
    <row r="153">
      <c r="A153" s="4" t="s">
        <v>2973</v>
      </c>
      <c r="B153" s="7" t="s">
        <v>2342</v>
      </c>
      <c r="C153" s="4" t="s">
        <v>2249</v>
      </c>
      <c r="D153" s="4" t="b">
        <v>1</v>
      </c>
      <c r="E153" s="6">
        <v>45783.0</v>
      </c>
      <c r="H153" s="6">
        <v>45782.0</v>
      </c>
      <c r="I153" s="19" t="s">
        <v>2147</v>
      </c>
      <c r="J153" s="4" t="s">
        <v>2457</v>
      </c>
      <c r="K153" s="4" t="s">
        <v>2251</v>
      </c>
      <c r="L153" s="4" t="s">
        <v>2974</v>
      </c>
      <c r="M153" s="6">
        <v>45784.0</v>
      </c>
      <c r="N153" s="4" t="s">
        <v>2975</v>
      </c>
      <c r="P153" s="4">
        <v>1.0</v>
      </c>
      <c r="Q153" s="4" t="s">
        <v>2976</v>
      </c>
      <c r="R153" s="4" t="s">
        <v>2977</v>
      </c>
      <c r="S153" s="4" t="b">
        <v>0</v>
      </c>
    </row>
    <row r="154">
      <c r="A154" s="4" t="s">
        <v>2978</v>
      </c>
      <c r="B154" s="7" t="s">
        <v>2393</v>
      </c>
      <c r="C154" s="4" t="s">
        <v>2258</v>
      </c>
      <c r="D154" s="4" t="b">
        <v>0</v>
      </c>
      <c r="H154" s="6">
        <v>45782.0</v>
      </c>
      <c r="I154" s="19" t="s">
        <v>2147</v>
      </c>
      <c r="J154" s="4" t="s">
        <v>2259</v>
      </c>
      <c r="K154" s="4" t="s">
        <v>2251</v>
      </c>
      <c r="L154" s="4" t="s">
        <v>2979</v>
      </c>
      <c r="M154" s="6">
        <v>45782.0</v>
      </c>
      <c r="N154" s="4" t="s">
        <v>2980</v>
      </c>
      <c r="P154" s="4">
        <v>7.0</v>
      </c>
      <c r="Q154" s="4" t="s">
        <v>2981</v>
      </c>
      <c r="R154" s="4" t="s">
        <v>2982</v>
      </c>
      <c r="S154" s="4" t="b">
        <v>1</v>
      </c>
      <c r="T154" s="4" t="s">
        <v>2562</v>
      </c>
    </row>
    <row r="155">
      <c r="A155" s="4" t="s">
        <v>2983</v>
      </c>
      <c r="B155" s="7" t="s">
        <v>2387</v>
      </c>
      <c r="C155" s="4" t="s">
        <v>2258</v>
      </c>
      <c r="D155" s="4" t="b">
        <v>0</v>
      </c>
      <c r="H155" s="6">
        <v>45782.0</v>
      </c>
      <c r="I155" s="19" t="s">
        <v>2147</v>
      </c>
      <c r="J155" s="4" t="s">
        <v>2259</v>
      </c>
      <c r="K155" s="4" t="s">
        <v>2251</v>
      </c>
      <c r="L155" s="4" t="s">
        <v>2984</v>
      </c>
      <c r="M155" s="6">
        <v>45782.0</v>
      </c>
      <c r="N155" s="4" t="s">
        <v>2985</v>
      </c>
      <c r="P155" s="4">
        <v>7.0</v>
      </c>
      <c r="Q155" s="4" t="s">
        <v>2986</v>
      </c>
      <c r="R155" s="4" t="s">
        <v>2987</v>
      </c>
      <c r="S155" s="4" t="b">
        <v>1</v>
      </c>
      <c r="T155" s="4" t="s">
        <v>2562</v>
      </c>
    </row>
    <row r="156">
      <c r="A156" s="4" t="s">
        <v>2988</v>
      </c>
      <c r="B156" s="7" t="s">
        <v>2387</v>
      </c>
      <c r="C156" s="4" t="s">
        <v>2258</v>
      </c>
      <c r="D156" s="4" t="b">
        <v>0</v>
      </c>
      <c r="H156" s="6">
        <v>45783.0</v>
      </c>
      <c r="I156" s="19" t="s">
        <v>2147</v>
      </c>
      <c r="J156" s="4" t="s">
        <v>2259</v>
      </c>
      <c r="K156" s="4" t="s">
        <v>2251</v>
      </c>
      <c r="L156" s="4" t="s">
        <v>2989</v>
      </c>
      <c r="M156" s="6">
        <v>45783.0</v>
      </c>
      <c r="N156" s="4" t="s">
        <v>2990</v>
      </c>
      <c r="P156" s="4">
        <v>7.0</v>
      </c>
      <c r="Q156" s="4" t="s">
        <v>2991</v>
      </c>
      <c r="R156" s="4" t="s">
        <v>2992</v>
      </c>
      <c r="S156" s="4" t="b">
        <v>1</v>
      </c>
      <c r="T156" s="4" t="s">
        <v>2562</v>
      </c>
    </row>
    <row r="157">
      <c r="A157" s="4" t="s">
        <v>2993</v>
      </c>
      <c r="B157" s="7" t="s">
        <v>2393</v>
      </c>
      <c r="C157" s="4" t="s">
        <v>2258</v>
      </c>
      <c r="D157" s="4" t="b">
        <v>0</v>
      </c>
      <c r="H157" s="6">
        <v>45783.0</v>
      </c>
      <c r="I157" s="19" t="s">
        <v>2147</v>
      </c>
      <c r="J157" s="4" t="s">
        <v>2259</v>
      </c>
      <c r="K157" s="4" t="s">
        <v>2251</v>
      </c>
      <c r="L157" s="4" t="s">
        <v>2994</v>
      </c>
      <c r="M157" s="6">
        <v>45783.0</v>
      </c>
      <c r="N157" s="4" t="s">
        <v>2995</v>
      </c>
      <c r="P157" s="4">
        <v>7.0</v>
      </c>
      <c r="Q157" s="4" t="s">
        <v>2996</v>
      </c>
      <c r="R157" s="4" t="s">
        <v>2997</v>
      </c>
      <c r="S157" s="4" t="b">
        <v>1</v>
      </c>
      <c r="T157" s="4" t="s">
        <v>2562</v>
      </c>
    </row>
    <row r="158">
      <c r="A158" s="4" t="s">
        <v>2998</v>
      </c>
      <c r="B158" s="7" t="s">
        <v>2154</v>
      </c>
      <c r="C158" s="4" t="s">
        <v>2258</v>
      </c>
      <c r="D158" s="4" t="b">
        <v>0</v>
      </c>
      <c r="H158" s="6">
        <v>45786.0</v>
      </c>
      <c r="I158" s="19" t="s">
        <v>2147</v>
      </c>
      <c r="J158" s="4" t="s">
        <v>2259</v>
      </c>
      <c r="K158" s="4" t="s">
        <v>2251</v>
      </c>
      <c r="L158" s="4" t="s">
        <v>2999</v>
      </c>
      <c r="M158" s="6">
        <v>45790.0</v>
      </c>
      <c r="N158" s="4" t="s">
        <v>3000</v>
      </c>
      <c r="P158" s="4">
        <v>7.0</v>
      </c>
      <c r="Q158" s="4" t="s">
        <v>3001</v>
      </c>
      <c r="R158" s="4" t="s">
        <v>3002</v>
      </c>
      <c r="S158" s="4" t="b">
        <v>1</v>
      </c>
      <c r="T158" s="4" t="s">
        <v>2589</v>
      </c>
    </row>
    <row r="159">
      <c r="A159" s="4" t="s">
        <v>3003</v>
      </c>
      <c r="B159" s="7" t="s">
        <v>2342</v>
      </c>
      <c r="C159" s="4" t="s">
        <v>2258</v>
      </c>
      <c r="D159" s="4" t="b">
        <v>0</v>
      </c>
      <c r="H159" s="6">
        <v>45786.0</v>
      </c>
      <c r="I159" s="19" t="s">
        <v>2147</v>
      </c>
      <c r="J159" s="4" t="s">
        <v>2268</v>
      </c>
      <c r="K159" s="4" t="s">
        <v>2269</v>
      </c>
      <c r="L159" s="4" t="s">
        <v>3004</v>
      </c>
      <c r="M159" s="6">
        <v>45790.0</v>
      </c>
      <c r="N159" s="4" t="s">
        <v>3005</v>
      </c>
      <c r="P159" s="4">
        <v>1.0</v>
      </c>
      <c r="Q159" s="4" t="s">
        <v>3001</v>
      </c>
      <c r="R159" s="4" t="s">
        <v>3002</v>
      </c>
      <c r="S159" s="4" t="b">
        <v>1</v>
      </c>
      <c r="T159" s="4" t="s">
        <v>2517</v>
      </c>
    </row>
    <row r="160">
      <c r="A160" s="4" t="s">
        <v>3006</v>
      </c>
      <c r="B160" s="4" t="s">
        <v>2220</v>
      </c>
      <c r="C160" s="4" t="s">
        <v>2336</v>
      </c>
      <c r="D160" s="4" t="b">
        <v>0</v>
      </c>
      <c r="F160" s="4" t="s">
        <v>3007</v>
      </c>
      <c r="G160" s="4" t="s">
        <v>3008</v>
      </c>
      <c r="H160" s="6">
        <v>46120.0</v>
      </c>
      <c r="I160" s="19" t="s">
        <v>2148</v>
      </c>
      <c r="K160" s="4" t="s">
        <v>2251</v>
      </c>
      <c r="L160" s="4" t="s">
        <v>3009</v>
      </c>
      <c r="M160" s="6"/>
      <c r="N160" s="4"/>
      <c r="P160" s="4">
        <v>3.0</v>
      </c>
      <c r="Q160" s="4" t="s">
        <v>3010</v>
      </c>
      <c r="R160" s="4"/>
      <c r="S160" s="4" t="b">
        <v>0</v>
      </c>
    </row>
    <row r="161">
      <c r="A161" s="4" t="s">
        <v>3011</v>
      </c>
      <c r="B161" s="7" t="s">
        <v>2804</v>
      </c>
      <c r="C161" s="4" t="s">
        <v>2258</v>
      </c>
      <c r="D161" s="4" t="b">
        <v>0</v>
      </c>
      <c r="H161" s="6">
        <v>45798.0</v>
      </c>
      <c r="I161" s="19" t="s">
        <v>2147</v>
      </c>
      <c r="J161" s="4" t="s">
        <v>2259</v>
      </c>
      <c r="K161" s="4" t="s">
        <v>2251</v>
      </c>
      <c r="L161" s="4" t="s">
        <v>3012</v>
      </c>
      <c r="M161" s="6">
        <v>45800.0</v>
      </c>
      <c r="N161" s="4" t="s">
        <v>3013</v>
      </c>
      <c r="P161" s="4">
        <v>7.0</v>
      </c>
      <c r="Q161" s="4" t="s">
        <v>3014</v>
      </c>
      <c r="R161" s="4" t="s">
        <v>3015</v>
      </c>
      <c r="S161" s="4" t="b">
        <v>1</v>
      </c>
      <c r="T161" s="4" t="s">
        <v>2517</v>
      </c>
    </row>
    <row r="162">
      <c r="A162" s="4" t="s">
        <v>3016</v>
      </c>
      <c r="B162" s="4" t="s">
        <v>2205</v>
      </c>
      <c r="C162" s="4" t="s">
        <v>2336</v>
      </c>
      <c r="D162" s="4" t="b">
        <v>0</v>
      </c>
      <c r="F162" s="4" t="s">
        <v>3017</v>
      </c>
      <c r="G162" s="4" t="s">
        <v>2939</v>
      </c>
      <c r="H162" s="6">
        <v>45803.0</v>
      </c>
      <c r="I162" s="19" t="s">
        <v>2148</v>
      </c>
      <c r="K162" s="4" t="s">
        <v>2251</v>
      </c>
      <c r="L162" s="4" t="s">
        <v>3018</v>
      </c>
      <c r="M162" s="6">
        <v>45805.0</v>
      </c>
      <c r="N162" s="4" t="s">
        <v>3019</v>
      </c>
      <c r="P162" s="4">
        <v>3.0</v>
      </c>
      <c r="Q162" s="4" t="s">
        <v>3020</v>
      </c>
      <c r="R162" s="4" t="s">
        <v>3021</v>
      </c>
      <c r="S162" s="4" t="b">
        <v>0</v>
      </c>
    </row>
    <row r="163">
      <c r="A163" s="4" t="s">
        <v>3022</v>
      </c>
      <c r="B163" s="7" t="s">
        <v>2393</v>
      </c>
      <c r="C163" s="4" t="s">
        <v>2258</v>
      </c>
      <c r="D163" s="4" t="b">
        <v>0</v>
      </c>
      <c r="H163" s="6">
        <v>45803.0</v>
      </c>
      <c r="I163" s="19" t="s">
        <v>2147</v>
      </c>
      <c r="J163" s="4" t="s">
        <v>2259</v>
      </c>
      <c r="K163" s="4" t="s">
        <v>2251</v>
      </c>
      <c r="L163" s="4" t="s">
        <v>3023</v>
      </c>
      <c r="M163" s="6">
        <v>45810.0</v>
      </c>
      <c r="N163" s="4" t="s">
        <v>3024</v>
      </c>
      <c r="P163" s="4">
        <v>7.0</v>
      </c>
      <c r="Q163" s="4" t="s">
        <v>3025</v>
      </c>
      <c r="R163" s="4" t="s">
        <v>3026</v>
      </c>
      <c r="S163" s="4" t="b">
        <v>1</v>
      </c>
      <c r="T163" s="4" t="s">
        <v>2562</v>
      </c>
    </row>
    <row r="164">
      <c r="A164" s="4" t="s">
        <v>3027</v>
      </c>
      <c r="B164" s="7" t="s">
        <v>2147</v>
      </c>
      <c r="C164" s="4" t="s">
        <v>2258</v>
      </c>
      <c r="D164" s="4" t="b">
        <v>0</v>
      </c>
      <c r="H164" s="6">
        <v>45805.0</v>
      </c>
      <c r="I164" s="19" t="s">
        <v>2147</v>
      </c>
      <c r="J164" s="4" t="s">
        <v>2282</v>
      </c>
      <c r="K164" s="4" t="s">
        <v>2269</v>
      </c>
      <c r="L164" s="4" t="s">
        <v>3028</v>
      </c>
      <c r="M164" s="6">
        <v>45883.0</v>
      </c>
      <c r="N164" s="4" t="s">
        <v>3029</v>
      </c>
      <c r="O164" s="4" t="s">
        <v>3030</v>
      </c>
      <c r="P164" s="4">
        <v>1.0</v>
      </c>
      <c r="Q164" s="4" t="s">
        <v>3021</v>
      </c>
      <c r="R164" s="4" t="s">
        <v>3031</v>
      </c>
      <c r="S164" s="4" t="b">
        <v>0</v>
      </c>
    </row>
    <row r="165">
      <c r="A165" s="4" t="s">
        <v>3032</v>
      </c>
      <c r="B165" s="7" t="s">
        <v>2384</v>
      </c>
      <c r="C165" s="4" t="s">
        <v>2258</v>
      </c>
      <c r="D165" s="4" t="b">
        <v>0</v>
      </c>
      <c r="H165" s="6">
        <v>45810.0</v>
      </c>
      <c r="I165" s="19" t="s">
        <v>2147</v>
      </c>
      <c r="J165" s="4" t="s">
        <v>2473</v>
      </c>
      <c r="K165" s="4" t="s">
        <v>2269</v>
      </c>
      <c r="L165" s="4" t="s">
        <v>3033</v>
      </c>
      <c r="M165" s="6">
        <v>45812.0</v>
      </c>
      <c r="N165" s="4" t="s">
        <v>3034</v>
      </c>
      <c r="P165" s="4">
        <v>1.0</v>
      </c>
      <c r="Q165" s="4" t="s">
        <v>3035</v>
      </c>
      <c r="R165" s="4" t="s">
        <v>3036</v>
      </c>
      <c r="S165" s="4" t="b">
        <v>1</v>
      </c>
      <c r="T165" s="4" t="s">
        <v>2495</v>
      </c>
    </row>
    <row r="166">
      <c r="A166" s="4" t="s">
        <v>3037</v>
      </c>
      <c r="B166" s="7" t="s">
        <v>2276</v>
      </c>
      <c r="C166" s="4" t="s">
        <v>2258</v>
      </c>
      <c r="D166" s="4" t="b">
        <v>0</v>
      </c>
      <c r="H166" s="6">
        <v>45810.0</v>
      </c>
      <c r="I166" s="19" t="s">
        <v>2147</v>
      </c>
      <c r="J166" s="4" t="s">
        <v>2259</v>
      </c>
      <c r="K166" s="4" t="s">
        <v>2251</v>
      </c>
      <c r="L166" s="4" t="s">
        <v>3038</v>
      </c>
      <c r="M166" s="6">
        <v>45811.0</v>
      </c>
      <c r="N166" s="4" t="s">
        <v>3039</v>
      </c>
      <c r="P166" s="4">
        <v>7.0</v>
      </c>
      <c r="Q166" s="4" t="s">
        <v>3040</v>
      </c>
      <c r="R166" s="4" t="s">
        <v>3041</v>
      </c>
      <c r="S166" s="4" t="b">
        <v>1</v>
      </c>
      <c r="T166" s="4" t="s">
        <v>2478</v>
      </c>
    </row>
    <row r="167">
      <c r="A167" s="4" t="s">
        <v>3042</v>
      </c>
      <c r="B167" s="7" t="s">
        <v>2276</v>
      </c>
      <c r="C167" s="4" t="s">
        <v>2258</v>
      </c>
      <c r="D167" s="4" t="b">
        <v>0</v>
      </c>
      <c r="H167" s="6">
        <v>45812.0</v>
      </c>
      <c r="I167" s="19" t="s">
        <v>2147</v>
      </c>
      <c r="J167" s="4" t="s">
        <v>2259</v>
      </c>
      <c r="K167" s="4" t="s">
        <v>2251</v>
      </c>
      <c r="L167" s="4" t="s">
        <v>3043</v>
      </c>
      <c r="M167" s="6">
        <v>45817.0</v>
      </c>
      <c r="N167" s="4" t="s">
        <v>3044</v>
      </c>
      <c r="O167" s="4" t="s">
        <v>3045</v>
      </c>
      <c r="P167" s="4">
        <v>7.0</v>
      </c>
      <c r="Q167" s="4" t="s">
        <v>3036</v>
      </c>
      <c r="R167" s="4" t="s">
        <v>3046</v>
      </c>
      <c r="S167" s="4" t="b">
        <v>1</v>
      </c>
      <c r="T167" s="4" t="s">
        <v>2478</v>
      </c>
    </row>
    <row r="168">
      <c r="A168" s="4" t="s">
        <v>3047</v>
      </c>
      <c r="B168" s="7" t="s">
        <v>2804</v>
      </c>
      <c r="C168" s="4" t="s">
        <v>2258</v>
      </c>
      <c r="D168" s="4" t="b">
        <v>0</v>
      </c>
      <c r="H168" s="6">
        <v>45812.0</v>
      </c>
      <c r="I168" s="19" t="s">
        <v>2147</v>
      </c>
      <c r="J168" s="4" t="s">
        <v>2259</v>
      </c>
      <c r="K168" s="4" t="s">
        <v>2251</v>
      </c>
      <c r="L168" s="4" t="s">
        <v>3048</v>
      </c>
      <c r="M168" s="6">
        <v>45812.0</v>
      </c>
      <c r="N168" s="4" t="s">
        <v>3049</v>
      </c>
      <c r="P168" s="4">
        <v>7.0</v>
      </c>
      <c r="Q168" s="4" t="s">
        <v>3050</v>
      </c>
      <c r="R168" s="4" t="s">
        <v>3051</v>
      </c>
      <c r="S168" s="4" t="b">
        <v>1</v>
      </c>
      <c r="T168" s="4" t="s">
        <v>2517</v>
      </c>
    </row>
    <row r="169">
      <c r="A169" s="4" t="s">
        <v>3052</v>
      </c>
      <c r="B169" s="7" t="s">
        <v>2399</v>
      </c>
      <c r="C169" s="4" t="s">
        <v>2258</v>
      </c>
      <c r="D169" s="4" t="b">
        <v>0</v>
      </c>
      <c r="H169" s="6">
        <v>45812.0</v>
      </c>
      <c r="I169" s="19" t="s">
        <v>2147</v>
      </c>
      <c r="J169" s="4" t="s">
        <v>2268</v>
      </c>
      <c r="K169" s="4" t="s">
        <v>2269</v>
      </c>
      <c r="L169" s="4" t="s">
        <v>3053</v>
      </c>
      <c r="M169" s="6">
        <v>45819.0</v>
      </c>
      <c r="N169" s="4" t="s">
        <v>3054</v>
      </c>
      <c r="P169" s="4">
        <v>1.0</v>
      </c>
      <c r="Q169" s="4" t="s">
        <v>3055</v>
      </c>
      <c r="R169" s="4" t="s">
        <v>3056</v>
      </c>
      <c r="S169" s="4" t="b">
        <v>1</v>
      </c>
      <c r="T169" s="4" t="s">
        <v>2589</v>
      </c>
    </row>
    <row r="170">
      <c r="A170" s="4" t="s">
        <v>3057</v>
      </c>
      <c r="B170" s="7" t="s">
        <v>2316</v>
      </c>
      <c r="C170" s="4" t="s">
        <v>2258</v>
      </c>
      <c r="D170" s="4" t="b">
        <v>0</v>
      </c>
      <c r="H170" s="6">
        <v>45812.0</v>
      </c>
      <c r="I170" s="19" t="s">
        <v>2147</v>
      </c>
      <c r="J170" s="4" t="s">
        <v>2259</v>
      </c>
      <c r="K170" s="4" t="s">
        <v>2251</v>
      </c>
      <c r="L170" s="4" t="s">
        <v>3058</v>
      </c>
      <c r="M170" s="6">
        <v>45831.0</v>
      </c>
      <c r="N170" s="4" t="s">
        <v>3059</v>
      </c>
      <c r="P170" s="4">
        <v>7.0</v>
      </c>
      <c r="Q170" s="4" t="s">
        <v>3060</v>
      </c>
      <c r="R170" s="4" t="s">
        <v>3061</v>
      </c>
      <c r="S170" s="4" t="b">
        <v>0</v>
      </c>
    </row>
    <row r="171">
      <c r="A171" s="4" t="s">
        <v>3062</v>
      </c>
      <c r="B171" s="4" t="s">
        <v>2185</v>
      </c>
      <c r="C171" s="4" t="s">
        <v>2258</v>
      </c>
      <c r="D171" s="4" t="b">
        <v>0</v>
      </c>
      <c r="H171" s="6">
        <v>45814.0</v>
      </c>
      <c r="I171" s="19" t="s">
        <v>2154</v>
      </c>
      <c r="J171" s="4" t="s">
        <v>2889</v>
      </c>
      <c r="K171" s="4" t="s">
        <v>2269</v>
      </c>
      <c r="L171" s="4" t="s">
        <v>3063</v>
      </c>
      <c r="M171" s="6">
        <v>45833.0</v>
      </c>
      <c r="N171" s="4" t="s">
        <v>3064</v>
      </c>
      <c r="P171" s="4">
        <v>1.0</v>
      </c>
      <c r="Q171" s="4" t="s">
        <v>3065</v>
      </c>
      <c r="R171" s="4" t="s">
        <v>3066</v>
      </c>
      <c r="S171" s="4" t="b">
        <v>0</v>
      </c>
    </row>
    <row r="172">
      <c r="A172" s="4" t="s">
        <v>3067</v>
      </c>
      <c r="B172" s="7" t="s">
        <v>2804</v>
      </c>
      <c r="C172" s="4" t="s">
        <v>2258</v>
      </c>
      <c r="D172" s="4" t="b">
        <v>0</v>
      </c>
      <c r="H172" s="6">
        <v>45817.0</v>
      </c>
      <c r="I172" s="19" t="s">
        <v>2147</v>
      </c>
      <c r="J172" s="4" t="s">
        <v>2259</v>
      </c>
      <c r="K172" s="4" t="s">
        <v>2251</v>
      </c>
      <c r="L172" s="4" t="s">
        <v>3068</v>
      </c>
      <c r="M172" s="6">
        <v>45819.0</v>
      </c>
      <c r="N172" s="4" t="s">
        <v>3069</v>
      </c>
      <c r="P172" s="4">
        <v>7.0</v>
      </c>
      <c r="Q172" s="4" t="s">
        <v>3070</v>
      </c>
      <c r="R172" s="4" t="s">
        <v>3071</v>
      </c>
      <c r="S172" s="4" t="b">
        <v>1</v>
      </c>
      <c r="T172" s="4" t="s">
        <v>2517</v>
      </c>
    </row>
    <row r="173">
      <c r="A173" s="4" t="s">
        <v>3072</v>
      </c>
      <c r="B173" s="7" t="s">
        <v>2276</v>
      </c>
      <c r="C173" s="4" t="s">
        <v>2258</v>
      </c>
      <c r="D173" s="4" t="b">
        <v>0</v>
      </c>
      <c r="H173" s="6">
        <v>45817.0</v>
      </c>
      <c r="I173" s="19" t="s">
        <v>2147</v>
      </c>
      <c r="J173" s="4" t="s">
        <v>2259</v>
      </c>
      <c r="K173" s="4" t="s">
        <v>2251</v>
      </c>
      <c r="L173" s="4" t="s">
        <v>3073</v>
      </c>
      <c r="M173" s="6">
        <v>45820.0</v>
      </c>
      <c r="N173" s="4" t="s">
        <v>3074</v>
      </c>
      <c r="P173" s="4">
        <v>7.0</v>
      </c>
      <c r="Q173" s="4" t="s">
        <v>3075</v>
      </c>
      <c r="R173" s="4" t="s">
        <v>3076</v>
      </c>
      <c r="S173" s="4" t="b">
        <v>1</v>
      </c>
      <c r="T173" s="4" t="s">
        <v>2478</v>
      </c>
    </row>
    <row r="174">
      <c r="A174" s="4" t="s">
        <v>3077</v>
      </c>
      <c r="B174" s="7" t="s">
        <v>2342</v>
      </c>
      <c r="C174" s="4" t="s">
        <v>2258</v>
      </c>
      <c r="D174" s="4" t="b">
        <v>0</v>
      </c>
      <c r="H174" s="6">
        <v>45825.0</v>
      </c>
      <c r="I174" s="19" t="s">
        <v>2147</v>
      </c>
      <c r="J174" s="4" t="s">
        <v>2259</v>
      </c>
      <c r="K174" s="4" t="s">
        <v>2251</v>
      </c>
      <c r="L174" s="4" t="s">
        <v>3078</v>
      </c>
      <c r="M174" s="6">
        <v>45825.0</v>
      </c>
      <c r="N174" s="4" t="s">
        <v>3079</v>
      </c>
      <c r="P174" s="4">
        <v>7.0</v>
      </c>
      <c r="Q174" s="4" t="s">
        <v>3080</v>
      </c>
      <c r="R174" s="4" t="s">
        <v>3081</v>
      </c>
      <c r="S174" s="4" t="b">
        <v>0</v>
      </c>
    </row>
    <row r="175">
      <c r="A175" s="4" t="s">
        <v>3082</v>
      </c>
      <c r="B175" s="7" t="s">
        <v>2154</v>
      </c>
      <c r="C175" s="4" t="s">
        <v>2258</v>
      </c>
      <c r="D175" s="4" t="b">
        <v>0</v>
      </c>
      <c r="H175" s="6">
        <v>45834.0</v>
      </c>
      <c r="I175" s="19" t="s">
        <v>2147</v>
      </c>
      <c r="J175" s="4" t="s">
        <v>2282</v>
      </c>
      <c r="K175" s="4" t="s">
        <v>2269</v>
      </c>
      <c r="L175" s="4" t="s">
        <v>3083</v>
      </c>
      <c r="M175" s="6">
        <v>45834.0</v>
      </c>
      <c r="N175" s="4" t="s">
        <v>3084</v>
      </c>
      <c r="P175" s="4">
        <v>1.0</v>
      </c>
      <c r="Q175" s="4" t="s">
        <v>3085</v>
      </c>
      <c r="R175" s="4" t="s">
        <v>3086</v>
      </c>
      <c r="S175" s="4" t="b">
        <v>1</v>
      </c>
      <c r="T175" s="4" t="s">
        <v>2589</v>
      </c>
    </row>
    <row r="176">
      <c r="A176" s="4" t="s">
        <v>3087</v>
      </c>
      <c r="B176" s="7" t="s">
        <v>2387</v>
      </c>
      <c r="C176" s="4" t="s">
        <v>2258</v>
      </c>
      <c r="D176" s="4" t="b">
        <v>0</v>
      </c>
      <c r="H176" s="6">
        <v>45845.0</v>
      </c>
      <c r="I176" s="19" t="s">
        <v>2147</v>
      </c>
      <c r="J176" s="4" t="s">
        <v>2473</v>
      </c>
      <c r="K176" s="4" t="s">
        <v>2269</v>
      </c>
      <c r="L176" s="4" t="s">
        <v>3088</v>
      </c>
      <c r="M176" s="6">
        <v>45848.0</v>
      </c>
      <c r="N176" s="4" t="s">
        <v>3089</v>
      </c>
      <c r="O176" s="4" t="s">
        <v>3090</v>
      </c>
      <c r="P176" s="4">
        <v>1.0</v>
      </c>
      <c r="Q176" s="4" t="s">
        <v>3091</v>
      </c>
      <c r="R176" s="4" t="s">
        <v>3092</v>
      </c>
      <c r="S176" s="4" t="b">
        <v>1</v>
      </c>
      <c r="T176" s="4" t="s">
        <v>2495</v>
      </c>
    </row>
    <row r="177">
      <c r="A177" s="4" t="s">
        <v>3093</v>
      </c>
      <c r="B177" s="7" t="s">
        <v>2804</v>
      </c>
      <c r="C177" s="4" t="s">
        <v>2258</v>
      </c>
      <c r="D177" s="4" t="b">
        <v>0</v>
      </c>
      <c r="H177" s="6">
        <v>45856.0</v>
      </c>
      <c r="I177" s="19" t="s">
        <v>2147</v>
      </c>
      <c r="J177" s="4" t="s">
        <v>2259</v>
      </c>
      <c r="K177" s="4" t="s">
        <v>2251</v>
      </c>
      <c r="L177" s="4" t="s">
        <v>3094</v>
      </c>
      <c r="M177" s="6">
        <v>45882.0</v>
      </c>
      <c r="N177" s="4" t="s">
        <v>3095</v>
      </c>
      <c r="P177" s="4">
        <v>7.0</v>
      </c>
      <c r="Q177" s="4" t="s">
        <v>3096</v>
      </c>
      <c r="R177" s="4" t="s">
        <v>3097</v>
      </c>
      <c r="S177" s="4" t="b">
        <v>0</v>
      </c>
    </row>
    <row r="178">
      <c r="A178" s="4" t="s">
        <v>3098</v>
      </c>
      <c r="B178" s="7" t="s">
        <v>2804</v>
      </c>
      <c r="C178" s="4" t="s">
        <v>2258</v>
      </c>
      <c r="D178" s="4" t="b">
        <v>0</v>
      </c>
      <c r="H178" s="6">
        <v>45859.0</v>
      </c>
      <c r="I178" s="19" t="s">
        <v>2147</v>
      </c>
      <c r="J178" s="4" t="s">
        <v>2259</v>
      </c>
      <c r="K178" s="4" t="s">
        <v>2251</v>
      </c>
      <c r="L178" s="4" t="s">
        <v>3099</v>
      </c>
      <c r="M178" s="6">
        <v>45862.0</v>
      </c>
      <c r="N178" s="4" t="s">
        <v>3100</v>
      </c>
      <c r="P178" s="4">
        <v>7.0</v>
      </c>
      <c r="Q178" s="4" t="s">
        <v>3101</v>
      </c>
      <c r="R178" s="4" t="s">
        <v>3102</v>
      </c>
      <c r="S178" s="4" t="b">
        <v>0</v>
      </c>
    </row>
    <row r="179">
      <c r="A179" s="4" t="s">
        <v>3103</v>
      </c>
      <c r="B179" s="7" t="s">
        <v>2316</v>
      </c>
      <c r="C179" s="4" t="s">
        <v>2258</v>
      </c>
      <c r="D179" s="4" t="b">
        <v>0</v>
      </c>
      <c r="H179" s="6">
        <v>45861.0</v>
      </c>
      <c r="I179" s="19" t="s">
        <v>2147</v>
      </c>
      <c r="J179" s="4" t="s">
        <v>2259</v>
      </c>
      <c r="K179" s="4" t="s">
        <v>2251</v>
      </c>
      <c r="L179" s="4" t="s">
        <v>3104</v>
      </c>
      <c r="M179" s="6">
        <v>45862.0</v>
      </c>
      <c r="N179" s="4" t="s">
        <v>3105</v>
      </c>
      <c r="P179" s="4">
        <v>7.0</v>
      </c>
      <c r="Q179" s="4" t="s">
        <v>3106</v>
      </c>
      <c r="R179" s="4" t="s">
        <v>3107</v>
      </c>
      <c r="S179" s="4" t="b">
        <v>0</v>
      </c>
    </row>
    <row r="180">
      <c r="A180" s="4" t="s">
        <v>3108</v>
      </c>
      <c r="B180" s="7" t="s">
        <v>2218</v>
      </c>
      <c r="C180" s="4" t="s">
        <v>2336</v>
      </c>
      <c r="D180" s="4" t="b">
        <v>0</v>
      </c>
      <c r="F180" s="4" t="s">
        <v>3109</v>
      </c>
      <c r="G180" s="4" t="s">
        <v>3110</v>
      </c>
      <c r="H180" s="6">
        <v>46131.0</v>
      </c>
      <c r="I180" s="19" t="s">
        <v>2154</v>
      </c>
      <c r="K180" s="4" t="s">
        <v>2251</v>
      </c>
      <c r="L180" s="4" t="s">
        <v>3111</v>
      </c>
      <c r="M180" s="17"/>
      <c r="N180" s="4"/>
      <c r="P180" s="4">
        <v>3.0</v>
      </c>
      <c r="Q180" s="4" t="s">
        <v>3112</v>
      </c>
      <c r="R180" s="4"/>
      <c r="S180" s="4" t="b">
        <v>0</v>
      </c>
    </row>
    <row r="181">
      <c r="A181" s="4" t="s">
        <v>3113</v>
      </c>
      <c r="B181" s="7" t="s">
        <v>2147</v>
      </c>
      <c r="C181" s="4" t="s">
        <v>2258</v>
      </c>
      <c r="D181" s="4" t="b">
        <v>0</v>
      </c>
      <c r="H181" s="6">
        <v>45866.0</v>
      </c>
      <c r="I181" s="19" t="s">
        <v>2147</v>
      </c>
      <c r="J181" s="4" t="s">
        <v>2259</v>
      </c>
      <c r="K181" s="4" t="s">
        <v>2251</v>
      </c>
      <c r="L181" s="4" t="s">
        <v>3114</v>
      </c>
      <c r="M181" s="6">
        <v>45867.0</v>
      </c>
      <c r="N181" s="4" t="s">
        <v>3115</v>
      </c>
      <c r="P181" s="4">
        <v>7.0</v>
      </c>
      <c r="Q181" s="4" t="s">
        <v>3116</v>
      </c>
      <c r="R181" s="4" t="s">
        <v>3117</v>
      </c>
      <c r="S181" s="4" t="b">
        <v>0</v>
      </c>
    </row>
    <row r="182">
      <c r="A182" s="4" t="s">
        <v>3118</v>
      </c>
      <c r="B182" s="7" t="s">
        <v>2147</v>
      </c>
      <c r="C182" s="4" t="s">
        <v>2258</v>
      </c>
      <c r="D182" s="4" t="b">
        <v>0</v>
      </c>
      <c r="H182" s="6">
        <v>45866.0</v>
      </c>
      <c r="I182" s="19" t="s">
        <v>2147</v>
      </c>
      <c r="J182" s="4" t="s">
        <v>2259</v>
      </c>
      <c r="K182" s="4" t="s">
        <v>2251</v>
      </c>
      <c r="L182" s="4" t="s">
        <v>3119</v>
      </c>
      <c r="M182" s="6">
        <v>45882.0</v>
      </c>
      <c r="N182" s="4" t="s">
        <v>3120</v>
      </c>
      <c r="P182" s="4">
        <v>7.0</v>
      </c>
      <c r="Q182" s="4" t="s">
        <v>3116</v>
      </c>
      <c r="R182" s="4" t="s">
        <v>3121</v>
      </c>
      <c r="S182" s="4" t="b">
        <v>0</v>
      </c>
    </row>
    <row r="183">
      <c r="A183" s="4" t="s">
        <v>3122</v>
      </c>
      <c r="B183" s="7" t="s">
        <v>2384</v>
      </c>
      <c r="C183" s="4" t="s">
        <v>2258</v>
      </c>
      <c r="D183" s="4" t="b">
        <v>0</v>
      </c>
      <c r="H183" s="6">
        <v>45866.0</v>
      </c>
      <c r="I183" s="19" t="s">
        <v>2147</v>
      </c>
      <c r="J183" s="4" t="s">
        <v>2259</v>
      </c>
      <c r="K183" s="4" t="s">
        <v>2251</v>
      </c>
      <c r="L183" s="4" t="s">
        <v>3123</v>
      </c>
      <c r="M183" s="6">
        <v>45866.0</v>
      </c>
      <c r="N183" s="4" t="s">
        <v>3124</v>
      </c>
      <c r="O183" s="4" t="s">
        <v>3125</v>
      </c>
      <c r="P183" s="4">
        <v>7.0</v>
      </c>
      <c r="Q183" s="4" t="s">
        <v>3126</v>
      </c>
      <c r="R183" s="4" t="s">
        <v>3127</v>
      </c>
      <c r="S183" s="4" t="b">
        <v>1</v>
      </c>
      <c r="T183" s="4" t="s">
        <v>2495</v>
      </c>
    </row>
    <row r="184">
      <c r="A184" s="4" t="s">
        <v>3128</v>
      </c>
      <c r="B184" s="7" t="s">
        <v>2154</v>
      </c>
      <c r="C184" s="4" t="s">
        <v>2258</v>
      </c>
      <c r="D184" s="4" t="b">
        <v>0</v>
      </c>
      <c r="H184" s="6">
        <v>45868.0</v>
      </c>
      <c r="I184" s="19" t="s">
        <v>2147</v>
      </c>
      <c r="J184" s="4" t="s">
        <v>2259</v>
      </c>
      <c r="K184" s="4" t="s">
        <v>2251</v>
      </c>
      <c r="L184" s="4" t="s">
        <v>3129</v>
      </c>
      <c r="M184" s="6">
        <v>45869.0</v>
      </c>
      <c r="N184" s="4" t="s">
        <v>3130</v>
      </c>
      <c r="P184" s="4">
        <v>7.0</v>
      </c>
      <c r="Q184" s="4" t="s">
        <v>3131</v>
      </c>
      <c r="R184" s="4" t="s">
        <v>3132</v>
      </c>
      <c r="S184" s="4" t="b">
        <v>0</v>
      </c>
    </row>
    <row r="185">
      <c r="A185" s="4" t="s">
        <v>3133</v>
      </c>
      <c r="B185" s="7" t="s">
        <v>2322</v>
      </c>
      <c r="C185" s="4" t="s">
        <v>2258</v>
      </c>
      <c r="D185" s="4" t="b">
        <v>0</v>
      </c>
      <c r="H185" s="6">
        <v>45869.0</v>
      </c>
      <c r="I185" s="19" t="s">
        <v>2147</v>
      </c>
      <c r="J185" s="4" t="s">
        <v>2259</v>
      </c>
      <c r="K185" s="4" t="s">
        <v>2251</v>
      </c>
      <c r="L185" s="4" t="s">
        <v>3134</v>
      </c>
      <c r="M185" s="6">
        <v>45873.0</v>
      </c>
      <c r="N185" s="4" t="s">
        <v>3135</v>
      </c>
      <c r="P185" s="4">
        <v>7.0</v>
      </c>
      <c r="Q185" s="4" t="s">
        <v>3136</v>
      </c>
      <c r="R185" s="4" t="s">
        <v>3137</v>
      </c>
      <c r="S185" s="4" t="b">
        <v>0</v>
      </c>
    </row>
    <row r="186">
      <c r="A186" s="4" t="s">
        <v>3138</v>
      </c>
      <c r="B186" s="7" t="s">
        <v>2276</v>
      </c>
      <c r="C186" s="4" t="s">
        <v>2258</v>
      </c>
      <c r="D186" s="4" t="b">
        <v>0</v>
      </c>
      <c r="H186" s="6">
        <v>45870.0</v>
      </c>
      <c r="I186" s="19" t="s">
        <v>2147</v>
      </c>
      <c r="J186" s="4" t="s">
        <v>2268</v>
      </c>
      <c r="K186" s="4" t="s">
        <v>2269</v>
      </c>
      <c r="L186" s="4" t="s">
        <v>3139</v>
      </c>
      <c r="M186" s="6">
        <v>45874.0</v>
      </c>
      <c r="N186" s="4" t="s">
        <v>3140</v>
      </c>
      <c r="P186" s="4">
        <v>1.0</v>
      </c>
      <c r="Q186" s="4" t="s">
        <v>3141</v>
      </c>
      <c r="R186" s="4" t="s">
        <v>3142</v>
      </c>
      <c r="S186" s="4" t="b">
        <v>1</v>
      </c>
      <c r="T186" s="4" t="s">
        <v>2478</v>
      </c>
    </row>
    <row r="187">
      <c r="A187" s="4" t="s">
        <v>3143</v>
      </c>
      <c r="B187" s="7" t="s">
        <v>2384</v>
      </c>
      <c r="C187" s="4" t="s">
        <v>2258</v>
      </c>
      <c r="D187" s="4" t="b">
        <v>0</v>
      </c>
      <c r="H187" s="6">
        <v>45870.0</v>
      </c>
      <c r="I187" s="19" t="s">
        <v>2147</v>
      </c>
      <c r="J187" s="4" t="s">
        <v>2259</v>
      </c>
      <c r="K187" s="4" t="s">
        <v>2251</v>
      </c>
      <c r="L187" s="4" t="s">
        <v>3144</v>
      </c>
      <c r="M187" s="6">
        <v>45870.0</v>
      </c>
      <c r="N187" s="4" t="s">
        <v>3145</v>
      </c>
      <c r="P187" s="4">
        <v>7.0</v>
      </c>
      <c r="Q187" s="4" t="s">
        <v>3146</v>
      </c>
      <c r="R187" s="4" t="s">
        <v>3147</v>
      </c>
      <c r="S187" s="4" t="b">
        <v>1</v>
      </c>
      <c r="T187" s="4" t="s">
        <v>2495</v>
      </c>
    </row>
    <row r="188">
      <c r="A188" s="4" t="s">
        <v>3148</v>
      </c>
      <c r="B188" s="7" t="s">
        <v>2322</v>
      </c>
      <c r="C188" s="4" t="s">
        <v>2258</v>
      </c>
      <c r="D188" s="4" t="b">
        <v>0</v>
      </c>
      <c r="H188" s="6">
        <v>45874.0</v>
      </c>
      <c r="I188" s="19" t="s">
        <v>2147</v>
      </c>
      <c r="J188" s="4" t="s">
        <v>2268</v>
      </c>
      <c r="K188" s="4" t="s">
        <v>2269</v>
      </c>
      <c r="L188" s="4" t="s">
        <v>3149</v>
      </c>
      <c r="M188" s="6">
        <v>45874.0</v>
      </c>
      <c r="N188" s="4" t="s">
        <v>3150</v>
      </c>
      <c r="P188" s="4">
        <v>1.0</v>
      </c>
      <c r="Q188" s="4" t="s">
        <v>3142</v>
      </c>
      <c r="R188" s="4" t="s">
        <v>3151</v>
      </c>
      <c r="S188" s="4" t="b">
        <v>0</v>
      </c>
    </row>
    <row r="189">
      <c r="A189" s="4" t="s">
        <v>3152</v>
      </c>
      <c r="B189" s="7" t="s">
        <v>2387</v>
      </c>
      <c r="C189" s="4" t="s">
        <v>2258</v>
      </c>
      <c r="D189" s="4" t="b">
        <v>0</v>
      </c>
      <c r="H189" s="6">
        <v>45874.0</v>
      </c>
      <c r="I189" s="19" t="s">
        <v>2147</v>
      </c>
      <c r="J189" s="4" t="s">
        <v>2259</v>
      </c>
      <c r="K189" s="4" t="s">
        <v>2251</v>
      </c>
      <c r="L189" s="4" t="s">
        <v>3153</v>
      </c>
      <c r="M189" s="6">
        <v>45882.0</v>
      </c>
      <c r="N189" s="4" t="s">
        <v>3154</v>
      </c>
      <c r="P189" s="4">
        <v>7.0</v>
      </c>
      <c r="Q189" s="4" t="s">
        <v>3155</v>
      </c>
      <c r="R189" s="4" t="s">
        <v>3156</v>
      </c>
      <c r="S189" s="4" t="b">
        <v>1</v>
      </c>
      <c r="T189" s="7" t="s">
        <v>2466</v>
      </c>
    </row>
    <row r="190">
      <c r="A190" s="4" t="s">
        <v>3157</v>
      </c>
      <c r="B190" s="7" t="s">
        <v>2387</v>
      </c>
      <c r="C190" s="4" t="s">
        <v>2336</v>
      </c>
      <c r="D190" s="4" t="b">
        <v>0</v>
      </c>
      <c r="F190" s="4" t="s">
        <v>3158</v>
      </c>
      <c r="G190" s="4" t="s">
        <v>3159</v>
      </c>
      <c r="H190" s="6">
        <v>46067.0</v>
      </c>
      <c r="I190" s="19" t="s">
        <v>2148</v>
      </c>
      <c r="K190" s="4" t="s">
        <v>2251</v>
      </c>
      <c r="L190" s="4" t="s">
        <v>3160</v>
      </c>
      <c r="M190" s="6"/>
      <c r="N190" s="4"/>
      <c r="P190" s="4">
        <v>3.0</v>
      </c>
      <c r="Q190" s="4" t="s">
        <v>3161</v>
      </c>
      <c r="R190" s="4"/>
      <c r="S190" s="4" t="b">
        <v>0</v>
      </c>
    </row>
    <row r="191">
      <c r="A191" s="4" t="s">
        <v>3162</v>
      </c>
      <c r="B191" s="7" t="s">
        <v>2147</v>
      </c>
      <c r="C191" s="4" t="s">
        <v>2336</v>
      </c>
      <c r="D191" s="4" t="b">
        <v>0</v>
      </c>
      <c r="F191" s="4" t="s">
        <v>3163</v>
      </c>
      <c r="G191" s="4" t="s">
        <v>3159</v>
      </c>
      <c r="H191" s="6">
        <v>45879.0</v>
      </c>
      <c r="I191" s="19" t="s">
        <v>2148</v>
      </c>
      <c r="K191" s="4" t="s">
        <v>2251</v>
      </c>
      <c r="L191" s="4" t="s">
        <v>3160</v>
      </c>
      <c r="M191" s="6">
        <v>45887.0</v>
      </c>
      <c r="N191" s="4" t="s">
        <v>2417</v>
      </c>
      <c r="P191" s="4">
        <v>3.0</v>
      </c>
      <c r="Q191" s="4" t="s">
        <v>3164</v>
      </c>
      <c r="R191" s="4" t="s">
        <v>3165</v>
      </c>
      <c r="S191" s="4" t="b">
        <v>0</v>
      </c>
    </row>
    <row r="192">
      <c r="A192" s="4" t="s">
        <v>3166</v>
      </c>
      <c r="B192" s="7" t="s">
        <v>2257</v>
      </c>
      <c r="C192" s="4" t="s">
        <v>2336</v>
      </c>
      <c r="D192" s="4" t="b">
        <v>0</v>
      </c>
      <c r="F192" s="4" t="s">
        <v>3167</v>
      </c>
      <c r="G192" s="4" t="s">
        <v>3159</v>
      </c>
      <c r="H192" s="6">
        <v>45879.0</v>
      </c>
      <c r="I192" s="19" t="s">
        <v>2148</v>
      </c>
      <c r="K192" s="4" t="s">
        <v>2251</v>
      </c>
      <c r="L192" s="4" t="s">
        <v>3160</v>
      </c>
      <c r="M192" s="6">
        <v>45887.0</v>
      </c>
      <c r="N192" s="4" t="s">
        <v>2417</v>
      </c>
      <c r="P192" s="4">
        <v>3.0</v>
      </c>
      <c r="Q192" s="4" t="s">
        <v>3164</v>
      </c>
      <c r="R192" s="4" t="s">
        <v>3165</v>
      </c>
      <c r="S192" s="4" t="b">
        <v>0</v>
      </c>
    </row>
    <row r="193">
      <c r="A193" s="4" t="s">
        <v>3168</v>
      </c>
      <c r="B193" s="4" t="s">
        <v>2190</v>
      </c>
      <c r="C193" s="4" t="s">
        <v>2336</v>
      </c>
      <c r="D193" s="4" t="b">
        <v>0</v>
      </c>
      <c r="F193" s="4" t="s">
        <v>3169</v>
      </c>
      <c r="G193" s="4" t="s">
        <v>3159</v>
      </c>
      <c r="H193" s="6">
        <v>45879.0</v>
      </c>
      <c r="I193" s="19" t="s">
        <v>2148</v>
      </c>
      <c r="K193" s="4" t="s">
        <v>2251</v>
      </c>
      <c r="L193" s="4" t="s">
        <v>3160</v>
      </c>
      <c r="M193" s="6">
        <v>45887.0</v>
      </c>
      <c r="N193" s="4" t="s">
        <v>2417</v>
      </c>
      <c r="P193" s="4">
        <v>3.0</v>
      </c>
      <c r="Q193" s="4" t="s">
        <v>3164</v>
      </c>
      <c r="R193" s="4" t="s">
        <v>3165</v>
      </c>
      <c r="S193" s="4" t="b">
        <v>0</v>
      </c>
    </row>
    <row r="194">
      <c r="A194" s="4" t="s">
        <v>3170</v>
      </c>
      <c r="B194" s="7" t="s">
        <v>2200</v>
      </c>
      <c r="C194" s="4" t="s">
        <v>2336</v>
      </c>
      <c r="D194" s="4" t="b">
        <v>0</v>
      </c>
      <c r="F194" s="4" t="s">
        <v>3171</v>
      </c>
      <c r="G194" s="4" t="s">
        <v>3159</v>
      </c>
      <c r="H194" s="6">
        <v>45879.0</v>
      </c>
      <c r="I194" s="19" t="s">
        <v>2148</v>
      </c>
      <c r="K194" s="4" t="s">
        <v>2251</v>
      </c>
      <c r="L194" s="4" t="s">
        <v>3160</v>
      </c>
      <c r="M194" s="6">
        <v>45887.0</v>
      </c>
      <c r="N194" s="4" t="s">
        <v>2417</v>
      </c>
      <c r="P194" s="4">
        <v>3.0</v>
      </c>
      <c r="Q194" s="4" t="s">
        <v>3164</v>
      </c>
      <c r="R194" s="4" t="s">
        <v>3165</v>
      </c>
      <c r="S194" s="4" t="b">
        <v>0</v>
      </c>
    </row>
    <row r="195">
      <c r="A195" s="4" t="s">
        <v>3172</v>
      </c>
      <c r="B195" s="7" t="s">
        <v>2154</v>
      </c>
      <c r="C195" s="4" t="s">
        <v>2258</v>
      </c>
      <c r="D195" s="4" t="b">
        <v>0</v>
      </c>
      <c r="H195" s="6">
        <v>45881.0</v>
      </c>
      <c r="I195" s="19" t="s">
        <v>2147</v>
      </c>
      <c r="J195" s="4" t="s">
        <v>2473</v>
      </c>
      <c r="K195" s="4" t="s">
        <v>2269</v>
      </c>
      <c r="L195" s="4" t="s">
        <v>3173</v>
      </c>
      <c r="M195" s="6">
        <v>45888.0</v>
      </c>
      <c r="N195" s="4" t="s">
        <v>3174</v>
      </c>
      <c r="P195" s="4">
        <v>1.0</v>
      </c>
      <c r="Q195" s="4" t="s">
        <v>3175</v>
      </c>
      <c r="R195" s="4" t="s">
        <v>3176</v>
      </c>
      <c r="S195" s="4" t="b">
        <v>0</v>
      </c>
    </row>
    <row r="196">
      <c r="A196" s="4" t="s">
        <v>3177</v>
      </c>
      <c r="B196" s="7" t="s">
        <v>2257</v>
      </c>
      <c r="C196" s="4" t="s">
        <v>2258</v>
      </c>
      <c r="D196" s="4" t="b">
        <v>0</v>
      </c>
      <c r="H196" s="6">
        <v>45882.0</v>
      </c>
      <c r="I196" s="19" t="s">
        <v>2154</v>
      </c>
      <c r="J196" s="4" t="s">
        <v>2259</v>
      </c>
      <c r="K196" s="4" t="s">
        <v>2251</v>
      </c>
      <c r="L196" s="4" t="s">
        <v>3178</v>
      </c>
      <c r="M196" s="6">
        <v>45889.0</v>
      </c>
      <c r="N196" s="4" t="s">
        <v>3179</v>
      </c>
      <c r="P196" s="4">
        <v>7.0</v>
      </c>
      <c r="Q196" s="4" t="s">
        <v>3180</v>
      </c>
      <c r="R196" s="4" t="s">
        <v>3181</v>
      </c>
      <c r="S196" s="4" t="b">
        <v>0</v>
      </c>
    </row>
    <row r="197">
      <c r="A197" s="4" t="s">
        <v>3182</v>
      </c>
      <c r="B197" s="7" t="s">
        <v>2387</v>
      </c>
      <c r="C197" s="4" t="s">
        <v>2258</v>
      </c>
      <c r="D197" s="4" t="b">
        <v>0</v>
      </c>
      <c r="H197" s="6">
        <v>45883.0</v>
      </c>
      <c r="I197" s="19" t="s">
        <v>2147</v>
      </c>
      <c r="J197" s="4" t="s">
        <v>2473</v>
      </c>
      <c r="K197" s="4" t="s">
        <v>2269</v>
      </c>
      <c r="L197" s="4" t="s">
        <v>3183</v>
      </c>
      <c r="M197" s="6">
        <v>45883.0</v>
      </c>
      <c r="N197" s="4" t="s">
        <v>3184</v>
      </c>
      <c r="P197" s="4">
        <v>1.0</v>
      </c>
      <c r="Q197" s="4" t="s">
        <v>3185</v>
      </c>
      <c r="R197" s="4" t="s">
        <v>3186</v>
      </c>
      <c r="S197" s="4" t="b">
        <v>1</v>
      </c>
      <c r="T197" s="4" t="s">
        <v>2495</v>
      </c>
    </row>
    <row r="198">
      <c r="A198" s="4" t="s">
        <v>3187</v>
      </c>
      <c r="B198" s="7" t="s">
        <v>2276</v>
      </c>
      <c r="C198" s="4" t="s">
        <v>2258</v>
      </c>
      <c r="D198" s="4" t="b">
        <v>0</v>
      </c>
      <c r="H198" s="6">
        <v>45887.0</v>
      </c>
      <c r="I198" s="19" t="s">
        <v>2147</v>
      </c>
      <c r="J198" s="4" t="s">
        <v>2259</v>
      </c>
      <c r="K198" s="4" t="s">
        <v>2251</v>
      </c>
      <c r="L198" s="4" t="s">
        <v>3188</v>
      </c>
      <c r="M198" s="6">
        <v>45930.0</v>
      </c>
      <c r="N198" s="4" t="s">
        <v>3189</v>
      </c>
      <c r="O198" s="4" t="s">
        <v>3190</v>
      </c>
      <c r="P198" s="4">
        <v>7.0</v>
      </c>
      <c r="Q198" s="4" t="s">
        <v>3191</v>
      </c>
      <c r="R198" s="4" t="s">
        <v>3192</v>
      </c>
      <c r="S198" s="4" t="b">
        <v>1</v>
      </c>
      <c r="T198" s="4" t="s">
        <v>2478</v>
      </c>
    </row>
    <row r="199">
      <c r="A199" s="4" t="s">
        <v>3193</v>
      </c>
      <c r="B199" s="4" t="s">
        <v>2209</v>
      </c>
      <c r="C199" s="4" t="s">
        <v>2258</v>
      </c>
      <c r="D199" s="4" t="b">
        <v>0</v>
      </c>
      <c r="H199" s="6">
        <v>45889.0</v>
      </c>
      <c r="I199" s="19" t="s">
        <v>2154</v>
      </c>
      <c r="J199" s="4" t="s">
        <v>2268</v>
      </c>
      <c r="K199" s="4" t="s">
        <v>2269</v>
      </c>
      <c r="L199" s="4" t="s">
        <v>3194</v>
      </c>
      <c r="M199" s="17">
        <v>45944.0</v>
      </c>
      <c r="N199" s="4" t="s">
        <v>2271</v>
      </c>
      <c r="P199" s="4">
        <v>1.0</v>
      </c>
      <c r="Q199" s="4" t="s">
        <v>3195</v>
      </c>
      <c r="R199" s="4" t="s">
        <v>3196</v>
      </c>
      <c r="S199" s="4" t="b">
        <v>0</v>
      </c>
    </row>
    <row r="200">
      <c r="A200" s="4" t="s">
        <v>3197</v>
      </c>
      <c r="B200" s="7" t="s">
        <v>2154</v>
      </c>
      <c r="C200" s="4" t="s">
        <v>2336</v>
      </c>
      <c r="D200" s="4" t="b">
        <v>0</v>
      </c>
      <c r="F200" s="4" t="s">
        <v>3198</v>
      </c>
      <c r="G200" s="4" t="s">
        <v>3199</v>
      </c>
      <c r="H200" s="6">
        <v>46109.0</v>
      </c>
      <c r="I200" s="19" t="s">
        <v>2147</v>
      </c>
      <c r="K200" s="4" t="s">
        <v>2251</v>
      </c>
      <c r="L200" s="4" t="s">
        <v>3200</v>
      </c>
      <c r="M200" s="6"/>
      <c r="N200" s="4"/>
      <c r="P200" s="4">
        <v>3.0</v>
      </c>
      <c r="Q200" s="4" t="s">
        <v>3201</v>
      </c>
      <c r="R200" s="4"/>
      <c r="S200" s="4" t="b">
        <v>0</v>
      </c>
    </row>
    <row r="201">
      <c r="A201" s="4" t="s">
        <v>3202</v>
      </c>
      <c r="B201" s="7" t="s">
        <v>2257</v>
      </c>
      <c r="C201" s="4" t="s">
        <v>2258</v>
      </c>
      <c r="D201" s="4" t="b">
        <v>0</v>
      </c>
      <c r="H201" s="6">
        <v>45896.0</v>
      </c>
      <c r="I201" s="19" t="s">
        <v>2154</v>
      </c>
      <c r="J201" s="4" t="s">
        <v>2259</v>
      </c>
      <c r="K201" s="4" t="s">
        <v>2251</v>
      </c>
      <c r="L201" s="4" t="s">
        <v>3203</v>
      </c>
      <c r="M201" s="6">
        <v>45909.0</v>
      </c>
      <c r="N201" s="4" t="s">
        <v>3204</v>
      </c>
      <c r="P201" s="4">
        <v>7.0</v>
      </c>
      <c r="Q201" s="4" t="s">
        <v>3205</v>
      </c>
      <c r="R201" s="4" t="s">
        <v>3206</v>
      </c>
      <c r="S201" s="4" t="b">
        <v>0</v>
      </c>
    </row>
    <row r="202">
      <c r="A202" s="4" t="s">
        <v>3207</v>
      </c>
      <c r="B202" s="7" t="s">
        <v>2384</v>
      </c>
      <c r="C202" s="4" t="s">
        <v>2258</v>
      </c>
      <c r="D202" s="4" t="b">
        <v>0</v>
      </c>
      <c r="H202" s="6">
        <v>45896.0</v>
      </c>
      <c r="I202" s="19" t="s">
        <v>2147</v>
      </c>
      <c r="J202" s="4" t="s">
        <v>2259</v>
      </c>
      <c r="K202" s="4" t="s">
        <v>2251</v>
      </c>
      <c r="L202" s="4" t="s">
        <v>3208</v>
      </c>
      <c r="M202" s="6">
        <v>45897.0</v>
      </c>
      <c r="N202" s="4" t="s">
        <v>3209</v>
      </c>
      <c r="P202" s="4">
        <v>7.0</v>
      </c>
      <c r="Q202" s="4" t="s">
        <v>3210</v>
      </c>
      <c r="R202" s="4" t="s">
        <v>3211</v>
      </c>
      <c r="S202" s="4" t="b">
        <v>1</v>
      </c>
      <c r="T202" s="4" t="s">
        <v>2495</v>
      </c>
    </row>
    <row r="203">
      <c r="A203" s="4" t="s">
        <v>3212</v>
      </c>
      <c r="B203" s="7" t="s">
        <v>2399</v>
      </c>
      <c r="C203" s="4" t="s">
        <v>2258</v>
      </c>
      <c r="D203" s="4" t="b">
        <v>0</v>
      </c>
      <c r="H203" s="6">
        <v>45898.0</v>
      </c>
      <c r="I203" s="19" t="s">
        <v>2147</v>
      </c>
      <c r="J203" s="4" t="s">
        <v>2259</v>
      </c>
      <c r="K203" s="4" t="s">
        <v>2251</v>
      </c>
      <c r="L203" s="4" t="s">
        <v>3213</v>
      </c>
      <c r="M203" s="6">
        <v>45964.0</v>
      </c>
      <c r="N203" s="4" t="s">
        <v>3214</v>
      </c>
      <c r="P203" s="4">
        <v>7.0</v>
      </c>
      <c r="Q203" s="4" t="s">
        <v>3215</v>
      </c>
      <c r="R203" s="4" t="s">
        <v>3216</v>
      </c>
      <c r="S203" s="4" t="b">
        <v>0</v>
      </c>
    </row>
    <row r="204">
      <c r="A204" s="4" t="s">
        <v>3217</v>
      </c>
      <c r="B204" s="4" t="s">
        <v>2222</v>
      </c>
      <c r="C204" s="4" t="s">
        <v>2336</v>
      </c>
      <c r="D204" s="4" t="b">
        <v>0</v>
      </c>
      <c r="F204" s="4" t="s">
        <v>3218</v>
      </c>
      <c r="G204" s="4" t="s">
        <v>3219</v>
      </c>
      <c r="H204" s="6">
        <v>45901.0</v>
      </c>
      <c r="I204" s="19" t="s">
        <v>2148</v>
      </c>
      <c r="K204" s="4" t="s">
        <v>2251</v>
      </c>
      <c r="L204" s="4" t="s">
        <v>3220</v>
      </c>
      <c r="M204" s="17">
        <v>45982.0</v>
      </c>
      <c r="N204" s="4" t="s">
        <v>3221</v>
      </c>
      <c r="P204" s="4">
        <v>3.0</v>
      </c>
      <c r="Q204" s="4" t="s">
        <v>3222</v>
      </c>
      <c r="R204" s="4" t="s">
        <v>3223</v>
      </c>
      <c r="S204" s="4" t="b">
        <v>0</v>
      </c>
    </row>
    <row r="205">
      <c r="A205" s="4" t="s">
        <v>3224</v>
      </c>
      <c r="B205" s="4" t="s">
        <v>2194</v>
      </c>
      <c r="C205" s="4" t="s">
        <v>2249</v>
      </c>
      <c r="D205" s="4" t="b">
        <v>1</v>
      </c>
      <c r="E205" s="6">
        <v>45915.0</v>
      </c>
      <c r="H205" s="6">
        <v>45912.0</v>
      </c>
      <c r="I205" s="19" t="s">
        <v>2147</v>
      </c>
      <c r="J205" s="4" t="s">
        <v>2250</v>
      </c>
      <c r="K205" s="4" t="s">
        <v>2251</v>
      </c>
      <c r="L205" s="4" t="s">
        <v>3225</v>
      </c>
      <c r="M205" s="6">
        <v>45915.0</v>
      </c>
      <c r="N205" s="4" t="s">
        <v>3226</v>
      </c>
      <c r="P205" s="4">
        <v>1.0</v>
      </c>
      <c r="Q205" s="4" t="s">
        <v>3227</v>
      </c>
      <c r="R205" s="4" t="s">
        <v>3228</v>
      </c>
      <c r="S205" s="4" t="b">
        <v>0</v>
      </c>
    </row>
    <row r="206">
      <c r="A206" s="4" t="s">
        <v>3229</v>
      </c>
      <c r="B206" s="4" t="s">
        <v>2201</v>
      </c>
      <c r="C206" s="4" t="s">
        <v>2249</v>
      </c>
      <c r="D206" s="4" t="b">
        <v>1</v>
      </c>
      <c r="E206" s="17">
        <v>45981.0</v>
      </c>
      <c r="H206" s="17">
        <v>45980.0</v>
      </c>
      <c r="I206" s="19" t="s">
        <v>2147</v>
      </c>
      <c r="J206" s="4" t="s">
        <v>2457</v>
      </c>
      <c r="K206" s="4" t="s">
        <v>2251</v>
      </c>
      <c r="L206" s="4" t="s">
        <v>3230</v>
      </c>
      <c r="M206" s="17">
        <v>45982.0</v>
      </c>
      <c r="N206" s="4" t="s">
        <v>3231</v>
      </c>
      <c r="P206" s="4">
        <v>1.0</v>
      </c>
      <c r="Q206" s="4" t="s">
        <v>3232</v>
      </c>
      <c r="R206" s="4" t="s">
        <v>3233</v>
      </c>
      <c r="S206" s="4" t="b">
        <v>0</v>
      </c>
    </row>
    <row r="207">
      <c r="A207" s="4" t="s">
        <v>3234</v>
      </c>
      <c r="B207" s="4" t="s">
        <v>2207</v>
      </c>
      <c r="C207" s="4" t="s">
        <v>2336</v>
      </c>
      <c r="D207" s="4" t="b">
        <v>0</v>
      </c>
      <c r="F207" s="4" t="s">
        <v>3235</v>
      </c>
      <c r="G207" s="4" t="s">
        <v>2939</v>
      </c>
      <c r="H207" s="6">
        <v>45992.0</v>
      </c>
      <c r="I207" s="19" t="s">
        <v>2148</v>
      </c>
      <c r="K207" s="4" t="s">
        <v>2251</v>
      </c>
      <c r="L207" s="4" t="s">
        <v>3236</v>
      </c>
      <c r="M207" s="6">
        <v>46037.0</v>
      </c>
      <c r="N207" s="4" t="s">
        <v>3237</v>
      </c>
      <c r="P207" s="4">
        <v>3.0</v>
      </c>
      <c r="Q207" s="4" t="s">
        <v>3238</v>
      </c>
      <c r="R207" s="4" t="s">
        <v>3239</v>
      </c>
      <c r="S207" s="4" t="b">
        <v>0</v>
      </c>
    </row>
    <row r="208">
      <c r="A208" s="4" t="s">
        <v>3240</v>
      </c>
      <c r="B208" s="7" t="s">
        <v>2224</v>
      </c>
      <c r="C208" s="4" t="s">
        <v>2258</v>
      </c>
      <c r="D208" s="4" t="b">
        <v>0</v>
      </c>
      <c r="H208" s="17">
        <v>46021.0</v>
      </c>
      <c r="I208" s="19" t="s">
        <v>2154</v>
      </c>
      <c r="J208" s="4" t="s">
        <v>2259</v>
      </c>
      <c r="K208" s="4" t="s">
        <v>2251</v>
      </c>
      <c r="L208" s="4" t="s">
        <v>3241</v>
      </c>
      <c r="M208" s="6">
        <v>46028.0</v>
      </c>
      <c r="N208" s="4" t="s">
        <v>3242</v>
      </c>
      <c r="P208" s="4">
        <v>7.0</v>
      </c>
      <c r="Q208" s="4" t="s">
        <v>3243</v>
      </c>
      <c r="R208" s="4" t="s">
        <v>3244</v>
      </c>
      <c r="S208" s="4" t="b">
        <v>0</v>
      </c>
    </row>
    <row r="209">
      <c r="A209" s="4" t="s">
        <v>3245</v>
      </c>
      <c r="B209" s="4" t="s">
        <v>2213</v>
      </c>
      <c r="C209" s="4" t="s">
        <v>2336</v>
      </c>
      <c r="D209" s="4" t="b">
        <v>0</v>
      </c>
      <c r="F209" s="4" t="s">
        <v>3246</v>
      </c>
      <c r="G209" s="4" t="s">
        <v>3247</v>
      </c>
      <c r="H209" s="17">
        <v>46022.0</v>
      </c>
      <c r="I209" s="19" t="s">
        <v>2148</v>
      </c>
      <c r="K209" s="4" t="s">
        <v>2251</v>
      </c>
      <c r="L209" s="4" t="s">
        <v>3248</v>
      </c>
      <c r="M209" s="6">
        <v>46037.0</v>
      </c>
      <c r="N209" s="4" t="s">
        <v>3249</v>
      </c>
      <c r="P209" s="4">
        <v>3.0</v>
      </c>
      <c r="Q209" s="4" t="s">
        <v>3250</v>
      </c>
      <c r="R209" s="4" t="s">
        <v>3239</v>
      </c>
      <c r="S209" s="4" t="b">
        <v>0</v>
      </c>
    </row>
    <row r="210">
      <c r="A210" s="4" t="s">
        <v>3251</v>
      </c>
      <c r="B210" s="4" t="s">
        <v>2211</v>
      </c>
      <c r="C210" s="4" t="s">
        <v>2336</v>
      </c>
      <c r="D210" s="4" t="b">
        <v>0</v>
      </c>
      <c r="F210" s="4" t="s">
        <v>3252</v>
      </c>
      <c r="G210" s="4" t="s">
        <v>3253</v>
      </c>
      <c r="H210" s="6">
        <v>46023.0</v>
      </c>
      <c r="I210" s="19" t="s">
        <v>2148</v>
      </c>
      <c r="K210" s="4" t="s">
        <v>2251</v>
      </c>
      <c r="L210" s="4" t="s">
        <v>3254</v>
      </c>
      <c r="M210" s="6">
        <v>46037.0</v>
      </c>
      <c r="N210" s="4" t="s">
        <v>3255</v>
      </c>
      <c r="P210" s="4">
        <v>3.0</v>
      </c>
      <c r="Q210" s="4" t="s">
        <v>3256</v>
      </c>
      <c r="R210" s="4" t="s">
        <v>3239</v>
      </c>
      <c r="S210" s="4" t="b">
        <v>0</v>
      </c>
    </row>
    <row r="211">
      <c r="A211" s="4" t="s">
        <v>3257</v>
      </c>
      <c r="B211" s="7" t="s">
        <v>2147</v>
      </c>
      <c r="C211" s="4" t="s">
        <v>2258</v>
      </c>
      <c r="D211" s="4" t="b">
        <v>0</v>
      </c>
      <c r="H211" s="6">
        <v>46035.0</v>
      </c>
      <c r="I211" s="19" t="s">
        <v>2147</v>
      </c>
      <c r="J211" s="4" t="s">
        <v>2282</v>
      </c>
      <c r="K211" s="4" t="s">
        <v>2269</v>
      </c>
      <c r="L211" s="4" t="s">
        <v>3258</v>
      </c>
      <c r="M211" s="6">
        <v>46043.0</v>
      </c>
      <c r="N211" s="4" t="s">
        <v>3259</v>
      </c>
      <c r="O211" s="4" t="s">
        <v>3260</v>
      </c>
      <c r="P211" s="4">
        <v>1.0</v>
      </c>
      <c r="Q211" s="4" t="s">
        <v>3261</v>
      </c>
      <c r="R211" s="4" t="s">
        <v>3262</v>
      </c>
      <c r="S211" s="4" t="b">
        <v>0</v>
      </c>
    </row>
    <row r="212">
      <c r="A212" s="4" t="s">
        <v>3263</v>
      </c>
      <c r="B212" s="7" t="s">
        <v>2387</v>
      </c>
      <c r="C212" s="4" t="s">
        <v>2258</v>
      </c>
      <c r="D212" s="4" t="b">
        <v>0</v>
      </c>
      <c r="H212" s="6">
        <v>46041.0</v>
      </c>
      <c r="I212" s="19" t="s">
        <v>2147</v>
      </c>
      <c r="J212" s="4" t="s">
        <v>2282</v>
      </c>
      <c r="K212" s="4" t="s">
        <v>2269</v>
      </c>
      <c r="L212" s="4" t="s">
        <v>3264</v>
      </c>
      <c r="M212" s="6">
        <v>46041.0</v>
      </c>
      <c r="N212" s="4" t="s">
        <v>3265</v>
      </c>
      <c r="P212" s="4">
        <v>1.0</v>
      </c>
      <c r="Q212" s="4" t="s">
        <v>3266</v>
      </c>
      <c r="R212" s="4" t="s">
        <v>3267</v>
      </c>
      <c r="S212" s="4" t="b">
        <v>0</v>
      </c>
    </row>
    <row r="213">
      <c r="A213" s="4" t="s">
        <v>3268</v>
      </c>
      <c r="B213" s="7" t="s">
        <v>2387</v>
      </c>
      <c r="C213" s="4" t="s">
        <v>2258</v>
      </c>
      <c r="D213" s="4" t="b">
        <v>0</v>
      </c>
      <c r="H213" s="6">
        <v>46041.0</v>
      </c>
      <c r="I213" s="19" t="s">
        <v>2147</v>
      </c>
      <c r="J213" s="4" t="s">
        <v>2259</v>
      </c>
      <c r="K213" s="4" t="s">
        <v>2251</v>
      </c>
      <c r="L213" s="4" t="s">
        <v>3269</v>
      </c>
      <c r="M213" s="6">
        <v>46052.0</v>
      </c>
      <c r="N213" s="4" t="s">
        <v>3270</v>
      </c>
      <c r="P213" s="4">
        <v>7.0</v>
      </c>
      <c r="Q213" s="4" t="s">
        <v>3271</v>
      </c>
      <c r="R213" s="4" t="s">
        <v>3272</v>
      </c>
      <c r="S213" s="4" t="b">
        <v>0</v>
      </c>
    </row>
    <row r="214">
      <c r="A214" s="4" t="s">
        <v>3273</v>
      </c>
      <c r="B214" s="7" t="s">
        <v>2384</v>
      </c>
      <c r="C214" s="4" t="s">
        <v>2258</v>
      </c>
      <c r="D214" s="4" t="b">
        <v>0</v>
      </c>
      <c r="H214" s="6">
        <v>46041.0</v>
      </c>
      <c r="I214" s="19" t="s">
        <v>2147</v>
      </c>
      <c r="J214" s="4" t="s">
        <v>2259</v>
      </c>
      <c r="K214" s="4" t="s">
        <v>2251</v>
      </c>
      <c r="L214" s="4" t="s">
        <v>3274</v>
      </c>
      <c r="M214" s="6">
        <v>46042.0</v>
      </c>
      <c r="N214" s="4" t="s">
        <v>3275</v>
      </c>
      <c r="P214" s="4">
        <v>7.0</v>
      </c>
      <c r="Q214" s="4" t="s">
        <v>3276</v>
      </c>
      <c r="R214" s="4" t="s">
        <v>3277</v>
      </c>
      <c r="S214" s="4" t="b">
        <v>0</v>
      </c>
    </row>
    <row r="215">
      <c r="A215" s="4" t="s">
        <v>3278</v>
      </c>
      <c r="B215" s="7" t="s">
        <v>2387</v>
      </c>
      <c r="C215" s="4" t="s">
        <v>2258</v>
      </c>
      <c r="D215" s="4" t="b">
        <v>0</v>
      </c>
      <c r="H215" s="6">
        <v>46041.0</v>
      </c>
      <c r="I215" s="19" t="s">
        <v>2147</v>
      </c>
      <c r="J215" s="4" t="s">
        <v>2259</v>
      </c>
      <c r="K215" s="4" t="s">
        <v>2251</v>
      </c>
      <c r="L215" s="4" t="s">
        <v>3279</v>
      </c>
      <c r="M215" s="6">
        <v>46042.0</v>
      </c>
      <c r="N215" s="4" t="s">
        <v>3280</v>
      </c>
      <c r="P215" s="4">
        <v>7.0</v>
      </c>
      <c r="Q215" s="4" t="s">
        <v>3281</v>
      </c>
      <c r="R215" s="4" t="s">
        <v>3282</v>
      </c>
      <c r="S215" s="4" t="b">
        <v>0</v>
      </c>
    </row>
    <row r="216">
      <c r="A216" s="4" t="s">
        <v>3283</v>
      </c>
      <c r="B216" s="4" t="s">
        <v>2227</v>
      </c>
      <c r="C216" s="4" t="s">
        <v>2336</v>
      </c>
      <c r="D216" s="4" t="b">
        <v>0</v>
      </c>
      <c r="F216" s="4" t="s">
        <v>3284</v>
      </c>
      <c r="G216" s="4" t="s">
        <v>2228</v>
      </c>
      <c r="H216" s="6">
        <v>46047.0</v>
      </c>
      <c r="I216" s="19" t="s">
        <v>2148</v>
      </c>
      <c r="K216" s="4" t="s">
        <v>2251</v>
      </c>
      <c r="L216" s="4" t="s">
        <v>3285</v>
      </c>
      <c r="P216" s="4">
        <v>3.0</v>
      </c>
      <c r="Q216" s="4" t="s">
        <v>3286</v>
      </c>
      <c r="S216" s="4" t="b">
        <v>0</v>
      </c>
    </row>
    <row r="217">
      <c r="A217" s="4" t="s">
        <v>3287</v>
      </c>
      <c r="B217" s="7" t="s">
        <v>2387</v>
      </c>
      <c r="C217" s="4" t="s">
        <v>2258</v>
      </c>
      <c r="D217" s="4" t="b">
        <v>0</v>
      </c>
      <c r="H217" s="6">
        <v>46048.0</v>
      </c>
      <c r="I217" s="19" t="s">
        <v>2147</v>
      </c>
      <c r="J217" s="4" t="s">
        <v>2473</v>
      </c>
      <c r="K217" s="4" t="s">
        <v>2269</v>
      </c>
      <c r="L217" s="4" t="s">
        <v>3288</v>
      </c>
      <c r="M217" s="6">
        <v>46048.0</v>
      </c>
      <c r="N217" s="4" t="s">
        <v>3289</v>
      </c>
      <c r="P217" s="4">
        <v>1.0</v>
      </c>
      <c r="Q217" s="4" t="s">
        <v>3290</v>
      </c>
      <c r="R217" s="4" t="s">
        <v>3291</v>
      </c>
      <c r="S217" s="4" t="b">
        <v>0</v>
      </c>
    </row>
    <row r="218">
      <c r="A218" s="4" t="s">
        <v>3292</v>
      </c>
      <c r="B218" s="4" t="s">
        <v>2194</v>
      </c>
      <c r="C218" s="4" t="s">
        <v>2258</v>
      </c>
      <c r="D218" s="4" t="b">
        <v>0</v>
      </c>
      <c r="H218" s="6">
        <v>46048.0</v>
      </c>
      <c r="I218" s="19" t="s">
        <v>2147</v>
      </c>
      <c r="J218" s="4" t="s">
        <v>2282</v>
      </c>
      <c r="K218" s="4" t="s">
        <v>2269</v>
      </c>
      <c r="L218" s="4" t="s">
        <v>3293</v>
      </c>
      <c r="M218" s="6">
        <v>46048.0</v>
      </c>
      <c r="N218" s="4" t="s">
        <v>3294</v>
      </c>
      <c r="P218" s="4">
        <v>1.0</v>
      </c>
      <c r="Q218" s="4" t="s">
        <v>3295</v>
      </c>
      <c r="R218" s="4" t="s">
        <v>3296</v>
      </c>
      <c r="S218" s="4" t="b">
        <v>0</v>
      </c>
    </row>
    <row r="219">
      <c r="A219" s="4" t="s">
        <v>3297</v>
      </c>
      <c r="B219" s="4" t="s">
        <v>2194</v>
      </c>
      <c r="C219" s="4" t="s">
        <v>2258</v>
      </c>
      <c r="D219" s="4" t="b">
        <v>0</v>
      </c>
      <c r="H219" s="6">
        <v>46049.0</v>
      </c>
      <c r="I219" s="19" t="s">
        <v>2147</v>
      </c>
      <c r="J219" s="4" t="s">
        <v>2282</v>
      </c>
      <c r="K219" s="4" t="s">
        <v>2269</v>
      </c>
      <c r="L219" s="4" t="s">
        <v>3298</v>
      </c>
      <c r="M219" s="6">
        <v>46050.0</v>
      </c>
      <c r="N219" s="4" t="s">
        <v>3299</v>
      </c>
      <c r="P219" s="4">
        <v>1.0</v>
      </c>
      <c r="Q219" s="4" t="s">
        <v>3300</v>
      </c>
      <c r="R219" s="4" t="s">
        <v>3301</v>
      </c>
      <c r="S219" s="4" t="b">
        <v>0</v>
      </c>
    </row>
    <row r="220">
      <c r="A220" s="4" t="s">
        <v>3302</v>
      </c>
      <c r="B220" s="7" t="s">
        <v>2384</v>
      </c>
      <c r="C220" s="4" t="s">
        <v>2258</v>
      </c>
      <c r="D220" s="4" t="b">
        <v>0</v>
      </c>
      <c r="H220" s="6">
        <v>46052.0</v>
      </c>
      <c r="I220" s="19" t="s">
        <v>2147</v>
      </c>
      <c r="J220" s="4" t="s">
        <v>2473</v>
      </c>
      <c r="K220" s="4" t="s">
        <v>2269</v>
      </c>
      <c r="L220" s="4" t="s">
        <v>3303</v>
      </c>
      <c r="M220" s="6">
        <v>46056.0</v>
      </c>
      <c r="N220" s="4" t="s">
        <v>3304</v>
      </c>
      <c r="P220" s="4">
        <v>1.0</v>
      </c>
      <c r="Q220" s="4" t="s">
        <v>3272</v>
      </c>
      <c r="R220" s="4" t="s">
        <v>3305</v>
      </c>
      <c r="S220" s="4" t="b">
        <v>0</v>
      </c>
    </row>
    <row r="221">
      <c r="A221" s="4" t="s">
        <v>3306</v>
      </c>
      <c r="B221" s="7" t="s">
        <v>2342</v>
      </c>
      <c r="C221" s="4" t="s">
        <v>2258</v>
      </c>
      <c r="D221" s="4" t="b">
        <v>0</v>
      </c>
      <c r="H221" s="6">
        <v>46060.0</v>
      </c>
      <c r="I221" s="19" t="s">
        <v>2147</v>
      </c>
      <c r="J221" s="4" t="s">
        <v>2268</v>
      </c>
      <c r="K221" s="4" t="s">
        <v>2269</v>
      </c>
      <c r="L221" s="4" t="s">
        <v>3307</v>
      </c>
      <c r="M221" s="6">
        <v>46064.0</v>
      </c>
      <c r="N221" s="4" t="s">
        <v>3308</v>
      </c>
      <c r="O221" s="4" t="s">
        <v>3309</v>
      </c>
      <c r="P221" s="4">
        <v>1.0</v>
      </c>
      <c r="Q221" s="4" t="s">
        <v>3310</v>
      </c>
      <c r="R221" s="4" t="s">
        <v>3311</v>
      </c>
      <c r="S221" s="4" t="b">
        <v>0</v>
      </c>
    </row>
    <row r="222">
      <c r="A222" s="4" t="s">
        <v>3312</v>
      </c>
      <c r="B222" s="7" t="s">
        <v>2342</v>
      </c>
      <c r="C222" s="4" t="s">
        <v>2258</v>
      </c>
      <c r="D222" s="4" t="b">
        <v>0</v>
      </c>
      <c r="H222" s="6">
        <v>46060.0</v>
      </c>
      <c r="I222" s="19" t="s">
        <v>2147</v>
      </c>
      <c r="J222" s="4" t="s">
        <v>2268</v>
      </c>
      <c r="K222" s="4" t="s">
        <v>2269</v>
      </c>
      <c r="L222" s="4" t="s">
        <v>3313</v>
      </c>
      <c r="M222" s="6">
        <v>46064.0</v>
      </c>
      <c r="N222" s="4" t="s">
        <v>3314</v>
      </c>
      <c r="P222" s="4">
        <v>1.0</v>
      </c>
      <c r="Q222" s="4" t="s">
        <v>3315</v>
      </c>
      <c r="R222" s="4" t="s">
        <v>3316</v>
      </c>
      <c r="S222" s="4" t="b">
        <v>0</v>
      </c>
    </row>
    <row r="223">
      <c r="A223" s="4" t="s">
        <v>3317</v>
      </c>
      <c r="B223" s="7" t="s">
        <v>2399</v>
      </c>
      <c r="C223" s="4" t="s">
        <v>2258</v>
      </c>
      <c r="D223" s="4" t="b">
        <v>0</v>
      </c>
      <c r="H223" s="6">
        <v>46063.0</v>
      </c>
      <c r="I223" s="19" t="s">
        <v>2147</v>
      </c>
      <c r="J223" s="4" t="s">
        <v>2259</v>
      </c>
      <c r="K223" s="4" t="s">
        <v>2251</v>
      </c>
      <c r="L223" s="4" t="s">
        <v>3318</v>
      </c>
      <c r="M223" s="6">
        <v>46064.0</v>
      </c>
      <c r="N223" s="4" t="s">
        <v>3319</v>
      </c>
      <c r="O223" s="4" t="s">
        <v>3320</v>
      </c>
      <c r="P223" s="4">
        <v>7.0</v>
      </c>
      <c r="Q223" s="4" t="s">
        <v>3321</v>
      </c>
      <c r="R223" s="4" t="s">
        <v>3322</v>
      </c>
      <c r="S223" s="4" t="b">
        <v>0</v>
      </c>
    </row>
    <row r="224">
      <c r="A224" s="4" t="s">
        <v>3323</v>
      </c>
      <c r="B224" s="7" t="s">
        <v>2384</v>
      </c>
      <c r="C224" s="4" t="s">
        <v>2258</v>
      </c>
      <c r="D224" s="4" t="b">
        <v>0</v>
      </c>
      <c r="H224" s="6">
        <v>46079.0</v>
      </c>
      <c r="I224" s="19" t="s">
        <v>2147</v>
      </c>
      <c r="J224" s="4" t="s">
        <v>2259</v>
      </c>
      <c r="K224" s="4" t="s">
        <v>2251</v>
      </c>
      <c r="L224" s="4" t="s">
        <v>3324</v>
      </c>
      <c r="M224" s="6">
        <v>46091.0</v>
      </c>
      <c r="N224" s="4" t="s">
        <v>3325</v>
      </c>
      <c r="P224" s="4">
        <v>7.0</v>
      </c>
      <c r="Q224" s="4" t="s">
        <v>3326</v>
      </c>
      <c r="R224" s="4" t="s">
        <v>3327</v>
      </c>
      <c r="S224" s="4" t="b">
        <v>0</v>
      </c>
    </row>
    <row r="225">
      <c r="A225" s="4" t="s">
        <v>3328</v>
      </c>
      <c r="B225" s="7" t="s">
        <v>2154</v>
      </c>
      <c r="C225" s="4" t="s">
        <v>2258</v>
      </c>
      <c r="D225" s="4" t="b">
        <v>0</v>
      </c>
      <c r="H225" s="6">
        <v>46091.0</v>
      </c>
      <c r="I225" s="19" t="s">
        <v>2147</v>
      </c>
      <c r="J225" s="4" t="s">
        <v>2259</v>
      </c>
      <c r="K225" s="4" t="s">
        <v>2251</v>
      </c>
      <c r="L225" s="4" t="s">
        <v>3329</v>
      </c>
      <c r="P225" s="4">
        <v>7.0</v>
      </c>
      <c r="Q225" s="4" t="s">
        <v>3330</v>
      </c>
      <c r="S225" s="4" t="b">
        <v>0</v>
      </c>
    </row>
    <row r="226">
      <c r="A226" s="4" t="s">
        <v>3331</v>
      </c>
      <c r="B226" s="7" t="s">
        <v>2387</v>
      </c>
      <c r="C226" s="4" t="s">
        <v>2258</v>
      </c>
      <c r="D226" s="4" t="b">
        <v>0</v>
      </c>
      <c r="H226" s="6">
        <v>46092.0</v>
      </c>
      <c r="I226" s="19" t="s">
        <v>2147</v>
      </c>
      <c r="J226" s="4" t="s">
        <v>2282</v>
      </c>
      <c r="K226" s="4" t="s">
        <v>2269</v>
      </c>
      <c r="L226" s="4" t="s">
        <v>3332</v>
      </c>
      <c r="M226" s="6">
        <v>46098.0</v>
      </c>
      <c r="N226" s="4" t="s">
        <v>3333</v>
      </c>
      <c r="P226" s="4">
        <v>1.0</v>
      </c>
      <c r="Q226" s="4" t="s">
        <v>3334</v>
      </c>
      <c r="R226" s="4" t="s">
        <v>3335</v>
      </c>
      <c r="S226" s="4" t="b">
        <v>0</v>
      </c>
    </row>
    <row r="227">
      <c r="A227" s="4" t="s">
        <v>3336</v>
      </c>
      <c r="B227" s="7" t="s">
        <v>2147</v>
      </c>
      <c r="C227" s="4" t="s">
        <v>2258</v>
      </c>
      <c r="D227" s="4" t="b">
        <v>0</v>
      </c>
      <c r="H227" s="6">
        <v>46098.0</v>
      </c>
      <c r="I227" s="19" t="s">
        <v>2147</v>
      </c>
      <c r="J227" s="4" t="s">
        <v>2282</v>
      </c>
      <c r="K227" s="4" t="s">
        <v>2269</v>
      </c>
      <c r="L227" s="4" t="s">
        <v>3337</v>
      </c>
      <c r="P227" s="4">
        <v>1.0</v>
      </c>
      <c r="Q227" s="4" t="s">
        <v>3338</v>
      </c>
      <c r="S227" s="4" t="b">
        <v>0</v>
      </c>
    </row>
    <row r="228">
      <c r="A228" s="4" t="s">
        <v>3339</v>
      </c>
      <c r="B228" s="7" t="s">
        <v>2387</v>
      </c>
      <c r="C228" s="4" t="s">
        <v>2258</v>
      </c>
      <c r="D228" s="4" t="b">
        <v>0</v>
      </c>
      <c r="H228" s="6">
        <v>46099.0</v>
      </c>
      <c r="I228" s="19" t="s">
        <v>2147</v>
      </c>
      <c r="J228" s="4" t="s">
        <v>2259</v>
      </c>
      <c r="K228" s="4" t="s">
        <v>2251</v>
      </c>
      <c r="L228" s="4" t="s">
        <v>3340</v>
      </c>
      <c r="M228" s="6">
        <v>46099.0</v>
      </c>
      <c r="N228" s="4" t="s">
        <v>3341</v>
      </c>
      <c r="P228" s="4">
        <v>7.0</v>
      </c>
      <c r="Q228" s="4" t="s">
        <v>3342</v>
      </c>
      <c r="R228" s="4" t="s">
        <v>3343</v>
      </c>
      <c r="S228" s="4" t="b">
        <v>0</v>
      </c>
    </row>
    <row r="229">
      <c r="I229" s="21"/>
    </row>
    <row r="230">
      <c r="I230" s="21"/>
    </row>
    <row r="231">
      <c r="I231" s="21"/>
    </row>
    <row r="232">
      <c r="I232" s="21"/>
    </row>
    <row r="233">
      <c r="I233" s="21"/>
    </row>
    <row r="234">
      <c r="I234" s="21"/>
    </row>
    <row r="235">
      <c r="I235" s="21"/>
    </row>
    <row r="236">
      <c r="I236" s="21"/>
    </row>
    <row r="237">
      <c r="I237" s="21"/>
    </row>
    <row r="238">
      <c r="I238" s="21"/>
    </row>
    <row r="239">
      <c r="I239" s="21"/>
    </row>
    <row r="240">
      <c r="I240" s="21"/>
    </row>
    <row r="241">
      <c r="I241" s="21"/>
    </row>
    <row r="242">
      <c r="I242" s="21"/>
    </row>
    <row r="243">
      <c r="I243" s="21"/>
    </row>
    <row r="244">
      <c r="I244" s="21"/>
    </row>
    <row r="245">
      <c r="I245" s="21"/>
    </row>
    <row r="246">
      <c r="I246" s="21"/>
    </row>
    <row r="247">
      <c r="I247" s="21"/>
    </row>
    <row r="248">
      <c r="I248" s="21"/>
    </row>
    <row r="249">
      <c r="I249" s="21"/>
    </row>
    <row r="250">
      <c r="I250" s="21"/>
    </row>
    <row r="251">
      <c r="I251" s="21"/>
    </row>
    <row r="252">
      <c r="I252" s="21"/>
    </row>
    <row r="253">
      <c r="I253" s="21"/>
    </row>
    <row r="254">
      <c r="I254" s="21"/>
    </row>
    <row r="255">
      <c r="I255" s="21"/>
    </row>
    <row r="256">
      <c r="I256" s="21"/>
    </row>
    <row r="257">
      <c r="I257" s="21"/>
    </row>
    <row r="258">
      <c r="I258" s="21"/>
    </row>
    <row r="259">
      <c r="I259" s="21"/>
    </row>
    <row r="260">
      <c r="I260" s="21"/>
    </row>
    <row r="261">
      <c r="I261" s="21"/>
    </row>
    <row r="262">
      <c r="I262" s="21"/>
    </row>
    <row r="263">
      <c r="I263" s="21"/>
    </row>
    <row r="264">
      <c r="I264" s="21"/>
    </row>
    <row r="265">
      <c r="I265" s="21"/>
    </row>
    <row r="266">
      <c r="I266" s="21"/>
    </row>
    <row r="267">
      <c r="I267" s="21"/>
    </row>
    <row r="268">
      <c r="I268" s="21"/>
    </row>
    <row r="269">
      <c r="I269" s="21"/>
    </row>
    <row r="270">
      <c r="I270" s="21"/>
    </row>
    <row r="271">
      <c r="I271" s="21"/>
    </row>
    <row r="272">
      <c r="I272" s="21"/>
    </row>
    <row r="273">
      <c r="I273" s="21"/>
    </row>
    <row r="274">
      <c r="I274" s="21"/>
    </row>
    <row r="275">
      <c r="I275" s="21"/>
    </row>
    <row r="276">
      <c r="I276" s="21"/>
    </row>
    <row r="277">
      <c r="I277" s="21"/>
    </row>
    <row r="278">
      <c r="I278" s="21"/>
    </row>
    <row r="279">
      <c r="I279" s="21"/>
    </row>
    <row r="280">
      <c r="I280" s="21"/>
    </row>
    <row r="281">
      <c r="I281" s="21"/>
    </row>
    <row r="282">
      <c r="I282" s="21"/>
    </row>
    <row r="283">
      <c r="I283" s="21"/>
    </row>
    <row r="284">
      <c r="I284" s="21"/>
    </row>
    <row r="285">
      <c r="I285" s="21"/>
    </row>
    <row r="286">
      <c r="I286" s="21"/>
    </row>
    <row r="287">
      <c r="I287" s="21"/>
    </row>
    <row r="288">
      <c r="I288" s="21"/>
    </row>
    <row r="289">
      <c r="I289" s="21"/>
    </row>
    <row r="290">
      <c r="I290" s="21"/>
    </row>
    <row r="291">
      <c r="I291" s="21"/>
    </row>
    <row r="292">
      <c r="I292" s="21"/>
    </row>
    <row r="293">
      <c r="I293" s="21"/>
    </row>
    <row r="294">
      <c r="I294" s="21"/>
    </row>
    <row r="295">
      <c r="I295" s="21"/>
    </row>
    <row r="296">
      <c r="I296" s="21"/>
    </row>
    <row r="297">
      <c r="I297" s="21"/>
    </row>
    <row r="298">
      <c r="I298" s="21"/>
    </row>
    <row r="299">
      <c r="I299" s="21"/>
    </row>
    <row r="300">
      <c r="I300" s="21"/>
    </row>
    <row r="301">
      <c r="I301" s="21"/>
    </row>
    <row r="302">
      <c r="I302" s="21"/>
    </row>
    <row r="303">
      <c r="I303" s="21"/>
    </row>
    <row r="304">
      <c r="I304" s="21"/>
    </row>
    <row r="305">
      <c r="I305" s="21"/>
    </row>
    <row r="306">
      <c r="I306" s="21"/>
    </row>
    <row r="307">
      <c r="I307" s="21"/>
    </row>
    <row r="308">
      <c r="I308" s="21"/>
    </row>
    <row r="309">
      <c r="I309" s="21"/>
    </row>
    <row r="310">
      <c r="I310" s="21"/>
    </row>
    <row r="311">
      <c r="I311" s="21"/>
    </row>
    <row r="312">
      <c r="I312" s="21"/>
    </row>
    <row r="313">
      <c r="I313" s="21"/>
    </row>
    <row r="314">
      <c r="I314" s="21"/>
    </row>
    <row r="315">
      <c r="I315" s="21"/>
    </row>
    <row r="316">
      <c r="I316" s="21"/>
    </row>
    <row r="317">
      <c r="I317" s="21"/>
    </row>
    <row r="318">
      <c r="I318" s="21"/>
    </row>
    <row r="319">
      <c r="I319" s="21"/>
    </row>
    <row r="320">
      <c r="I320" s="21"/>
    </row>
    <row r="321">
      <c r="I321" s="21"/>
    </row>
    <row r="322">
      <c r="I322" s="21"/>
    </row>
    <row r="323">
      <c r="I323" s="21"/>
    </row>
    <row r="324">
      <c r="I324" s="21"/>
    </row>
    <row r="325">
      <c r="I325" s="21"/>
    </row>
    <row r="326">
      <c r="I326" s="21"/>
    </row>
    <row r="327">
      <c r="I327" s="21"/>
    </row>
    <row r="328">
      <c r="I328" s="21"/>
    </row>
    <row r="329">
      <c r="I329" s="21"/>
    </row>
    <row r="330">
      <c r="I330" s="21"/>
    </row>
    <row r="331">
      <c r="I331" s="21"/>
    </row>
    <row r="332">
      <c r="I332" s="21"/>
    </row>
    <row r="333">
      <c r="I333" s="21"/>
    </row>
    <row r="334">
      <c r="I334" s="21"/>
    </row>
    <row r="335">
      <c r="I335" s="21"/>
    </row>
    <row r="336">
      <c r="I336" s="21"/>
    </row>
    <row r="337">
      <c r="I337" s="21"/>
    </row>
    <row r="338">
      <c r="I338" s="21"/>
    </row>
    <row r="339">
      <c r="I339" s="21"/>
    </row>
    <row r="340">
      <c r="I340" s="21"/>
    </row>
    <row r="341">
      <c r="I341" s="21"/>
    </row>
    <row r="342">
      <c r="I342" s="21"/>
    </row>
    <row r="343">
      <c r="I343" s="21"/>
    </row>
    <row r="344">
      <c r="I344" s="21"/>
    </row>
    <row r="345">
      <c r="I345" s="21"/>
    </row>
    <row r="346">
      <c r="I346" s="21"/>
    </row>
    <row r="347">
      <c r="I347" s="21"/>
    </row>
    <row r="348">
      <c r="I348" s="21"/>
    </row>
    <row r="349">
      <c r="I349" s="21"/>
    </row>
    <row r="350">
      <c r="I350" s="21"/>
    </row>
    <row r="351">
      <c r="I351" s="21"/>
    </row>
    <row r="352">
      <c r="I352" s="21"/>
    </row>
    <row r="353">
      <c r="I353" s="21"/>
    </row>
    <row r="354">
      <c r="I354" s="21"/>
    </row>
    <row r="355">
      <c r="I355" s="21"/>
    </row>
    <row r="356">
      <c r="I356" s="21"/>
    </row>
    <row r="357">
      <c r="I357" s="21"/>
    </row>
    <row r="358">
      <c r="I358" s="21"/>
    </row>
    <row r="359">
      <c r="I359" s="21"/>
    </row>
    <row r="360">
      <c r="I360" s="21"/>
    </row>
    <row r="361">
      <c r="I361" s="21"/>
    </row>
    <row r="362">
      <c r="I362" s="21"/>
    </row>
    <row r="363">
      <c r="I363" s="21"/>
    </row>
    <row r="364">
      <c r="I364" s="21"/>
    </row>
    <row r="365">
      <c r="I365" s="21"/>
    </row>
    <row r="366">
      <c r="I366" s="21"/>
    </row>
    <row r="367">
      <c r="I367" s="21"/>
    </row>
    <row r="368">
      <c r="I368" s="21"/>
    </row>
    <row r="369">
      <c r="I369" s="21"/>
    </row>
    <row r="370">
      <c r="I370" s="21"/>
    </row>
    <row r="371">
      <c r="I371" s="21"/>
    </row>
    <row r="372">
      <c r="I372" s="21"/>
    </row>
    <row r="373">
      <c r="I373" s="21"/>
    </row>
    <row r="374">
      <c r="I374" s="21"/>
    </row>
    <row r="375">
      <c r="I375" s="21"/>
    </row>
    <row r="376">
      <c r="I376" s="21"/>
    </row>
    <row r="377">
      <c r="I377" s="21"/>
    </row>
    <row r="378">
      <c r="I378" s="21"/>
    </row>
    <row r="379">
      <c r="I379" s="21"/>
    </row>
    <row r="380">
      <c r="I380" s="21"/>
    </row>
    <row r="381">
      <c r="I381" s="21"/>
    </row>
    <row r="382">
      <c r="I382" s="21"/>
    </row>
    <row r="383">
      <c r="I383" s="21"/>
    </row>
    <row r="384">
      <c r="I384" s="21"/>
    </row>
    <row r="385">
      <c r="I385" s="21"/>
    </row>
    <row r="386">
      <c r="I386" s="21"/>
    </row>
    <row r="387">
      <c r="I387" s="21"/>
    </row>
    <row r="388">
      <c r="I388" s="21"/>
    </row>
    <row r="389">
      <c r="I389" s="21"/>
    </row>
    <row r="390">
      <c r="I390" s="21"/>
    </row>
    <row r="391">
      <c r="I391" s="21"/>
    </row>
    <row r="392">
      <c r="I392" s="21"/>
    </row>
    <row r="393">
      <c r="I393" s="21"/>
    </row>
    <row r="394">
      <c r="I394" s="21"/>
    </row>
    <row r="395">
      <c r="I395" s="21"/>
    </row>
    <row r="396">
      <c r="I396" s="21"/>
    </row>
    <row r="397">
      <c r="I397" s="21"/>
    </row>
    <row r="398">
      <c r="I398" s="21"/>
    </row>
    <row r="399">
      <c r="I399" s="21"/>
    </row>
    <row r="400">
      <c r="I400" s="21"/>
    </row>
    <row r="401">
      <c r="I401" s="21"/>
    </row>
    <row r="402">
      <c r="I402" s="21"/>
    </row>
    <row r="403">
      <c r="I403" s="21"/>
    </row>
    <row r="404">
      <c r="I404" s="21"/>
    </row>
    <row r="405">
      <c r="I405" s="21"/>
    </row>
    <row r="406">
      <c r="I406" s="21"/>
    </row>
    <row r="407">
      <c r="I407" s="21"/>
    </row>
    <row r="408">
      <c r="I408" s="21"/>
    </row>
    <row r="409">
      <c r="I409" s="21"/>
    </row>
    <row r="410">
      <c r="I410" s="21"/>
    </row>
    <row r="411">
      <c r="I411" s="21"/>
    </row>
    <row r="412">
      <c r="I412" s="21"/>
    </row>
    <row r="413">
      <c r="I413" s="21"/>
    </row>
    <row r="414">
      <c r="I414" s="21"/>
    </row>
    <row r="415">
      <c r="I415" s="21"/>
    </row>
    <row r="416">
      <c r="I416" s="21"/>
    </row>
    <row r="417">
      <c r="I417" s="21"/>
    </row>
    <row r="418">
      <c r="I418" s="21"/>
    </row>
    <row r="419">
      <c r="I419" s="21"/>
    </row>
    <row r="420">
      <c r="I420" s="21"/>
    </row>
    <row r="421">
      <c r="I421" s="21"/>
    </row>
    <row r="422">
      <c r="I422" s="21"/>
    </row>
    <row r="423">
      <c r="I423" s="21"/>
    </row>
    <row r="424">
      <c r="I424" s="21"/>
    </row>
    <row r="425">
      <c r="I425" s="21"/>
    </row>
    <row r="426">
      <c r="I426" s="21"/>
    </row>
    <row r="427">
      <c r="I427" s="21"/>
    </row>
    <row r="428">
      <c r="I428" s="21"/>
    </row>
    <row r="429">
      <c r="I429" s="21"/>
    </row>
    <row r="430">
      <c r="I430" s="21"/>
    </row>
    <row r="431">
      <c r="I431" s="21"/>
    </row>
    <row r="432">
      <c r="I432" s="21"/>
    </row>
    <row r="433">
      <c r="I433" s="21"/>
    </row>
    <row r="434">
      <c r="I434" s="21"/>
    </row>
    <row r="435">
      <c r="I435" s="21"/>
    </row>
    <row r="436">
      <c r="I436" s="21"/>
    </row>
    <row r="437">
      <c r="I437" s="21"/>
    </row>
    <row r="438">
      <c r="I438" s="21"/>
    </row>
    <row r="439">
      <c r="I439" s="21"/>
    </row>
    <row r="440">
      <c r="I440" s="21"/>
    </row>
    <row r="441">
      <c r="I441" s="21"/>
    </row>
    <row r="442">
      <c r="I442" s="21"/>
    </row>
    <row r="443">
      <c r="I443" s="21"/>
    </row>
    <row r="444">
      <c r="I444" s="21"/>
    </row>
    <row r="445">
      <c r="I445" s="21"/>
    </row>
    <row r="446">
      <c r="I446" s="21"/>
    </row>
    <row r="447">
      <c r="I447" s="21"/>
    </row>
    <row r="448">
      <c r="I448" s="21"/>
    </row>
    <row r="449">
      <c r="I449" s="21"/>
    </row>
    <row r="450">
      <c r="I450" s="21"/>
    </row>
    <row r="451">
      <c r="I451" s="21"/>
    </row>
    <row r="452">
      <c r="I452" s="21"/>
    </row>
    <row r="453">
      <c r="I453" s="21"/>
    </row>
    <row r="454">
      <c r="I454" s="21"/>
    </row>
    <row r="455">
      <c r="I455" s="21"/>
    </row>
    <row r="456">
      <c r="I456" s="21"/>
    </row>
    <row r="457">
      <c r="I457" s="21"/>
    </row>
    <row r="458">
      <c r="I458" s="21"/>
    </row>
    <row r="459">
      <c r="I459" s="21"/>
    </row>
    <row r="460">
      <c r="I460" s="21"/>
    </row>
    <row r="461">
      <c r="I461" s="21"/>
    </row>
    <row r="462">
      <c r="I462" s="21"/>
    </row>
    <row r="463">
      <c r="I463" s="21"/>
    </row>
    <row r="464">
      <c r="I464" s="21"/>
    </row>
    <row r="465">
      <c r="I465" s="21"/>
    </row>
    <row r="466">
      <c r="I466" s="21"/>
    </row>
    <row r="467">
      <c r="I467" s="21"/>
    </row>
    <row r="468">
      <c r="I468" s="21"/>
    </row>
    <row r="469">
      <c r="I469" s="21"/>
    </row>
    <row r="470">
      <c r="I470" s="21"/>
    </row>
    <row r="471">
      <c r="I471" s="21"/>
    </row>
    <row r="472">
      <c r="I472" s="21"/>
    </row>
    <row r="473">
      <c r="I473" s="21"/>
    </row>
    <row r="474">
      <c r="I474" s="21"/>
    </row>
    <row r="475">
      <c r="I475" s="21"/>
    </row>
    <row r="476">
      <c r="I476" s="21"/>
    </row>
    <row r="477">
      <c r="I477" s="21"/>
    </row>
    <row r="478">
      <c r="I478" s="21"/>
    </row>
    <row r="479">
      <c r="I479" s="21"/>
    </row>
    <row r="480">
      <c r="I480" s="21"/>
    </row>
    <row r="481">
      <c r="I481" s="21"/>
    </row>
    <row r="482">
      <c r="I482" s="21"/>
    </row>
    <row r="483">
      <c r="I483" s="21"/>
    </row>
    <row r="484">
      <c r="I484" s="21"/>
    </row>
    <row r="485">
      <c r="I485" s="21"/>
    </row>
    <row r="486">
      <c r="I486" s="21"/>
    </row>
    <row r="487">
      <c r="I487" s="21"/>
    </row>
    <row r="488">
      <c r="I488" s="21"/>
    </row>
    <row r="489">
      <c r="I489" s="21"/>
    </row>
    <row r="490">
      <c r="I490" s="21"/>
    </row>
    <row r="491">
      <c r="I491" s="21"/>
    </row>
    <row r="492">
      <c r="I492" s="21"/>
    </row>
    <row r="493">
      <c r="I493" s="21"/>
    </row>
    <row r="494">
      <c r="I494" s="21"/>
    </row>
    <row r="495">
      <c r="I495" s="21"/>
    </row>
    <row r="496">
      <c r="I496" s="21"/>
    </row>
    <row r="497">
      <c r="I497" s="21"/>
    </row>
    <row r="498">
      <c r="I498" s="21"/>
    </row>
    <row r="499">
      <c r="I499" s="21"/>
    </row>
    <row r="500">
      <c r="I500" s="21"/>
    </row>
    <row r="501">
      <c r="I501" s="21"/>
    </row>
    <row r="502">
      <c r="I502" s="21"/>
    </row>
    <row r="503">
      <c r="I503" s="21"/>
    </row>
    <row r="504">
      <c r="I504" s="21"/>
    </row>
    <row r="505">
      <c r="I505" s="21"/>
    </row>
    <row r="506">
      <c r="I506" s="21"/>
    </row>
    <row r="507">
      <c r="I507" s="21"/>
    </row>
    <row r="508">
      <c r="I508" s="21"/>
    </row>
    <row r="509">
      <c r="I509" s="21"/>
    </row>
    <row r="510">
      <c r="I510" s="21"/>
    </row>
    <row r="511">
      <c r="I511" s="21"/>
    </row>
    <row r="512">
      <c r="I512" s="21"/>
    </row>
    <row r="513">
      <c r="I513" s="21"/>
    </row>
    <row r="514">
      <c r="I514" s="21"/>
    </row>
    <row r="515">
      <c r="I515" s="21"/>
    </row>
    <row r="516">
      <c r="I516" s="21"/>
    </row>
    <row r="517">
      <c r="I517" s="21"/>
    </row>
    <row r="518">
      <c r="I518" s="21"/>
    </row>
    <row r="519">
      <c r="I519" s="21"/>
    </row>
    <row r="520">
      <c r="I520" s="21"/>
    </row>
    <row r="521">
      <c r="I521" s="21"/>
    </row>
    <row r="522">
      <c r="I522" s="21"/>
    </row>
    <row r="523">
      <c r="I523" s="21"/>
    </row>
    <row r="524">
      <c r="I524" s="21"/>
    </row>
    <row r="525">
      <c r="I525" s="21"/>
    </row>
    <row r="526">
      <c r="I526" s="21"/>
    </row>
    <row r="527">
      <c r="I527" s="21"/>
    </row>
    <row r="528">
      <c r="I528" s="21"/>
    </row>
    <row r="529">
      <c r="I529" s="21"/>
    </row>
    <row r="530">
      <c r="I530" s="21"/>
    </row>
    <row r="531">
      <c r="I531" s="21"/>
    </row>
    <row r="532">
      <c r="I532" s="21"/>
    </row>
    <row r="533">
      <c r="I533" s="21"/>
    </row>
    <row r="534">
      <c r="I534" s="21"/>
    </row>
    <row r="535">
      <c r="I535" s="21"/>
    </row>
    <row r="536">
      <c r="I536" s="21"/>
    </row>
    <row r="537">
      <c r="I537" s="21"/>
    </row>
    <row r="538">
      <c r="I538" s="21"/>
    </row>
    <row r="539">
      <c r="I539" s="21"/>
    </row>
    <row r="540">
      <c r="I540" s="21"/>
    </row>
    <row r="541">
      <c r="I541" s="21"/>
    </row>
    <row r="542">
      <c r="I542" s="21"/>
    </row>
    <row r="543">
      <c r="I543" s="21"/>
    </row>
    <row r="544">
      <c r="I544" s="21"/>
    </row>
    <row r="545">
      <c r="I545" s="21"/>
    </row>
    <row r="546">
      <c r="I546" s="21"/>
    </row>
    <row r="547">
      <c r="I547" s="21"/>
    </row>
    <row r="548">
      <c r="I548" s="21"/>
    </row>
    <row r="549">
      <c r="I549" s="21"/>
    </row>
    <row r="550">
      <c r="I550" s="21"/>
    </row>
    <row r="551">
      <c r="I551" s="21"/>
    </row>
    <row r="552">
      <c r="I552" s="21"/>
    </row>
    <row r="553">
      <c r="I553" s="21"/>
    </row>
    <row r="554">
      <c r="I554" s="21"/>
    </row>
    <row r="555">
      <c r="I555" s="21"/>
    </row>
    <row r="556">
      <c r="I556" s="21"/>
    </row>
    <row r="557">
      <c r="I557" s="21"/>
    </row>
    <row r="558">
      <c r="I558" s="21"/>
    </row>
    <row r="559">
      <c r="I559" s="21"/>
    </row>
    <row r="560">
      <c r="I560" s="21"/>
    </row>
    <row r="561">
      <c r="I561" s="21"/>
    </row>
    <row r="562">
      <c r="I562" s="21"/>
    </row>
    <row r="563">
      <c r="I563" s="21"/>
    </row>
    <row r="564">
      <c r="I564" s="21"/>
    </row>
    <row r="565">
      <c r="I565" s="21"/>
    </row>
    <row r="566">
      <c r="I566" s="21"/>
    </row>
    <row r="567">
      <c r="I567" s="21"/>
    </row>
    <row r="568">
      <c r="I568" s="21"/>
    </row>
    <row r="569">
      <c r="I569" s="21"/>
    </row>
    <row r="570">
      <c r="I570" s="21"/>
    </row>
    <row r="571">
      <c r="I571" s="21"/>
    </row>
    <row r="572">
      <c r="I572" s="21"/>
    </row>
    <row r="573">
      <c r="I573" s="21"/>
    </row>
    <row r="574">
      <c r="I574" s="21"/>
    </row>
    <row r="575">
      <c r="I575" s="21"/>
    </row>
    <row r="576">
      <c r="I576" s="21"/>
    </row>
    <row r="577">
      <c r="I577" s="21"/>
    </row>
    <row r="578">
      <c r="I578" s="21"/>
    </row>
    <row r="579">
      <c r="I579" s="21"/>
    </row>
    <row r="580">
      <c r="I580" s="21"/>
    </row>
    <row r="581">
      <c r="I581" s="21"/>
    </row>
    <row r="582">
      <c r="I582" s="21"/>
    </row>
    <row r="583">
      <c r="I583" s="21"/>
    </row>
    <row r="584">
      <c r="I584" s="21"/>
    </row>
    <row r="585">
      <c r="I585" s="21"/>
    </row>
    <row r="586">
      <c r="I586" s="21"/>
    </row>
    <row r="587">
      <c r="I587" s="21"/>
    </row>
    <row r="588">
      <c r="I588" s="21"/>
    </row>
    <row r="589">
      <c r="I589" s="21"/>
    </row>
    <row r="590">
      <c r="I590" s="21"/>
    </row>
    <row r="591">
      <c r="I591" s="21"/>
    </row>
    <row r="592">
      <c r="I592" s="21"/>
    </row>
    <row r="593">
      <c r="I593" s="21"/>
    </row>
    <row r="594">
      <c r="I594" s="21"/>
    </row>
    <row r="595">
      <c r="I595" s="21"/>
    </row>
    <row r="596">
      <c r="I596" s="21"/>
    </row>
    <row r="597">
      <c r="I597" s="21"/>
    </row>
    <row r="598">
      <c r="I598" s="21"/>
    </row>
    <row r="599">
      <c r="I599" s="21"/>
    </row>
    <row r="600">
      <c r="I600" s="21"/>
    </row>
    <row r="601">
      <c r="I601" s="21"/>
    </row>
    <row r="602">
      <c r="I602" s="21"/>
    </row>
    <row r="603">
      <c r="I603" s="21"/>
    </row>
    <row r="604">
      <c r="I604" s="21"/>
    </row>
    <row r="605">
      <c r="I605" s="21"/>
    </row>
    <row r="606">
      <c r="I606" s="21"/>
    </row>
    <row r="607">
      <c r="I607" s="21"/>
    </row>
    <row r="608">
      <c r="I608" s="21"/>
    </row>
    <row r="609">
      <c r="I609" s="21"/>
    </row>
    <row r="610">
      <c r="I610" s="21"/>
    </row>
    <row r="611">
      <c r="I611" s="21"/>
    </row>
    <row r="612">
      <c r="I612" s="21"/>
    </row>
    <row r="613">
      <c r="I613" s="21"/>
    </row>
    <row r="614">
      <c r="I614" s="21"/>
    </row>
    <row r="615">
      <c r="I615" s="21"/>
    </row>
    <row r="616">
      <c r="I616" s="21"/>
    </row>
    <row r="617">
      <c r="I617" s="21"/>
    </row>
    <row r="618">
      <c r="I618" s="21"/>
    </row>
    <row r="619">
      <c r="I619" s="21"/>
    </row>
    <row r="620">
      <c r="I620" s="21"/>
    </row>
    <row r="621">
      <c r="I621" s="21"/>
    </row>
    <row r="622">
      <c r="I622" s="21"/>
    </row>
    <row r="623">
      <c r="I623" s="21"/>
    </row>
    <row r="624">
      <c r="I624" s="21"/>
    </row>
    <row r="625">
      <c r="I625" s="21"/>
    </row>
    <row r="626">
      <c r="I626" s="21"/>
    </row>
    <row r="627">
      <c r="I627" s="21"/>
    </row>
    <row r="628">
      <c r="I628" s="21"/>
    </row>
    <row r="629">
      <c r="I629" s="21"/>
    </row>
    <row r="630">
      <c r="I630" s="21"/>
    </row>
    <row r="631">
      <c r="I631" s="21"/>
    </row>
    <row r="632">
      <c r="I632" s="21"/>
    </row>
    <row r="633">
      <c r="I633" s="21"/>
    </row>
    <row r="634">
      <c r="I634" s="21"/>
    </row>
    <row r="635">
      <c r="I635" s="21"/>
    </row>
    <row r="636">
      <c r="I636" s="21"/>
    </row>
    <row r="637">
      <c r="I637" s="21"/>
    </row>
    <row r="638">
      <c r="I638" s="21"/>
    </row>
    <row r="639">
      <c r="I639" s="21"/>
    </row>
    <row r="640">
      <c r="I640" s="21"/>
    </row>
    <row r="641">
      <c r="I641" s="21"/>
    </row>
    <row r="642">
      <c r="I642" s="21"/>
    </row>
    <row r="643">
      <c r="I643" s="21"/>
    </row>
    <row r="644">
      <c r="I644" s="21"/>
    </row>
    <row r="645">
      <c r="I645" s="21"/>
    </row>
    <row r="646">
      <c r="I646" s="21"/>
    </row>
    <row r="647">
      <c r="I647" s="21"/>
    </row>
    <row r="648">
      <c r="I648" s="21"/>
    </row>
    <row r="649">
      <c r="I649" s="21"/>
    </row>
    <row r="650">
      <c r="I650" s="21"/>
    </row>
    <row r="651">
      <c r="I651" s="21"/>
    </row>
    <row r="652">
      <c r="I652" s="21"/>
    </row>
    <row r="653">
      <c r="I653" s="21"/>
    </row>
    <row r="654">
      <c r="I654" s="21"/>
    </row>
    <row r="655">
      <c r="I655" s="21"/>
    </row>
    <row r="656">
      <c r="I656" s="21"/>
    </row>
    <row r="657">
      <c r="I657" s="21"/>
    </row>
    <row r="658">
      <c r="I658" s="21"/>
    </row>
    <row r="659">
      <c r="I659" s="21"/>
    </row>
    <row r="660">
      <c r="I660" s="21"/>
    </row>
    <row r="661">
      <c r="I661" s="21"/>
    </row>
    <row r="662">
      <c r="I662" s="21"/>
    </row>
    <row r="663">
      <c r="I663" s="21"/>
    </row>
    <row r="664">
      <c r="I664" s="21"/>
    </row>
    <row r="665">
      <c r="I665" s="21"/>
    </row>
    <row r="666">
      <c r="I666" s="21"/>
    </row>
    <row r="667">
      <c r="I667" s="21"/>
    </row>
    <row r="668">
      <c r="I668" s="21"/>
    </row>
    <row r="669">
      <c r="I669" s="21"/>
    </row>
    <row r="670">
      <c r="I670" s="21"/>
    </row>
    <row r="671">
      <c r="I671" s="21"/>
    </row>
    <row r="672">
      <c r="I672" s="21"/>
    </row>
    <row r="673">
      <c r="I673" s="21"/>
    </row>
    <row r="674">
      <c r="I674" s="21"/>
    </row>
    <row r="675">
      <c r="I675" s="21"/>
    </row>
    <row r="676">
      <c r="I676" s="21"/>
    </row>
    <row r="677">
      <c r="I677" s="21"/>
    </row>
    <row r="678">
      <c r="I678" s="21"/>
    </row>
    <row r="679">
      <c r="I679" s="21"/>
    </row>
    <row r="680">
      <c r="I680" s="21"/>
    </row>
    <row r="681">
      <c r="I681" s="21"/>
    </row>
    <row r="682">
      <c r="I682" s="21"/>
    </row>
    <row r="683">
      <c r="I683" s="21"/>
    </row>
    <row r="684">
      <c r="I684" s="21"/>
    </row>
    <row r="685">
      <c r="I685" s="21"/>
    </row>
    <row r="686">
      <c r="I686" s="21"/>
    </row>
    <row r="687">
      <c r="I687" s="21"/>
    </row>
    <row r="688">
      <c r="I688" s="21"/>
    </row>
    <row r="689">
      <c r="I689" s="21"/>
    </row>
    <row r="690">
      <c r="I690" s="21"/>
    </row>
    <row r="691">
      <c r="I691" s="21"/>
    </row>
    <row r="692">
      <c r="I692" s="21"/>
    </row>
    <row r="693">
      <c r="I693" s="21"/>
    </row>
    <row r="694">
      <c r="I694" s="21"/>
    </row>
    <row r="695">
      <c r="I695" s="21"/>
    </row>
    <row r="696">
      <c r="I696" s="21"/>
    </row>
    <row r="697">
      <c r="I697" s="21"/>
    </row>
    <row r="698">
      <c r="I698" s="21"/>
    </row>
    <row r="699">
      <c r="I699" s="21"/>
    </row>
    <row r="700">
      <c r="I700" s="21"/>
    </row>
    <row r="701">
      <c r="I701" s="21"/>
    </row>
    <row r="702">
      <c r="I702" s="21"/>
    </row>
    <row r="703">
      <c r="I703" s="21"/>
    </row>
    <row r="704">
      <c r="I704" s="21"/>
    </row>
    <row r="705">
      <c r="I705" s="21"/>
    </row>
    <row r="706">
      <c r="I706" s="21"/>
    </row>
    <row r="707">
      <c r="I707" s="21"/>
    </row>
    <row r="708">
      <c r="I708" s="21"/>
    </row>
    <row r="709">
      <c r="I709" s="21"/>
    </row>
    <row r="710">
      <c r="I710" s="21"/>
    </row>
    <row r="711">
      <c r="I711" s="21"/>
    </row>
    <row r="712">
      <c r="I712" s="21"/>
    </row>
    <row r="713">
      <c r="I713" s="21"/>
    </row>
    <row r="714">
      <c r="I714" s="21"/>
    </row>
    <row r="715">
      <c r="I715" s="21"/>
    </row>
    <row r="716">
      <c r="I716" s="21"/>
    </row>
    <row r="717">
      <c r="I717" s="21"/>
    </row>
    <row r="718">
      <c r="I718" s="21"/>
    </row>
    <row r="719">
      <c r="I719" s="21"/>
    </row>
    <row r="720">
      <c r="I720" s="21"/>
    </row>
    <row r="721">
      <c r="I721" s="21"/>
    </row>
    <row r="722">
      <c r="I722" s="21"/>
    </row>
    <row r="723">
      <c r="I723" s="21"/>
    </row>
    <row r="724">
      <c r="I724" s="21"/>
    </row>
    <row r="725">
      <c r="I725" s="21"/>
    </row>
    <row r="726">
      <c r="I726" s="21"/>
    </row>
    <row r="727">
      <c r="I727" s="21"/>
    </row>
    <row r="728">
      <c r="I728" s="21"/>
    </row>
    <row r="729">
      <c r="I729" s="21"/>
    </row>
    <row r="730">
      <c r="I730" s="21"/>
    </row>
    <row r="731">
      <c r="I731" s="21"/>
    </row>
    <row r="732">
      <c r="I732" s="21"/>
    </row>
    <row r="733">
      <c r="I733" s="21"/>
    </row>
    <row r="734">
      <c r="I734" s="21"/>
    </row>
    <row r="735">
      <c r="I735" s="21"/>
    </row>
    <row r="736">
      <c r="I736" s="21"/>
    </row>
    <row r="737">
      <c r="I737" s="21"/>
    </row>
    <row r="738">
      <c r="I738" s="21"/>
    </row>
    <row r="739">
      <c r="I739" s="21"/>
    </row>
    <row r="740">
      <c r="I740" s="21"/>
    </row>
    <row r="741">
      <c r="I741" s="21"/>
    </row>
    <row r="742">
      <c r="I742" s="21"/>
    </row>
    <row r="743">
      <c r="I743" s="21"/>
    </row>
    <row r="744">
      <c r="I744" s="21"/>
    </row>
    <row r="745">
      <c r="I745" s="21"/>
    </row>
    <row r="746">
      <c r="I746" s="21"/>
    </row>
    <row r="747">
      <c r="I747" s="21"/>
    </row>
    <row r="748">
      <c r="I748" s="21"/>
    </row>
    <row r="749">
      <c r="I749" s="21"/>
    </row>
    <row r="750">
      <c r="I750" s="21"/>
    </row>
    <row r="751">
      <c r="I751" s="21"/>
    </row>
    <row r="752">
      <c r="I752" s="21"/>
    </row>
    <row r="753">
      <c r="I753" s="21"/>
    </row>
    <row r="754">
      <c r="I754" s="21"/>
    </row>
    <row r="755">
      <c r="I755" s="21"/>
    </row>
    <row r="756">
      <c r="I756" s="21"/>
    </row>
    <row r="757">
      <c r="I757" s="21"/>
    </row>
    <row r="758">
      <c r="I758" s="21"/>
    </row>
    <row r="759">
      <c r="I759" s="21"/>
    </row>
    <row r="760">
      <c r="I760" s="21"/>
    </row>
    <row r="761">
      <c r="I761" s="21"/>
    </row>
    <row r="762">
      <c r="I762" s="21"/>
    </row>
    <row r="763">
      <c r="I763" s="21"/>
    </row>
    <row r="764">
      <c r="I764" s="21"/>
    </row>
    <row r="765">
      <c r="I765" s="21"/>
    </row>
    <row r="766">
      <c r="I766" s="21"/>
    </row>
    <row r="767">
      <c r="I767" s="21"/>
    </row>
    <row r="768">
      <c r="I768" s="21"/>
    </row>
    <row r="769">
      <c r="I769" s="21"/>
    </row>
    <row r="770">
      <c r="I770" s="21"/>
    </row>
    <row r="771">
      <c r="I771" s="21"/>
    </row>
    <row r="772">
      <c r="I772" s="21"/>
    </row>
    <row r="773">
      <c r="I773" s="21"/>
    </row>
    <row r="774">
      <c r="I774" s="21"/>
    </row>
    <row r="775">
      <c r="I775" s="21"/>
    </row>
    <row r="776">
      <c r="I776" s="21"/>
    </row>
    <row r="777">
      <c r="I777" s="21"/>
    </row>
    <row r="778">
      <c r="I778" s="21"/>
    </row>
    <row r="779">
      <c r="I779" s="21"/>
    </row>
    <row r="780">
      <c r="I780" s="21"/>
    </row>
    <row r="781">
      <c r="I781" s="21"/>
    </row>
    <row r="782">
      <c r="I782" s="21"/>
    </row>
    <row r="783">
      <c r="I783" s="21"/>
    </row>
    <row r="784">
      <c r="I784" s="21"/>
    </row>
    <row r="785">
      <c r="I785" s="21"/>
    </row>
    <row r="786">
      <c r="I786" s="21"/>
    </row>
    <row r="787">
      <c r="I787" s="21"/>
    </row>
    <row r="788">
      <c r="I788" s="21"/>
    </row>
    <row r="789">
      <c r="I789" s="21"/>
    </row>
    <row r="790">
      <c r="I790" s="21"/>
    </row>
    <row r="791">
      <c r="I791" s="21"/>
    </row>
    <row r="792">
      <c r="I792" s="21"/>
    </row>
    <row r="793">
      <c r="I793" s="21"/>
    </row>
    <row r="794">
      <c r="I794" s="21"/>
    </row>
    <row r="795">
      <c r="I795" s="21"/>
    </row>
    <row r="796">
      <c r="I796" s="21"/>
    </row>
    <row r="797">
      <c r="I797" s="21"/>
    </row>
    <row r="798">
      <c r="I798" s="21"/>
    </row>
    <row r="799">
      <c r="I799" s="21"/>
    </row>
    <row r="800">
      <c r="I800" s="21"/>
    </row>
    <row r="801">
      <c r="I801" s="21"/>
    </row>
    <row r="802">
      <c r="I802" s="21"/>
    </row>
    <row r="803">
      <c r="I803" s="21"/>
    </row>
    <row r="804">
      <c r="I804" s="21"/>
    </row>
    <row r="805">
      <c r="I805" s="21"/>
    </row>
    <row r="806">
      <c r="I806" s="21"/>
    </row>
    <row r="807">
      <c r="I807" s="21"/>
    </row>
    <row r="808">
      <c r="I808" s="21"/>
    </row>
    <row r="809">
      <c r="I809" s="21"/>
    </row>
    <row r="810">
      <c r="I810" s="21"/>
    </row>
    <row r="811">
      <c r="I811" s="21"/>
    </row>
    <row r="812">
      <c r="I812" s="21"/>
    </row>
    <row r="813">
      <c r="I813" s="21"/>
    </row>
    <row r="814">
      <c r="I814" s="21"/>
    </row>
    <row r="815">
      <c r="I815" s="21"/>
    </row>
    <row r="816">
      <c r="I816" s="21"/>
    </row>
    <row r="817">
      <c r="I817" s="21"/>
    </row>
    <row r="818">
      <c r="I818" s="21"/>
    </row>
    <row r="819">
      <c r="I819" s="21"/>
    </row>
    <row r="820">
      <c r="I820" s="21"/>
    </row>
    <row r="821">
      <c r="I821" s="21"/>
    </row>
    <row r="822">
      <c r="I822" s="21"/>
    </row>
    <row r="823">
      <c r="I823" s="21"/>
    </row>
    <row r="824">
      <c r="I824" s="21"/>
    </row>
    <row r="825">
      <c r="I825" s="21"/>
    </row>
    <row r="826">
      <c r="I826" s="21"/>
    </row>
    <row r="827">
      <c r="I827" s="21"/>
    </row>
    <row r="828">
      <c r="I828" s="21"/>
    </row>
    <row r="829">
      <c r="I829" s="21"/>
    </row>
    <row r="830">
      <c r="I830" s="21"/>
    </row>
    <row r="831">
      <c r="I831" s="21"/>
    </row>
    <row r="832">
      <c r="I832" s="21"/>
    </row>
    <row r="833">
      <c r="I833" s="21"/>
    </row>
    <row r="834">
      <c r="I834" s="21"/>
    </row>
    <row r="835">
      <c r="I835" s="21"/>
    </row>
    <row r="836">
      <c r="I836" s="21"/>
    </row>
    <row r="837">
      <c r="I837" s="21"/>
    </row>
    <row r="838">
      <c r="I838" s="21"/>
    </row>
    <row r="839">
      <c r="I839" s="21"/>
    </row>
    <row r="840">
      <c r="I840" s="21"/>
    </row>
    <row r="841">
      <c r="I841" s="21"/>
    </row>
    <row r="842">
      <c r="I842" s="21"/>
    </row>
    <row r="843">
      <c r="I843" s="21"/>
    </row>
    <row r="844">
      <c r="I844" s="21"/>
    </row>
    <row r="845">
      <c r="I845" s="21"/>
    </row>
    <row r="846">
      <c r="I846" s="21"/>
    </row>
    <row r="847">
      <c r="I847" s="21"/>
    </row>
    <row r="848">
      <c r="I848" s="21"/>
    </row>
    <row r="849">
      <c r="I849" s="21"/>
    </row>
    <row r="850">
      <c r="I850" s="21"/>
    </row>
    <row r="851">
      <c r="I851" s="21"/>
    </row>
    <row r="852">
      <c r="I852" s="21"/>
    </row>
    <row r="853">
      <c r="I853" s="21"/>
    </row>
    <row r="854">
      <c r="I854" s="21"/>
    </row>
    <row r="855">
      <c r="I855" s="21"/>
    </row>
    <row r="856">
      <c r="I856" s="21"/>
    </row>
    <row r="857">
      <c r="I857" s="21"/>
    </row>
    <row r="858">
      <c r="I858" s="21"/>
    </row>
    <row r="859">
      <c r="I859" s="21"/>
    </row>
    <row r="860">
      <c r="I860" s="21"/>
    </row>
    <row r="861">
      <c r="I861" s="21"/>
    </row>
    <row r="862">
      <c r="I862" s="21"/>
    </row>
    <row r="863">
      <c r="I863" s="21"/>
    </row>
    <row r="864">
      <c r="I864" s="21"/>
    </row>
    <row r="865">
      <c r="I865" s="21"/>
    </row>
    <row r="866">
      <c r="I866" s="21"/>
    </row>
    <row r="867">
      <c r="I867" s="21"/>
    </row>
    <row r="868">
      <c r="I868" s="21"/>
    </row>
    <row r="869">
      <c r="I869" s="21"/>
    </row>
    <row r="870">
      <c r="I870" s="21"/>
    </row>
    <row r="871">
      <c r="I871" s="21"/>
    </row>
    <row r="872">
      <c r="I872" s="21"/>
    </row>
    <row r="873">
      <c r="I873" s="21"/>
    </row>
    <row r="874">
      <c r="I874" s="21"/>
    </row>
    <row r="875">
      <c r="I875" s="21"/>
    </row>
    <row r="876">
      <c r="I876" s="21"/>
    </row>
    <row r="877">
      <c r="I877" s="21"/>
    </row>
    <row r="878">
      <c r="I878" s="21"/>
    </row>
    <row r="879">
      <c r="I879" s="21"/>
    </row>
    <row r="880">
      <c r="I880" s="21"/>
    </row>
    <row r="881">
      <c r="I881" s="21"/>
    </row>
    <row r="882">
      <c r="I882" s="21"/>
    </row>
    <row r="883">
      <c r="I883" s="21"/>
    </row>
    <row r="884">
      <c r="I884" s="21"/>
    </row>
    <row r="885">
      <c r="I885" s="21"/>
    </row>
    <row r="886">
      <c r="I886" s="21"/>
    </row>
    <row r="887">
      <c r="I887" s="21"/>
    </row>
    <row r="888">
      <c r="I888" s="21"/>
    </row>
    <row r="889">
      <c r="I889" s="21"/>
    </row>
    <row r="890">
      <c r="I890" s="21"/>
    </row>
    <row r="891">
      <c r="I891" s="21"/>
    </row>
    <row r="892">
      <c r="I892" s="21"/>
    </row>
    <row r="893">
      <c r="I893" s="21"/>
    </row>
    <row r="894">
      <c r="I894" s="21"/>
    </row>
    <row r="895">
      <c r="I895" s="21"/>
    </row>
    <row r="896">
      <c r="I896" s="21"/>
    </row>
    <row r="897">
      <c r="I897" s="21"/>
    </row>
    <row r="898">
      <c r="I898" s="21"/>
    </row>
    <row r="899">
      <c r="I899" s="21"/>
    </row>
    <row r="900">
      <c r="I900" s="21"/>
    </row>
    <row r="901">
      <c r="I901" s="21"/>
    </row>
    <row r="902">
      <c r="I902" s="21"/>
    </row>
    <row r="903">
      <c r="I903" s="21"/>
    </row>
    <row r="904">
      <c r="I904" s="21"/>
    </row>
    <row r="905">
      <c r="I905" s="21"/>
    </row>
    <row r="906">
      <c r="I906" s="21"/>
    </row>
    <row r="907">
      <c r="I907" s="21"/>
    </row>
    <row r="908">
      <c r="I908" s="21"/>
    </row>
    <row r="909">
      <c r="I909" s="21"/>
    </row>
    <row r="910">
      <c r="I910" s="21"/>
    </row>
    <row r="911">
      <c r="I911" s="21"/>
    </row>
    <row r="912">
      <c r="I912" s="21"/>
    </row>
    <row r="913">
      <c r="I913" s="21"/>
    </row>
    <row r="914">
      <c r="I914" s="21"/>
    </row>
    <row r="915">
      <c r="I915" s="21"/>
    </row>
    <row r="916">
      <c r="I916" s="21"/>
    </row>
    <row r="917">
      <c r="I917" s="21"/>
    </row>
    <row r="918">
      <c r="I918" s="21"/>
    </row>
    <row r="919">
      <c r="I919" s="21"/>
    </row>
    <row r="920">
      <c r="I920" s="21"/>
    </row>
    <row r="921">
      <c r="I921" s="21"/>
    </row>
    <row r="922">
      <c r="I922" s="21"/>
    </row>
    <row r="923">
      <c r="I923" s="21"/>
    </row>
    <row r="924">
      <c r="I924" s="21"/>
    </row>
    <row r="925">
      <c r="I925" s="21"/>
    </row>
    <row r="926">
      <c r="I926" s="21"/>
    </row>
    <row r="927">
      <c r="I927" s="21"/>
    </row>
    <row r="928">
      <c r="I928" s="21"/>
    </row>
    <row r="929">
      <c r="I929" s="21"/>
    </row>
    <row r="930">
      <c r="I930" s="21"/>
    </row>
    <row r="931">
      <c r="I931" s="21"/>
    </row>
    <row r="932">
      <c r="I932" s="21"/>
    </row>
    <row r="933">
      <c r="I933" s="21"/>
    </row>
    <row r="934">
      <c r="I934" s="21"/>
    </row>
    <row r="935">
      <c r="I935" s="21"/>
    </row>
    <row r="936">
      <c r="I936" s="21"/>
    </row>
    <row r="937">
      <c r="I937" s="21"/>
    </row>
    <row r="938">
      <c r="I938" s="21"/>
    </row>
    <row r="939">
      <c r="I939" s="21"/>
    </row>
    <row r="940">
      <c r="I940" s="21"/>
    </row>
    <row r="941">
      <c r="I941" s="21"/>
    </row>
    <row r="942">
      <c r="I942" s="21"/>
    </row>
    <row r="943">
      <c r="I943" s="21"/>
    </row>
    <row r="944">
      <c r="I944" s="21"/>
    </row>
    <row r="945">
      <c r="I945" s="21"/>
    </row>
    <row r="946">
      <c r="I946" s="21"/>
    </row>
    <row r="947">
      <c r="I947" s="21"/>
    </row>
    <row r="948">
      <c r="I948" s="21"/>
    </row>
    <row r="949">
      <c r="I949" s="21"/>
    </row>
    <row r="950">
      <c r="I950" s="21"/>
    </row>
    <row r="951">
      <c r="I951" s="21"/>
    </row>
    <row r="952">
      <c r="I952" s="21"/>
    </row>
    <row r="953">
      <c r="I953" s="21"/>
    </row>
    <row r="954">
      <c r="I954" s="21"/>
    </row>
    <row r="955">
      <c r="I955" s="21"/>
    </row>
    <row r="956">
      <c r="I956" s="21"/>
    </row>
    <row r="957">
      <c r="I957" s="21"/>
    </row>
    <row r="958">
      <c r="I958" s="21"/>
    </row>
    <row r="959">
      <c r="I959" s="21"/>
    </row>
    <row r="960">
      <c r="I960" s="21"/>
    </row>
    <row r="961">
      <c r="I961" s="21"/>
    </row>
    <row r="962">
      <c r="I962" s="21"/>
    </row>
    <row r="963">
      <c r="I963" s="21"/>
    </row>
    <row r="964">
      <c r="I964" s="21"/>
    </row>
    <row r="965">
      <c r="I965" s="21"/>
    </row>
    <row r="966">
      <c r="I966" s="21"/>
    </row>
    <row r="967">
      <c r="I967" s="21"/>
    </row>
    <row r="968">
      <c r="I968" s="21"/>
    </row>
    <row r="969">
      <c r="I969" s="21"/>
    </row>
    <row r="970">
      <c r="I970" s="21"/>
    </row>
    <row r="971">
      <c r="I971" s="21"/>
    </row>
    <row r="972">
      <c r="I972" s="21"/>
    </row>
    <row r="973">
      <c r="I973" s="21"/>
    </row>
    <row r="974">
      <c r="I974" s="21"/>
    </row>
    <row r="975">
      <c r="I975" s="21"/>
    </row>
    <row r="976">
      <c r="I976" s="21"/>
    </row>
    <row r="977">
      <c r="I977" s="21"/>
    </row>
    <row r="978">
      <c r="I978" s="21"/>
    </row>
    <row r="979">
      <c r="I979" s="21"/>
    </row>
    <row r="980">
      <c r="I980" s="21"/>
    </row>
    <row r="981">
      <c r="I981" s="21"/>
    </row>
    <row r="982">
      <c r="I982" s="21"/>
    </row>
    <row r="983">
      <c r="I983" s="21"/>
    </row>
    <row r="984">
      <c r="I984" s="21"/>
    </row>
    <row r="985">
      <c r="I985" s="21"/>
    </row>
    <row r="986">
      <c r="I986" s="21"/>
    </row>
    <row r="987">
      <c r="I987" s="21"/>
    </row>
    <row r="988">
      <c r="I988" s="21"/>
    </row>
    <row r="989">
      <c r="I989" s="21"/>
    </row>
    <row r="990">
      <c r="I990" s="21"/>
    </row>
    <row r="991">
      <c r="I991" s="21"/>
    </row>
    <row r="992">
      <c r="I992" s="21"/>
    </row>
    <row r="993">
      <c r="I993" s="21"/>
    </row>
    <row r="994">
      <c r="I994" s="21"/>
    </row>
    <row r="995">
      <c r="I995" s="21"/>
    </row>
    <row r="996">
      <c r="I996" s="21"/>
    </row>
    <row r="997">
      <c r="I997" s="21"/>
    </row>
    <row r="998">
      <c r="I998" s="21"/>
    </row>
    <row r="999">
      <c r="I999" s="21"/>
    </row>
    <row r="1000">
      <c r="I1000" s="21"/>
    </row>
    <row r="1001">
      <c r="I1001" s="21"/>
    </row>
  </sheetData>
  <autoFilter ref="$A$1:$T$100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3" max="3" width="35.5"/>
    <col customWidth="1" min="4" max="4" width="20.25"/>
    <col customWidth="1" min="5" max="6" width="17.88"/>
    <col customWidth="1" min="7" max="7" width="17.5"/>
    <col customWidth="1" min="9" max="9" width="19.75"/>
    <col customWidth="1" min="10" max="10" width="23.0"/>
    <col customWidth="1" min="11" max="11" width="16.13"/>
  </cols>
  <sheetData>
    <row r="1">
      <c r="A1" s="8" t="s">
        <v>3344</v>
      </c>
      <c r="B1" s="8" t="s">
        <v>3345</v>
      </c>
      <c r="C1" s="8" t="s">
        <v>3346</v>
      </c>
      <c r="D1" s="8" t="s">
        <v>3347</v>
      </c>
      <c r="E1" s="8" t="s">
        <v>3348</v>
      </c>
      <c r="F1" s="8" t="s">
        <v>3349</v>
      </c>
      <c r="G1" s="8" t="s">
        <v>1693</v>
      </c>
      <c r="H1" s="8" t="s">
        <v>2144</v>
      </c>
      <c r="I1" s="8" t="s">
        <v>3350</v>
      </c>
      <c r="J1" s="8" t="s">
        <v>2242</v>
      </c>
      <c r="K1" s="8" t="s">
        <v>2243</v>
      </c>
      <c r="L1" s="21"/>
      <c r="M1" s="21"/>
      <c r="N1" s="21"/>
      <c r="O1" s="21"/>
      <c r="P1" s="21"/>
      <c r="Q1" s="21"/>
      <c r="R1" s="21"/>
      <c r="S1" s="21"/>
      <c r="T1" s="21"/>
      <c r="U1" s="21"/>
      <c r="V1" s="21"/>
      <c r="W1" s="21"/>
      <c r="X1" s="21"/>
      <c r="Y1" s="21"/>
      <c r="Z1" s="21"/>
      <c r="AA1" s="21"/>
      <c r="AB1" s="21"/>
      <c r="AC1" s="21"/>
    </row>
    <row r="2">
      <c r="A2" s="8"/>
      <c r="B2" s="8"/>
      <c r="C2" s="8"/>
      <c r="D2" s="24"/>
      <c r="E2" s="8"/>
      <c r="F2" s="8"/>
      <c r="G2" s="8"/>
      <c r="H2" s="8"/>
      <c r="I2" s="25"/>
      <c r="J2" s="21"/>
      <c r="K2" s="21"/>
      <c r="L2" s="21"/>
      <c r="M2" s="21"/>
      <c r="N2" s="21"/>
      <c r="O2" s="21"/>
      <c r="P2" s="21"/>
      <c r="Q2" s="21"/>
      <c r="R2" s="21"/>
      <c r="S2" s="21"/>
      <c r="T2" s="21"/>
      <c r="U2" s="21"/>
      <c r="V2" s="21"/>
      <c r="W2" s="21"/>
      <c r="X2" s="21"/>
      <c r="Y2" s="21"/>
      <c r="Z2" s="21"/>
      <c r="AA2" s="21"/>
      <c r="AB2" s="21"/>
      <c r="AC2" s="21"/>
    </row>
    <row r="3">
      <c r="A3" s="8">
        <v>8.0</v>
      </c>
      <c r="B3" s="8">
        <v>8.0</v>
      </c>
      <c r="C3" s="8" t="s">
        <v>2159</v>
      </c>
      <c r="D3" s="24">
        <v>46124.0</v>
      </c>
      <c r="E3" s="8">
        <v>25.0</v>
      </c>
      <c r="F3" s="8" t="s">
        <v>3351</v>
      </c>
      <c r="G3" s="8"/>
      <c r="H3" s="8">
        <v>1.0</v>
      </c>
      <c r="I3" s="25">
        <v>46099.0</v>
      </c>
      <c r="J3" s="21"/>
      <c r="K3" s="21"/>
      <c r="L3" s="21"/>
      <c r="M3" s="21"/>
      <c r="N3" s="21"/>
      <c r="O3" s="21"/>
      <c r="P3" s="21"/>
      <c r="Q3" s="21"/>
      <c r="R3" s="21"/>
      <c r="S3" s="21"/>
      <c r="T3" s="21"/>
      <c r="U3" s="21"/>
      <c r="V3" s="21"/>
      <c r="W3" s="21"/>
      <c r="X3" s="21"/>
      <c r="Y3" s="21"/>
      <c r="Z3" s="21"/>
      <c r="AA3" s="21"/>
      <c r="AB3" s="21"/>
      <c r="AC3" s="21"/>
    </row>
    <row r="4">
      <c r="A4" s="8">
        <v>9.0</v>
      </c>
      <c r="B4" s="8">
        <v>9.0</v>
      </c>
      <c r="C4" s="8" t="s">
        <v>2160</v>
      </c>
      <c r="D4" s="24">
        <v>46123.0</v>
      </c>
      <c r="E4" s="8">
        <v>25.0</v>
      </c>
      <c r="F4" s="8" t="s">
        <v>3351</v>
      </c>
      <c r="G4" s="8"/>
      <c r="H4" s="8">
        <v>1.0</v>
      </c>
      <c r="I4" s="25">
        <v>46098.0</v>
      </c>
      <c r="J4" s="21"/>
      <c r="K4" s="21"/>
      <c r="L4" s="21"/>
      <c r="M4" s="21"/>
      <c r="N4" s="21"/>
      <c r="O4" s="21"/>
      <c r="P4" s="21"/>
      <c r="Q4" s="21"/>
      <c r="R4" s="21"/>
      <c r="S4" s="21"/>
      <c r="T4" s="21"/>
      <c r="U4" s="21"/>
      <c r="V4" s="21"/>
      <c r="W4" s="21"/>
      <c r="X4" s="21"/>
      <c r="Y4" s="21"/>
      <c r="Z4" s="21"/>
      <c r="AA4" s="21"/>
      <c r="AB4" s="21"/>
      <c r="AC4" s="21"/>
    </row>
    <row r="5">
      <c r="A5" s="8">
        <v>11.0</v>
      </c>
      <c r="B5" s="8">
        <v>11.0</v>
      </c>
      <c r="C5" s="8" t="s">
        <v>2163</v>
      </c>
      <c r="D5" s="24">
        <v>46075.0</v>
      </c>
      <c r="E5" s="8">
        <v>45.0</v>
      </c>
      <c r="F5" s="8" t="s">
        <v>3351</v>
      </c>
      <c r="G5" s="8" t="s">
        <v>3352</v>
      </c>
      <c r="H5" s="8">
        <v>4.0</v>
      </c>
      <c r="I5" s="25">
        <v>46030.0</v>
      </c>
      <c r="J5" s="21"/>
      <c r="K5" s="21"/>
      <c r="L5" s="21"/>
      <c r="M5" s="21"/>
      <c r="N5" s="21"/>
      <c r="O5" s="21"/>
      <c r="P5" s="21"/>
      <c r="Q5" s="21"/>
      <c r="R5" s="21"/>
      <c r="S5" s="21"/>
      <c r="T5" s="21"/>
      <c r="U5" s="21"/>
      <c r="V5" s="21"/>
      <c r="W5" s="21"/>
      <c r="X5" s="21"/>
      <c r="Y5" s="21"/>
      <c r="Z5" s="21"/>
      <c r="AA5" s="21"/>
      <c r="AB5" s="21"/>
      <c r="AC5" s="21"/>
    </row>
    <row r="6">
      <c r="A6" s="8">
        <v>12.0</v>
      </c>
      <c r="B6" s="8">
        <v>12.0</v>
      </c>
      <c r="C6" s="8" t="s">
        <v>2164</v>
      </c>
      <c r="D6" s="24">
        <v>46085.0</v>
      </c>
      <c r="E6" s="8">
        <v>25.0</v>
      </c>
      <c r="F6" s="8" t="s">
        <v>3351</v>
      </c>
      <c r="G6" s="8"/>
      <c r="H6" s="8">
        <v>4.0</v>
      </c>
      <c r="I6" s="24">
        <v>46060.0</v>
      </c>
      <c r="J6" s="21"/>
      <c r="K6" s="21"/>
      <c r="L6" s="21"/>
      <c r="M6" s="21"/>
      <c r="N6" s="21"/>
      <c r="O6" s="21"/>
      <c r="P6" s="21"/>
      <c r="Q6" s="21"/>
      <c r="R6" s="21"/>
      <c r="S6" s="21"/>
      <c r="T6" s="21"/>
      <c r="U6" s="21"/>
      <c r="V6" s="21"/>
      <c r="W6" s="21"/>
      <c r="X6" s="21"/>
      <c r="Y6" s="21"/>
      <c r="Z6" s="21"/>
      <c r="AA6" s="21"/>
      <c r="AB6" s="21"/>
      <c r="AC6" s="21"/>
    </row>
    <row r="7">
      <c r="A7" s="8">
        <v>13.0</v>
      </c>
      <c r="B7" s="8">
        <v>13.0</v>
      </c>
      <c r="C7" s="8" t="s">
        <v>2165</v>
      </c>
      <c r="D7" s="24">
        <v>46150.0</v>
      </c>
      <c r="E7" s="8">
        <v>90.0</v>
      </c>
      <c r="F7" s="8" t="s">
        <v>3351</v>
      </c>
      <c r="G7" s="8"/>
      <c r="H7" s="8">
        <v>4.0</v>
      </c>
      <c r="I7" s="25">
        <v>46060.0</v>
      </c>
      <c r="J7" s="21"/>
      <c r="K7" s="21"/>
      <c r="L7" s="21"/>
      <c r="M7" s="21"/>
      <c r="N7" s="21"/>
      <c r="O7" s="21"/>
      <c r="P7" s="21"/>
      <c r="Q7" s="21"/>
      <c r="R7" s="21"/>
      <c r="S7" s="21"/>
      <c r="T7" s="21"/>
      <c r="U7" s="21"/>
      <c r="V7" s="21"/>
      <c r="W7" s="21"/>
      <c r="X7" s="21"/>
      <c r="Y7" s="21"/>
      <c r="Z7" s="21"/>
      <c r="AA7" s="21"/>
      <c r="AB7" s="21"/>
      <c r="AC7" s="21"/>
    </row>
    <row r="8">
      <c r="A8" s="8">
        <v>14.0</v>
      </c>
      <c r="B8" s="8">
        <v>14.0</v>
      </c>
      <c r="C8" s="8" t="s">
        <v>2166</v>
      </c>
      <c r="D8" s="24">
        <v>46062.0</v>
      </c>
      <c r="E8" s="8">
        <v>25.0</v>
      </c>
      <c r="F8" s="8" t="s">
        <v>3351</v>
      </c>
      <c r="G8" s="8"/>
      <c r="H8" s="8">
        <v>4.0</v>
      </c>
      <c r="I8" s="25">
        <v>46037.0</v>
      </c>
      <c r="J8" s="21"/>
      <c r="K8" s="21"/>
      <c r="L8" s="21"/>
      <c r="M8" s="21"/>
      <c r="N8" s="21"/>
      <c r="O8" s="21"/>
      <c r="P8" s="21"/>
      <c r="Q8" s="21"/>
      <c r="R8" s="21"/>
      <c r="S8" s="21"/>
      <c r="T8" s="21"/>
      <c r="U8" s="21"/>
      <c r="V8" s="21"/>
      <c r="W8" s="21"/>
      <c r="X8" s="21"/>
      <c r="Y8" s="21"/>
      <c r="Z8" s="21"/>
      <c r="AA8" s="21"/>
      <c r="AB8" s="21"/>
      <c r="AC8" s="21"/>
    </row>
    <row r="9">
      <c r="A9" s="8"/>
      <c r="B9" s="8"/>
      <c r="C9" s="8"/>
      <c r="D9" s="24"/>
      <c r="E9" s="8"/>
      <c r="F9" s="8"/>
      <c r="G9" s="8"/>
      <c r="H9" s="8"/>
      <c r="I9" s="25"/>
      <c r="J9" s="21"/>
      <c r="K9" s="21"/>
      <c r="L9" s="21"/>
      <c r="M9" s="21"/>
      <c r="N9" s="21"/>
      <c r="O9" s="21"/>
      <c r="P9" s="21"/>
      <c r="Q9" s="21"/>
      <c r="R9" s="21"/>
      <c r="S9" s="21"/>
      <c r="T9" s="21"/>
      <c r="U9" s="21"/>
      <c r="V9" s="21"/>
      <c r="W9" s="21"/>
      <c r="X9" s="21"/>
      <c r="Y9" s="21"/>
      <c r="Z9" s="21"/>
      <c r="AA9" s="21"/>
      <c r="AB9" s="21"/>
      <c r="AC9" s="21"/>
    </row>
    <row r="10">
      <c r="A10" s="8"/>
      <c r="B10" s="8"/>
      <c r="C10" s="8"/>
      <c r="D10" s="24"/>
      <c r="E10" s="8"/>
      <c r="F10" s="8"/>
      <c r="G10" s="8"/>
      <c r="H10" s="8"/>
      <c r="I10" s="25"/>
      <c r="J10" s="21"/>
      <c r="K10" s="21"/>
      <c r="L10" s="21"/>
      <c r="M10" s="21"/>
      <c r="N10" s="21"/>
      <c r="O10" s="21"/>
      <c r="P10" s="21"/>
      <c r="Q10" s="21"/>
      <c r="R10" s="21"/>
      <c r="S10" s="21"/>
      <c r="T10" s="21"/>
      <c r="U10" s="21"/>
      <c r="V10" s="21"/>
      <c r="W10" s="21"/>
      <c r="X10" s="21"/>
      <c r="Y10" s="21"/>
      <c r="Z10" s="21"/>
      <c r="AA10" s="21"/>
      <c r="AB10" s="21"/>
      <c r="AC10" s="21"/>
    </row>
    <row r="11">
      <c r="A11" s="8">
        <v>17.0</v>
      </c>
      <c r="B11" s="8">
        <v>17.0</v>
      </c>
      <c r="C11" s="8" t="s">
        <v>2169</v>
      </c>
      <c r="D11" s="24">
        <v>46104.0</v>
      </c>
      <c r="E11" s="8">
        <v>25.0</v>
      </c>
      <c r="F11" s="8" t="s">
        <v>3351</v>
      </c>
      <c r="G11" s="8"/>
      <c r="H11" s="8">
        <v>1.0</v>
      </c>
      <c r="I11" s="25">
        <v>46079.0</v>
      </c>
      <c r="J11" s="21"/>
      <c r="K11" s="21"/>
      <c r="L11" s="21"/>
      <c r="M11" s="21"/>
      <c r="N11" s="21"/>
      <c r="O11" s="21"/>
      <c r="P11" s="21"/>
      <c r="Q11" s="21"/>
      <c r="R11" s="21"/>
      <c r="S11" s="21"/>
      <c r="T11" s="21"/>
      <c r="U11" s="21"/>
      <c r="V11" s="21"/>
      <c r="W11" s="21"/>
      <c r="X11" s="21"/>
      <c r="Y11" s="21"/>
      <c r="Z11" s="21"/>
      <c r="AA11" s="21"/>
      <c r="AB11" s="21"/>
      <c r="AC11" s="21"/>
    </row>
    <row r="12">
      <c r="A12" s="8">
        <v>18.0</v>
      </c>
      <c r="B12" s="8">
        <v>18.0</v>
      </c>
      <c r="C12" s="8" t="s">
        <v>2170</v>
      </c>
      <c r="D12" s="24">
        <v>46104.0</v>
      </c>
      <c r="E12" s="8">
        <v>25.0</v>
      </c>
      <c r="F12" s="8" t="s">
        <v>3351</v>
      </c>
      <c r="G12" s="8"/>
      <c r="H12" s="8">
        <v>1.0</v>
      </c>
      <c r="I12" s="25">
        <v>46079.0</v>
      </c>
      <c r="J12" s="21"/>
      <c r="K12" s="21"/>
      <c r="L12" s="21"/>
      <c r="M12" s="21"/>
      <c r="N12" s="21"/>
      <c r="O12" s="21"/>
      <c r="P12" s="21"/>
      <c r="Q12" s="21"/>
      <c r="R12" s="21"/>
      <c r="S12" s="21"/>
      <c r="T12" s="21"/>
      <c r="U12" s="21"/>
      <c r="V12" s="21"/>
      <c r="W12" s="21"/>
      <c r="X12" s="21"/>
      <c r="Y12" s="21"/>
      <c r="Z12" s="21"/>
      <c r="AA12" s="21"/>
      <c r="AB12" s="21"/>
      <c r="AC12" s="21"/>
    </row>
    <row r="13">
      <c r="A13" s="8">
        <v>19.0</v>
      </c>
      <c r="B13" s="8">
        <v>19.0</v>
      </c>
      <c r="C13" s="8" t="s">
        <v>2171</v>
      </c>
      <c r="D13" s="24">
        <v>46104.0</v>
      </c>
      <c r="E13" s="8">
        <v>25.0</v>
      </c>
      <c r="F13" s="8" t="s">
        <v>3351</v>
      </c>
      <c r="G13" s="8"/>
      <c r="H13" s="8">
        <v>1.0</v>
      </c>
      <c r="I13" s="25">
        <v>46079.0</v>
      </c>
      <c r="J13" s="21"/>
      <c r="K13" s="21"/>
      <c r="L13" s="21"/>
      <c r="M13" s="21"/>
      <c r="N13" s="21"/>
      <c r="O13" s="21"/>
      <c r="P13" s="21"/>
      <c r="Q13" s="21"/>
      <c r="R13" s="21"/>
      <c r="S13" s="21"/>
      <c r="T13" s="21"/>
      <c r="U13" s="21"/>
      <c r="V13" s="21"/>
      <c r="W13" s="21"/>
      <c r="X13" s="21"/>
      <c r="Y13" s="21"/>
      <c r="Z13" s="21"/>
      <c r="AA13" s="21"/>
      <c r="AB13" s="21"/>
      <c r="AC13" s="21"/>
    </row>
    <row r="14">
      <c r="A14" s="8">
        <v>20.0</v>
      </c>
      <c r="B14" s="8">
        <v>20.0</v>
      </c>
      <c r="C14" s="8" t="s">
        <v>2172</v>
      </c>
      <c r="D14" s="24">
        <v>46104.0</v>
      </c>
      <c r="E14" s="8">
        <v>25.0</v>
      </c>
      <c r="F14" s="8" t="s">
        <v>3351</v>
      </c>
      <c r="G14" s="8"/>
      <c r="H14" s="8">
        <v>1.0</v>
      </c>
      <c r="I14" s="25">
        <v>46079.0</v>
      </c>
      <c r="J14" s="21"/>
      <c r="K14" s="21"/>
      <c r="L14" s="21"/>
      <c r="M14" s="21"/>
      <c r="N14" s="21"/>
      <c r="O14" s="21"/>
      <c r="P14" s="21"/>
      <c r="Q14" s="21"/>
      <c r="R14" s="21"/>
      <c r="S14" s="21"/>
      <c r="T14" s="21"/>
      <c r="U14" s="21"/>
      <c r="V14" s="21"/>
      <c r="W14" s="21"/>
      <c r="X14" s="21"/>
      <c r="Y14" s="21"/>
      <c r="Z14" s="21"/>
      <c r="AA14" s="21"/>
      <c r="AB14" s="21"/>
      <c r="AC14" s="21"/>
    </row>
    <row r="15">
      <c r="A15" s="8">
        <v>21.0</v>
      </c>
      <c r="B15" s="8">
        <v>21.0</v>
      </c>
      <c r="C15" s="8" t="s">
        <v>2173</v>
      </c>
      <c r="D15" s="24">
        <v>46166.0</v>
      </c>
      <c r="E15" s="8">
        <v>60.0</v>
      </c>
      <c r="F15" s="8" t="s">
        <v>3351</v>
      </c>
      <c r="G15" s="8"/>
      <c r="H15" s="8">
        <v>2.0</v>
      </c>
      <c r="I15" s="25">
        <v>46106.0</v>
      </c>
      <c r="J15" s="21"/>
      <c r="K15" s="21"/>
      <c r="L15" s="21"/>
      <c r="M15" s="21"/>
      <c r="N15" s="21"/>
      <c r="O15" s="21"/>
      <c r="P15" s="21"/>
      <c r="Q15" s="21"/>
      <c r="R15" s="21"/>
      <c r="S15" s="21"/>
      <c r="T15" s="21"/>
      <c r="U15" s="21"/>
      <c r="V15" s="21"/>
      <c r="W15" s="21"/>
      <c r="X15" s="21"/>
      <c r="Y15" s="21"/>
      <c r="Z15" s="21"/>
      <c r="AA15" s="21"/>
      <c r="AB15" s="21"/>
      <c r="AC15" s="21"/>
    </row>
    <row r="16">
      <c r="A16" s="8">
        <v>23.0</v>
      </c>
      <c r="B16" s="8">
        <v>23.0</v>
      </c>
      <c r="C16" s="8" t="s">
        <v>2176</v>
      </c>
      <c r="D16" s="24">
        <v>46118.0</v>
      </c>
      <c r="E16" s="8">
        <v>45.0</v>
      </c>
      <c r="F16" s="8" t="s">
        <v>3351</v>
      </c>
      <c r="G16" s="8"/>
      <c r="H16" s="8">
        <v>1.0</v>
      </c>
      <c r="I16" s="25">
        <v>46073.0</v>
      </c>
      <c r="J16" s="21"/>
      <c r="K16" s="21"/>
      <c r="L16" s="21"/>
      <c r="M16" s="21"/>
      <c r="N16" s="21"/>
      <c r="O16" s="21"/>
      <c r="P16" s="21"/>
      <c r="Q16" s="21"/>
      <c r="R16" s="21"/>
      <c r="S16" s="21"/>
      <c r="T16" s="21"/>
      <c r="U16" s="21"/>
      <c r="V16" s="21"/>
      <c r="W16" s="21"/>
      <c r="X16" s="21"/>
      <c r="Y16" s="21"/>
      <c r="Z16" s="21"/>
      <c r="AA16" s="21"/>
      <c r="AB16" s="21"/>
      <c r="AC16" s="21"/>
    </row>
    <row r="17">
      <c r="A17" s="8">
        <v>24.0</v>
      </c>
      <c r="B17" s="8">
        <v>24.0</v>
      </c>
      <c r="C17" s="8" t="s">
        <v>2177</v>
      </c>
      <c r="D17" s="24">
        <v>46118.0</v>
      </c>
      <c r="E17" s="8">
        <v>45.0</v>
      </c>
      <c r="F17" s="8" t="s">
        <v>3351</v>
      </c>
      <c r="G17" s="8"/>
      <c r="H17" s="8">
        <v>1.0</v>
      </c>
      <c r="I17" s="25">
        <v>46073.0</v>
      </c>
      <c r="J17" s="21"/>
      <c r="K17" s="21"/>
      <c r="L17" s="21"/>
      <c r="M17" s="21"/>
      <c r="N17" s="21"/>
      <c r="O17" s="21"/>
      <c r="P17" s="21"/>
      <c r="Q17" s="21"/>
      <c r="R17" s="21"/>
      <c r="S17" s="21"/>
      <c r="T17" s="21"/>
      <c r="U17" s="21"/>
      <c r="V17" s="21"/>
      <c r="W17" s="21"/>
      <c r="X17" s="21"/>
      <c r="Y17" s="21"/>
      <c r="Z17" s="21"/>
      <c r="AA17" s="21"/>
      <c r="AB17" s="21"/>
      <c r="AC17" s="21"/>
    </row>
    <row r="18">
      <c r="A18" s="8">
        <v>25.0</v>
      </c>
      <c r="B18" s="8">
        <v>25.0</v>
      </c>
      <c r="C18" s="8" t="s">
        <v>2178</v>
      </c>
      <c r="D18" s="24">
        <v>46118.0</v>
      </c>
      <c r="E18" s="8">
        <v>45.0</v>
      </c>
      <c r="F18" s="8" t="s">
        <v>3351</v>
      </c>
      <c r="G18" s="8"/>
      <c r="H18" s="8">
        <v>1.0</v>
      </c>
      <c r="I18" s="25">
        <v>46073.0</v>
      </c>
      <c r="J18" s="21"/>
      <c r="K18" s="21"/>
      <c r="L18" s="21"/>
      <c r="M18" s="21"/>
      <c r="N18" s="21"/>
      <c r="O18" s="21"/>
      <c r="P18" s="21"/>
      <c r="Q18" s="21"/>
      <c r="R18" s="21"/>
      <c r="S18" s="21"/>
      <c r="T18" s="21"/>
      <c r="U18" s="21"/>
      <c r="V18" s="21"/>
      <c r="W18" s="21"/>
      <c r="X18" s="21"/>
      <c r="Y18" s="21"/>
      <c r="Z18" s="21"/>
      <c r="AA18" s="21"/>
      <c r="AB18" s="21"/>
      <c r="AC18" s="21"/>
    </row>
    <row r="19">
      <c r="A19" s="8">
        <v>26.0</v>
      </c>
      <c r="B19" s="8">
        <v>26.0</v>
      </c>
      <c r="C19" s="8" t="s">
        <v>2179</v>
      </c>
      <c r="D19" s="24">
        <v>46136.0</v>
      </c>
      <c r="E19" s="8">
        <v>45.0</v>
      </c>
      <c r="F19" s="8" t="s">
        <v>3351</v>
      </c>
      <c r="G19" s="8"/>
      <c r="H19" s="8">
        <v>1.0</v>
      </c>
      <c r="I19" s="25">
        <v>46091.0</v>
      </c>
      <c r="J19" s="21"/>
      <c r="K19" s="21"/>
      <c r="L19" s="21"/>
      <c r="M19" s="21"/>
      <c r="N19" s="21"/>
      <c r="O19" s="21"/>
      <c r="P19" s="21"/>
      <c r="Q19" s="21"/>
      <c r="R19" s="21"/>
      <c r="S19" s="21"/>
      <c r="T19" s="21"/>
      <c r="U19" s="21"/>
      <c r="V19" s="21"/>
      <c r="W19" s="21"/>
      <c r="X19" s="21"/>
      <c r="Y19" s="21"/>
      <c r="Z19" s="21"/>
      <c r="AA19" s="21"/>
      <c r="AB19" s="21"/>
      <c r="AC19" s="21"/>
    </row>
    <row r="20">
      <c r="A20" s="8">
        <v>27.0</v>
      </c>
      <c r="B20" s="8">
        <v>27.0</v>
      </c>
      <c r="C20" s="8" t="s">
        <v>2180</v>
      </c>
      <c r="D20" s="24">
        <v>46136.0</v>
      </c>
      <c r="E20" s="8">
        <v>45.0</v>
      </c>
      <c r="F20" s="8" t="s">
        <v>3351</v>
      </c>
      <c r="G20" s="8"/>
      <c r="H20" s="8">
        <v>1.0</v>
      </c>
      <c r="I20" s="25">
        <v>46091.0</v>
      </c>
      <c r="J20" s="21"/>
      <c r="K20" s="21"/>
      <c r="L20" s="21"/>
      <c r="M20" s="21"/>
      <c r="N20" s="21"/>
      <c r="O20" s="21"/>
      <c r="P20" s="21"/>
      <c r="Q20" s="21"/>
      <c r="R20" s="21"/>
      <c r="S20" s="21"/>
      <c r="T20" s="21"/>
      <c r="U20" s="21"/>
      <c r="V20" s="21"/>
      <c r="W20" s="21"/>
      <c r="X20" s="21"/>
      <c r="Y20" s="21"/>
      <c r="Z20" s="21"/>
      <c r="AA20" s="21"/>
      <c r="AB20" s="21"/>
      <c r="AC20" s="21"/>
    </row>
    <row r="21">
      <c r="A21" s="8"/>
      <c r="B21" s="8"/>
      <c r="C21" s="8"/>
      <c r="D21" s="24"/>
      <c r="E21" s="8"/>
      <c r="F21" s="8"/>
      <c r="G21" s="8"/>
      <c r="H21" s="8"/>
      <c r="I21" s="25"/>
      <c r="J21" s="21"/>
      <c r="K21" s="21"/>
      <c r="L21" s="21"/>
      <c r="M21" s="21"/>
      <c r="N21" s="21"/>
      <c r="O21" s="21"/>
      <c r="P21" s="21"/>
      <c r="Q21" s="21"/>
      <c r="R21" s="21"/>
      <c r="S21" s="21"/>
      <c r="T21" s="21"/>
      <c r="U21" s="21"/>
      <c r="V21" s="21"/>
      <c r="W21" s="21"/>
      <c r="X21" s="21"/>
      <c r="Y21" s="21"/>
      <c r="Z21" s="21"/>
      <c r="AA21" s="21"/>
      <c r="AB21" s="21"/>
      <c r="AC21" s="21"/>
    </row>
    <row r="22">
      <c r="A22" s="8"/>
      <c r="B22" s="8"/>
      <c r="C22" s="8"/>
      <c r="D22" s="24"/>
      <c r="E22" s="8"/>
      <c r="F22" s="8"/>
      <c r="G22" s="8"/>
      <c r="H22" s="8"/>
      <c r="I22" s="25"/>
      <c r="J22" s="21"/>
      <c r="K22" s="21"/>
      <c r="L22" s="21"/>
      <c r="M22" s="21"/>
      <c r="N22" s="21"/>
      <c r="O22" s="21"/>
      <c r="P22" s="21"/>
      <c r="Q22" s="21"/>
      <c r="R22" s="21"/>
      <c r="S22" s="21"/>
      <c r="T22" s="21"/>
      <c r="U22" s="21"/>
      <c r="V22" s="21"/>
      <c r="W22" s="21"/>
      <c r="X22" s="21"/>
      <c r="Y22" s="21"/>
      <c r="Z22" s="21"/>
      <c r="AA22" s="21"/>
      <c r="AB22" s="21"/>
      <c r="AC22" s="21"/>
    </row>
    <row r="23">
      <c r="A23" s="8"/>
      <c r="B23" s="8"/>
      <c r="C23" s="8"/>
      <c r="D23" s="24"/>
      <c r="E23" s="8"/>
      <c r="F23" s="8"/>
      <c r="G23" s="8"/>
      <c r="H23" s="8"/>
      <c r="I23" s="25"/>
      <c r="J23" s="21"/>
      <c r="K23" s="21"/>
      <c r="L23" s="21"/>
      <c r="M23" s="21"/>
      <c r="N23" s="21"/>
      <c r="O23" s="21"/>
      <c r="P23" s="21"/>
      <c r="Q23" s="21"/>
      <c r="R23" s="21"/>
      <c r="S23" s="21"/>
      <c r="T23" s="21"/>
      <c r="U23" s="21"/>
      <c r="V23" s="21"/>
      <c r="W23" s="21"/>
      <c r="X23" s="21"/>
      <c r="Y23" s="21"/>
      <c r="Z23" s="21"/>
      <c r="AA23" s="21"/>
      <c r="AB23" s="21"/>
      <c r="AC23" s="21"/>
    </row>
    <row r="24">
      <c r="A24" s="8"/>
      <c r="B24" s="8"/>
      <c r="C24" s="26"/>
      <c r="D24" s="24"/>
      <c r="E24" s="8"/>
      <c r="F24" s="8"/>
      <c r="G24" s="8"/>
      <c r="H24" s="8"/>
      <c r="I24" s="24"/>
      <c r="J24" s="8"/>
      <c r="K24" s="21"/>
      <c r="L24" s="21"/>
      <c r="M24" s="21"/>
      <c r="N24" s="21"/>
      <c r="O24" s="21"/>
      <c r="P24" s="21"/>
      <c r="Q24" s="21"/>
      <c r="R24" s="21"/>
      <c r="S24" s="21"/>
      <c r="T24" s="21"/>
      <c r="U24" s="21"/>
      <c r="V24" s="21"/>
      <c r="W24" s="21"/>
      <c r="X24" s="21"/>
      <c r="Y24" s="21"/>
      <c r="Z24" s="21"/>
      <c r="AA24" s="21"/>
      <c r="AB24" s="21"/>
      <c r="AC24" s="21"/>
    </row>
    <row r="25">
      <c r="A25" s="8"/>
      <c r="B25" s="8"/>
      <c r="C25" s="8"/>
      <c r="D25" s="24"/>
      <c r="E25" s="8"/>
      <c r="F25" s="8"/>
      <c r="G25" s="8"/>
      <c r="H25" s="8"/>
      <c r="I25" s="24"/>
      <c r="J25" s="8"/>
      <c r="K25" s="21"/>
      <c r="L25" s="21"/>
      <c r="M25" s="21"/>
      <c r="N25" s="21"/>
      <c r="O25" s="21"/>
      <c r="P25" s="21"/>
      <c r="Q25" s="21"/>
      <c r="R25" s="21"/>
      <c r="S25" s="21"/>
      <c r="T25" s="21"/>
      <c r="U25" s="21"/>
      <c r="V25" s="21"/>
      <c r="W25" s="21"/>
      <c r="X25" s="21"/>
      <c r="Y25" s="21"/>
      <c r="Z25" s="21"/>
      <c r="AA25" s="21"/>
      <c r="AB25" s="21"/>
      <c r="AC25" s="21"/>
    </row>
    <row r="26">
      <c r="A26" s="8"/>
      <c r="B26" s="8"/>
      <c r="C26" s="8"/>
      <c r="D26" s="24"/>
      <c r="E26" s="8"/>
      <c r="F26" s="8"/>
      <c r="G26" s="8"/>
      <c r="H26" s="8"/>
      <c r="I26" s="21"/>
      <c r="J26" s="8"/>
      <c r="K26" s="21"/>
      <c r="L26" s="21"/>
      <c r="M26" s="21"/>
      <c r="N26" s="21"/>
      <c r="O26" s="21"/>
      <c r="P26" s="21"/>
      <c r="Q26" s="21"/>
      <c r="R26" s="21"/>
      <c r="S26" s="21"/>
      <c r="T26" s="21"/>
      <c r="U26" s="21"/>
      <c r="V26" s="21"/>
      <c r="W26" s="21"/>
      <c r="X26" s="21"/>
      <c r="Y26" s="21"/>
      <c r="Z26" s="21"/>
      <c r="AA26" s="21"/>
      <c r="AB26" s="21"/>
      <c r="AC26" s="21"/>
    </row>
    <row r="27">
      <c r="A27" s="8"/>
      <c r="B27" s="8"/>
      <c r="C27" s="8"/>
      <c r="D27" s="24"/>
      <c r="E27" s="8"/>
      <c r="F27" s="8"/>
      <c r="G27" s="8"/>
      <c r="H27" s="8"/>
      <c r="I27" s="21"/>
      <c r="J27" s="8"/>
      <c r="K27" s="21"/>
      <c r="L27" s="21"/>
      <c r="M27" s="21"/>
      <c r="N27" s="21"/>
      <c r="O27" s="21"/>
      <c r="P27" s="21"/>
      <c r="Q27" s="21"/>
      <c r="R27" s="21"/>
      <c r="S27" s="21"/>
      <c r="T27" s="21"/>
      <c r="U27" s="21"/>
      <c r="V27" s="21"/>
      <c r="W27" s="21"/>
      <c r="X27" s="21"/>
      <c r="Y27" s="21"/>
      <c r="Z27" s="21"/>
      <c r="AA27" s="21"/>
      <c r="AB27" s="21"/>
      <c r="AC27" s="21"/>
    </row>
    <row r="28">
      <c r="A28" s="8" t="s">
        <v>2573</v>
      </c>
      <c r="B28" s="8" t="s">
        <v>2209</v>
      </c>
      <c r="C28" s="8" t="s">
        <v>2574</v>
      </c>
      <c r="D28" s="24">
        <v>46146.0</v>
      </c>
      <c r="E28" s="8">
        <v>45.0</v>
      </c>
      <c r="F28" s="8" t="s">
        <v>3351</v>
      </c>
      <c r="G28" s="8" t="s">
        <v>3353</v>
      </c>
      <c r="H28" s="19" t="s">
        <v>2154</v>
      </c>
      <c r="I28" s="24">
        <v>46101.0</v>
      </c>
      <c r="J28" s="8" t="s">
        <v>3353</v>
      </c>
      <c r="K28" s="21"/>
      <c r="L28" s="21"/>
      <c r="M28" s="21"/>
      <c r="N28" s="21"/>
      <c r="O28" s="21"/>
      <c r="P28" s="21"/>
      <c r="Q28" s="21"/>
      <c r="R28" s="21"/>
      <c r="S28" s="21"/>
      <c r="T28" s="21"/>
      <c r="U28" s="21"/>
      <c r="V28" s="21"/>
      <c r="W28" s="21"/>
      <c r="X28" s="21"/>
      <c r="Y28" s="21"/>
      <c r="Z28" s="21"/>
      <c r="AA28" s="21"/>
      <c r="AB28" s="21"/>
      <c r="AC28" s="21"/>
    </row>
    <row r="29">
      <c r="A29" s="8"/>
      <c r="B29" s="8"/>
      <c r="C29" s="8"/>
      <c r="D29" s="24"/>
      <c r="E29" s="8"/>
      <c r="F29" s="8"/>
      <c r="G29" s="8"/>
      <c r="H29" s="8"/>
      <c r="I29" s="21"/>
      <c r="J29" s="8"/>
      <c r="K29" s="21"/>
      <c r="L29" s="21"/>
      <c r="M29" s="21"/>
      <c r="N29" s="21"/>
      <c r="O29" s="21"/>
      <c r="P29" s="21"/>
      <c r="Q29" s="21"/>
      <c r="R29" s="21"/>
      <c r="S29" s="21"/>
      <c r="T29" s="21"/>
      <c r="U29" s="21"/>
      <c r="V29" s="21"/>
      <c r="W29" s="21"/>
      <c r="X29" s="21"/>
      <c r="Y29" s="21"/>
      <c r="Z29" s="21"/>
      <c r="AA29" s="21"/>
      <c r="AB29" s="21"/>
      <c r="AC29" s="21"/>
    </row>
    <row r="30">
      <c r="A30" s="8"/>
      <c r="B30" s="8"/>
      <c r="C30" s="8"/>
      <c r="D30" s="25"/>
      <c r="E30" s="8"/>
      <c r="F30" s="8"/>
      <c r="G30" s="8"/>
      <c r="H30" s="8"/>
      <c r="I30" s="21"/>
      <c r="J30" s="8"/>
      <c r="K30" s="21"/>
      <c r="L30" s="21"/>
      <c r="M30" s="21"/>
      <c r="N30" s="21"/>
      <c r="O30" s="21"/>
      <c r="P30" s="21"/>
      <c r="Q30" s="21"/>
      <c r="R30" s="21"/>
      <c r="S30" s="21"/>
      <c r="T30" s="21"/>
      <c r="U30" s="21"/>
      <c r="V30" s="21"/>
      <c r="W30" s="21"/>
      <c r="X30" s="21"/>
      <c r="Y30" s="21"/>
      <c r="Z30" s="21"/>
      <c r="AA30" s="21"/>
      <c r="AB30" s="21"/>
      <c r="AC30" s="21"/>
    </row>
    <row r="31">
      <c r="A31" s="8"/>
      <c r="B31" s="8"/>
      <c r="C31" s="8"/>
      <c r="D31" s="24"/>
      <c r="E31" s="8"/>
      <c r="F31" s="8"/>
      <c r="G31" s="8"/>
      <c r="H31" s="8"/>
      <c r="I31" s="24"/>
      <c r="J31" s="8"/>
      <c r="K31" s="21"/>
      <c r="L31" s="21"/>
      <c r="M31" s="21"/>
      <c r="N31" s="21"/>
      <c r="O31" s="21"/>
      <c r="P31" s="21"/>
      <c r="Q31" s="21"/>
      <c r="R31" s="21"/>
      <c r="S31" s="21"/>
      <c r="T31" s="21"/>
      <c r="U31" s="21"/>
      <c r="V31" s="21"/>
      <c r="W31" s="21"/>
      <c r="X31" s="21"/>
      <c r="Y31" s="21"/>
      <c r="Z31" s="21"/>
      <c r="AA31" s="21"/>
      <c r="AB31" s="21"/>
      <c r="AC31" s="21"/>
    </row>
    <row r="32">
      <c r="A32" s="8" t="s">
        <v>3158</v>
      </c>
      <c r="B32" s="19" t="s">
        <v>2387</v>
      </c>
      <c r="C32" s="8" t="s">
        <v>3159</v>
      </c>
      <c r="D32" s="24">
        <v>46067.0</v>
      </c>
      <c r="E32" s="8">
        <v>180.0</v>
      </c>
      <c r="F32" s="8" t="s">
        <v>3354</v>
      </c>
      <c r="G32" s="8" t="s">
        <v>3159</v>
      </c>
      <c r="H32" s="19" t="s">
        <v>2148</v>
      </c>
      <c r="I32" s="24">
        <v>45887.0</v>
      </c>
      <c r="J32" s="8" t="s">
        <v>3159</v>
      </c>
      <c r="K32" s="21"/>
      <c r="L32" s="21"/>
      <c r="M32" s="21"/>
      <c r="N32" s="21"/>
      <c r="O32" s="21"/>
      <c r="P32" s="21"/>
      <c r="Q32" s="21"/>
      <c r="R32" s="21"/>
      <c r="S32" s="21"/>
      <c r="T32" s="21"/>
      <c r="U32" s="21"/>
      <c r="V32" s="21"/>
      <c r="W32" s="21"/>
      <c r="X32" s="21"/>
      <c r="Y32" s="21"/>
      <c r="Z32" s="21"/>
      <c r="AA32" s="21"/>
      <c r="AB32" s="21"/>
      <c r="AC32" s="21"/>
    </row>
    <row r="33">
      <c r="A33" s="8"/>
      <c r="B33" s="8"/>
      <c r="C33" s="8"/>
      <c r="D33" s="24"/>
      <c r="E33" s="8"/>
      <c r="F33" s="8"/>
      <c r="G33" s="8"/>
      <c r="H33" s="8"/>
      <c r="I33" s="24"/>
      <c r="J33" s="8"/>
      <c r="K33" s="21"/>
      <c r="L33" s="21"/>
      <c r="M33" s="21"/>
      <c r="N33" s="21"/>
      <c r="O33" s="21"/>
      <c r="P33" s="21"/>
      <c r="Q33" s="21"/>
      <c r="R33" s="21"/>
      <c r="S33" s="21"/>
      <c r="T33" s="21"/>
      <c r="U33" s="21"/>
      <c r="V33" s="21"/>
      <c r="W33" s="21"/>
      <c r="X33" s="21"/>
      <c r="Y33" s="21"/>
      <c r="Z33" s="21"/>
      <c r="AA33" s="21"/>
      <c r="AB33" s="21"/>
      <c r="AC33" s="21"/>
    </row>
    <row r="34">
      <c r="A34" s="8"/>
      <c r="B34" s="8"/>
      <c r="C34" s="8"/>
      <c r="D34" s="24"/>
      <c r="E34" s="8"/>
      <c r="F34" s="8"/>
      <c r="G34" s="8"/>
      <c r="H34" s="8"/>
      <c r="I34" s="24"/>
      <c r="J34" s="8"/>
      <c r="K34" s="21"/>
      <c r="L34" s="21"/>
      <c r="M34" s="21"/>
      <c r="N34" s="21"/>
      <c r="O34" s="21"/>
      <c r="P34" s="21"/>
      <c r="Q34" s="21"/>
      <c r="R34" s="21"/>
      <c r="S34" s="21"/>
      <c r="T34" s="21"/>
      <c r="U34" s="21"/>
      <c r="V34" s="21"/>
      <c r="W34" s="21"/>
      <c r="X34" s="21"/>
      <c r="Y34" s="21"/>
      <c r="Z34" s="21"/>
      <c r="AA34" s="21"/>
      <c r="AB34" s="21"/>
      <c r="AC34" s="21"/>
    </row>
    <row r="35">
      <c r="A35" s="8"/>
      <c r="B35" s="8"/>
      <c r="C35" s="8"/>
      <c r="D35" s="24"/>
      <c r="E35" s="8"/>
      <c r="F35" s="8"/>
      <c r="G35" s="8"/>
      <c r="H35" s="8"/>
      <c r="I35" s="24"/>
      <c r="J35" s="8"/>
      <c r="K35" s="21"/>
      <c r="L35" s="21"/>
      <c r="M35" s="21"/>
      <c r="N35" s="21"/>
      <c r="O35" s="21"/>
      <c r="P35" s="21"/>
      <c r="Q35" s="21"/>
      <c r="R35" s="21"/>
      <c r="S35" s="21"/>
      <c r="T35" s="21"/>
      <c r="U35" s="21"/>
      <c r="V35" s="21"/>
      <c r="W35" s="21"/>
      <c r="X35" s="21"/>
      <c r="Y35" s="21"/>
      <c r="Z35" s="21"/>
      <c r="AA35" s="21"/>
      <c r="AB35" s="21"/>
      <c r="AC35" s="21"/>
    </row>
    <row r="36">
      <c r="A36" s="8"/>
      <c r="B36" s="8"/>
      <c r="C36" s="8"/>
      <c r="D36" s="24"/>
      <c r="E36" s="8"/>
      <c r="F36" s="8"/>
      <c r="G36" s="8"/>
      <c r="H36" s="8"/>
      <c r="I36" s="24"/>
      <c r="J36" s="8"/>
      <c r="K36" s="21"/>
      <c r="L36" s="21"/>
      <c r="M36" s="21"/>
      <c r="N36" s="21"/>
      <c r="O36" s="21"/>
      <c r="P36" s="21"/>
      <c r="Q36" s="21"/>
      <c r="R36" s="21"/>
      <c r="S36" s="21"/>
      <c r="T36" s="21"/>
      <c r="U36" s="21"/>
      <c r="V36" s="21"/>
      <c r="W36" s="21"/>
      <c r="X36" s="21"/>
      <c r="Y36" s="21"/>
      <c r="Z36" s="21"/>
      <c r="AA36" s="21"/>
      <c r="AB36" s="21"/>
      <c r="AC36" s="21"/>
    </row>
    <row r="37">
      <c r="A37" s="8" t="s">
        <v>3007</v>
      </c>
      <c r="B37" s="8" t="s">
        <v>2220</v>
      </c>
      <c r="C37" s="8" t="s">
        <v>3008</v>
      </c>
      <c r="D37" s="24">
        <v>46120.0</v>
      </c>
      <c r="E37" s="8">
        <v>60.0</v>
      </c>
      <c r="F37" s="8" t="s">
        <v>3355</v>
      </c>
      <c r="G37" s="8" t="s">
        <v>3008</v>
      </c>
      <c r="H37" s="19" t="s">
        <v>2148</v>
      </c>
      <c r="I37" s="24">
        <v>46060.0</v>
      </c>
      <c r="J37" s="21"/>
      <c r="K37" s="21"/>
      <c r="L37" s="21"/>
      <c r="M37" s="21"/>
      <c r="N37" s="21"/>
      <c r="O37" s="21"/>
      <c r="P37" s="21"/>
      <c r="Q37" s="21"/>
      <c r="R37" s="21"/>
      <c r="S37" s="21"/>
      <c r="T37" s="21"/>
      <c r="U37" s="21"/>
      <c r="V37" s="21"/>
      <c r="W37" s="21"/>
      <c r="X37" s="21"/>
      <c r="Y37" s="21"/>
      <c r="Z37" s="21"/>
      <c r="AA37" s="21"/>
      <c r="AB37" s="21"/>
      <c r="AC37" s="21"/>
    </row>
    <row r="38">
      <c r="A38" s="8" t="s">
        <v>3109</v>
      </c>
      <c r="B38" s="19" t="s">
        <v>2218</v>
      </c>
      <c r="C38" s="8" t="s">
        <v>3110</v>
      </c>
      <c r="D38" s="24">
        <v>46131.0</v>
      </c>
      <c r="E38" s="8">
        <v>30.0</v>
      </c>
      <c r="F38" s="8" t="s">
        <v>3351</v>
      </c>
      <c r="G38" s="8" t="s">
        <v>3356</v>
      </c>
      <c r="H38" s="19" t="s">
        <v>2154</v>
      </c>
      <c r="I38" s="24">
        <v>46101.0</v>
      </c>
      <c r="J38" s="8" t="s">
        <v>3357</v>
      </c>
      <c r="K38" s="21"/>
      <c r="L38" s="21"/>
      <c r="M38" s="21"/>
      <c r="N38" s="21"/>
      <c r="O38" s="21"/>
      <c r="P38" s="21"/>
      <c r="Q38" s="21"/>
      <c r="R38" s="21"/>
      <c r="S38" s="21"/>
      <c r="T38" s="21"/>
      <c r="U38" s="21"/>
      <c r="V38" s="21"/>
      <c r="W38" s="21"/>
      <c r="X38" s="21"/>
      <c r="Y38" s="21"/>
      <c r="Z38" s="21"/>
      <c r="AA38" s="21"/>
      <c r="AB38" s="21"/>
      <c r="AC38" s="21"/>
    </row>
    <row r="39">
      <c r="A39" s="8" t="s">
        <v>3198</v>
      </c>
      <c r="B39" s="19" t="s">
        <v>2154</v>
      </c>
      <c r="C39" s="8" t="s">
        <v>3199</v>
      </c>
      <c r="D39" s="24">
        <v>46109.0</v>
      </c>
      <c r="E39" s="8">
        <v>45.0</v>
      </c>
      <c r="F39" s="8" t="s">
        <v>3355</v>
      </c>
      <c r="G39" s="8" t="s">
        <v>3358</v>
      </c>
      <c r="H39" s="19" t="s">
        <v>2147</v>
      </c>
      <c r="I39" s="24">
        <v>46064.0</v>
      </c>
      <c r="J39" s="8" t="s">
        <v>3358</v>
      </c>
      <c r="K39" s="21"/>
      <c r="L39" s="21"/>
      <c r="M39" s="21"/>
      <c r="N39" s="21"/>
      <c r="O39" s="21"/>
      <c r="P39" s="21"/>
      <c r="Q39" s="21"/>
      <c r="R39" s="21"/>
      <c r="S39" s="21"/>
      <c r="T39" s="21"/>
      <c r="U39" s="21"/>
      <c r="V39" s="21"/>
      <c r="W39" s="21"/>
      <c r="X39" s="21"/>
      <c r="Y39" s="21"/>
      <c r="Z39" s="21"/>
      <c r="AA39" s="21"/>
      <c r="AB39" s="21"/>
      <c r="AC39" s="21"/>
    </row>
    <row r="40">
      <c r="A40" s="8" t="s">
        <v>3218</v>
      </c>
      <c r="B40" s="8" t="s">
        <v>2222</v>
      </c>
      <c r="C40" s="8" t="s">
        <v>3219</v>
      </c>
      <c r="D40" s="24">
        <v>46347.0</v>
      </c>
      <c r="E40" s="8">
        <v>365.0</v>
      </c>
      <c r="F40" s="8" t="s">
        <v>3354</v>
      </c>
      <c r="G40" s="8" t="s">
        <v>3359</v>
      </c>
      <c r="H40" s="19" t="s">
        <v>2148</v>
      </c>
      <c r="I40" s="25">
        <v>45982.0</v>
      </c>
      <c r="J40" s="8" t="s">
        <v>3359</v>
      </c>
      <c r="K40" s="21"/>
      <c r="L40" s="21"/>
      <c r="M40" s="21"/>
      <c r="N40" s="21"/>
      <c r="O40" s="21"/>
      <c r="P40" s="21"/>
      <c r="Q40" s="21"/>
      <c r="R40" s="21"/>
      <c r="S40" s="21"/>
      <c r="T40" s="21"/>
      <c r="U40" s="21"/>
      <c r="V40" s="21"/>
      <c r="W40" s="21"/>
      <c r="X40" s="21"/>
      <c r="Y40" s="21"/>
      <c r="Z40" s="21"/>
      <c r="AA40" s="21"/>
      <c r="AB40" s="21"/>
      <c r="AC40" s="21"/>
    </row>
    <row r="41">
      <c r="A41" s="8" t="s">
        <v>3284</v>
      </c>
      <c r="B41" s="8" t="s">
        <v>2227</v>
      </c>
      <c r="C41" s="8" t="s">
        <v>2228</v>
      </c>
      <c r="D41" s="24">
        <v>46047.0</v>
      </c>
      <c r="E41" s="8">
        <v>30.0</v>
      </c>
      <c r="F41" s="8" t="s">
        <v>3355</v>
      </c>
      <c r="G41" s="8" t="s">
        <v>3360</v>
      </c>
      <c r="H41" s="19" t="s">
        <v>2148</v>
      </c>
      <c r="I41" s="21"/>
      <c r="J41" s="8" t="s">
        <v>3361</v>
      </c>
      <c r="K41" s="21"/>
      <c r="L41" s="21"/>
      <c r="M41" s="21"/>
      <c r="N41" s="21"/>
      <c r="O41" s="21"/>
      <c r="P41" s="21"/>
      <c r="Q41" s="21"/>
      <c r="R41" s="21"/>
      <c r="S41" s="21"/>
      <c r="T41" s="21"/>
      <c r="U41" s="21"/>
      <c r="V41" s="21"/>
      <c r="W41" s="21"/>
      <c r="X41" s="21"/>
      <c r="Y41" s="21"/>
      <c r="Z41" s="21"/>
      <c r="AA41" s="21"/>
      <c r="AB41" s="21"/>
      <c r="AC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row>
  </sheetData>
  <autoFilter ref="$A$1:$K$991"/>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3362</v>
      </c>
      <c r="B1" s="4" t="s">
        <v>3363</v>
      </c>
      <c r="C1" s="4" t="s">
        <v>146</v>
      </c>
      <c r="D1" s="4" t="s">
        <v>3364</v>
      </c>
      <c r="E1" s="4" t="s">
        <v>3365</v>
      </c>
    </row>
    <row r="2" hidden="1">
      <c r="A2" s="4"/>
      <c r="B2" s="4"/>
      <c r="C2" s="6"/>
      <c r="D2" s="4"/>
    </row>
    <row r="3" hidden="1">
      <c r="A3" s="4" t="s">
        <v>3366</v>
      </c>
      <c r="B3" s="4" t="s">
        <v>3367</v>
      </c>
      <c r="C3" s="6">
        <v>45565.0</v>
      </c>
      <c r="D3" s="4">
        <v>278000.0</v>
      </c>
      <c r="E3" s="4" t="s">
        <v>3368</v>
      </c>
    </row>
    <row r="4" hidden="1">
      <c r="A4" s="3">
        <v>4.0</v>
      </c>
      <c r="B4" s="8" t="s">
        <v>3369</v>
      </c>
      <c r="C4" s="24">
        <v>45310.0</v>
      </c>
      <c r="D4" s="8">
        <v>277800.0</v>
      </c>
      <c r="E4" s="4" t="s">
        <v>3370</v>
      </c>
    </row>
    <row r="5" hidden="1">
      <c r="A5" s="3">
        <v>5.0</v>
      </c>
      <c r="B5" s="8" t="s">
        <v>3371</v>
      </c>
      <c r="C5" s="24">
        <v>45314.0</v>
      </c>
      <c r="D5" s="8">
        <v>248100.0</v>
      </c>
      <c r="E5" s="4" t="s">
        <v>3370</v>
      </c>
    </row>
    <row r="6" hidden="1">
      <c r="A6" s="3">
        <v>6.0</v>
      </c>
      <c r="B6" s="8" t="s">
        <v>3372</v>
      </c>
      <c r="C6" s="24">
        <v>45308.0</v>
      </c>
      <c r="D6" s="8">
        <v>255500.0</v>
      </c>
      <c r="E6" s="4" t="s">
        <v>3370</v>
      </c>
    </row>
    <row r="7" hidden="1">
      <c r="A7" s="3">
        <v>7.0</v>
      </c>
      <c r="B7" s="8" t="s">
        <v>3373</v>
      </c>
      <c r="C7" s="24">
        <v>45320.0</v>
      </c>
      <c r="D7" s="8">
        <v>347000.0</v>
      </c>
      <c r="E7" s="4" t="s">
        <v>3370</v>
      </c>
    </row>
    <row r="8" hidden="1">
      <c r="A8" s="3">
        <v>8.0</v>
      </c>
      <c r="B8" s="8" t="s">
        <v>3374</v>
      </c>
      <c r="C8" s="24">
        <v>45328.0</v>
      </c>
      <c r="D8" s="8">
        <v>296000.0</v>
      </c>
      <c r="E8" s="4" t="s">
        <v>3370</v>
      </c>
    </row>
    <row r="9" hidden="1">
      <c r="A9" s="3">
        <v>9.0</v>
      </c>
      <c r="B9" s="8" t="s">
        <v>3375</v>
      </c>
      <c r="C9" s="24">
        <v>45345.0</v>
      </c>
      <c r="D9" s="8">
        <v>478800.0</v>
      </c>
      <c r="E9" s="4" t="s">
        <v>3370</v>
      </c>
    </row>
    <row r="10" hidden="1">
      <c r="A10" s="3">
        <v>10.0</v>
      </c>
      <c r="B10" s="8" t="s">
        <v>3376</v>
      </c>
      <c r="C10" s="24">
        <v>45345.0</v>
      </c>
      <c r="D10" s="8">
        <v>320700.0</v>
      </c>
      <c r="E10" s="4" t="s">
        <v>3370</v>
      </c>
    </row>
    <row r="11" hidden="1">
      <c r="A11" s="3">
        <v>11.0</v>
      </c>
      <c r="B11" s="8" t="s">
        <v>3377</v>
      </c>
      <c r="C11" s="24">
        <v>45352.0</v>
      </c>
      <c r="D11" s="8">
        <v>248100.0</v>
      </c>
      <c r="E11" s="4" t="s">
        <v>3370</v>
      </c>
    </row>
    <row r="12" hidden="1">
      <c r="A12" s="3">
        <v>12.0</v>
      </c>
      <c r="B12" s="8" t="s">
        <v>3378</v>
      </c>
      <c r="C12" s="24">
        <v>45349.0</v>
      </c>
      <c r="D12" s="8">
        <v>291900.0</v>
      </c>
      <c r="E12" s="4" t="s">
        <v>3370</v>
      </c>
    </row>
    <row r="13" hidden="1">
      <c r="A13" s="3">
        <v>13.0</v>
      </c>
      <c r="B13" s="8" t="s">
        <v>3379</v>
      </c>
      <c r="C13" s="24">
        <v>45364.0</v>
      </c>
      <c r="D13" s="8">
        <v>347000.0</v>
      </c>
      <c r="E13" s="4" t="s">
        <v>3370</v>
      </c>
    </row>
    <row r="14" hidden="1">
      <c r="A14" s="3">
        <v>14.0</v>
      </c>
      <c r="B14" s="8" t="s">
        <v>3380</v>
      </c>
      <c r="C14" s="24">
        <v>45356.0</v>
      </c>
      <c r="D14" s="8">
        <v>296000.0</v>
      </c>
      <c r="E14" s="4" t="s">
        <v>3370</v>
      </c>
    </row>
    <row r="15" hidden="1">
      <c r="A15" s="3">
        <v>15.0</v>
      </c>
      <c r="B15" s="8" t="s">
        <v>3381</v>
      </c>
      <c r="C15" s="24">
        <v>45377.0</v>
      </c>
      <c r="D15" s="8">
        <v>373100.0</v>
      </c>
      <c r="E15" s="4" t="s">
        <v>3370</v>
      </c>
    </row>
    <row r="16" hidden="1">
      <c r="A16" s="3">
        <v>16.0</v>
      </c>
      <c r="B16" s="8" t="s">
        <v>3382</v>
      </c>
      <c r="C16" s="24">
        <v>45371.0</v>
      </c>
      <c r="D16" s="8">
        <v>348200.0</v>
      </c>
      <c r="E16" s="4" t="s">
        <v>3370</v>
      </c>
    </row>
    <row r="17" hidden="1">
      <c r="A17" s="3">
        <v>17.0</v>
      </c>
      <c r="B17" s="8" t="s">
        <v>3383</v>
      </c>
      <c r="C17" s="24">
        <v>45371.0</v>
      </c>
      <c r="D17" s="8">
        <v>248100.0</v>
      </c>
      <c r="E17" s="4" t="s">
        <v>3370</v>
      </c>
    </row>
    <row r="18" hidden="1">
      <c r="A18" s="3">
        <v>18.0</v>
      </c>
      <c r="B18" s="8" t="s">
        <v>3384</v>
      </c>
      <c r="C18" s="24">
        <v>45372.0</v>
      </c>
      <c r="D18" s="8">
        <v>326500.0</v>
      </c>
      <c r="E18" s="4" t="s">
        <v>3370</v>
      </c>
    </row>
    <row r="19" hidden="1">
      <c r="A19" s="3">
        <v>19.0</v>
      </c>
      <c r="B19" s="8" t="s">
        <v>3385</v>
      </c>
      <c r="C19" s="24">
        <v>45394.0</v>
      </c>
      <c r="D19" s="8">
        <v>447650.0</v>
      </c>
      <c r="E19" s="4" t="s">
        <v>3370</v>
      </c>
    </row>
    <row r="20" hidden="1">
      <c r="A20" s="3">
        <v>20.0</v>
      </c>
      <c r="B20" s="8" t="s">
        <v>3386</v>
      </c>
      <c r="C20" s="24">
        <v>45392.0</v>
      </c>
      <c r="D20" s="8">
        <v>296000.0</v>
      </c>
      <c r="E20" s="4" t="s">
        <v>3370</v>
      </c>
    </row>
    <row r="21" hidden="1">
      <c r="A21" s="3">
        <v>21.0</v>
      </c>
      <c r="B21" s="8" t="s">
        <v>3387</v>
      </c>
      <c r="C21" s="24">
        <v>45400.0</v>
      </c>
      <c r="D21" s="8">
        <v>537100.0</v>
      </c>
      <c r="E21" s="4" t="s">
        <v>3370</v>
      </c>
    </row>
    <row r="22" hidden="1">
      <c r="A22" s="3">
        <v>22.0</v>
      </c>
      <c r="B22" s="8" t="s">
        <v>3388</v>
      </c>
      <c r="C22" s="24">
        <v>45397.0</v>
      </c>
      <c r="D22" s="8">
        <v>417000.0</v>
      </c>
      <c r="E22" s="4" t="s">
        <v>3370</v>
      </c>
    </row>
    <row r="23" hidden="1">
      <c r="A23" s="3">
        <v>23.0</v>
      </c>
      <c r="B23" s="8" t="s">
        <v>3389</v>
      </c>
      <c r="C23" s="24">
        <v>45406.0</v>
      </c>
      <c r="D23" s="8">
        <v>248100.0</v>
      </c>
      <c r="E23" s="4" t="s">
        <v>3370</v>
      </c>
    </row>
    <row r="24" hidden="1">
      <c r="A24" s="3">
        <v>24.0</v>
      </c>
      <c r="B24" s="8" t="s">
        <v>3390</v>
      </c>
      <c r="C24" s="24">
        <v>45402.0</v>
      </c>
      <c r="D24" s="8">
        <v>358800.0</v>
      </c>
      <c r="E24" s="4" t="s">
        <v>3370</v>
      </c>
    </row>
    <row r="25" hidden="1">
      <c r="A25" s="3">
        <v>25.0</v>
      </c>
      <c r="B25" s="8" t="s">
        <v>3391</v>
      </c>
      <c r="C25" s="24">
        <v>45414.0</v>
      </c>
      <c r="D25" s="8">
        <v>447650.0</v>
      </c>
      <c r="E25" s="4" t="s">
        <v>3370</v>
      </c>
    </row>
    <row r="26" hidden="1">
      <c r="A26" s="3">
        <v>26.0</v>
      </c>
      <c r="B26" s="8" t="s">
        <v>3392</v>
      </c>
      <c r="C26" s="24">
        <v>45412.0</v>
      </c>
      <c r="D26" s="8">
        <v>255200.0</v>
      </c>
      <c r="E26" s="4" t="s">
        <v>3370</v>
      </c>
    </row>
    <row r="27" hidden="1">
      <c r="A27" s="3">
        <v>27.0</v>
      </c>
      <c r="B27" s="8" t="s">
        <v>3393</v>
      </c>
      <c r="C27" s="24">
        <v>45420.0</v>
      </c>
      <c r="D27" s="8">
        <v>397000.0</v>
      </c>
      <c r="E27" s="4" t="s">
        <v>3370</v>
      </c>
    </row>
    <row r="28" hidden="1">
      <c r="A28" s="3">
        <v>28.0</v>
      </c>
      <c r="B28" s="8" t="s">
        <v>3394</v>
      </c>
      <c r="C28" s="24">
        <v>45434.0</v>
      </c>
      <c r="D28" s="8">
        <v>596800.0</v>
      </c>
      <c r="E28" s="4" t="s">
        <v>3370</v>
      </c>
    </row>
    <row r="29" hidden="1">
      <c r="A29" s="3">
        <v>29.0</v>
      </c>
      <c r="B29" s="8" t="s">
        <v>3395</v>
      </c>
      <c r="C29" s="24">
        <v>45429.0</v>
      </c>
      <c r="D29" s="8">
        <v>462400.0</v>
      </c>
      <c r="E29" s="4" t="s">
        <v>3370</v>
      </c>
    </row>
    <row r="30" hidden="1">
      <c r="A30" s="3">
        <v>30.0</v>
      </c>
      <c r="B30" s="8" t="s">
        <v>3396</v>
      </c>
      <c r="C30" s="24">
        <v>45435.0</v>
      </c>
      <c r="D30" s="8">
        <v>248100.0</v>
      </c>
      <c r="E30" s="4" t="s">
        <v>3370</v>
      </c>
    </row>
    <row r="31" hidden="1">
      <c r="A31" s="3">
        <v>31.0</v>
      </c>
      <c r="B31" s="8" t="s">
        <v>3397</v>
      </c>
      <c r="C31" s="24">
        <v>45441.0</v>
      </c>
      <c r="D31" s="8">
        <v>391900.0</v>
      </c>
      <c r="E31" s="4" t="s">
        <v>3370</v>
      </c>
    </row>
    <row r="32" hidden="1">
      <c r="A32" s="3">
        <v>32.0</v>
      </c>
      <c r="B32" s="8" t="s">
        <v>3398</v>
      </c>
      <c r="C32" s="24">
        <v>45446.0</v>
      </c>
      <c r="D32" s="8">
        <v>280720.0</v>
      </c>
      <c r="E32" s="4" t="s">
        <v>3370</v>
      </c>
    </row>
    <row r="33" hidden="1">
      <c r="A33" s="3">
        <v>33.0</v>
      </c>
      <c r="B33" s="8" t="s">
        <v>3399</v>
      </c>
      <c r="C33" s="24">
        <v>45450.0</v>
      </c>
      <c r="D33" s="8">
        <v>581000.0</v>
      </c>
      <c r="E33" s="4" t="s">
        <v>3370</v>
      </c>
    </row>
    <row r="34" hidden="1">
      <c r="A34" s="3">
        <v>34.0</v>
      </c>
      <c r="B34" s="8" t="s">
        <v>3400</v>
      </c>
      <c r="C34" s="24">
        <v>45451.0</v>
      </c>
      <c r="D34" s="8">
        <v>397000.0</v>
      </c>
      <c r="E34" s="4" t="s">
        <v>3370</v>
      </c>
    </row>
    <row r="35" hidden="1">
      <c r="A35" s="3">
        <v>35.0</v>
      </c>
      <c r="B35" s="8" t="s">
        <v>3401</v>
      </c>
      <c r="C35" s="24">
        <v>45456.0</v>
      </c>
      <c r="D35" s="8">
        <v>686300.0</v>
      </c>
      <c r="E35" s="4" t="s">
        <v>3370</v>
      </c>
    </row>
    <row r="36" hidden="1">
      <c r="A36" s="3">
        <v>36.0</v>
      </c>
      <c r="B36" s="8" t="s">
        <v>3402</v>
      </c>
      <c r="C36" s="24">
        <v>45471.0</v>
      </c>
      <c r="D36" s="8">
        <v>509000.0</v>
      </c>
      <c r="E36" s="4" t="s">
        <v>3370</v>
      </c>
    </row>
    <row r="37" hidden="1">
      <c r="A37" s="3">
        <v>37.0</v>
      </c>
      <c r="B37" s="8" t="s">
        <v>3403</v>
      </c>
      <c r="C37" s="24">
        <v>45476.0</v>
      </c>
      <c r="D37" s="8">
        <v>323700.0</v>
      </c>
      <c r="E37" s="4" t="s">
        <v>3370</v>
      </c>
    </row>
    <row r="38" hidden="1">
      <c r="A38" s="3">
        <v>38.0</v>
      </c>
      <c r="B38" s="8" t="s">
        <v>3404</v>
      </c>
      <c r="C38" s="24">
        <v>45471.0</v>
      </c>
      <c r="D38" s="8">
        <v>426700.0</v>
      </c>
      <c r="E38" s="4" t="s">
        <v>3370</v>
      </c>
    </row>
    <row r="39" hidden="1">
      <c r="A39" s="3">
        <v>39.0</v>
      </c>
      <c r="B39" s="8" t="s">
        <v>3405</v>
      </c>
      <c r="C39" s="24">
        <v>45482.0</v>
      </c>
      <c r="D39" s="8">
        <v>581000.0</v>
      </c>
      <c r="E39" s="4" t="s">
        <v>3370</v>
      </c>
    </row>
    <row r="40" hidden="1">
      <c r="A40" s="3">
        <v>40.0</v>
      </c>
      <c r="B40" s="8" t="s">
        <v>3406</v>
      </c>
      <c r="C40" s="24">
        <v>45489.0</v>
      </c>
      <c r="D40" s="8">
        <v>308800.0</v>
      </c>
      <c r="E40" s="4" t="s">
        <v>3370</v>
      </c>
    </row>
    <row r="41" hidden="1">
      <c r="A41" s="3">
        <v>41.0</v>
      </c>
      <c r="B41" s="8" t="s">
        <v>3407</v>
      </c>
      <c r="C41" s="24">
        <v>45469.0</v>
      </c>
      <c r="D41" s="8">
        <v>397000.0</v>
      </c>
      <c r="E41" s="4" t="s">
        <v>3370</v>
      </c>
    </row>
    <row r="42" hidden="1">
      <c r="A42" s="3">
        <v>42.0</v>
      </c>
      <c r="B42" s="8" t="s">
        <v>3408</v>
      </c>
      <c r="C42" s="24">
        <v>45484.0</v>
      </c>
      <c r="D42" s="8">
        <v>483000.0</v>
      </c>
      <c r="E42" s="4" t="s">
        <v>3370</v>
      </c>
    </row>
    <row r="43" hidden="1">
      <c r="A43" s="3">
        <v>43.0</v>
      </c>
      <c r="B43" s="8" t="s">
        <v>3409</v>
      </c>
      <c r="C43" s="24">
        <v>45488.0</v>
      </c>
      <c r="D43" s="8">
        <v>698300.0</v>
      </c>
      <c r="E43" s="4" t="s">
        <v>3370</v>
      </c>
    </row>
    <row r="44" hidden="1">
      <c r="A44" s="3">
        <v>44.0</v>
      </c>
      <c r="B44" s="8" t="s">
        <v>3410</v>
      </c>
      <c r="C44" s="24">
        <v>45485.0</v>
      </c>
      <c r="D44" s="8">
        <v>455000.0</v>
      </c>
      <c r="E44" s="4" t="s">
        <v>3370</v>
      </c>
    </row>
    <row r="45" hidden="1">
      <c r="A45" s="3">
        <v>45.0</v>
      </c>
      <c r="B45" s="8" t="s">
        <v>3411</v>
      </c>
      <c r="C45" s="24">
        <v>45500.0</v>
      </c>
      <c r="D45" s="8">
        <v>536000.0</v>
      </c>
      <c r="E45" s="4" t="s">
        <v>3370</v>
      </c>
    </row>
    <row r="46" hidden="1">
      <c r="A46" s="3">
        <v>46.0</v>
      </c>
      <c r="B46" s="8" t="s">
        <v>3412</v>
      </c>
      <c r="C46" s="24">
        <v>45499.0</v>
      </c>
      <c r="D46" s="8">
        <v>444000.0</v>
      </c>
      <c r="E46" s="4" t="s">
        <v>3370</v>
      </c>
    </row>
    <row r="47" hidden="1">
      <c r="A47" s="3">
        <v>47.0</v>
      </c>
      <c r="B47" s="8" t="s">
        <v>3413</v>
      </c>
      <c r="C47" s="24">
        <v>45505.0</v>
      </c>
      <c r="D47" s="8">
        <v>337662.0</v>
      </c>
      <c r="E47" s="4" t="s">
        <v>3370</v>
      </c>
    </row>
    <row r="48" hidden="1">
      <c r="A48" s="3">
        <v>48.0</v>
      </c>
      <c r="B48" s="8" t="s">
        <v>3414</v>
      </c>
      <c r="C48" s="24">
        <v>45497.0</v>
      </c>
      <c r="D48" s="8">
        <v>483000.0</v>
      </c>
      <c r="E48" s="4" t="s">
        <v>3370</v>
      </c>
    </row>
    <row r="49" hidden="1">
      <c r="A49" s="3">
        <v>49.0</v>
      </c>
      <c r="B49" s="8" t="s">
        <v>3415</v>
      </c>
      <c r="C49" s="24">
        <v>45516.0</v>
      </c>
      <c r="D49" s="8">
        <v>696000.0</v>
      </c>
      <c r="E49" s="4" t="s">
        <v>3370</v>
      </c>
    </row>
    <row r="50" hidden="1">
      <c r="A50" s="3">
        <v>50.0</v>
      </c>
      <c r="B50" s="19" t="s">
        <v>3416</v>
      </c>
      <c r="C50" s="24">
        <v>45511.0</v>
      </c>
      <c r="D50" s="8">
        <v>483000.0</v>
      </c>
      <c r="E50" s="4" t="s">
        <v>3370</v>
      </c>
    </row>
    <row r="51" hidden="1">
      <c r="A51" s="3">
        <v>51.0</v>
      </c>
      <c r="B51" s="8" t="s">
        <v>3417</v>
      </c>
      <c r="C51" s="24">
        <v>45526.0</v>
      </c>
      <c r="D51" s="8">
        <v>814600.0</v>
      </c>
      <c r="E51" s="4" t="s">
        <v>3370</v>
      </c>
    </row>
    <row r="52" hidden="1">
      <c r="A52" s="3">
        <v>52.0</v>
      </c>
      <c r="B52" s="8" t="s">
        <v>3418</v>
      </c>
      <c r="C52" s="24">
        <v>45531.0</v>
      </c>
      <c r="D52" s="8">
        <v>568000.0</v>
      </c>
      <c r="E52" s="4" t="s">
        <v>3370</v>
      </c>
    </row>
    <row r="53" hidden="1">
      <c r="A53" s="3">
        <v>53.0</v>
      </c>
      <c r="B53" s="8" t="s">
        <v>3419</v>
      </c>
      <c r="C53" s="24">
        <v>45532.0</v>
      </c>
      <c r="D53" s="8">
        <v>354000.0</v>
      </c>
      <c r="E53" s="4" t="s">
        <v>3370</v>
      </c>
    </row>
    <row r="54" hidden="1">
      <c r="A54" s="3">
        <v>54.0</v>
      </c>
      <c r="B54" s="8" t="s">
        <v>3420</v>
      </c>
      <c r="C54" s="24">
        <v>45527.0</v>
      </c>
      <c r="D54" s="8">
        <v>473000.0</v>
      </c>
      <c r="E54" s="4" t="s">
        <v>3370</v>
      </c>
    </row>
    <row r="55" hidden="1">
      <c r="A55" s="3">
        <v>55.0</v>
      </c>
      <c r="B55" s="8" t="s">
        <v>3421</v>
      </c>
      <c r="C55" s="24">
        <v>45532.0</v>
      </c>
      <c r="D55" s="8">
        <v>472000.0</v>
      </c>
      <c r="E55" s="4" t="s">
        <v>3370</v>
      </c>
    </row>
    <row r="56" hidden="1">
      <c r="A56" s="3">
        <v>56.0</v>
      </c>
      <c r="B56" s="19" t="s">
        <v>3422</v>
      </c>
      <c r="C56" s="24">
        <v>45527.0</v>
      </c>
      <c r="D56" s="8">
        <v>483000.0</v>
      </c>
      <c r="E56" s="4" t="s">
        <v>3370</v>
      </c>
    </row>
    <row r="57" hidden="1">
      <c r="A57" s="3">
        <v>57.0</v>
      </c>
      <c r="B57" s="8" t="s">
        <v>3423</v>
      </c>
      <c r="C57" s="24">
        <v>45539.0</v>
      </c>
      <c r="D57" s="8">
        <v>696000.0</v>
      </c>
      <c r="E57" s="4" t="s">
        <v>3370</v>
      </c>
    </row>
    <row r="58" hidden="1">
      <c r="A58" s="3">
        <v>58.0</v>
      </c>
      <c r="B58" s="8" t="s">
        <v>3424</v>
      </c>
      <c r="C58" s="24">
        <v>45533.0</v>
      </c>
      <c r="D58" s="8">
        <v>339000.0</v>
      </c>
      <c r="E58" s="4" t="s">
        <v>3370</v>
      </c>
    </row>
    <row r="59" hidden="1">
      <c r="A59" s="3">
        <v>59.0</v>
      </c>
      <c r="B59" s="8" t="s">
        <v>3425</v>
      </c>
      <c r="C59" s="24">
        <v>45544.0</v>
      </c>
      <c r="D59" s="8">
        <v>541000.0</v>
      </c>
      <c r="E59" s="4" t="s">
        <v>3370</v>
      </c>
    </row>
    <row r="60" hidden="1">
      <c r="A60" s="3">
        <v>60.0</v>
      </c>
      <c r="B60" s="8" t="s">
        <v>3426</v>
      </c>
      <c r="C60" s="24">
        <v>45553.0</v>
      </c>
      <c r="D60" s="8">
        <v>987100.0</v>
      </c>
      <c r="E60" s="4" t="s">
        <v>3370</v>
      </c>
    </row>
    <row r="61" hidden="1">
      <c r="A61" s="3">
        <v>61.0</v>
      </c>
      <c r="B61" s="8" t="s">
        <v>3427</v>
      </c>
      <c r="C61" s="24">
        <v>45553.0</v>
      </c>
      <c r="D61" s="8">
        <v>493000.0</v>
      </c>
      <c r="E61" s="4" t="s">
        <v>3370</v>
      </c>
    </row>
    <row r="62" hidden="1">
      <c r="A62" s="3">
        <v>62.0</v>
      </c>
      <c r="B62" s="8" t="s">
        <v>3428</v>
      </c>
      <c r="C62" s="24">
        <v>45565.0</v>
      </c>
      <c r="D62" s="8">
        <v>369000.0</v>
      </c>
      <c r="E62" s="4" t="s">
        <v>3370</v>
      </c>
    </row>
    <row r="63" hidden="1">
      <c r="A63" s="3">
        <v>63.0</v>
      </c>
      <c r="B63" s="8" t="s">
        <v>3429</v>
      </c>
      <c r="C63" s="24">
        <v>45567.0</v>
      </c>
      <c r="D63" s="8">
        <v>770000.0</v>
      </c>
      <c r="E63" s="4" t="s">
        <v>3370</v>
      </c>
    </row>
    <row r="64" hidden="1">
      <c r="A64" s="3">
        <v>64.0</v>
      </c>
      <c r="B64" s="8" t="s">
        <v>3430</v>
      </c>
      <c r="C64" s="24">
        <v>45567.0</v>
      </c>
      <c r="D64" s="8">
        <v>496000.0</v>
      </c>
      <c r="E64" s="4" t="s">
        <v>3370</v>
      </c>
    </row>
    <row r="65" hidden="1">
      <c r="A65" s="3">
        <v>65.0</v>
      </c>
      <c r="B65" s="8" t="s">
        <v>3431</v>
      </c>
      <c r="C65" s="24">
        <v>45565.0</v>
      </c>
      <c r="D65" s="8">
        <v>300000.0</v>
      </c>
      <c r="E65" s="4" t="s">
        <v>3370</v>
      </c>
    </row>
    <row r="66" hidden="1">
      <c r="A66" s="7" t="s">
        <v>3432</v>
      </c>
      <c r="B66" s="8" t="s">
        <v>3433</v>
      </c>
      <c r="C66" s="24">
        <v>45569.0</v>
      </c>
      <c r="D66" s="8">
        <v>598000.0</v>
      </c>
      <c r="E66" s="4" t="s">
        <v>3434</v>
      </c>
    </row>
    <row r="67" hidden="1">
      <c r="A67" s="7" t="s">
        <v>3435</v>
      </c>
      <c r="B67" s="4" t="s">
        <v>3436</v>
      </c>
      <c r="C67" s="6">
        <v>45581.0</v>
      </c>
      <c r="D67" s="4">
        <v>587000.0</v>
      </c>
      <c r="E67" s="4" t="s">
        <v>3434</v>
      </c>
    </row>
    <row r="68" hidden="1">
      <c r="A68" s="4" t="s">
        <v>3437</v>
      </c>
      <c r="B68" s="4" t="s">
        <v>3367</v>
      </c>
      <c r="C68" s="6">
        <v>45582.0</v>
      </c>
      <c r="D68" s="4">
        <v>62000.0</v>
      </c>
      <c r="E68" s="4"/>
    </row>
    <row r="69" hidden="1">
      <c r="A69" s="7" t="s">
        <v>3438</v>
      </c>
      <c r="B69" s="4" t="s">
        <v>3439</v>
      </c>
      <c r="C69" s="6">
        <v>45585.0</v>
      </c>
      <c r="D69" s="4">
        <v>512000.0</v>
      </c>
      <c r="E69" s="4" t="s">
        <v>3434</v>
      </c>
    </row>
    <row r="70" hidden="1">
      <c r="A70" s="7" t="s">
        <v>3440</v>
      </c>
      <c r="B70" s="4" t="s">
        <v>3441</v>
      </c>
      <c r="C70" s="17">
        <v>45586.0</v>
      </c>
      <c r="D70" s="4">
        <v>708000.0</v>
      </c>
      <c r="E70" s="4" t="s">
        <v>3434</v>
      </c>
    </row>
    <row r="71" hidden="1">
      <c r="A71" s="7" t="s">
        <v>3442</v>
      </c>
      <c r="B71" s="4" t="s">
        <v>3443</v>
      </c>
      <c r="C71" s="17">
        <v>45588.0</v>
      </c>
      <c r="D71" s="4">
        <v>397000.0</v>
      </c>
      <c r="E71" s="4" t="s">
        <v>3434</v>
      </c>
    </row>
    <row r="72" hidden="1">
      <c r="A72" s="7" t="s">
        <v>3444</v>
      </c>
      <c r="B72" s="4" t="s">
        <v>3445</v>
      </c>
      <c r="C72" s="17">
        <v>45588.0</v>
      </c>
      <c r="D72" s="4">
        <v>858300.0</v>
      </c>
      <c r="E72" s="4" t="s">
        <v>3434</v>
      </c>
    </row>
    <row r="73" hidden="1">
      <c r="A73" s="7" t="s">
        <v>3446</v>
      </c>
      <c r="B73" s="4" t="s">
        <v>3447</v>
      </c>
      <c r="C73" s="17">
        <v>45590.0</v>
      </c>
      <c r="D73" s="4">
        <v>587000.0</v>
      </c>
      <c r="E73" s="4" t="s">
        <v>3434</v>
      </c>
    </row>
    <row r="74" hidden="1">
      <c r="A74" s="7" t="s">
        <v>3448</v>
      </c>
      <c r="B74" s="7" t="s">
        <v>3449</v>
      </c>
      <c r="C74" s="17">
        <v>45590.0</v>
      </c>
      <c r="D74" s="4">
        <v>627000.0</v>
      </c>
      <c r="E74" s="4" t="s">
        <v>3434</v>
      </c>
    </row>
    <row r="75" hidden="1">
      <c r="A75" s="7" t="s">
        <v>3450</v>
      </c>
      <c r="B75" s="4" t="s">
        <v>3451</v>
      </c>
      <c r="C75" s="17">
        <v>45593.0</v>
      </c>
      <c r="D75" s="4">
        <v>300000.0</v>
      </c>
      <c r="E75" s="4" t="s">
        <v>3434</v>
      </c>
    </row>
    <row r="76" hidden="1">
      <c r="A76" s="7" t="s">
        <v>3452</v>
      </c>
      <c r="B76" s="4" t="s">
        <v>3453</v>
      </c>
      <c r="C76" s="17">
        <v>45595.0</v>
      </c>
      <c r="D76" s="4">
        <v>524000.0</v>
      </c>
      <c r="E76" s="4" t="s">
        <v>3434</v>
      </c>
    </row>
    <row r="77" hidden="1">
      <c r="A77" s="4" t="s">
        <v>3454</v>
      </c>
      <c r="B77" s="4" t="s">
        <v>3455</v>
      </c>
      <c r="C77" s="6">
        <v>45601.0</v>
      </c>
      <c r="D77" s="4">
        <v>127000.0</v>
      </c>
    </row>
    <row r="78" hidden="1">
      <c r="A78" s="4" t="s">
        <v>3456</v>
      </c>
      <c r="B78" s="4" t="s">
        <v>3455</v>
      </c>
      <c r="C78" s="6">
        <v>45601.0</v>
      </c>
      <c r="D78" s="4">
        <v>127000.0</v>
      </c>
    </row>
    <row r="79" hidden="1">
      <c r="A79" s="7" t="s">
        <v>3457</v>
      </c>
      <c r="B79" s="4" t="s">
        <v>3455</v>
      </c>
      <c r="C79" s="6">
        <v>45603.0</v>
      </c>
      <c r="D79" s="4">
        <v>127000.0</v>
      </c>
      <c r="E79" s="4" t="s">
        <v>3434</v>
      </c>
    </row>
    <row r="80" hidden="1">
      <c r="A80" s="7" t="s">
        <v>3458</v>
      </c>
      <c r="B80" s="4" t="s">
        <v>3459</v>
      </c>
      <c r="C80" s="6">
        <v>45603.0</v>
      </c>
      <c r="D80" s="4">
        <v>770000.0</v>
      </c>
      <c r="E80" s="4" t="s">
        <v>3434</v>
      </c>
    </row>
    <row r="81" hidden="1">
      <c r="A81" s="7" t="s">
        <v>3460</v>
      </c>
      <c r="B81" s="4" t="s">
        <v>3461</v>
      </c>
      <c r="C81" s="17">
        <v>45608.0</v>
      </c>
      <c r="D81" s="4">
        <v>587000.0</v>
      </c>
      <c r="E81" s="4" t="s">
        <v>3434</v>
      </c>
    </row>
    <row r="82" hidden="1">
      <c r="A82" s="7" t="s">
        <v>3462</v>
      </c>
      <c r="B82" s="4" t="s">
        <v>3463</v>
      </c>
      <c r="C82" s="17">
        <v>45608.0</v>
      </c>
      <c r="D82" s="4">
        <v>732000.0</v>
      </c>
      <c r="E82" s="4" t="s">
        <v>3434</v>
      </c>
    </row>
    <row r="83" hidden="1">
      <c r="A83" s="7" t="s">
        <v>3464</v>
      </c>
      <c r="B83" s="4" t="s">
        <v>3465</v>
      </c>
      <c r="C83" s="17">
        <v>45610.0</v>
      </c>
      <c r="D83" s="4">
        <v>532000.0</v>
      </c>
      <c r="E83" s="4" t="s">
        <v>3434</v>
      </c>
    </row>
    <row r="84" hidden="1">
      <c r="A84" s="7" t="s">
        <v>3466</v>
      </c>
      <c r="B84" s="4" t="s">
        <v>3467</v>
      </c>
      <c r="C84" s="17">
        <v>45616.0</v>
      </c>
      <c r="D84" s="4">
        <v>1039000.0</v>
      </c>
      <c r="E84" s="4" t="s">
        <v>3434</v>
      </c>
    </row>
    <row r="85" hidden="1">
      <c r="A85" s="7" t="s">
        <v>3468</v>
      </c>
      <c r="B85" s="4" t="s">
        <v>3469</v>
      </c>
      <c r="C85" s="17">
        <v>45616.0</v>
      </c>
      <c r="D85" s="4">
        <v>587000.0</v>
      </c>
      <c r="E85" s="4" t="s">
        <v>3434</v>
      </c>
    </row>
    <row r="86" hidden="1">
      <c r="A86" s="7" t="s">
        <v>3470</v>
      </c>
      <c r="B86" s="4" t="s">
        <v>3471</v>
      </c>
      <c r="C86" s="17">
        <v>45616.0</v>
      </c>
      <c r="D86" s="4">
        <v>350000.0</v>
      </c>
      <c r="E86" s="4" t="s">
        <v>3434</v>
      </c>
    </row>
    <row r="87" hidden="1">
      <c r="A87" s="4" t="s">
        <v>3472</v>
      </c>
      <c r="B87" s="4" t="s">
        <v>3473</v>
      </c>
      <c r="C87" s="17">
        <v>45621.0</v>
      </c>
      <c r="D87" s="4">
        <v>157000.0</v>
      </c>
      <c r="E87" s="4" t="s">
        <v>3474</v>
      </c>
    </row>
    <row r="88" hidden="1">
      <c r="A88" s="4"/>
      <c r="B88" s="4"/>
      <c r="C88" s="17"/>
      <c r="D88" s="4"/>
      <c r="E88" s="4"/>
    </row>
    <row r="89" hidden="1">
      <c r="A89" s="7" t="s">
        <v>3475</v>
      </c>
      <c r="B89" s="4" t="s">
        <v>3476</v>
      </c>
      <c r="C89" s="17">
        <v>45624.0</v>
      </c>
      <c r="D89" s="4">
        <v>657000.0</v>
      </c>
      <c r="E89" s="4" t="s">
        <v>3434</v>
      </c>
    </row>
    <row r="90" hidden="1">
      <c r="A90" s="4" t="s">
        <v>3477</v>
      </c>
      <c r="B90" s="4" t="s">
        <v>3473</v>
      </c>
      <c r="C90" s="17">
        <v>45624.0</v>
      </c>
      <c r="D90" s="4">
        <v>157000.0</v>
      </c>
      <c r="E90" s="4" t="s">
        <v>3478</v>
      </c>
    </row>
    <row r="91" hidden="1">
      <c r="A91" s="7" t="s">
        <v>3479</v>
      </c>
      <c r="B91" s="4" t="s">
        <v>3473</v>
      </c>
      <c r="C91" s="17">
        <v>45625.0</v>
      </c>
      <c r="D91" s="4">
        <v>157000.0</v>
      </c>
      <c r="E91" s="4" t="s">
        <v>3434</v>
      </c>
    </row>
    <row r="92" hidden="1">
      <c r="A92" s="7" t="s">
        <v>3480</v>
      </c>
      <c r="B92" s="4" t="s">
        <v>3481</v>
      </c>
      <c r="C92" s="17">
        <v>45626.0</v>
      </c>
      <c r="D92" s="4">
        <v>300000.0</v>
      </c>
      <c r="E92" s="4" t="s">
        <v>3434</v>
      </c>
    </row>
    <row r="93" hidden="1">
      <c r="A93" s="7" t="s">
        <v>3482</v>
      </c>
      <c r="B93" s="4" t="s">
        <v>3483</v>
      </c>
      <c r="C93" s="6">
        <v>45632.0</v>
      </c>
      <c r="D93" s="4">
        <v>549000.0</v>
      </c>
      <c r="E93" s="4" t="s">
        <v>3434</v>
      </c>
    </row>
    <row r="94" hidden="1">
      <c r="A94" s="7" t="s">
        <v>3484</v>
      </c>
      <c r="B94" s="4" t="s">
        <v>3485</v>
      </c>
      <c r="C94" s="17">
        <v>45637.0</v>
      </c>
      <c r="D94" s="4">
        <v>547000.0</v>
      </c>
      <c r="E94" s="4" t="s">
        <v>3434</v>
      </c>
    </row>
    <row r="95" hidden="1">
      <c r="A95" s="7" t="s">
        <v>3486</v>
      </c>
      <c r="B95" s="4" t="s">
        <v>3487</v>
      </c>
      <c r="C95" s="17">
        <v>45637.0</v>
      </c>
      <c r="D95" s="4">
        <v>635000.0</v>
      </c>
      <c r="E95" s="4" t="s">
        <v>3434</v>
      </c>
    </row>
    <row r="96" hidden="1">
      <c r="A96" s="7" t="s">
        <v>3488</v>
      </c>
      <c r="B96" s="4" t="s">
        <v>3489</v>
      </c>
      <c r="C96" s="17">
        <v>45639.0</v>
      </c>
      <c r="D96" s="4">
        <v>755000.0</v>
      </c>
      <c r="E96" s="4" t="s">
        <v>3434</v>
      </c>
    </row>
    <row r="97" hidden="1">
      <c r="A97" s="7" t="s">
        <v>3490</v>
      </c>
      <c r="B97" s="4" t="s">
        <v>3491</v>
      </c>
      <c r="C97" s="17">
        <v>45639.0</v>
      </c>
      <c r="D97" s="4">
        <v>558000.0</v>
      </c>
      <c r="E97" s="4" t="s">
        <v>3434</v>
      </c>
    </row>
    <row r="98" hidden="1">
      <c r="A98" s="7" t="s">
        <v>3492</v>
      </c>
      <c r="B98" s="4" t="s">
        <v>3493</v>
      </c>
      <c r="C98" s="17">
        <v>45646.0</v>
      </c>
      <c r="D98" s="4">
        <v>991000.0</v>
      </c>
      <c r="E98" s="4" t="s">
        <v>3434</v>
      </c>
    </row>
    <row r="99" hidden="1">
      <c r="A99" s="7" t="s">
        <v>3494</v>
      </c>
      <c r="B99" s="4" t="s">
        <v>3495</v>
      </c>
      <c r="C99" s="17">
        <v>45649.0</v>
      </c>
      <c r="D99" s="4">
        <v>682000.0</v>
      </c>
      <c r="E99" s="4" t="s">
        <v>3434</v>
      </c>
    </row>
    <row r="100" hidden="1">
      <c r="A100" s="7" t="s">
        <v>3496</v>
      </c>
      <c r="B100" s="4" t="s">
        <v>3497</v>
      </c>
      <c r="C100" s="17">
        <v>45652.0</v>
      </c>
      <c r="D100" s="4">
        <v>626000.0</v>
      </c>
      <c r="E100" s="4" t="s">
        <v>3434</v>
      </c>
    </row>
    <row r="101" hidden="1">
      <c r="A101" s="7" t="s">
        <v>3498</v>
      </c>
      <c r="B101" s="4" t="s">
        <v>3499</v>
      </c>
      <c r="C101" s="17">
        <v>45653.0</v>
      </c>
      <c r="D101" s="4">
        <v>341000.0</v>
      </c>
      <c r="E101" s="4" t="s">
        <v>3434</v>
      </c>
    </row>
    <row r="102" hidden="1">
      <c r="A102" s="7" t="s">
        <v>3500</v>
      </c>
      <c r="B102" s="4" t="s">
        <v>3501</v>
      </c>
      <c r="C102" s="17">
        <v>45656.0</v>
      </c>
      <c r="D102" s="4">
        <v>569000.0</v>
      </c>
      <c r="E102" s="4" t="s">
        <v>3434</v>
      </c>
    </row>
    <row r="103" hidden="1">
      <c r="A103" s="7" t="s">
        <v>3502</v>
      </c>
      <c r="B103" s="4" t="s">
        <v>3503</v>
      </c>
      <c r="C103" s="17">
        <v>45656.0</v>
      </c>
      <c r="D103" s="4">
        <v>861000.0</v>
      </c>
      <c r="E103" s="4" t="s">
        <v>3434</v>
      </c>
    </row>
    <row r="104" hidden="1">
      <c r="A104" s="7" t="s">
        <v>3504</v>
      </c>
      <c r="B104" s="4" t="s">
        <v>3505</v>
      </c>
      <c r="C104" s="6">
        <v>45662.0</v>
      </c>
      <c r="D104" s="4">
        <v>367000.0</v>
      </c>
      <c r="E104" s="4" t="s">
        <v>3434</v>
      </c>
    </row>
    <row r="105" hidden="1">
      <c r="A105" s="7" t="s">
        <v>3506</v>
      </c>
      <c r="B105" s="4" t="s">
        <v>3507</v>
      </c>
      <c r="C105" s="6">
        <v>45666.0</v>
      </c>
      <c r="D105" s="4">
        <v>561000.0</v>
      </c>
      <c r="E105" s="4" t="s">
        <v>3434</v>
      </c>
    </row>
    <row r="106" hidden="1">
      <c r="A106" s="7" t="s">
        <v>3508</v>
      </c>
      <c r="B106" s="4" t="s">
        <v>3509</v>
      </c>
      <c r="C106" s="6">
        <v>45667.0</v>
      </c>
      <c r="D106" s="4">
        <v>635000.0</v>
      </c>
      <c r="E106" s="4" t="s">
        <v>3434</v>
      </c>
    </row>
    <row r="107" hidden="1">
      <c r="A107" s="7" t="s">
        <v>3510</v>
      </c>
      <c r="B107" s="4" t="s">
        <v>3511</v>
      </c>
      <c r="C107" s="6">
        <v>45671.0</v>
      </c>
      <c r="D107" s="4">
        <v>775000.0</v>
      </c>
      <c r="E107" s="4" t="s">
        <v>3434</v>
      </c>
    </row>
    <row r="108" hidden="1">
      <c r="A108" s="7" t="s">
        <v>3512</v>
      </c>
      <c r="B108" s="4" t="s">
        <v>3513</v>
      </c>
      <c r="C108" s="6">
        <v>45675.0</v>
      </c>
      <c r="D108" s="4">
        <v>897000.0</v>
      </c>
      <c r="E108" s="4" t="s">
        <v>3434</v>
      </c>
    </row>
    <row r="109" hidden="1">
      <c r="A109" s="7" t="s">
        <v>3514</v>
      </c>
      <c r="B109" s="4" t="s">
        <v>3515</v>
      </c>
      <c r="C109" s="6">
        <v>45678.0</v>
      </c>
      <c r="D109" s="4">
        <v>861000.0</v>
      </c>
      <c r="E109" s="4" t="s">
        <v>3434</v>
      </c>
    </row>
    <row r="110" hidden="1">
      <c r="A110" s="7" t="s">
        <v>3516</v>
      </c>
      <c r="B110" s="4" t="s">
        <v>3517</v>
      </c>
      <c r="C110" s="6">
        <v>45684.0</v>
      </c>
      <c r="D110" s="4">
        <v>572000.0</v>
      </c>
      <c r="E110" s="4" t="s">
        <v>3434</v>
      </c>
    </row>
    <row r="111" hidden="1">
      <c r="A111" s="7" t="s">
        <v>3518</v>
      </c>
      <c r="B111" s="4" t="s">
        <v>3519</v>
      </c>
      <c r="C111" s="6">
        <v>45686.0</v>
      </c>
      <c r="D111" s="4">
        <v>590000.0</v>
      </c>
      <c r="E111" s="4" t="s">
        <v>3434</v>
      </c>
    </row>
    <row r="112" hidden="1">
      <c r="A112" s="7" t="s">
        <v>3520</v>
      </c>
      <c r="B112" s="4" t="s">
        <v>3521</v>
      </c>
      <c r="C112" s="6">
        <v>45687.0</v>
      </c>
      <c r="D112" s="4">
        <v>706000.0</v>
      </c>
      <c r="E112" s="4" t="s">
        <v>3434</v>
      </c>
    </row>
    <row r="113" hidden="1">
      <c r="A113" s="7" t="s">
        <v>3522</v>
      </c>
      <c r="B113" s="4" t="s">
        <v>3523</v>
      </c>
      <c r="C113" s="6">
        <v>45693.0</v>
      </c>
      <c r="D113" s="4">
        <v>626000.0</v>
      </c>
      <c r="E113" s="4" t="s">
        <v>3434</v>
      </c>
    </row>
    <row r="114" hidden="1">
      <c r="A114" s="7" t="s">
        <v>3524</v>
      </c>
      <c r="B114" s="4" t="s">
        <v>3525</v>
      </c>
      <c r="C114" s="6">
        <v>45695.0</v>
      </c>
      <c r="D114" s="4">
        <v>861000.0</v>
      </c>
      <c r="E114" s="4" t="s">
        <v>3434</v>
      </c>
    </row>
    <row r="115" hidden="1">
      <c r="A115" s="7" t="s">
        <v>3526</v>
      </c>
      <c r="B115" s="4" t="s">
        <v>3527</v>
      </c>
      <c r="C115" s="6">
        <v>45695.0</v>
      </c>
      <c r="D115" s="4">
        <v>635000.0</v>
      </c>
      <c r="E115" s="4" t="s">
        <v>3434</v>
      </c>
    </row>
    <row r="116" hidden="1">
      <c r="A116" s="4" t="s">
        <v>3528</v>
      </c>
      <c r="B116" s="4" t="s">
        <v>3529</v>
      </c>
      <c r="C116" s="6">
        <v>45699.0</v>
      </c>
      <c r="D116" s="4">
        <v>50000.0</v>
      </c>
    </row>
    <row r="117" hidden="1">
      <c r="A117" s="4" t="s">
        <v>3530</v>
      </c>
      <c r="B117" s="4" t="s">
        <v>3529</v>
      </c>
      <c r="C117" s="6">
        <v>45699.0</v>
      </c>
      <c r="D117" s="4">
        <v>50000.0</v>
      </c>
    </row>
    <row r="118" hidden="1">
      <c r="A118" s="7" t="s">
        <v>3531</v>
      </c>
      <c r="B118" s="4" t="s">
        <v>3532</v>
      </c>
      <c r="C118" s="6">
        <v>45700.0</v>
      </c>
      <c r="D118" s="4">
        <v>800000.0</v>
      </c>
      <c r="E118" s="4" t="s">
        <v>3434</v>
      </c>
    </row>
    <row r="119" hidden="1">
      <c r="A119" s="7" t="s">
        <v>3533</v>
      </c>
      <c r="B119" s="4" t="s">
        <v>3534</v>
      </c>
      <c r="C119" s="6">
        <v>45701.0</v>
      </c>
      <c r="D119" s="4">
        <v>376000.0</v>
      </c>
      <c r="E119" s="4" t="s">
        <v>3434</v>
      </c>
    </row>
    <row r="120" hidden="1">
      <c r="A120" s="7" t="s">
        <v>3535</v>
      </c>
      <c r="B120" s="4" t="s">
        <v>3536</v>
      </c>
      <c r="C120" s="6">
        <v>45706.0</v>
      </c>
      <c r="D120" s="4">
        <v>575000.0</v>
      </c>
      <c r="E120" s="4" t="s">
        <v>3434</v>
      </c>
    </row>
    <row r="121" hidden="1">
      <c r="A121" s="7" t="s">
        <v>3537</v>
      </c>
      <c r="B121" s="4" t="s">
        <v>3538</v>
      </c>
      <c r="C121" s="6">
        <v>45707.0</v>
      </c>
      <c r="D121" s="4">
        <v>586000.0</v>
      </c>
      <c r="E121" s="4" t="s">
        <v>3434</v>
      </c>
    </row>
    <row r="122" hidden="1">
      <c r="A122" s="7" t="s">
        <v>3539</v>
      </c>
      <c r="B122" s="4" t="s">
        <v>3540</v>
      </c>
      <c r="C122" s="6">
        <v>45707.0</v>
      </c>
      <c r="D122" s="4">
        <v>795000.0</v>
      </c>
      <c r="E122" s="4" t="s">
        <v>3434</v>
      </c>
    </row>
    <row r="123" hidden="1">
      <c r="A123" s="7" t="s">
        <v>3541</v>
      </c>
      <c r="B123" s="4" t="s">
        <v>3529</v>
      </c>
      <c r="C123" s="6">
        <v>45712.0</v>
      </c>
      <c r="D123" s="4">
        <v>50000.0</v>
      </c>
      <c r="E123" s="4" t="s">
        <v>3434</v>
      </c>
    </row>
    <row r="124" hidden="1">
      <c r="A124" s="7" t="s">
        <v>3542</v>
      </c>
      <c r="B124" s="4" t="s">
        <v>3543</v>
      </c>
      <c r="C124" s="6">
        <v>45714.0</v>
      </c>
      <c r="D124" s="4">
        <v>726000.0</v>
      </c>
      <c r="E124" s="4" t="s">
        <v>3434</v>
      </c>
    </row>
    <row r="125" hidden="1">
      <c r="A125" s="7" t="s">
        <v>3544</v>
      </c>
      <c r="B125" s="4" t="s">
        <v>3545</v>
      </c>
      <c r="C125" s="6">
        <v>45729.0</v>
      </c>
      <c r="D125" s="4">
        <v>1364000.0</v>
      </c>
      <c r="E125" s="4" t="s">
        <v>3434</v>
      </c>
    </row>
    <row r="126" hidden="1">
      <c r="A126" s="7" t="s">
        <v>3546</v>
      </c>
      <c r="B126" s="4" t="s">
        <v>3547</v>
      </c>
      <c r="C126" s="6">
        <v>45733.0</v>
      </c>
      <c r="D126" s="4">
        <v>588000.0</v>
      </c>
      <c r="E126" s="4" t="s">
        <v>3434</v>
      </c>
    </row>
    <row r="127" hidden="1">
      <c r="A127" s="7" t="s">
        <v>3548</v>
      </c>
      <c r="B127" s="4" t="s">
        <v>3549</v>
      </c>
      <c r="C127" s="6">
        <v>45733.0</v>
      </c>
      <c r="D127" s="4">
        <v>606000.0</v>
      </c>
      <c r="E127" s="4" t="s">
        <v>3434</v>
      </c>
    </row>
    <row r="128" hidden="1">
      <c r="A128" s="7" t="s">
        <v>3550</v>
      </c>
      <c r="B128" s="4" t="s">
        <v>3551</v>
      </c>
      <c r="C128" s="6">
        <v>45736.0</v>
      </c>
      <c r="D128" s="4">
        <v>895000.0</v>
      </c>
      <c r="E128" s="4" t="s">
        <v>3434</v>
      </c>
    </row>
    <row r="129" hidden="1">
      <c r="A129" s="7" t="s">
        <v>3552</v>
      </c>
      <c r="B129" s="4" t="s">
        <v>3553</v>
      </c>
      <c r="C129" s="6">
        <v>45741.0</v>
      </c>
      <c r="D129" s="4">
        <v>960000.0</v>
      </c>
      <c r="E129" s="4" t="s">
        <v>3434</v>
      </c>
    </row>
    <row r="130" hidden="1">
      <c r="A130" s="4" t="s">
        <v>3554</v>
      </c>
      <c r="B130" s="4" t="s">
        <v>3555</v>
      </c>
      <c r="C130" s="6">
        <v>45742.0</v>
      </c>
      <c r="D130" s="4">
        <v>101053.0</v>
      </c>
      <c r="E130" s="4" t="s">
        <v>3556</v>
      </c>
    </row>
    <row r="131" hidden="1">
      <c r="A131" s="4" t="s">
        <v>3557</v>
      </c>
      <c r="B131" s="4" t="s">
        <v>3555</v>
      </c>
      <c r="C131" s="6">
        <v>45744.0</v>
      </c>
      <c r="D131" s="4">
        <v>101053.0</v>
      </c>
    </row>
    <row r="132" hidden="1">
      <c r="A132" s="7" t="s">
        <v>3558</v>
      </c>
      <c r="B132" s="4" t="s">
        <v>3559</v>
      </c>
      <c r="C132" s="6">
        <v>45747.0</v>
      </c>
      <c r="D132" s="4">
        <v>811000.0</v>
      </c>
      <c r="E132" s="4" t="s">
        <v>3434</v>
      </c>
    </row>
    <row r="133" hidden="1">
      <c r="A133" s="7" t="s">
        <v>3560</v>
      </c>
      <c r="B133" s="4" t="s">
        <v>3555</v>
      </c>
      <c r="C133" s="6">
        <v>45747.0</v>
      </c>
      <c r="D133" s="4">
        <v>101054.0</v>
      </c>
      <c r="E133" s="4" t="s">
        <v>3434</v>
      </c>
    </row>
    <row r="134" hidden="1">
      <c r="A134" s="7" t="s">
        <v>3561</v>
      </c>
      <c r="B134" s="4" t="s">
        <v>3562</v>
      </c>
      <c r="C134" s="6">
        <v>45748.0</v>
      </c>
      <c r="D134" s="4">
        <v>741000.0</v>
      </c>
      <c r="E134" s="4" t="s">
        <v>3434</v>
      </c>
    </row>
    <row r="135" hidden="1">
      <c r="A135" s="7" t="s">
        <v>3563</v>
      </c>
      <c r="B135" s="4" t="s">
        <v>3564</v>
      </c>
      <c r="C135" s="6">
        <v>45761.0</v>
      </c>
      <c r="D135" s="4">
        <v>602000.0</v>
      </c>
      <c r="E135" s="4" t="s">
        <v>3434</v>
      </c>
    </row>
    <row r="136" hidden="1">
      <c r="A136" s="7" t="s">
        <v>3565</v>
      </c>
      <c r="B136" s="4" t="s">
        <v>3566</v>
      </c>
      <c r="C136" s="6">
        <v>45762.0</v>
      </c>
      <c r="D136" s="4">
        <v>1364000.0</v>
      </c>
      <c r="E136" s="4" t="s">
        <v>3434</v>
      </c>
    </row>
    <row r="137" hidden="1">
      <c r="A137" s="7" t="s">
        <v>3567</v>
      </c>
      <c r="B137" s="4" t="s">
        <v>3568</v>
      </c>
      <c r="C137" s="6">
        <v>45762.0</v>
      </c>
      <c r="D137" s="4">
        <v>1174000.0</v>
      </c>
      <c r="E137" s="4" t="s">
        <v>3434</v>
      </c>
    </row>
    <row r="138" hidden="1">
      <c r="A138" s="7" t="s">
        <v>3569</v>
      </c>
      <c r="B138" s="4" t="s">
        <v>3570</v>
      </c>
      <c r="C138" s="6">
        <v>45769.0</v>
      </c>
      <c r="D138" s="4">
        <v>759000.0</v>
      </c>
      <c r="E138" s="4" t="s">
        <v>3434</v>
      </c>
    </row>
    <row r="139" hidden="1">
      <c r="A139" s="7" t="s">
        <v>3571</v>
      </c>
      <c r="B139" s="4" t="s">
        <v>3572</v>
      </c>
      <c r="C139" s="6">
        <v>45770.0</v>
      </c>
      <c r="D139" s="4">
        <v>833000.0</v>
      </c>
      <c r="E139" s="4" t="s">
        <v>3434</v>
      </c>
    </row>
    <row r="140" hidden="1">
      <c r="A140" s="7" t="s">
        <v>3573</v>
      </c>
      <c r="B140" s="4" t="s">
        <v>3574</v>
      </c>
      <c r="C140" s="6">
        <v>45771.0</v>
      </c>
      <c r="D140" s="4">
        <v>895000.0</v>
      </c>
      <c r="E140" s="4" t="s">
        <v>3434</v>
      </c>
    </row>
    <row r="141" hidden="1">
      <c r="A141" s="7" t="s">
        <v>3575</v>
      </c>
      <c r="B141" s="4" t="s">
        <v>3576</v>
      </c>
      <c r="C141" s="6">
        <v>45782.0</v>
      </c>
      <c r="D141" s="4">
        <v>620000.0</v>
      </c>
      <c r="E141" s="4" t="s">
        <v>3434</v>
      </c>
    </row>
    <row r="142" hidden="1">
      <c r="A142" s="7" t="s">
        <v>3577</v>
      </c>
      <c r="B142" s="4" t="s">
        <v>3578</v>
      </c>
      <c r="C142" s="6">
        <v>45785.0</v>
      </c>
      <c r="D142" s="4">
        <v>615000.0</v>
      </c>
      <c r="E142" s="4" t="s">
        <v>3434</v>
      </c>
    </row>
    <row r="143" hidden="1">
      <c r="A143" s="4" t="s">
        <v>3579</v>
      </c>
      <c r="B143" s="4" t="s">
        <v>3580</v>
      </c>
      <c r="C143" s="6">
        <v>45785.0</v>
      </c>
      <c r="D143" s="4">
        <v>126000.0</v>
      </c>
    </row>
    <row r="144" hidden="1">
      <c r="A144" s="4" t="s">
        <v>3581</v>
      </c>
      <c r="B144" s="4" t="s">
        <v>3580</v>
      </c>
      <c r="C144" s="6">
        <v>45789.0</v>
      </c>
      <c r="D144" s="4">
        <v>101053.0</v>
      </c>
      <c r="E144" s="4" t="s">
        <v>3582</v>
      </c>
    </row>
    <row r="145" hidden="1">
      <c r="A145" s="4" t="s">
        <v>3583</v>
      </c>
      <c r="B145" s="4" t="s">
        <v>3580</v>
      </c>
      <c r="C145" s="6">
        <v>45789.0</v>
      </c>
      <c r="D145" s="4">
        <v>24947.0</v>
      </c>
    </row>
    <row r="146" hidden="1">
      <c r="A146" s="7" t="s">
        <v>3584</v>
      </c>
      <c r="B146" s="4" t="s">
        <v>3585</v>
      </c>
      <c r="C146" s="6">
        <v>45789.0</v>
      </c>
      <c r="D146" s="4">
        <v>856000.0</v>
      </c>
      <c r="E146" s="4" t="s">
        <v>3434</v>
      </c>
    </row>
    <row r="147" hidden="1">
      <c r="A147" s="4" t="s">
        <v>3586</v>
      </c>
      <c r="B147" s="4" t="s">
        <v>3580</v>
      </c>
      <c r="C147" s="6">
        <v>45789.0</v>
      </c>
      <c r="D147" s="4">
        <v>126000.0</v>
      </c>
    </row>
    <row r="148" hidden="1">
      <c r="A148" s="7" t="s">
        <v>3587</v>
      </c>
      <c r="B148" s="4" t="s">
        <v>3588</v>
      </c>
      <c r="C148" s="6">
        <v>45789.0</v>
      </c>
      <c r="D148" s="4">
        <v>602000.0</v>
      </c>
      <c r="E148" s="4" t="s">
        <v>3434</v>
      </c>
    </row>
    <row r="149" hidden="1">
      <c r="A149" s="7" t="s">
        <v>3589</v>
      </c>
      <c r="B149" s="4" t="s">
        <v>3590</v>
      </c>
      <c r="C149" s="6">
        <v>45796.0</v>
      </c>
      <c r="D149" s="4">
        <v>1364000.0</v>
      </c>
      <c r="E149" s="4" t="s">
        <v>3434</v>
      </c>
    </row>
    <row r="150" hidden="1">
      <c r="A150" s="7" t="s">
        <v>3591</v>
      </c>
      <c r="B150" s="4" t="s">
        <v>3592</v>
      </c>
      <c r="C150" s="6">
        <v>45797.0</v>
      </c>
      <c r="D150" s="4">
        <v>784000.0</v>
      </c>
      <c r="E150" s="4" t="s">
        <v>3434</v>
      </c>
    </row>
    <row r="151" hidden="1">
      <c r="A151" s="7" t="s">
        <v>3593</v>
      </c>
      <c r="B151" s="4" t="s">
        <v>3594</v>
      </c>
      <c r="C151" s="6">
        <v>45799.0</v>
      </c>
      <c r="D151" s="4">
        <v>1014000.0</v>
      </c>
      <c r="E151" s="4" t="s">
        <v>3434</v>
      </c>
    </row>
    <row r="152" hidden="1">
      <c r="A152" s="4" t="s">
        <v>3595</v>
      </c>
      <c r="B152" s="4" t="s">
        <v>3596</v>
      </c>
      <c r="C152" s="6">
        <v>45799.0</v>
      </c>
      <c r="D152" s="4">
        <v>375.44</v>
      </c>
      <c r="E152" s="4" t="s">
        <v>3597</v>
      </c>
    </row>
    <row r="153" hidden="1">
      <c r="A153" s="7" t="s">
        <v>3598</v>
      </c>
      <c r="B153" s="4" t="s">
        <v>3599</v>
      </c>
      <c r="C153" s="6">
        <v>45803.0</v>
      </c>
      <c r="D153" s="4">
        <v>939000.0</v>
      </c>
      <c r="E153" s="4" t="s">
        <v>3434</v>
      </c>
    </row>
    <row r="154" hidden="1">
      <c r="A154" s="4" t="s">
        <v>3600</v>
      </c>
      <c r="B154" s="4" t="s">
        <v>3601</v>
      </c>
      <c r="C154" s="6">
        <v>45806.0</v>
      </c>
      <c r="D154" s="4">
        <v>126000.0</v>
      </c>
    </row>
    <row r="155" hidden="1">
      <c r="A155" s="4" t="s">
        <v>3602</v>
      </c>
      <c r="B155" s="4" t="s">
        <v>3601</v>
      </c>
      <c r="C155" s="6">
        <v>45806.0</v>
      </c>
      <c r="D155" s="4">
        <v>126000.0</v>
      </c>
    </row>
    <row r="156" hidden="1">
      <c r="A156" s="7" t="s">
        <v>3603</v>
      </c>
      <c r="B156" s="4" t="s">
        <v>3604</v>
      </c>
      <c r="C156" s="6">
        <v>45807.0</v>
      </c>
      <c r="D156" s="4">
        <v>549000.0</v>
      </c>
      <c r="E156" s="4" t="s">
        <v>3434</v>
      </c>
    </row>
    <row r="157" hidden="1">
      <c r="A157" s="7" t="s">
        <v>3605</v>
      </c>
      <c r="B157" s="4" t="s">
        <v>3606</v>
      </c>
      <c r="C157" s="6">
        <v>45807.0</v>
      </c>
      <c r="D157" s="4">
        <v>631000.0</v>
      </c>
      <c r="E157" s="4" t="s">
        <v>3434</v>
      </c>
    </row>
    <row r="158" hidden="1">
      <c r="A158" s="7" t="s">
        <v>3607</v>
      </c>
      <c r="B158" s="4" t="s">
        <v>3601</v>
      </c>
      <c r="C158" s="6">
        <v>45811.0</v>
      </c>
      <c r="D158" s="4">
        <v>126000.0</v>
      </c>
      <c r="E158" s="4" t="s">
        <v>3434</v>
      </c>
    </row>
    <row r="159" hidden="1">
      <c r="A159" s="7" t="s">
        <v>3608</v>
      </c>
      <c r="B159" s="4" t="s">
        <v>3609</v>
      </c>
      <c r="C159" s="6">
        <v>45813.0</v>
      </c>
      <c r="D159" s="4">
        <v>998000.0</v>
      </c>
      <c r="E159" s="4" t="s">
        <v>3434</v>
      </c>
    </row>
    <row r="160" hidden="1">
      <c r="A160" s="7" t="s">
        <v>3610</v>
      </c>
      <c r="B160" s="4" t="s">
        <v>3611</v>
      </c>
      <c r="C160" s="6">
        <v>45821.0</v>
      </c>
      <c r="D160" s="4">
        <v>592000.0</v>
      </c>
      <c r="E160" s="4" t="s">
        <v>3434</v>
      </c>
    </row>
    <row r="161" hidden="1">
      <c r="A161" s="7" t="s">
        <v>3612</v>
      </c>
      <c r="B161" s="4" t="s">
        <v>3613</v>
      </c>
      <c r="C161" s="6">
        <v>45826.0</v>
      </c>
      <c r="D161" s="4">
        <v>1364000.0</v>
      </c>
      <c r="E161" s="4" t="s">
        <v>3434</v>
      </c>
    </row>
    <row r="162" hidden="1">
      <c r="A162" s="7" t="s">
        <v>3614</v>
      </c>
      <c r="B162" s="4" t="s">
        <v>3615</v>
      </c>
      <c r="C162" s="6">
        <v>45826.0</v>
      </c>
      <c r="D162" s="4">
        <v>622000.0</v>
      </c>
      <c r="E162" s="4" t="s">
        <v>3434</v>
      </c>
    </row>
    <row r="163" hidden="1">
      <c r="A163" s="7" t="s">
        <v>3616</v>
      </c>
      <c r="B163" s="4" t="s">
        <v>3617</v>
      </c>
      <c r="C163" s="6">
        <v>45831.0</v>
      </c>
      <c r="D163" s="4">
        <v>700000.0</v>
      </c>
      <c r="E163" s="4" t="s">
        <v>3434</v>
      </c>
    </row>
    <row r="164" hidden="1">
      <c r="A164" s="4" t="s">
        <v>3618</v>
      </c>
      <c r="B164" s="4" t="s">
        <v>3619</v>
      </c>
      <c r="C164" s="6">
        <v>45839.0</v>
      </c>
      <c r="D164" s="4">
        <v>364392.0</v>
      </c>
      <c r="E164" s="4" t="s">
        <v>3620</v>
      </c>
    </row>
    <row r="165" hidden="1">
      <c r="A165" s="7" t="s">
        <v>3621</v>
      </c>
      <c r="B165" s="4" t="s">
        <v>3619</v>
      </c>
      <c r="C165" s="6">
        <v>45838.0</v>
      </c>
      <c r="D165" s="4">
        <v>13608.0</v>
      </c>
      <c r="E165" s="4" t="s">
        <v>3434</v>
      </c>
    </row>
    <row r="166" hidden="1">
      <c r="A166" s="7" t="s">
        <v>3622</v>
      </c>
      <c r="B166" s="4" t="s">
        <v>3623</v>
      </c>
      <c r="C166" s="6">
        <v>45838.0</v>
      </c>
      <c r="D166" s="4">
        <v>809000.0</v>
      </c>
      <c r="E166" s="4" t="s">
        <v>3434</v>
      </c>
    </row>
    <row r="167" hidden="1">
      <c r="A167" s="7" t="s">
        <v>3624</v>
      </c>
      <c r="B167" s="4" t="s">
        <v>3625</v>
      </c>
      <c r="C167" s="6">
        <v>45838.0</v>
      </c>
      <c r="D167" s="4">
        <v>549000.0</v>
      </c>
      <c r="E167" s="4" t="s">
        <v>3434</v>
      </c>
    </row>
    <row r="168" hidden="1">
      <c r="A168" s="7" t="s">
        <v>3626</v>
      </c>
      <c r="B168" s="4" t="s">
        <v>3627</v>
      </c>
      <c r="C168" s="6">
        <v>45845.0</v>
      </c>
      <c r="D168" s="4">
        <v>654000.0</v>
      </c>
      <c r="E168" s="4" t="s">
        <v>3434</v>
      </c>
    </row>
    <row r="169" hidden="1">
      <c r="A169" s="4"/>
      <c r="B169" s="4"/>
      <c r="C169" s="6"/>
      <c r="D169" s="4"/>
      <c r="E169" s="4"/>
    </row>
    <row r="170" hidden="1">
      <c r="A170" s="7" t="s">
        <v>3628</v>
      </c>
      <c r="B170" s="4" t="s">
        <v>3629</v>
      </c>
      <c r="C170" s="6">
        <v>45846.0</v>
      </c>
      <c r="D170" s="4">
        <v>470.56</v>
      </c>
      <c r="E170" s="4" t="s">
        <v>3434</v>
      </c>
    </row>
    <row r="171" hidden="1">
      <c r="A171" s="7" t="s">
        <v>3630</v>
      </c>
      <c r="B171" s="4" t="s">
        <v>3596</v>
      </c>
      <c r="C171" s="6">
        <v>45846.0</v>
      </c>
      <c r="D171" s="4">
        <v>47.56</v>
      </c>
      <c r="E171" s="4" t="s">
        <v>3434</v>
      </c>
    </row>
    <row r="172" hidden="1">
      <c r="A172" s="7" t="s">
        <v>3631</v>
      </c>
      <c r="B172" s="4" t="s">
        <v>3632</v>
      </c>
      <c r="C172" s="6">
        <v>45854.0</v>
      </c>
      <c r="D172" s="4">
        <v>621000.0</v>
      </c>
      <c r="E172" s="4" t="s">
        <v>3434</v>
      </c>
    </row>
    <row r="173" hidden="1">
      <c r="A173" s="7" t="s">
        <v>3633</v>
      </c>
      <c r="B173" s="4" t="s">
        <v>3634</v>
      </c>
      <c r="C173" s="6">
        <v>45854.0</v>
      </c>
      <c r="D173" s="4">
        <v>500000.0</v>
      </c>
      <c r="E173" s="4" t="s">
        <v>3434</v>
      </c>
    </row>
    <row r="174" hidden="1">
      <c r="A174" s="7" t="s">
        <v>3635</v>
      </c>
      <c r="B174" s="4" t="s">
        <v>3636</v>
      </c>
      <c r="C174" s="6">
        <v>45855.0</v>
      </c>
      <c r="D174" s="4">
        <v>642000.0</v>
      </c>
      <c r="E174" s="4" t="s">
        <v>3434</v>
      </c>
    </row>
    <row r="175" hidden="1">
      <c r="A175" s="4" t="s">
        <v>3637</v>
      </c>
      <c r="B175" s="4" t="s">
        <v>3638</v>
      </c>
      <c r="C175" s="6">
        <v>45856.0</v>
      </c>
      <c r="D175" s="4">
        <v>240000.0</v>
      </c>
    </row>
    <row r="176" hidden="1">
      <c r="A176" s="4" t="s">
        <v>3639</v>
      </c>
      <c r="B176" s="4" t="s">
        <v>3638</v>
      </c>
      <c r="C176" s="6">
        <v>45856.0</v>
      </c>
      <c r="D176" s="4">
        <v>223198.0</v>
      </c>
    </row>
    <row r="177" hidden="1">
      <c r="A177" s="4" t="s">
        <v>3640</v>
      </c>
      <c r="B177" s="4" t="s">
        <v>3638</v>
      </c>
      <c r="C177" s="6">
        <v>45856.0</v>
      </c>
      <c r="D177" s="4">
        <v>350000.0</v>
      </c>
    </row>
    <row r="178" hidden="1">
      <c r="A178" s="7" t="s">
        <v>3641</v>
      </c>
      <c r="B178" s="4" t="s">
        <v>3638</v>
      </c>
      <c r="C178" s="6">
        <v>45856.0</v>
      </c>
      <c r="D178" s="4">
        <v>550802.0</v>
      </c>
      <c r="E178" s="4" t="s">
        <v>3434</v>
      </c>
    </row>
    <row r="179" hidden="1">
      <c r="A179" s="7" t="s">
        <v>3642</v>
      </c>
      <c r="B179" s="4" t="s">
        <v>3643</v>
      </c>
      <c r="C179" s="6">
        <v>45860.0</v>
      </c>
      <c r="D179" s="4">
        <v>873250.0</v>
      </c>
      <c r="E179" s="4" t="s">
        <v>3434</v>
      </c>
    </row>
    <row r="180" hidden="1">
      <c r="A180" s="7" t="s">
        <v>3644</v>
      </c>
      <c r="B180" s="4" t="s">
        <v>3645</v>
      </c>
      <c r="C180" s="6">
        <v>45863.0</v>
      </c>
      <c r="D180" s="4">
        <v>1000000.0</v>
      </c>
      <c r="E180" s="4" t="s">
        <v>3434</v>
      </c>
    </row>
    <row r="181" hidden="1">
      <c r="A181" s="7" t="s">
        <v>3646</v>
      </c>
      <c r="B181" s="4" t="s">
        <v>3647</v>
      </c>
      <c r="C181" s="6">
        <v>45867.0</v>
      </c>
      <c r="D181" s="4">
        <v>822000.0</v>
      </c>
      <c r="E181" s="4" t="s">
        <v>3434</v>
      </c>
    </row>
    <row r="182" hidden="1">
      <c r="A182" s="7" t="s">
        <v>3648</v>
      </c>
      <c r="B182" s="4" t="s">
        <v>3649</v>
      </c>
      <c r="C182" s="6">
        <v>45868.0</v>
      </c>
      <c r="D182" s="4">
        <v>315000.0</v>
      </c>
      <c r="E182" s="4" t="s">
        <v>3434</v>
      </c>
    </row>
    <row r="183" hidden="1">
      <c r="A183" s="7" t="s">
        <v>3650</v>
      </c>
      <c r="B183" s="4" t="s">
        <v>3651</v>
      </c>
      <c r="C183" s="6">
        <v>45869.0</v>
      </c>
      <c r="D183" s="4">
        <v>669000.0</v>
      </c>
      <c r="E183" s="4" t="s">
        <v>3434</v>
      </c>
    </row>
    <row r="184" hidden="1">
      <c r="A184" s="7" t="s">
        <v>3652</v>
      </c>
      <c r="B184" s="4" t="s">
        <v>3653</v>
      </c>
      <c r="C184" s="6">
        <v>45869.0</v>
      </c>
      <c r="D184" s="4">
        <v>549000.0</v>
      </c>
      <c r="E184" s="4" t="s">
        <v>3434</v>
      </c>
    </row>
    <row r="185" hidden="1">
      <c r="A185" s="7" t="s">
        <v>3654</v>
      </c>
      <c r="B185" s="4" t="s">
        <v>3655</v>
      </c>
      <c r="C185" s="6">
        <v>45870.0</v>
      </c>
      <c r="D185" s="4">
        <v>378000.0</v>
      </c>
      <c r="E185" s="4" t="s">
        <v>3434</v>
      </c>
    </row>
    <row r="186" hidden="1">
      <c r="A186" s="7" t="s">
        <v>3656</v>
      </c>
      <c r="B186" s="4" t="s">
        <v>3657</v>
      </c>
      <c r="C186" s="6">
        <v>45881.0</v>
      </c>
      <c r="D186" s="4">
        <v>440000.0</v>
      </c>
      <c r="E186" s="4" t="s">
        <v>3434</v>
      </c>
    </row>
    <row r="187" hidden="1">
      <c r="A187" s="7" t="s">
        <v>3658</v>
      </c>
      <c r="B187" s="4" t="s">
        <v>3659</v>
      </c>
      <c r="C187" s="6">
        <v>45883.0</v>
      </c>
      <c r="D187" s="4">
        <v>500000.0</v>
      </c>
      <c r="E187" s="4" t="s">
        <v>3434</v>
      </c>
    </row>
    <row r="188" hidden="1">
      <c r="A188" s="4" t="s">
        <v>3660</v>
      </c>
      <c r="B188" s="4" t="s">
        <v>3661</v>
      </c>
      <c r="C188" s="6">
        <v>45883.0</v>
      </c>
      <c r="D188" s="4">
        <v>450000.0</v>
      </c>
      <c r="E188" s="4" t="s">
        <v>3662</v>
      </c>
    </row>
    <row r="189" hidden="1">
      <c r="A189" s="7" t="s">
        <v>3663</v>
      </c>
      <c r="B189" s="4" t="s">
        <v>3664</v>
      </c>
      <c r="C189" s="6">
        <v>45887.0</v>
      </c>
      <c r="D189" s="4">
        <v>1274000.0</v>
      </c>
      <c r="E189" s="4" t="s">
        <v>3434</v>
      </c>
    </row>
    <row r="190" hidden="1">
      <c r="A190" s="4" t="s">
        <v>3665</v>
      </c>
      <c r="B190" s="4" t="s">
        <v>3661</v>
      </c>
      <c r="C190" s="6">
        <v>45887.0</v>
      </c>
      <c r="D190" s="4">
        <v>500000.0</v>
      </c>
    </row>
    <row r="191" hidden="1">
      <c r="A191" s="7" t="s">
        <v>3666</v>
      </c>
      <c r="B191" s="4" t="s">
        <v>3667</v>
      </c>
      <c r="C191" s="6">
        <v>45888.0</v>
      </c>
      <c r="D191" s="4">
        <v>631000.0</v>
      </c>
      <c r="E191" s="4" t="s">
        <v>3434</v>
      </c>
    </row>
    <row r="192" hidden="1">
      <c r="A192" s="4" t="s">
        <v>3668</v>
      </c>
      <c r="B192" s="4" t="s">
        <v>3661</v>
      </c>
      <c r="C192" s="6">
        <v>45889.0</v>
      </c>
      <c r="D192" s="4">
        <v>294886.0</v>
      </c>
    </row>
    <row r="193" hidden="1">
      <c r="A193" s="4" t="s">
        <v>3669</v>
      </c>
      <c r="B193" s="4" t="s">
        <v>3661</v>
      </c>
      <c r="C193" s="6">
        <v>45889.0</v>
      </c>
      <c r="D193" s="4">
        <v>192114.0</v>
      </c>
    </row>
    <row r="194" hidden="1">
      <c r="A194" s="7" t="s">
        <v>3670</v>
      </c>
      <c r="B194" s="4" t="s">
        <v>3671</v>
      </c>
      <c r="C194" s="6">
        <v>45891.0</v>
      </c>
      <c r="D194" s="4">
        <v>1000000.0</v>
      </c>
      <c r="E194" s="4" t="s">
        <v>3434</v>
      </c>
    </row>
    <row r="195" hidden="1">
      <c r="A195" s="7" t="s">
        <v>3672</v>
      </c>
      <c r="B195" s="4" t="s">
        <v>3673</v>
      </c>
      <c r="C195" s="6">
        <v>45891.0</v>
      </c>
      <c r="D195" s="4">
        <v>305000.0</v>
      </c>
      <c r="E195" s="4" t="s">
        <v>3434</v>
      </c>
    </row>
    <row r="196" hidden="1">
      <c r="A196" s="7" t="s">
        <v>3674</v>
      </c>
      <c r="B196" s="4" t="s">
        <v>3675</v>
      </c>
      <c r="C196" s="6">
        <v>45892.0</v>
      </c>
      <c r="D196" s="4">
        <v>678000.0</v>
      </c>
      <c r="E196" s="4" t="s">
        <v>3434</v>
      </c>
    </row>
    <row r="197" hidden="1">
      <c r="A197" s="7" t="s">
        <v>3676</v>
      </c>
      <c r="B197" s="4" t="s">
        <v>3677</v>
      </c>
      <c r="C197" s="6">
        <v>45894.0</v>
      </c>
      <c r="D197" s="4">
        <v>835000.0</v>
      </c>
      <c r="E197" s="4" t="s">
        <v>3434</v>
      </c>
    </row>
    <row r="198" hidden="1">
      <c r="A198" s="7" t="s">
        <v>3678</v>
      </c>
      <c r="B198" s="4" t="s">
        <v>3679</v>
      </c>
      <c r="C198" s="6">
        <v>45897.0</v>
      </c>
      <c r="D198" s="4">
        <v>423.0</v>
      </c>
      <c r="E198" s="4" t="s">
        <v>3434</v>
      </c>
    </row>
    <row r="199" hidden="1">
      <c r="A199" s="7" t="s">
        <v>3680</v>
      </c>
      <c r="B199" s="4" t="s">
        <v>3681</v>
      </c>
      <c r="C199" s="6">
        <v>45902.0</v>
      </c>
      <c r="D199" s="4">
        <v>315000.0</v>
      </c>
      <c r="E199" s="4" t="s">
        <v>3434</v>
      </c>
    </row>
    <row r="200" hidden="1">
      <c r="A200" s="7" t="s">
        <v>3682</v>
      </c>
      <c r="B200" s="4" t="s">
        <v>3683</v>
      </c>
      <c r="C200" s="6">
        <v>45902.0</v>
      </c>
      <c r="D200" s="4">
        <v>593000.0</v>
      </c>
      <c r="E200" s="4" t="s">
        <v>3434</v>
      </c>
    </row>
    <row r="201" hidden="1">
      <c r="A201" s="7" t="s">
        <v>3684</v>
      </c>
      <c r="B201" s="4" t="s">
        <v>3685</v>
      </c>
      <c r="C201" s="6">
        <v>45911.0</v>
      </c>
      <c r="D201" s="4">
        <v>440000.0</v>
      </c>
      <c r="E201" s="4" t="s">
        <v>3434</v>
      </c>
    </row>
    <row r="202" hidden="1">
      <c r="A202" s="7" t="s">
        <v>3686</v>
      </c>
      <c r="B202" s="4" t="s">
        <v>3687</v>
      </c>
      <c r="C202" s="6">
        <v>45911.0</v>
      </c>
      <c r="D202" s="4">
        <v>423.0</v>
      </c>
      <c r="E202" s="4" t="s">
        <v>3434</v>
      </c>
    </row>
    <row r="203" hidden="1">
      <c r="A203" s="7" t="s">
        <v>3688</v>
      </c>
      <c r="B203" s="4" t="s">
        <v>3689</v>
      </c>
      <c r="C203" s="6">
        <v>45915.0</v>
      </c>
      <c r="D203" s="4">
        <v>500000.0</v>
      </c>
      <c r="E203" s="4" t="s">
        <v>3434</v>
      </c>
    </row>
    <row r="204" hidden="1">
      <c r="A204" s="7" t="s">
        <v>3690</v>
      </c>
      <c r="B204" s="4" t="s">
        <v>3691</v>
      </c>
      <c r="C204" s="6">
        <v>45917.0</v>
      </c>
      <c r="D204" s="4">
        <v>642000.0</v>
      </c>
      <c r="E204" s="4" t="s">
        <v>3434</v>
      </c>
    </row>
    <row r="205" hidden="1">
      <c r="A205" s="4" t="s">
        <v>3692</v>
      </c>
      <c r="B205" s="4" t="s">
        <v>3693</v>
      </c>
      <c r="C205" s="6">
        <v>45918.0</v>
      </c>
      <c r="D205" s="4">
        <v>138000.0</v>
      </c>
    </row>
    <row r="206" hidden="1">
      <c r="A206" s="4" t="s">
        <v>3694</v>
      </c>
      <c r="B206" s="4" t="s">
        <v>3693</v>
      </c>
      <c r="C206" s="6">
        <v>45918.0</v>
      </c>
      <c r="D206" s="4">
        <v>750000.0</v>
      </c>
    </row>
    <row r="207" hidden="1">
      <c r="A207" s="7" t="s">
        <v>3695</v>
      </c>
      <c r="B207" s="4" t="s">
        <v>3696</v>
      </c>
      <c r="C207" s="6">
        <v>45918.0</v>
      </c>
      <c r="D207" s="4">
        <v>851000.0</v>
      </c>
      <c r="E207" s="4" t="s">
        <v>3434</v>
      </c>
    </row>
    <row r="208" hidden="1">
      <c r="A208" s="7" t="s">
        <v>3697</v>
      </c>
      <c r="B208" s="4" t="s">
        <v>3698</v>
      </c>
      <c r="C208" s="6">
        <v>45919.0</v>
      </c>
      <c r="D208" s="4">
        <v>1274000.0</v>
      </c>
      <c r="E208" s="4" t="s">
        <v>3434</v>
      </c>
    </row>
    <row r="209" hidden="1">
      <c r="A209" s="7" t="s">
        <v>3699</v>
      </c>
      <c r="B209" s="4" t="s">
        <v>3700</v>
      </c>
      <c r="C209" s="6">
        <v>45919.0</v>
      </c>
      <c r="D209" s="4">
        <v>148000.0</v>
      </c>
      <c r="E209" s="4" t="s">
        <v>3434</v>
      </c>
    </row>
    <row r="210" hidden="1">
      <c r="A210" s="7" t="s">
        <v>3701</v>
      </c>
      <c r="B210" s="4" t="s">
        <v>3702</v>
      </c>
      <c r="C210" s="6">
        <v>45919.0</v>
      </c>
      <c r="D210" s="4">
        <v>370500.0</v>
      </c>
      <c r="E210" s="4" t="s">
        <v>3434</v>
      </c>
    </row>
    <row r="211" hidden="1">
      <c r="A211" s="7" t="s">
        <v>3703</v>
      </c>
      <c r="B211" s="4" t="s">
        <v>3704</v>
      </c>
      <c r="C211" s="6">
        <v>45923.0</v>
      </c>
      <c r="D211" s="4">
        <v>691000.0</v>
      </c>
      <c r="E211" s="4" t="s">
        <v>3434</v>
      </c>
    </row>
    <row r="212" hidden="1">
      <c r="A212" s="4" t="s">
        <v>3705</v>
      </c>
      <c r="B212" s="4" t="s">
        <v>3693</v>
      </c>
      <c r="C212" s="6">
        <v>45924.0</v>
      </c>
      <c r="D212" s="4">
        <v>349000.0</v>
      </c>
    </row>
    <row r="213" hidden="1">
      <c r="A213" s="4" t="s">
        <v>3706</v>
      </c>
      <c r="B213" s="4" t="s">
        <v>3693</v>
      </c>
      <c r="C213" s="6">
        <v>45924.0</v>
      </c>
      <c r="D213" s="4">
        <v>200000.0</v>
      </c>
    </row>
    <row r="214" hidden="1">
      <c r="A214" s="7" t="s">
        <v>3707</v>
      </c>
      <c r="B214" s="4" t="s">
        <v>3708</v>
      </c>
      <c r="C214" s="6">
        <v>45926.0</v>
      </c>
      <c r="D214" s="4">
        <v>1000000.0</v>
      </c>
      <c r="E214" s="4" t="s">
        <v>3434</v>
      </c>
    </row>
    <row r="215" hidden="1">
      <c r="A215" s="7" t="s">
        <v>3709</v>
      </c>
      <c r="B215" s="4" t="s">
        <v>3710</v>
      </c>
      <c r="C215" s="6">
        <v>45929.0</v>
      </c>
      <c r="D215" s="4">
        <v>593000.0</v>
      </c>
      <c r="E215" s="4" t="s">
        <v>3434</v>
      </c>
    </row>
    <row r="216" hidden="1">
      <c r="A216" s="7" t="s">
        <v>3711</v>
      </c>
      <c r="B216" s="4" t="s">
        <v>3712</v>
      </c>
      <c r="C216" s="6">
        <v>45929.0</v>
      </c>
      <c r="D216" s="4">
        <v>290000.0</v>
      </c>
      <c r="E216" s="4" t="s">
        <v>3434</v>
      </c>
    </row>
    <row r="217" hidden="1">
      <c r="A217" s="7" t="s">
        <v>3713</v>
      </c>
      <c r="B217" s="4" t="s">
        <v>3714</v>
      </c>
      <c r="C217" s="6">
        <v>45937.0</v>
      </c>
      <c r="D217" s="4">
        <v>315000.0</v>
      </c>
      <c r="E217" s="4" t="s">
        <v>3434</v>
      </c>
    </row>
    <row r="218" hidden="1">
      <c r="A218" s="7" t="s">
        <v>3715</v>
      </c>
      <c r="B218" s="4" t="s">
        <v>3716</v>
      </c>
      <c r="C218" s="6">
        <v>45937.0</v>
      </c>
      <c r="D218" s="4">
        <v>149000.0</v>
      </c>
      <c r="E218" s="4" t="s">
        <v>3434</v>
      </c>
    </row>
    <row r="219" hidden="1">
      <c r="A219" s="7" t="s">
        <v>3717</v>
      </c>
      <c r="B219" s="4" t="s">
        <v>3718</v>
      </c>
      <c r="C219" s="17">
        <v>45944.0</v>
      </c>
      <c r="D219" s="4">
        <v>440000.0</v>
      </c>
      <c r="E219" s="4" t="s">
        <v>3434</v>
      </c>
    </row>
    <row r="220" hidden="1">
      <c r="A220" s="7" t="s">
        <v>3719</v>
      </c>
      <c r="B220" s="4" t="s">
        <v>3720</v>
      </c>
      <c r="C220" s="17">
        <v>45950.0</v>
      </c>
      <c r="D220" s="4">
        <v>236000.0</v>
      </c>
      <c r="E220" s="4" t="s">
        <v>3434</v>
      </c>
    </row>
    <row r="221" hidden="1">
      <c r="A221" s="7" t="s">
        <v>3721</v>
      </c>
      <c r="B221" s="4" t="s">
        <v>3722</v>
      </c>
      <c r="C221" s="17">
        <v>45951.0</v>
      </c>
      <c r="D221" s="4">
        <v>1274000.0</v>
      </c>
      <c r="E221" s="4" t="s">
        <v>3434</v>
      </c>
    </row>
    <row r="222" hidden="1">
      <c r="A222" s="7" t="s">
        <v>3723</v>
      </c>
      <c r="B222" s="4" t="s">
        <v>3724</v>
      </c>
      <c r="C222" s="17">
        <v>45951.0</v>
      </c>
      <c r="D222" s="4">
        <v>500000.0</v>
      </c>
      <c r="E222" s="4" t="s">
        <v>3434</v>
      </c>
    </row>
    <row r="223" hidden="1">
      <c r="A223" s="4" t="s">
        <v>3725</v>
      </c>
      <c r="B223" s="4" t="s">
        <v>3726</v>
      </c>
      <c r="C223" s="17">
        <v>45951.0</v>
      </c>
      <c r="D223" s="4">
        <v>500000.0</v>
      </c>
    </row>
    <row r="224" hidden="1">
      <c r="A224" s="7" t="s">
        <v>3727</v>
      </c>
      <c r="B224" s="4" t="s">
        <v>3728</v>
      </c>
      <c r="C224" s="17">
        <v>45952.0</v>
      </c>
      <c r="D224" s="4">
        <v>655000.0</v>
      </c>
      <c r="E224" s="4" t="s">
        <v>3434</v>
      </c>
    </row>
    <row r="225" hidden="1">
      <c r="A225" s="7" t="s">
        <v>3729</v>
      </c>
      <c r="B225" s="4" t="s">
        <v>3730</v>
      </c>
      <c r="C225" s="17">
        <v>45952.0</v>
      </c>
      <c r="D225" s="4">
        <v>1050000.0</v>
      </c>
      <c r="E225" s="4" t="s">
        <v>3434</v>
      </c>
    </row>
    <row r="226" hidden="1">
      <c r="A226" s="4" t="s">
        <v>3731</v>
      </c>
      <c r="B226" s="4" t="s">
        <v>3726</v>
      </c>
      <c r="C226" s="17">
        <v>45952.0</v>
      </c>
      <c r="D226" s="4">
        <v>130000.0</v>
      </c>
    </row>
    <row r="227" hidden="1">
      <c r="A227" s="7" t="s">
        <v>3732</v>
      </c>
      <c r="B227" s="4" t="s">
        <v>3733</v>
      </c>
      <c r="C227" s="17">
        <v>45957.0</v>
      </c>
      <c r="D227" s="4">
        <v>593000.0</v>
      </c>
      <c r="E227" s="4" t="s">
        <v>3434</v>
      </c>
    </row>
    <row r="228" hidden="1">
      <c r="A228" s="4" t="s">
        <v>3734</v>
      </c>
      <c r="B228" s="4" t="s">
        <v>3726</v>
      </c>
      <c r="C228" s="17">
        <v>45958.0</v>
      </c>
      <c r="D228" s="4">
        <v>143200.0</v>
      </c>
    </row>
    <row r="229" hidden="1">
      <c r="A229" s="4" t="s">
        <v>3735</v>
      </c>
      <c r="B229" s="4" t="s">
        <v>3726</v>
      </c>
      <c r="C229" s="17">
        <v>45959.0</v>
      </c>
      <c r="D229" s="4">
        <v>300000.0</v>
      </c>
    </row>
    <row r="230" hidden="1">
      <c r="A230" s="7" t="s">
        <v>3736</v>
      </c>
      <c r="B230" s="4" t="s">
        <v>3737</v>
      </c>
      <c r="C230" s="17">
        <v>45960.0</v>
      </c>
      <c r="D230" s="4">
        <v>423.0</v>
      </c>
      <c r="E230" s="4" t="s">
        <v>3434</v>
      </c>
    </row>
    <row r="231" hidden="1">
      <c r="A231" s="7" t="s">
        <v>3738</v>
      </c>
      <c r="B231" s="4" t="s">
        <v>3739</v>
      </c>
      <c r="C231" s="17">
        <v>45960.0</v>
      </c>
      <c r="D231" s="4">
        <v>1127000.0</v>
      </c>
      <c r="E231" s="4" t="s">
        <v>3434</v>
      </c>
    </row>
    <row r="232" hidden="1">
      <c r="A232" s="4" t="s">
        <v>3740</v>
      </c>
      <c r="B232" s="4" t="s">
        <v>3726</v>
      </c>
      <c r="C232" s="6">
        <v>45964.0</v>
      </c>
      <c r="D232" s="4">
        <v>129000.0</v>
      </c>
    </row>
    <row r="233" hidden="1">
      <c r="A233" s="7" t="s">
        <v>3741</v>
      </c>
      <c r="B233" s="4" t="s">
        <v>3742</v>
      </c>
      <c r="C233" s="6">
        <v>45965.0</v>
      </c>
      <c r="D233" s="4">
        <v>315000.0</v>
      </c>
      <c r="E233" s="4" t="s">
        <v>3434</v>
      </c>
    </row>
    <row r="234" hidden="1">
      <c r="A234" s="7" t="s">
        <v>3743</v>
      </c>
      <c r="B234" s="4" t="s">
        <v>3744</v>
      </c>
      <c r="C234" s="6">
        <v>45965.0</v>
      </c>
      <c r="D234" s="4">
        <v>151000.0</v>
      </c>
      <c r="E234" s="4" t="s">
        <v>3434</v>
      </c>
    </row>
    <row r="235" hidden="1">
      <c r="A235" s="7" t="s">
        <v>3745</v>
      </c>
      <c r="B235" s="4" t="s">
        <v>3746</v>
      </c>
      <c r="C235" s="6">
        <v>45965.0</v>
      </c>
      <c r="D235" s="4">
        <v>950000.0</v>
      </c>
      <c r="E235" s="4" t="s">
        <v>3434</v>
      </c>
    </row>
    <row r="236" hidden="1">
      <c r="A236" s="7" t="s">
        <v>3747</v>
      </c>
      <c r="B236" s="4" t="s">
        <v>3726</v>
      </c>
      <c r="C236" s="6">
        <v>45965.0</v>
      </c>
      <c r="D236" s="4">
        <v>234800.0</v>
      </c>
      <c r="E236" s="4" t="s">
        <v>3434</v>
      </c>
    </row>
    <row r="237" hidden="1">
      <c r="A237" s="4" t="s">
        <v>3748</v>
      </c>
      <c r="B237" s="4" t="s">
        <v>3749</v>
      </c>
      <c r="C237" s="6">
        <v>45965.0</v>
      </c>
      <c r="D237" s="4">
        <v>242200.0</v>
      </c>
    </row>
    <row r="238" hidden="1">
      <c r="A238" s="7" t="s">
        <v>3750</v>
      </c>
      <c r="B238" s="4" t="s">
        <v>3751</v>
      </c>
      <c r="C238" s="6">
        <v>45968.0</v>
      </c>
      <c r="D238" s="4">
        <v>970000.0</v>
      </c>
      <c r="E238" s="4" t="s">
        <v>3434</v>
      </c>
    </row>
    <row r="239" hidden="1">
      <c r="A239" s="4" t="s">
        <v>3752</v>
      </c>
      <c r="B239" s="4" t="s">
        <v>3753</v>
      </c>
      <c r="C239" s="17">
        <v>45971.0</v>
      </c>
      <c r="D239" s="4">
        <v>350000.0</v>
      </c>
      <c r="E239" s="4" t="s">
        <v>3754</v>
      </c>
    </row>
    <row r="240" hidden="1">
      <c r="A240" s="7" t="s">
        <v>3755</v>
      </c>
      <c r="B240" s="7" t="s">
        <v>3756</v>
      </c>
      <c r="C240" s="17">
        <v>45973.0</v>
      </c>
      <c r="D240" s="4">
        <v>459000.0</v>
      </c>
      <c r="E240" s="4" t="s">
        <v>3434</v>
      </c>
    </row>
    <row r="241" hidden="1">
      <c r="A241" s="7" t="s">
        <v>3757</v>
      </c>
      <c r="B241" s="4" t="s">
        <v>3758</v>
      </c>
      <c r="C241" s="17">
        <v>45974.0</v>
      </c>
      <c r="D241" s="4">
        <v>653000.0</v>
      </c>
      <c r="E241" s="4" t="s">
        <v>3434</v>
      </c>
    </row>
    <row r="242" hidden="1">
      <c r="A242" s="7" t="s">
        <v>3759</v>
      </c>
      <c r="B242" s="4" t="s">
        <v>3760</v>
      </c>
      <c r="C242" s="17">
        <v>45975.0</v>
      </c>
      <c r="D242" s="4">
        <v>668000.0</v>
      </c>
      <c r="E242" s="4" t="s">
        <v>3434</v>
      </c>
    </row>
    <row r="243" hidden="1">
      <c r="A243" s="7" t="s">
        <v>3761</v>
      </c>
      <c r="B243" s="4" t="s">
        <v>3762</v>
      </c>
      <c r="C243" s="17">
        <v>45976.0</v>
      </c>
      <c r="D243" s="4">
        <v>28800.0</v>
      </c>
      <c r="E243" s="4" t="s">
        <v>3434</v>
      </c>
    </row>
    <row r="244" hidden="1">
      <c r="A244" s="4" t="s">
        <v>3763</v>
      </c>
      <c r="B244" s="4" t="s">
        <v>3749</v>
      </c>
      <c r="C244" s="17">
        <v>45978.0</v>
      </c>
      <c r="D244" s="4">
        <v>600000.0</v>
      </c>
    </row>
    <row r="245" hidden="1">
      <c r="A245" s="7" t="s">
        <v>3764</v>
      </c>
      <c r="B245" s="4" t="s">
        <v>3765</v>
      </c>
      <c r="C245" s="17">
        <v>45978.0</v>
      </c>
      <c r="D245" s="4">
        <v>228800.0</v>
      </c>
      <c r="E245" s="4" t="s">
        <v>3434</v>
      </c>
    </row>
    <row r="246" hidden="1">
      <c r="A246" s="7" t="s">
        <v>3766</v>
      </c>
      <c r="B246" s="4" t="s">
        <v>3749</v>
      </c>
      <c r="C246" s="17">
        <v>45980.0</v>
      </c>
      <c r="D246" s="4">
        <v>594800.0</v>
      </c>
      <c r="E246" s="4" t="s">
        <v>3434</v>
      </c>
    </row>
    <row r="247" hidden="1">
      <c r="A247" s="4" t="s">
        <v>3767</v>
      </c>
      <c r="B247" s="4" t="s">
        <v>3768</v>
      </c>
      <c r="C247" s="17">
        <v>45980.0</v>
      </c>
      <c r="D247" s="4">
        <v>100000.0</v>
      </c>
      <c r="E247" s="4" t="s">
        <v>3556</v>
      </c>
    </row>
    <row r="248" hidden="1">
      <c r="A248" s="4" t="s">
        <v>3769</v>
      </c>
      <c r="B248" s="4" t="s">
        <v>3768</v>
      </c>
      <c r="C248" s="17">
        <v>45980.0</v>
      </c>
      <c r="D248" s="4">
        <v>50000.0</v>
      </c>
      <c r="E248" s="4" t="s">
        <v>3770</v>
      </c>
    </row>
    <row r="249" hidden="1">
      <c r="A249" s="7" t="s">
        <v>3771</v>
      </c>
      <c r="B249" s="4" t="s">
        <v>3768</v>
      </c>
      <c r="C249" s="17">
        <v>45980.0</v>
      </c>
      <c r="D249" s="4">
        <v>250000.0</v>
      </c>
      <c r="E249" s="4" t="s">
        <v>3434</v>
      </c>
    </row>
    <row r="250" hidden="1">
      <c r="A250" s="7" t="s">
        <v>3772</v>
      </c>
      <c r="B250" s="4" t="s">
        <v>3773</v>
      </c>
      <c r="C250" s="17">
        <v>45981.0</v>
      </c>
      <c r="D250" s="4">
        <v>423.0</v>
      </c>
      <c r="E250" s="4" t="s">
        <v>3434</v>
      </c>
    </row>
    <row r="251" hidden="1">
      <c r="A251" s="7" t="s">
        <v>3774</v>
      </c>
      <c r="B251" s="4" t="s">
        <v>3775</v>
      </c>
      <c r="C251" s="17">
        <v>45986.0</v>
      </c>
      <c r="D251" s="4">
        <v>1050000.0</v>
      </c>
      <c r="E251" s="4" t="s">
        <v>3434</v>
      </c>
    </row>
    <row r="252" hidden="1">
      <c r="A252" s="7" t="s">
        <v>3776</v>
      </c>
      <c r="B252" s="4" t="s">
        <v>3777</v>
      </c>
      <c r="C252" s="17">
        <v>45986.0</v>
      </c>
      <c r="D252" s="4">
        <v>158400.0</v>
      </c>
      <c r="E252" s="4" t="s">
        <v>3434</v>
      </c>
    </row>
    <row r="253" hidden="1">
      <c r="A253" s="7" t="s">
        <v>3778</v>
      </c>
      <c r="B253" s="4" t="s">
        <v>3779</v>
      </c>
      <c r="C253" s="17">
        <v>45987.0</v>
      </c>
      <c r="D253" s="4">
        <v>1342000.0</v>
      </c>
      <c r="E253" s="4" t="s">
        <v>3434</v>
      </c>
    </row>
    <row r="254" hidden="1">
      <c r="A254" s="7" t="s">
        <v>3780</v>
      </c>
      <c r="B254" s="4" t="s">
        <v>3781</v>
      </c>
      <c r="C254" s="17">
        <v>45987.0</v>
      </c>
      <c r="D254" s="4">
        <v>527000.0</v>
      </c>
      <c r="E254" s="4" t="s">
        <v>3434</v>
      </c>
    </row>
    <row r="255" hidden="1">
      <c r="A255" s="7" t="s">
        <v>3782</v>
      </c>
      <c r="B255" s="4" t="s">
        <v>3783</v>
      </c>
      <c r="C255" s="17">
        <v>45989.0</v>
      </c>
      <c r="D255" s="4">
        <v>950000.0</v>
      </c>
      <c r="E255" s="4" t="s">
        <v>3434</v>
      </c>
    </row>
    <row r="256" hidden="1">
      <c r="A256" s="7" t="s">
        <v>3784</v>
      </c>
      <c r="B256" s="4" t="s">
        <v>3785</v>
      </c>
      <c r="C256" s="6">
        <v>45989.0</v>
      </c>
      <c r="D256" s="4">
        <v>1127000.0</v>
      </c>
      <c r="E256" s="4" t="s">
        <v>3434</v>
      </c>
    </row>
    <row r="257" hidden="1">
      <c r="A257" s="4" t="s">
        <v>3786</v>
      </c>
      <c r="B257" s="4" t="s">
        <v>3753</v>
      </c>
      <c r="C257" s="6">
        <v>45993.0</v>
      </c>
      <c r="D257" s="4">
        <v>350000.0</v>
      </c>
    </row>
    <row r="258" hidden="1">
      <c r="A258" s="7" t="s">
        <v>3787</v>
      </c>
      <c r="B258" s="4" t="s">
        <v>3788</v>
      </c>
      <c r="C258" s="6">
        <v>45994.0</v>
      </c>
      <c r="D258" s="4">
        <v>184000.0</v>
      </c>
      <c r="E258" s="4" t="s">
        <v>3434</v>
      </c>
    </row>
    <row r="259" hidden="1">
      <c r="A259" s="7" t="s">
        <v>3789</v>
      </c>
      <c r="B259" s="4" t="s">
        <v>3790</v>
      </c>
      <c r="C259" s="6">
        <v>45995.0</v>
      </c>
      <c r="D259" s="4">
        <v>315000.0</v>
      </c>
      <c r="E259" s="4" t="s">
        <v>3434</v>
      </c>
    </row>
    <row r="260" hidden="1">
      <c r="A260" s="4" t="s">
        <v>3791</v>
      </c>
      <c r="B260" s="4" t="s">
        <v>3792</v>
      </c>
      <c r="C260" s="6">
        <v>46000.0</v>
      </c>
      <c r="D260" s="4">
        <v>15200.0</v>
      </c>
      <c r="E260" s="4" t="s">
        <v>3793</v>
      </c>
    </row>
    <row r="261" hidden="1">
      <c r="A261" s="4" t="s">
        <v>3794</v>
      </c>
      <c r="B261" s="4" t="s">
        <v>3792</v>
      </c>
      <c r="C261" s="6">
        <v>46000.0</v>
      </c>
      <c r="D261" s="4">
        <v>69000.0</v>
      </c>
      <c r="E261" s="27">
        <v>45996.0</v>
      </c>
    </row>
    <row r="262" hidden="1">
      <c r="A262" s="4" t="s">
        <v>3795</v>
      </c>
      <c r="B262" s="4" t="s">
        <v>3792</v>
      </c>
      <c r="C262" s="6">
        <v>46000.0</v>
      </c>
      <c r="D262" s="4">
        <v>200000.0</v>
      </c>
      <c r="E262" s="27">
        <v>46000.0</v>
      </c>
    </row>
    <row r="263" hidden="1">
      <c r="A263" s="7" t="s">
        <v>3796</v>
      </c>
      <c r="B263" s="4" t="s">
        <v>3797</v>
      </c>
      <c r="C263" s="17">
        <v>46002.0</v>
      </c>
      <c r="D263" s="4">
        <v>423.0</v>
      </c>
      <c r="E263" s="4" t="s">
        <v>3434</v>
      </c>
    </row>
    <row r="264" hidden="1">
      <c r="A264" s="7" t="s">
        <v>3798</v>
      </c>
      <c r="B264" s="4" t="s">
        <v>3799</v>
      </c>
      <c r="C264" s="17">
        <v>46003.0</v>
      </c>
      <c r="D264" s="4">
        <v>970000.0</v>
      </c>
      <c r="E264" s="4" t="s">
        <v>3434</v>
      </c>
    </row>
    <row r="265" hidden="1">
      <c r="A265" s="4" t="s">
        <v>3800</v>
      </c>
      <c r="B265" s="4" t="s">
        <v>3792</v>
      </c>
      <c r="C265" s="17">
        <v>46004.0</v>
      </c>
      <c r="D265" s="4">
        <v>300000.0</v>
      </c>
    </row>
    <row r="266" hidden="1">
      <c r="A266" s="4" t="s">
        <v>3801</v>
      </c>
      <c r="B266" s="4" t="s">
        <v>3792</v>
      </c>
      <c r="C266" s="17">
        <v>46006.0</v>
      </c>
      <c r="D266" s="4">
        <v>190000.0</v>
      </c>
    </row>
    <row r="267" hidden="1">
      <c r="A267" s="7" t="s">
        <v>3802</v>
      </c>
      <c r="B267" s="4" t="s">
        <v>3792</v>
      </c>
      <c r="C267" s="17">
        <v>46006.0</v>
      </c>
      <c r="D267" s="4">
        <v>200000.0</v>
      </c>
    </row>
    <row r="268" hidden="1">
      <c r="A268" s="7" t="s">
        <v>3803</v>
      </c>
      <c r="B268" s="4" t="s">
        <v>3792</v>
      </c>
      <c r="C268" s="17">
        <v>46006.0</v>
      </c>
      <c r="D268" s="4">
        <v>121175.0</v>
      </c>
    </row>
    <row r="269" hidden="1">
      <c r="A269" s="4" t="s">
        <v>3804</v>
      </c>
      <c r="B269" s="4" t="s">
        <v>3792</v>
      </c>
      <c r="C269" s="17">
        <v>46006.0</v>
      </c>
      <c r="D269" s="4">
        <v>296810.0</v>
      </c>
    </row>
    <row r="270" hidden="1">
      <c r="A270" s="4" t="s">
        <v>3805</v>
      </c>
      <c r="B270" s="4" t="s">
        <v>3792</v>
      </c>
      <c r="C270" s="17">
        <v>46006.0</v>
      </c>
      <c r="D270" s="4">
        <v>44815.0</v>
      </c>
      <c r="E270" s="4" t="s">
        <v>3806</v>
      </c>
    </row>
    <row r="271" hidden="1">
      <c r="A271" s="7" t="s">
        <v>3807</v>
      </c>
      <c r="B271" s="4" t="s">
        <v>3808</v>
      </c>
      <c r="C271" s="17">
        <v>46008.0</v>
      </c>
      <c r="D271" s="4">
        <v>459000.0</v>
      </c>
      <c r="E271" s="4" t="s">
        <v>3434</v>
      </c>
    </row>
    <row r="272" hidden="1">
      <c r="A272" s="7" t="s">
        <v>3809</v>
      </c>
      <c r="B272" s="4" t="s">
        <v>3810</v>
      </c>
      <c r="C272" s="17">
        <v>46008.0</v>
      </c>
      <c r="D272" s="4">
        <v>683000.0</v>
      </c>
      <c r="E272" s="4" t="s">
        <v>3434</v>
      </c>
    </row>
    <row r="273" hidden="1">
      <c r="A273" s="7" t="s">
        <v>3811</v>
      </c>
      <c r="B273" s="4" t="s">
        <v>3812</v>
      </c>
      <c r="C273" s="17">
        <v>46008.0</v>
      </c>
      <c r="D273" s="4">
        <v>653000.0</v>
      </c>
      <c r="E273" s="4" t="s">
        <v>3434</v>
      </c>
    </row>
    <row r="274" hidden="1">
      <c r="A274" s="7" t="s">
        <v>3813</v>
      </c>
      <c r="B274" s="4" t="s">
        <v>3814</v>
      </c>
      <c r="C274" s="17">
        <v>46010.0</v>
      </c>
      <c r="D274" s="4">
        <v>1050000.0</v>
      </c>
      <c r="E274" s="4" t="s">
        <v>3434</v>
      </c>
    </row>
    <row r="275" hidden="1">
      <c r="A275" s="7" t="s">
        <v>3815</v>
      </c>
      <c r="B275" s="4" t="s">
        <v>3816</v>
      </c>
      <c r="C275" s="17">
        <v>46011.0</v>
      </c>
      <c r="D275" s="4">
        <v>236000.0</v>
      </c>
      <c r="E275" s="4" t="s">
        <v>3434</v>
      </c>
    </row>
    <row r="276" hidden="1">
      <c r="A276" s="7" t="s">
        <v>3817</v>
      </c>
      <c r="B276" s="4" t="s">
        <v>3818</v>
      </c>
      <c r="C276" s="17">
        <v>46013.0</v>
      </c>
      <c r="D276" s="4">
        <v>527000.0</v>
      </c>
      <c r="E276" s="4" t="s">
        <v>3434</v>
      </c>
    </row>
    <row r="277" hidden="1">
      <c r="A277" s="4" t="s">
        <v>3819</v>
      </c>
      <c r="B277" s="4" t="s">
        <v>3820</v>
      </c>
      <c r="C277" s="17">
        <v>46015.0</v>
      </c>
      <c r="D277" s="4">
        <v>500000.0</v>
      </c>
    </row>
    <row r="278" hidden="1">
      <c r="A278" s="7" t="s">
        <v>3821</v>
      </c>
      <c r="B278" s="4" t="s">
        <v>3822</v>
      </c>
      <c r="C278" s="17">
        <v>46017.0</v>
      </c>
      <c r="D278" s="4">
        <v>950000.0</v>
      </c>
      <c r="E278" s="4" t="s">
        <v>3434</v>
      </c>
    </row>
    <row r="279" hidden="1">
      <c r="A279" s="7" t="s">
        <v>3823</v>
      </c>
      <c r="B279" s="4" t="s">
        <v>3824</v>
      </c>
      <c r="C279" s="17">
        <v>46017.0</v>
      </c>
      <c r="D279" s="4">
        <v>158000.0</v>
      </c>
      <c r="E279" s="4" t="s">
        <v>3434</v>
      </c>
    </row>
    <row r="280" hidden="1">
      <c r="A280" s="7" t="s">
        <v>3825</v>
      </c>
      <c r="B280" s="4" t="s">
        <v>3826</v>
      </c>
      <c r="C280" s="17">
        <v>46020.0</v>
      </c>
      <c r="D280" s="4">
        <v>476800.0</v>
      </c>
      <c r="E280" s="4" t="s">
        <v>3434</v>
      </c>
    </row>
    <row r="281" hidden="1">
      <c r="A281" s="7" t="s">
        <v>3827</v>
      </c>
      <c r="B281" s="4" t="s">
        <v>3828</v>
      </c>
      <c r="C281" s="6">
        <v>46027.0</v>
      </c>
      <c r="D281" s="4">
        <v>1342000.0</v>
      </c>
      <c r="E281" s="4" t="s">
        <v>3434</v>
      </c>
    </row>
    <row r="282" hidden="1">
      <c r="A282" s="7" t="s">
        <v>3829</v>
      </c>
      <c r="B282" s="4" t="s">
        <v>3830</v>
      </c>
      <c r="C282" s="6">
        <v>46028.0</v>
      </c>
      <c r="D282" s="4">
        <v>1127000.0</v>
      </c>
      <c r="E282" s="4" t="s">
        <v>3434</v>
      </c>
    </row>
    <row r="283" hidden="1">
      <c r="A283" s="7" t="s">
        <v>3831</v>
      </c>
      <c r="B283" s="4" t="s">
        <v>3832</v>
      </c>
      <c r="C283" s="6">
        <v>46031.0</v>
      </c>
      <c r="D283" s="4">
        <v>1127000.0</v>
      </c>
      <c r="E283" s="4" t="s">
        <v>3434</v>
      </c>
    </row>
    <row r="284" hidden="1">
      <c r="A284" s="7" t="s">
        <v>3833</v>
      </c>
      <c r="B284" s="4" t="s">
        <v>3834</v>
      </c>
      <c r="C284" s="6">
        <v>46031.0</v>
      </c>
      <c r="D284" s="4">
        <v>700000.0</v>
      </c>
      <c r="E284" s="4" t="s">
        <v>3434</v>
      </c>
    </row>
    <row r="285" hidden="1">
      <c r="A285" s="4" t="s">
        <v>3835</v>
      </c>
      <c r="B285" s="4" t="s">
        <v>3836</v>
      </c>
      <c r="C285" s="6">
        <v>46034.0</v>
      </c>
      <c r="D285" s="4">
        <v>840000.0</v>
      </c>
    </row>
    <row r="286" hidden="1">
      <c r="A286" s="7" t="s">
        <v>3837</v>
      </c>
      <c r="B286" s="4" t="s">
        <v>3838</v>
      </c>
      <c r="C286" s="6">
        <v>46035.0</v>
      </c>
      <c r="D286" s="4">
        <v>423.0</v>
      </c>
      <c r="E286" s="4" t="s">
        <v>3434</v>
      </c>
    </row>
    <row r="287" hidden="1">
      <c r="A287" s="4" t="s">
        <v>3839</v>
      </c>
      <c r="B287" s="4" t="s">
        <v>3836</v>
      </c>
      <c r="C287" s="6">
        <v>46036.0</v>
      </c>
      <c r="D287" s="4">
        <v>150000.0</v>
      </c>
    </row>
    <row r="288" hidden="1">
      <c r="A288" s="4" t="s">
        <v>3840</v>
      </c>
      <c r="B288" s="4" t="s">
        <v>3836</v>
      </c>
      <c r="C288" s="6">
        <v>46036.0</v>
      </c>
      <c r="D288" s="4">
        <v>112885.0</v>
      </c>
      <c r="E288" s="4" t="s">
        <v>3841</v>
      </c>
    </row>
    <row r="289" hidden="1">
      <c r="A289" s="7" t="s">
        <v>3842</v>
      </c>
      <c r="B289" s="4" t="s">
        <v>3843</v>
      </c>
      <c r="C289" s="6">
        <v>46038.0</v>
      </c>
      <c r="D289" s="4">
        <v>355000.0</v>
      </c>
      <c r="E289" s="4" t="s">
        <v>3434</v>
      </c>
    </row>
    <row r="290" hidden="1">
      <c r="A290" s="7" t="s">
        <v>3844</v>
      </c>
      <c r="B290" s="4" t="s">
        <v>3845</v>
      </c>
      <c r="C290" s="6">
        <v>46041.0</v>
      </c>
      <c r="D290" s="4">
        <v>400000.0</v>
      </c>
      <c r="E290" s="4" t="s">
        <v>3434</v>
      </c>
    </row>
    <row r="291" hidden="1">
      <c r="A291" s="7" t="s">
        <v>3846</v>
      </c>
      <c r="B291" s="4" t="s">
        <v>3847</v>
      </c>
      <c r="C291" s="6">
        <v>46042.0</v>
      </c>
      <c r="D291" s="4">
        <v>90000.0</v>
      </c>
      <c r="E291" s="4" t="s">
        <v>3434</v>
      </c>
    </row>
    <row r="292" hidden="1">
      <c r="A292" s="7" t="s">
        <v>3848</v>
      </c>
      <c r="B292" s="4" t="s">
        <v>3849</v>
      </c>
      <c r="C292" s="6">
        <v>46042.0</v>
      </c>
      <c r="D292" s="4">
        <v>970000.0</v>
      </c>
      <c r="E292" s="4" t="s">
        <v>3434</v>
      </c>
    </row>
    <row r="293">
      <c r="A293" s="4" t="s">
        <v>3850</v>
      </c>
      <c r="B293" s="4" t="s">
        <v>3851</v>
      </c>
      <c r="C293" s="6">
        <v>46042.0</v>
      </c>
      <c r="D293" s="4">
        <v>450000.0</v>
      </c>
    </row>
    <row r="294" hidden="1">
      <c r="A294" s="7" t="s">
        <v>3852</v>
      </c>
      <c r="B294" s="4" t="s">
        <v>3836</v>
      </c>
      <c r="C294" s="6">
        <v>46045.0</v>
      </c>
      <c r="D294" s="4">
        <v>347115.0</v>
      </c>
      <c r="E294" s="4" t="s">
        <v>3434</v>
      </c>
    </row>
    <row r="295" hidden="1">
      <c r="A295" s="7" t="s">
        <v>3853</v>
      </c>
      <c r="B295" s="4" t="s">
        <v>3854</v>
      </c>
      <c r="C295" s="6">
        <v>46045.0</v>
      </c>
      <c r="D295" s="4">
        <v>527000.0</v>
      </c>
      <c r="E295" s="4" t="s">
        <v>3434</v>
      </c>
    </row>
    <row r="296" hidden="1">
      <c r="A296" s="7" t="s">
        <v>3855</v>
      </c>
      <c r="B296" s="4" t="s">
        <v>3856</v>
      </c>
      <c r="C296" s="6">
        <v>46045.0</v>
      </c>
      <c r="D296" s="4">
        <v>1115000.0</v>
      </c>
      <c r="E296" s="4" t="s">
        <v>3434</v>
      </c>
    </row>
    <row r="297" hidden="1">
      <c r="A297" s="7" t="s">
        <v>3857</v>
      </c>
      <c r="B297" s="4" t="s">
        <v>3858</v>
      </c>
      <c r="C297" s="6">
        <v>46048.0</v>
      </c>
      <c r="D297" s="4">
        <v>1010000.0</v>
      </c>
      <c r="E297" s="4" t="s">
        <v>3434</v>
      </c>
    </row>
    <row r="298" hidden="1">
      <c r="A298" s="4" t="s">
        <v>3859</v>
      </c>
      <c r="B298" s="4" t="s">
        <v>3820</v>
      </c>
      <c r="C298" s="6">
        <v>46048.0</v>
      </c>
      <c r="D298" s="4">
        <v>200000.0</v>
      </c>
    </row>
    <row r="299" hidden="1">
      <c r="A299" s="7" t="s">
        <v>3860</v>
      </c>
      <c r="B299" s="4" t="s">
        <v>3861</v>
      </c>
      <c r="C299" s="6">
        <v>46056.0</v>
      </c>
      <c r="D299" s="4">
        <v>259000.0</v>
      </c>
      <c r="E299" s="4" t="s">
        <v>3434</v>
      </c>
    </row>
    <row r="300" hidden="1">
      <c r="A300" s="7" t="s">
        <v>3862</v>
      </c>
      <c r="B300" s="4" t="s">
        <v>3863</v>
      </c>
      <c r="C300" s="6">
        <v>46057.0</v>
      </c>
      <c r="D300" s="4">
        <v>355000.0</v>
      </c>
      <c r="E300" s="4" t="s">
        <v>3434</v>
      </c>
    </row>
    <row r="301">
      <c r="A301" s="7" t="s">
        <v>3864</v>
      </c>
      <c r="B301" s="4" t="s">
        <v>3851</v>
      </c>
      <c r="C301" s="6">
        <v>46058.0</v>
      </c>
      <c r="D301" s="4">
        <v>160000.0</v>
      </c>
      <c r="E301" s="4" t="s">
        <v>3434</v>
      </c>
    </row>
    <row r="302" hidden="1">
      <c r="A302" s="7" t="s">
        <v>3865</v>
      </c>
      <c r="B302" s="4" t="s">
        <v>3866</v>
      </c>
      <c r="C302" s="6">
        <v>46059.0</v>
      </c>
      <c r="D302" s="4">
        <v>1342000.0</v>
      </c>
      <c r="E302" s="4" t="s">
        <v>3434</v>
      </c>
    </row>
    <row r="303" hidden="1">
      <c r="A303" s="7" t="s">
        <v>3867</v>
      </c>
      <c r="B303" s="4" t="s">
        <v>3868</v>
      </c>
      <c r="C303" s="6">
        <v>46062.0</v>
      </c>
      <c r="D303" s="4">
        <v>1065000.0</v>
      </c>
      <c r="E303" s="4" t="s">
        <v>3434</v>
      </c>
    </row>
    <row r="304" hidden="1">
      <c r="A304" s="4" t="s">
        <v>3869</v>
      </c>
      <c r="B304" s="4" t="s">
        <v>3870</v>
      </c>
      <c r="C304" s="6">
        <v>46065.0</v>
      </c>
      <c r="D304" s="4">
        <v>686112.0</v>
      </c>
    </row>
    <row r="305" hidden="1">
      <c r="A305" s="7" t="s">
        <v>3871</v>
      </c>
      <c r="B305" s="4" t="s">
        <v>3872</v>
      </c>
      <c r="C305" s="6">
        <v>46066.0</v>
      </c>
      <c r="D305" s="4">
        <v>423.0</v>
      </c>
      <c r="E305" s="4" t="s">
        <v>3434</v>
      </c>
    </row>
    <row r="306" hidden="1">
      <c r="A306" s="4" t="s">
        <v>3873</v>
      </c>
      <c r="B306" s="4" t="s">
        <v>3870</v>
      </c>
      <c r="C306" s="6">
        <v>46071.0</v>
      </c>
      <c r="D306" s="4">
        <v>250000.0</v>
      </c>
    </row>
    <row r="307" hidden="1">
      <c r="A307" s="7" t="s">
        <v>3874</v>
      </c>
      <c r="B307" s="4" t="s">
        <v>3875</v>
      </c>
      <c r="C307" s="6">
        <v>46071.0</v>
      </c>
      <c r="D307" s="4">
        <v>1010000.0</v>
      </c>
      <c r="E307" s="4" t="s">
        <v>3434</v>
      </c>
    </row>
    <row r="308" hidden="1">
      <c r="A308" s="4" t="s">
        <v>3876</v>
      </c>
      <c r="B308" s="4" t="s">
        <v>3870</v>
      </c>
      <c r="C308" s="6">
        <v>46071.0</v>
      </c>
      <c r="D308" s="4">
        <v>180000.0</v>
      </c>
    </row>
    <row r="309" hidden="1">
      <c r="A309" s="4" t="s">
        <v>3877</v>
      </c>
      <c r="B309" s="4" t="s">
        <v>3870</v>
      </c>
      <c r="C309" s="6">
        <v>46072.0</v>
      </c>
      <c r="D309" s="4">
        <v>333888.0</v>
      </c>
      <c r="E309" s="4" t="s">
        <v>3878</v>
      </c>
    </row>
    <row r="310" hidden="1">
      <c r="A310" s="7" t="s">
        <v>3879</v>
      </c>
      <c r="B310" s="4" t="s">
        <v>3880</v>
      </c>
      <c r="C310" s="6">
        <v>46072.0</v>
      </c>
      <c r="D310" s="4">
        <v>719000.0</v>
      </c>
      <c r="E310" s="4" t="s">
        <v>3434</v>
      </c>
    </row>
    <row r="311" hidden="1">
      <c r="A311" s="7" t="s">
        <v>3881</v>
      </c>
      <c r="B311" s="4" t="s">
        <v>3882</v>
      </c>
      <c r="C311" s="6">
        <v>46078.0</v>
      </c>
      <c r="D311" s="4">
        <v>1115000.0</v>
      </c>
      <c r="E311" s="4" t="s">
        <v>3434</v>
      </c>
    </row>
    <row r="312" hidden="1">
      <c r="A312" s="7" t="s">
        <v>3883</v>
      </c>
      <c r="B312" s="4" t="s">
        <v>3884</v>
      </c>
      <c r="C312" s="6">
        <v>46078.0</v>
      </c>
      <c r="D312" s="4">
        <v>1342000.0</v>
      </c>
      <c r="E312" s="4" t="s">
        <v>3434</v>
      </c>
    </row>
    <row r="313" hidden="1">
      <c r="A313" s="7" t="s">
        <v>3885</v>
      </c>
      <c r="B313" s="4" t="s">
        <v>3886</v>
      </c>
      <c r="C313" s="6">
        <v>46079.0</v>
      </c>
      <c r="D313" s="4">
        <v>579000.0</v>
      </c>
      <c r="E313" s="4" t="s">
        <v>3434</v>
      </c>
    </row>
    <row r="314" hidden="1">
      <c r="A314" s="7" t="s">
        <v>3887</v>
      </c>
      <c r="B314" s="4" t="s">
        <v>3888</v>
      </c>
      <c r="C314" s="6">
        <v>46083.0</v>
      </c>
      <c r="D314" s="4">
        <v>653000.0</v>
      </c>
      <c r="E314" s="4" t="s">
        <v>3434</v>
      </c>
    </row>
    <row r="315" hidden="1">
      <c r="A315" s="7" t="s">
        <v>3889</v>
      </c>
      <c r="B315" s="4" t="s">
        <v>3890</v>
      </c>
      <c r="C315" s="6">
        <v>46086.0</v>
      </c>
      <c r="D315" s="4">
        <v>610000.0</v>
      </c>
      <c r="E315" s="4" t="s">
        <v>3434</v>
      </c>
    </row>
    <row r="316" hidden="1">
      <c r="A316" s="7" t="s">
        <v>3891</v>
      </c>
      <c r="B316" s="4" t="s">
        <v>3892</v>
      </c>
      <c r="C316" s="6">
        <v>46087.0</v>
      </c>
      <c r="D316" s="4">
        <v>166000.0</v>
      </c>
      <c r="E316" s="4" t="s">
        <v>3434</v>
      </c>
    </row>
    <row r="317" hidden="1">
      <c r="A317" s="7" t="s">
        <v>3893</v>
      </c>
      <c r="B317" s="4" t="s">
        <v>3894</v>
      </c>
      <c r="C317" s="6">
        <v>46091.0</v>
      </c>
      <c r="D317" s="4">
        <v>1198000.0</v>
      </c>
      <c r="E317" s="4" t="s">
        <v>3434</v>
      </c>
    </row>
    <row r="318" hidden="1">
      <c r="A318" s="7" t="s">
        <v>3895</v>
      </c>
      <c r="B318" s="4" t="s">
        <v>3896</v>
      </c>
      <c r="C318" s="6">
        <v>46092.0</v>
      </c>
      <c r="D318" s="4">
        <v>750000.0</v>
      </c>
      <c r="E318" s="4" t="s">
        <v>3434</v>
      </c>
    </row>
    <row r="319" hidden="1">
      <c r="A319" s="4" t="s">
        <v>3897</v>
      </c>
      <c r="B319" s="4" t="s">
        <v>3898</v>
      </c>
      <c r="C319" s="6">
        <v>46093.0</v>
      </c>
      <c r="D319" s="4">
        <v>500000.0</v>
      </c>
    </row>
    <row r="320" hidden="1">
      <c r="A320" s="7" t="s">
        <v>3899</v>
      </c>
      <c r="B320" s="4" t="s">
        <v>3900</v>
      </c>
      <c r="C320" s="6">
        <v>46094.0</v>
      </c>
      <c r="D320" s="4">
        <v>780000.0</v>
      </c>
      <c r="E320" s="4" t="s">
        <v>3434</v>
      </c>
    </row>
    <row r="321" hidden="1">
      <c r="A321" s="7" t="s">
        <v>3901</v>
      </c>
      <c r="B321" s="4" t="s">
        <v>3902</v>
      </c>
      <c r="C321" s="6">
        <v>46100.0</v>
      </c>
      <c r="D321" s="4">
        <v>780000.0</v>
      </c>
      <c r="E321" s="4" t="s">
        <v>3434</v>
      </c>
    </row>
    <row r="322" hidden="1">
      <c r="A322" s="4" t="s">
        <v>3903</v>
      </c>
      <c r="B322" s="4" t="s">
        <v>3898</v>
      </c>
      <c r="C322" s="6">
        <v>46100.0</v>
      </c>
      <c r="D322" s="4">
        <v>200000.0</v>
      </c>
    </row>
    <row r="323" hidden="1">
      <c r="A323" s="7" t="s">
        <v>3904</v>
      </c>
      <c r="B323" s="4" t="s">
        <v>3905</v>
      </c>
      <c r="C323" s="6">
        <v>46101.0</v>
      </c>
      <c r="D323" s="4">
        <v>355000.0</v>
      </c>
      <c r="E323" s="4" t="s">
        <v>3434</v>
      </c>
    </row>
    <row r="324" hidden="1">
      <c r="A324" s="7" t="s">
        <v>3906</v>
      </c>
      <c r="B324" s="4" t="s">
        <v>3907</v>
      </c>
      <c r="C324" s="6">
        <v>46101.0</v>
      </c>
      <c r="D324" s="4">
        <v>1065000.0</v>
      </c>
      <c r="E324" s="4" t="s">
        <v>3434</v>
      </c>
    </row>
    <row r="325" hidden="1">
      <c r="A325" s="7" t="s">
        <v>3908</v>
      </c>
      <c r="B325" s="4" t="s">
        <v>3909</v>
      </c>
      <c r="C325" s="6">
        <v>46101.0</v>
      </c>
      <c r="D325" s="4">
        <v>1470000.0</v>
      </c>
      <c r="E325" s="4" t="s">
        <v>3434</v>
      </c>
    </row>
    <row r="326" hidden="1">
      <c r="A326" s="7" t="s">
        <v>3910</v>
      </c>
      <c r="B326" s="4" t="s">
        <v>3911</v>
      </c>
      <c r="C326" s="6">
        <v>46101.0</v>
      </c>
      <c r="D326" s="4">
        <v>739000.0</v>
      </c>
      <c r="E326" s="4" t="s">
        <v>3434</v>
      </c>
    </row>
    <row r="327" hidden="1">
      <c r="A327" s="4" t="s">
        <v>3912</v>
      </c>
      <c r="B327" s="4" t="s">
        <v>3898</v>
      </c>
      <c r="C327" s="6">
        <v>46106.0</v>
      </c>
      <c r="D327" s="4">
        <v>300000.0</v>
      </c>
    </row>
    <row r="328" hidden="1">
      <c r="A328" s="7" t="s">
        <v>3913</v>
      </c>
      <c r="B328" s="4" t="s">
        <v>3914</v>
      </c>
      <c r="C328" s="6">
        <v>46107.0</v>
      </c>
      <c r="D328" s="4">
        <v>128000.0</v>
      </c>
      <c r="E328" s="4" t="s">
        <v>3434</v>
      </c>
    </row>
    <row r="329" hidden="1">
      <c r="A329" s="7" t="s">
        <v>3915</v>
      </c>
      <c r="B329" s="4" t="s">
        <v>3916</v>
      </c>
      <c r="C329" s="6">
        <v>46107.0</v>
      </c>
      <c r="D329" s="4">
        <v>1115000.0</v>
      </c>
      <c r="E329" s="4" t="s">
        <v>3434</v>
      </c>
    </row>
    <row r="330" hidden="1">
      <c r="A330" s="7" t="s">
        <v>3917</v>
      </c>
      <c r="B330" s="4" t="s">
        <v>3918</v>
      </c>
      <c r="C330" s="6">
        <v>46107.0</v>
      </c>
      <c r="D330" s="4">
        <v>1010000.0</v>
      </c>
      <c r="E330" s="4" t="s">
        <v>3434</v>
      </c>
    </row>
    <row r="331" hidden="1">
      <c r="A331" s="4" t="s">
        <v>3919</v>
      </c>
      <c r="B331" s="4" t="s">
        <v>3898</v>
      </c>
      <c r="C331" s="6">
        <v>46108.0</v>
      </c>
      <c r="D331" s="4">
        <v>300000.0</v>
      </c>
    </row>
    <row r="332" hidden="1">
      <c r="A332" s="7" t="s">
        <v>3920</v>
      </c>
      <c r="B332" s="4" t="s">
        <v>3921</v>
      </c>
      <c r="C332" s="6">
        <v>46108.0</v>
      </c>
      <c r="D332" s="4">
        <v>423.0</v>
      </c>
      <c r="E332" s="4" t="s">
        <v>3434</v>
      </c>
    </row>
    <row r="333" hidden="1">
      <c r="A333" s="4" t="s">
        <v>3922</v>
      </c>
      <c r="B333" s="4" t="s">
        <v>3898</v>
      </c>
      <c r="C333" s="6">
        <v>46108.0</v>
      </c>
      <c r="D333" s="4">
        <v>150000.0</v>
      </c>
    </row>
    <row r="334" hidden="1">
      <c r="A334" s="7" t="s">
        <v>3923</v>
      </c>
      <c r="B334" s="7" t="s">
        <v>3924</v>
      </c>
      <c r="C334" s="6">
        <v>46112.0</v>
      </c>
      <c r="D334" s="4">
        <v>172000.0</v>
      </c>
      <c r="E334" s="4" t="s">
        <v>3434</v>
      </c>
    </row>
    <row r="335" hidden="1">
      <c r="A335" s="7" t="s">
        <v>3925</v>
      </c>
      <c r="B335" s="4" t="s">
        <v>3926</v>
      </c>
      <c r="C335" s="6">
        <v>46112.0</v>
      </c>
      <c r="D335" s="4">
        <v>431000.0</v>
      </c>
      <c r="E335" s="4" t="s">
        <v>3434</v>
      </c>
    </row>
    <row r="336" hidden="1">
      <c r="A336" s="7" t="s">
        <v>3927</v>
      </c>
      <c r="B336" s="4" t="s">
        <v>3928</v>
      </c>
      <c r="C336" s="6">
        <v>46122.0</v>
      </c>
      <c r="D336" s="4">
        <v>1198000.0</v>
      </c>
      <c r="E336" s="4" t="s">
        <v>3434</v>
      </c>
    </row>
    <row r="337" hidden="1">
      <c r="A337" s="7" t="s">
        <v>3929</v>
      </c>
      <c r="B337" s="4" t="s">
        <v>3930</v>
      </c>
      <c r="C337" s="6">
        <v>46122.0</v>
      </c>
      <c r="D337" s="4">
        <v>780000.0</v>
      </c>
      <c r="E337" s="4" t="s">
        <v>3434</v>
      </c>
    </row>
    <row r="338" hidden="1">
      <c r="A338" s="7" t="s">
        <v>3931</v>
      </c>
      <c r="B338" s="4" t="s">
        <v>3932</v>
      </c>
      <c r="C338" s="6">
        <v>46122.0</v>
      </c>
      <c r="D338" s="4">
        <v>780000.0</v>
      </c>
      <c r="E338" s="4" t="s">
        <v>3434</v>
      </c>
    </row>
    <row r="339" hidden="1">
      <c r="A339" s="7" t="s">
        <v>3933</v>
      </c>
      <c r="B339" s="4" t="s">
        <v>3934</v>
      </c>
      <c r="C339" s="6">
        <v>46125.0</v>
      </c>
      <c r="D339" s="4">
        <v>750000.0</v>
      </c>
      <c r="E339" s="4" t="s">
        <v>3434</v>
      </c>
    </row>
    <row r="340" hidden="1">
      <c r="A340" s="7" t="s">
        <v>3935</v>
      </c>
      <c r="B340" s="4" t="s">
        <v>3936</v>
      </c>
      <c r="C340" s="6">
        <v>46126.0</v>
      </c>
      <c r="D340" s="4">
        <v>780000.0</v>
      </c>
      <c r="E340" s="4" t="s">
        <v>3434</v>
      </c>
    </row>
    <row r="341" hidden="1">
      <c r="A341" s="7" t="s">
        <v>3937</v>
      </c>
      <c r="B341" s="4" t="s">
        <v>3938</v>
      </c>
      <c r="C341" s="6">
        <v>46127.0</v>
      </c>
      <c r="D341" s="4">
        <v>761000.0</v>
      </c>
      <c r="E341" s="4" t="s">
        <v>3434</v>
      </c>
    </row>
    <row r="342" hidden="1">
      <c r="A342" s="7" t="s">
        <v>3939</v>
      </c>
      <c r="B342" s="4" t="s">
        <v>3940</v>
      </c>
      <c r="C342" s="6">
        <v>46127.0</v>
      </c>
      <c r="D342" s="4">
        <v>282.0</v>
      </c>
      <c r="E342" s="4" t="s">
        <v>3434</v>
      </c>
    </row>
    <row r="343" hidden="1">
      <c r="A343" s="4" t="s">
        <v>3941</v>
      </c>
      <c r="B343" s="4" t="s">
        <v>3942</v>
      </c>
      <c r="C343" s="6">
        <v>46127.0</v>
      </c>
      <c r="D343" s="4">
        <v>539000.0</v>
      </c>
      <c r="E343" s="4" t="s">
        <v>3943</v>
      </c>
    </row>
    <row r="344" hidden="1">
      <c r="A344" s="4" t="s">
        <v>3944</v>
      </c>
      <c r="B344" s="4" t="s">
        <v>3942</v>
      </c>
      <c r="C344" s="6">
        <v>46128.0</v>
      </c>
      <c r="D344" s="4">
        <v>740920.0</v>
      </c>
    </row>
    <row r="345" hidden="1">
      <c r="A345" s="4" t="s">
        <v>3945</v>
      </c>
      <c r="B345" s="4" t="s">
        <v>3942</v>
      </c>
      <c r="C345" s="6">
        <v>46128.0</v>
      </c>
      <c r="D345" s="4">
        <v>187000.0</v>
      </c>
    </row>
    <row r="346" hidden="1">
      <c r="A346" s="7" t="s">
        <v>3946</v>
      </c>
      <c r="B346" s="4" t="s">
        <v>3942</v>
      </c>
      <c r="C346" s="6">
        <v>46132.0</v>
      </c>
      <c r="D346" s="4">
        <v>53080.0</v>
      </c>
      <c r="E346" s="4" t="s">
        <v>3434</v>
      </c>
    </row>
    <row r="347" hidden="1">
      <c r="A347" s="7" t="s">
        <v>3947</v>
      </c>
      <c r="B347" s="4" t="s">
        <v>3948</v>
      </c>
      <c r="C347" s="6">
        <v>46132.0</v>
      </c>
      <c r="D347" s="4">
        <v>150000.0</v>
      </c>
      <c r="E347" s="4" t="s">
        <v>3434</v>
      </c>
    </row>
    <row r="348" hidden="1">
      <c r="A348" s="7" t="s">
        <v>3949</v>
      </c>
      <c r="B348" s="4" t="s">
        <v>3950</v>
      </c>
      <c r="C348" s="6">
        <v>46135.0</v>
      </c>
      <c r="D348" s="4">
        <v>1065000.0</v>
      </c>
      <c r="E348" s="4" t="s">
        <v>3434</v>
      </c>
    </row>
    <row r="349" hidden="1">
      <c r="A349" s="7" t="s">
        <v>3951</v>
      </c>
      <c r="B349" s="4" t="s">
        <v>3952</v>
      </c>
      <c r="C349" s="6">
        <v>46136.0</v>
      </c>
      <c r="D349" s="4">
        <v>676000.0</v>
      </c>
      <c r="E349" s="4" t="s">
        <v>3434</v>
      </c>
    </row>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E$1000">
    <filterColumn colId="1">
      <filters>
        <filter val="4309f129"/>
        <filter val="1573eade"/>
        <filter val="3c7ef1d6"/>
        <filter val="0ee074c0"/>
        <filter val="dda7e051"/>
        <filter val="de7b069e"/>
        <filter val="8861af69"/>
        <filter val="137890a0"/>
        <filter val="2971c631"/>
        <filter val="cd745226"/>
        <filter val="89d4dd29"/>
        <filter val="c4c5e524"/>
      </filters>
    </filterColumn>
  </autoFil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4.63"/>
    <col customWidth="1" min="9" max="9" width="20.5"/>
    <col customWidth="1" min="10" max="10" width="24.63"/>
    <col customWidth="1" min="11" max="12" width="51.88"/>
    <col customWidth="1" min="13" max="13" width="16.13"/>
    <col customWidth="1" min="14" max="14" width="39.25"/>
    <col customWidth="1" min="15" max="15" width="20.5"/>
    <col customWidth="1" min="16" max="16" width="46.25"/>
    <col customWidth="1" min="17" max="17" width="31.63"/>
    <col customWidth="1" min="19" max="19" width="16.75"/>
    <col customWidth="1" min="22" max="22" width="16.75"/>
    <col customWidth="1" min="23" max="23" width="16.13"/>
    <col customWidth="1" min="24" max="24" width="11.5"/>
    <col customWidth="1" min="25" max="25" width="17.5"/>
    <col customWidth="1" min="26" max="26" width="60.5"/>
    <col customWidth="1" min="27" max="28" width="26.13"/>
    <col customWidth="1" min="30" max="31" width="13.88"/>
  </cols>
  <sheetData>
    <row r="1">
      <c r="A1" s="12" t="s">
        <v>3953</v>
      </c>
      <c r="B1" s="12" t="s">
        <v>146</v>
      </c>
      <c r="C1" s="12" t="s">
        <v>3954</v>
      </c>
      <c r="D1" s="12" t="s">
        <v>3955</v>
      </c>
      <c r="E1" s="12" t="s">
        <v>3956</v>
      </c>
      <c r="F1" s="12" t="s">
        <v>1407</v>
      </c>
      <c r="G1" s="12" t="s">
        <v>3957</v>
      </c>
      <c r="H1" s="12" t="s">
        <v>3958</v>
      </c>
      <c r="I1" s="12" t="s">
        <v>3959</v>
      </c>
      <c r="J1" s="12" t="s">
        <v>3960</v>
      </c>
      <c r="K1" s="12" t="s">
        <v>3961</v>
      </c>
      <c r="L1" s="12" t="s">
        <v>3962</v>
      </c>
      <c r="M1" s="12" t="s">
        <v>3963</v>
      </c>
      <c r="N1" s="12" t="s">
        <v>3964</v>
      </c>
      <c r="O1" s="1" t="s">
        <v>3965</v>
      </c>
      <c r="P1" s="1" t="s">
        <v>3966</v>
      </c>
      <c r="Q1" s="1" t="s">
        <v>3967</v>
      </c>
      <c r="R1" s="1" t="s">
        <v>3365</v>
      </c>
      <c r="S1" s="1" t="s">
        <v>3968</v>
      </c>
      <c r="T1" s="1" t="s">
        <v>3969</v>
      </c>
      <c r="U1" s="1" t="s">
        <v>3970</v>
      </c>
      <c r="V1" s="1" t="s">
        <v>3971</v>
      </c>
      <c r="W1" s="1" t="s">
        <v>3972</v>
      </c>
      <c r="X1" s="1" t="s">
        <v>3973</v>
      </c>
      <c r="Y1" s="1" t="s">
        <v>3974</v>
      </c>
      <c r="Z1" s="1" t="s">
        <v>3975</v>
      </c>
      <c r="AA1" s="1" t="s">
        <v>3976</v>
      </c>
      <c r="AB1" s="1" t="s">
        <v>3977</v>
      </c>
      <c r="AC1" s="4" t="s">
        <v>3978</v>
      </c>
      <c r="AD1" s="4" t="s">
        <v>3979</v>
      </c>
      <c r="AE1" s="4" t="s">
        <v>3980</v>
      </c>
    </row>
    <row r="2">
      <c r="A2" s="8"/>
      <c r="B2" s="25"/>
      <c r="C2" s="8"/>
      <c r="D2" s="24"/>
      <c r="E2" s="24"/>
      <c r="F2" s="8"/>
      <c r="G2" s="8"/>
      <c r="H2" s="21"/>
      <c r="I2" s="25"/>
      <c r="J2" s="25"/>
      <c r="K2" s="8"/>
      <c r="L2" s="8"/>
      <c r="M2" s="8"/>
      <c r="N2" s="8"/>
      <c r="O2" s="4"/>
      <c r="Q2" s="4"/>
      <c r="S2" s="4"/>
      <c r="T2" s="4"/>
      <c r="U2" s="4"/>
      <c r="V2" s="28"/>
      <c r="Y2" s="4"/>
      <c r="Z2" s="4"/>
      <c r="AA2" s="4"/>
      <c r="AB2" s="17"/>
    </row>
    <row r="3">
      <c r="A3" s="8"/>
      <c r="B3" s="24"/>
      <c r="C3" s="8"/>
      <c r="D3" s="24"/>
      <c r="E3" s="24"/>
      <c r="F3" s="8"/>
      <c r="G3" s="8"/>
      <c r="H3" s="21"/>
      <c r="I3" s="24"/>
      <c r="J3" s="24"/>
      <c r="K3" s="8"/>
      <c r="L3" s="8"/>
      <c r="M3" s="8"/>
      <c r="N3" s="21"/>
      <c r="Q3" s="4"/>
      <c r="R3" s="4"/>
      <c r="S3" s="4"/>
      <c r="T3" s="4"/>
      <c r="U3" s="4"/>
      <c r="V3" s="18"/>
      <c r="Y3" s="4"/>
      <c r="Z3" s="4"/>
      <c r="AA3" s="4"/>
      <c r="AB3" s="6"/>
      <c r="AC3" s="6"/>
      <c r="AD3" s="6"/>
      <c r="AE3" s="6"/>
    </row>
    <row r="4">
      <c r="A4" s="8"/>
      <c r="B4" s="24"/>
      <c r="C4" s="8"/>
      <c r="D4" s="24"/>
      <c r="E4" s="24"/>
      <c r="F4" s="8"/>
      <c r="G4" s="8"/>
      <c r="H4" s="21"/>
      <c r="I4" s="24"/>
      <c r="J4" s="24"/>
      <c r="K4" s="8"/>
      <c r="L4" s="8"/>
      <c r="M4" s="8"/>
      <c r="N4" s="21"/>
      <c r="Q4" s="4"/>
      <c r="S4" s="4"/>
      <c r="T4" s="4"/>
      <c r="U4" s="4"/>
      <c r="V4" s="18"/>
      <c r="Y4" s="4"/>
      <c r="Z4" s="4"/>
      <c r="AA4" s="4"/>
      <c r="AB4" s="6"/>
    </row>
    <row r="5">
      <c r="A5" s="8"/>
      <c r="B5" s="24"/>
      <c r="C5" s="8"/>
      <c r="D5" s="24"/>
      <c r="E5" s="24"/>
      <c r="F5" s="8"/>
      <c r="G5" s="8"/>
      <c r="H5" s="21"/>
      <c r="I5" s="24"/>
      <c r="J5" s="24"/>
      <c r="K5" s="8"/>
      <c r="L5" s="8"/>
      <c r="M5" s="8"/>
      <c r="N5" s="21"/>
      <c r="Q5" s="4"/>
      <c r="S5" s="4"/>
      <c r="T5" s="4"/>
      <c r="U5" s="4"/>
      <c r="V5" s="18"/>
      <c r="Z5" s="4"/>
      <c r="AA5" s="4"/>
      <c r="AB5" s="6"/>
    </row>
    <row r="6">
      <c r="A6" s="8"/>
      <c r="B6" s="24"/>
      <c r="C6" s="8"/>
      <c r="D6" s="24"/>
      <c r="E6" s="24"/>
      <c r="F6" s="8"/>
      <c r="G6" s="8"/>
      <c r="H6" s="21"/>
      <c r="I6" s="24"/>
      <c r="J6" s="24"/>
      <c r="K6" s="8"/>
      <c r="L6" s="8"/>
      <c r="M6" s="8"/>
      <c r="N6" s="21"/>
      <c r="Q6" s="4"/>
      <c r="S6" s="4"/>
      <c r="T6" s="4"/>
      <c r="U6" s="4"/>
      <c r="V6" s="18"/>
      <c r="Y6" s="4"/>
      <c r="Z6" s="4"/>
      <c r="AA6" s="4"/>
      <c r="AB6" s="6"/>
    </row>
    <row r="7">
      <c r="A7" s="8"/>
      <c r="B7" s="24"/>
      <c r="C7" s="8"/>
      <c r="D7" s="24"/>
      <c r="E7" s="24"/>
      <c r="F7" s="8"/>
      <c r="G7" s="8"/>
      <c r="H7" s="21"/>
      <c r="I7" s="24"/>
      <c r="J7" s="24"/>
      <c r="K7" s="8"/>
      <c r="L7" s="8"/>
      <c r="M7" s="8"/>
      <c r="N7" s="21"/>
      <c r="Q7" s="4"/>
      <c r="S7" s="4"/>
      <c r="T7" s="4"/>
      <c r="U7" s="4"/>
      <c r="V7" s="18"/>
      <c r="Y7" s="4"/>
      <c r="Z7" s="4"/>
      <c r="AA7" s="4"/>
      <c r="AB7" s="6"/>
    </row>
    <row r="8">
      <c r="A8" s="8" t="s">
        <v>3521</v>
      </c>
      <c r="B8" s="24">
        <v>45670.0</v>
      </c>
      <c r="C8" s="8">
        <v>706000.0</v>
      </c>
      <c r="D8" s="25">
        <v>45636.0</v>
      </c>
      <c r="E8" s="24">
        <v>45668.0</v>
      </c>
      <c r="F8" s="8" t="s">
        <v>1419</v>
      </c>
      <c r="G8" s="8" t="s">
        <v>2478</v>
      </c>
      <c r="H8" s="8" t="s">
        <v>3981</v>
      </c>
      <c r="I8" s="24">
        <v>45701.0</v>
      </c>
      <c r="J8" s="24">
        <v>45687.0</v>
      </c>
      <c r="K8" s="8"/>
      <c r="L8" s="8" t="s">
        <v>3982</v>
      </c>
      <c r="M8" s="19" t="s">
        <v>3983</v>
      </c>
      <c r="N8" s="21"/>
      <c r="S8" s="7" t="s">
        <v>3984</v>
      </c>
      <c r="T8" s="4" t="s">
        <v>2174</v>
      </c>
      <c r="U8" s="4">
        <v>24.0</v>
      </c>
      <c r="V8" s="18">
        <v>45687.41420138889</v>
      </c>
      <c r="W8" s="4" t="s">
        <v>3985</v>
      </c>
      <c r="X8" s="29">
        <v>0.05</v>
      </c>
      <c r="Y8" s="4" t="b">
        <v>1</v>
      </c>
      <c r="Z8" s="5" t="s">
        <v>3986</v>
      </c>
      <c r="AA8" s="4" t="s">
        <v>3987</v>
      </c>
      <c r="AB8" s="6">
        <v>45706.0</v>
      </c>
    </row>
    <row r="9">
      <c r="A9" s="8" t="s">
        <v>3499</v>
      </c>
      <c r="B9" s="25">
        <v>45649.0</v>
      </c>
      <c r="C9" s="8">
        <v>341000.0</v>
      </c>
      <c r="D9" s="25">
        <v>45616.0</v>
      </c>
      <c r="E9" s="25">
        <v>45647.0</v>
      </c>
      <c r="F9" s="8" t="s">
        <v>1553</v>
      </c>
      <c r="G9" s="8" t="s">
        <v>3988</v>
      </c>
      <c r="H9" s="21"/>
      <c r="I9" s="25">
        <v>45659.0</v>
      </c>
      <c r="J9" s="25">
        <v>45653.0</v>
      </c>
      <c r="K9" s="8"/>
      <c r="L9" s="8" t="s">
        <v>3989</v>
      </c>
      <c r="M9" s="19" t="s">
        <v>3990</v>
      </c>
      <c r="N9" s="21"/>
      <c r="P9" s="4" t="s">
        <v>3991</v>
      </c>
      <c r="S9" s="7" t="s">
        <v>3992</v>
      </c>
      <c r="T9" s="4" t="s">
        <v>2183</v>
      </c>
      <c r="U9" s="4">
        <v>16.0</v>
      </c>
      <c r="V9" s="28">
        <v>45653.49668981481</v>
      </c>
      <c r="Y9" s="4" t="b">
        <v>1</v>
      </c>
      <c r="AA9" s="4" t="s">
        <v>1762</v>
      </c>
    </row>
    <row r="10">
      <c r="A10" s="8" t="s">
        <v>3433</v>
      </c>
      <c r="B10" s="24">
        <v>45548.0</v>
      </c>
      <c r="C10" s="8">
        <v>598000.0</v>
      </c>
      <c r="D10" s="24">
        <v>45515.0</v>
      </c>
      <c r="E10" s="24">
        <v>45546.0</v>
      </c>
      <c r="F10" s="8" t="s">
        <v>1419</v>
      </c>
      <c r="G10" s="8" t="s">
        <v>2478</v>
      </c>
      <c r="H10" s="8" t="s">
        <v>3981</v>
      </c>
      <c r="I10" s="24">
        <v>45576.0</v>
      </c>
      <c r="J10" s="24">
        <v>45569.0</v>
      </c>
      <c r="K10" s="8"/>
      <c r="L10" s="8" t="s">
        <v>3993</v>
      </c>
      <c r="M10" s="19" t="s">
        <v>3994</v>
      </c>
      <c r="N10" s="21"/>
      <c r="P10" s="4" t="s">
        <v>3991</v>
      </c>
      <c r="Q10" s="4"/>
      <c r="R10" s="4" t="s">
        <v>3995</v>
      </c>
      <c r="S10" s="7" t="s">
        <v>3984</v>
      </c>
      <c r="T10" s="4" t="s">
        <v>2174</v>
      </c>
      <c r="U10" s="4">
        <v>24.0</v>
      </c>
      <c r="V10" s="18">
        <v>45569.64702546296</v>
      </c>
    </row>
    <row r="11">
      <c r="A11" s="8" t="s">
        <v>3367</v>
      </c>
      <c r="B11" s="24">
        <v>45565.0</v>
      </c>
      <c r="C11" s="8">
        <v>340000.0</v>
      </c>
      <c r="D11" s="24">
        <v>45532.0</v>
      </c>
      <c r="E11" s="24">
        <v>45563.0</v>
      </c>
      <c r="F11" s="8" t="s">
        <v>1491</v>
      </c>
      <c r="G11" s="19" t="s">
        <v>2425</v>
      </c>
      <c r="H11" s="21"/>
      <c r="I11" s="24">
        <v>45589.0</v>
      </c>
      <c r="J11" s="24">
        <v>45582.0</v>
      </c>
      <c r="K11" s="8"/>
      <c r="L11" s="8" t="s">
        <v>3996</v>
      </c>
      <c r="M11" s="19" t="s">
        <v>3997</v>
      </c>
      <c r="N11" s="21"/>
      <c r="S11" s="7" t="s">
        <v>3984</v>
      </c>
      <c r="T11" s="4" t="s">
        <v>2195</v>
      </c>
      <c r="U11" s="4">
        <v>16.0</v>
      </c>
      <c r="V11" s="28">
        <v>45582.48380787037</v>
      </c>
    </row>
    <row r="12">
      <c r="A12" s="8" t="s">
        <v>3369</v>
      </c>
      <c r="B12" s="24">
        <v>45307.0</v>
      </c>
      <c r="C12" s="8">
        <v>277800.0</v>
      </c>
      <c r="D12" s="24">
        <v>45272.0</v>
      </c>
      <c r="E12" s="24">
        <v>45304.0</v>
      </c>
      <c r="F12" s="8" t="s">
        <v>1419</v>
      </c>
      <c r="G12" s="8" t="s">
        <v>2478</v>
      </c>
      <c r="H12" s="8" t="s">
        <v>3998</v>
      </c>
      <c r="I12" s="24">
        <v>45315.0</v>
      </c>
      <c r="J12" s="24">
        <v>45310.0</v>
      </c>
      <c r="K12" s="8"/>
      <c r="L12" s="8" t="s">
        <v>3999</v>
      </c>
      <c r="M12" s="19" t="s">
        <v>4000</v>
      </c>
      <c r="N12" s="21"/>
      <c r="O12" s="4"/>
      <c r="P12" s="4" t="s">
        <v>4001</v>
      </c>
      <c r="Q12" s="4"/>
      <c r="R12" s="4" t="s">
        <v>4002</v>
      </c>
      <c r="S12" s="4">
        <v>3.3122879E7</v>
      </c>
    </row>
    <row r="13">
      <c r="A13" s="8" t="s">
        <v>3371</v>
      </c>
      <c r="B13" s="24">
        <v>45307.0</v>
      </c>
      <c r="C13" s="8">
        <v>248100.0</v>
      </c>
      <c r="D13" s="25">
        <v>45273.0</v>
      </c>
      <c r="E13" s="24">
        <v>45305.0</v>
      </c>
      <c r="F13" s="8" t="s">
        <v>1437</v>
      </c>
      <c r="G13" s="8" t="s">
        <v>2517</v>
      </c>
      <c r="H13" s="8" t="s">
        <v>4003</v>
      </c>
      <c r="I13" s="24">
        <v>45317.0</v>
      </c>
      <c r="J13" s="24">
        <v>45314.0</v>
      </c>
      <c r="K13" s="8"/>
      <c r="L13" s="8" t="s">
        <v>4004</v>
      </c>
      <c r="M13" s="19" t="s">
        <v>4005</v>
      </c>
      <c r="N13" s="8" t="s">
        <v>4006</v>
      </c>
      <c r="O13" s="4" t="s">
        <v>4007</v>
      </c>
      <c r="P13" s="4"/>
      <c r="Q13" s="4"/>
      <c r="R13" s="4" t="s">
        <v>4008</v>
      </c>
      <c r="S13" s="4">
        <v>3.3122879E7</v>
      </c>
      <c r="T13" s="4" t="s">
        <v>4009</v>
      </c>
      <c r="U13" s="3">
        <v>16.0</v>
      </c>
    </row>
    <row r="14">
      <c r="A14" s="8" t="s">
        <v>3372</v>
      </c>
      <c r="B14" s="24">
        <v>45307.0</v>
      </c>
      <c r="C14" s="8">
        <v>255500.0</v>
      </c>
      <c r="D14" s="25">
        <v>45273.0</v>
      </c>
      <c r="E14" s="24">
        <v>45305.0</v>
      </c>
      <c r="F14" s="8" t="s">
        <v>1471</v>
      </c>
      <c r="G14" s="8" t="s">
        <v>2528</v>
      </c>
      <c r="H14" s="21"/>
      <c r="I14" s="24">
        <v>45313.0</v>
      </c>
      <c r="J14" s="24">
        <v>45308.0</v>
      </c>
      <c r="K14" s="8"/>
      <c r="L14" s="8" t="s">
        <v>4010</v>
      </c>
      <c r="M14" s="19" t="s">
        <v>4011</v>
      </c>
      <c r="N14" s="21"/>
      <c r="O14" s="4"/>
      <c r="P14" s="4" t="s">
        <v>4012</v>
      </c>
      <c r="Q14" s="4"/>
      <c r="R14" s="4" t="s">
        <v>4013</v>
      </c>
      <c r="S14" s="4">
        <v>3.3122879E7</v>
      </c>
    </row>
    <row r="15">
      <c r="A15" s="8" t="s">
        <v>3373</v>
      </c>
      <c r="B15" s="24">
        <v>45314.0</v>
      </c>
      <c r="C15" s="8">
        <v>347000.0</v>
      </c>
      <c r="D15" s="25">
        <v>45284.0</v>
      </c>
      <c r="E15" s="24">
        <v>45314.0</v>
      </c>
      <c r="F15" s="8" t="s">
        <v>1437</v>
      </c>
      <c r="G15" s="8" t="s">
        <v>2887</v>
      </c>
      <c r="H15" s="8"/>
      <c r="I15" s="24">
        <v>45323.0</v>
      </c>
      <c r="J15" s="24">
        <v>45320.0</v>
      </c>
      <c r="K15" s="8"/>
      <c r="L15" s="8" t="s">
        <v>4014</v>
      </c>
      <c r="M15" s="19" t="s">
        <v>4015</v>
      </c>
      <c r="N15" s="21"/>
      <c r="P15" s="4" t="s">
        <v>4016</v>
      </c>
      <c r="Q15" s="4"/>
      <c r="R15" s="4" t="s">
        <v>4017</v>
      </c>
      <c r="S15" s="4">
        <v>3.3122879E7</v>
      </c>
      <c r="T15" s="4" t="s">
        <v>2150</v>
      </c>
      <c r="U15" s="3">
        <v>40.0</v>
      </c>
    </row>
    <row r="16">
      <c r="A16" s="8" t="s">
        <v>3374</v>
      </c>
      <c r="B16" s="24">
        <v>45328.0</v>
      </c>
      <c r="C16" s="8">
        <v>296000.0</v>
      </c>
      <c r="D16" s="25">
        <v>45297.0</v>
      </c>
      <c r="E16" s="24">
        <v>45328.0</v>
      </c>
      <c r="F16" s="8" t="s">
        <v>1433</v>
      </c>
      <c r="G16" s="8" t="s">
        <v>2583</v>
      </c>
      <c r="H16" s="21"/>
      <c r="I16" s="24">
        <v>45331.0</v>
      </c>
      <c r="J16" s="24">
        <v>45328.0</v>
      </c>
      <c r="K16" s="8"/>
      <c r="L16" s="8" t="s">
        <v>4018</v>
      </c>
      <c r="M16" s="19" t="s">
        <v>1592</v>
      </c>
      <c r="N16" s="21"/>
      <c r="Q16" s="4"/>
      <c r="R16" s="4"/>
      <c r="S16" s="4">
        <v>3.3122879E7</v>
      </c>
      <c r="T16" s="4" t="s">
        <v>2145</v>
      </c>
      <c r="U16" s="3">
        <v>24.0</v>
      </c>
    </row>
    <row r="17">
      <c r="A17" s="8" t="s">
        <v>3375</v>
      </c>
      <c r="B17" s="24">
        <v>45336.0</v>
      </c>
      <c r="C17" s="8">
        <v>478800.0</v>
      </c>
      <c r="D17" s="24">
        <v>45298.0</v>
      </c>
      <c r="E17" s="24">
        <v>45328.0</v>
      </c>
      <c r="F17" s="8" t="s">
        <v>1426</v>
      </c>
      <c r="G17" s="8" t="s">
        <v>2265</v>
      </c>
      <c r="H17" s="21"/>
      <c r="I17" s="24">
        <v>45352.0</v>
      </c>
      <c r="J17" s="24">
        <v>45345.0</v>
      </c>
      <c r="K17" s="8"/>
      <c r="L17" s="8" t="s">
        <v>4019</v>
      </c>
      <c r="M17" s="19" t="s">
        <v>4020</v>
      </c>
      <c r="N17" s="21"/>
      <c r="Q17" s="4"/>
      <c r="R17" s="4" t="s">
        <v>4021</v>
      </c>
      <c r="S17" s="4">
        <v>3.3122879E7</v>
      </c>
      <c r="T17" s="4" t="s">
        <v>2161</v>
      </c>
      <c r="U17" s="3">
        <v>60.0</v>
      </c>
    </row>
    <row r="18">
      <c r="A18" s="8" t="s">
        <v>3376</v>
      </c>
      <c r="B18" s="24">
        <v>45336.0</v>
      </c>
      <c r="C18" s="8">
        <v>320700.0</v>
      </c>
      <c r="D18" s="24">
        <v>45304.0</v>
      </c>
      <c r="E18" s="24">
        <v>45334.0</v>
      </c>
      <c r="F18" s="8" t="s">
        <v>1419</v>
      </c>
      <c r="G18" s="8" t="s">
        <v>2478</v>
      </c>
      <c r="H18" s="8" t="s">
        <v>3998</v>
      </c>
      <c r="I18" s="24">
        <v>45352.0</v>
      </c>
      <c r="J18" s="24">
        <v>45345.0</v>
      </c>
      <c r="K18" s="8"/>
      <c r="L18" s="8" t="s">
        <v>4022</v>
      </c>
      <c r="M18" s="19" t="s">
        <v>4023</v>
      </c>
      <c r="N18" s="21"/>
      <c r="P18" s="4" t="s">
        <v>4024</v>
      </c>
      <c r="Q18" s="4"/>
      <c r="R18" s="4" t="s">
        <v>4025</v>
      </c>
      <c r="S18" s="4">
        <v>3.3122879E7</v>
      </c>
      <c r="T18" s="4" t="s">
        <v>2174</v>
      </c>
      <c r="U18" s="3">
        <v>24.0</v>
      </c>
    </row>
    <row r="19">
      <c r="A19" s="8" t="s">
        <v>3377</v>
      </c>
      <c r="B19" s="24">
        <v>45338.0</v>
      </c>
      <c r="C19" s="8">
        <v>248100.0</v>
      </c>
      <c r="D19" s="24">
        <v>45304.0</v>
      </c>
      <c r="E19" s="24">
        <v>45336.0</v>
      </c>
      <c r="F19" s="8" t="s">
        <v>1437</v>
      </c>
      <c r="G19" s="8" t="s">
        <v>2517</v>
      </c>
      <c r="H19" s="8" t="s">
        <v>4003</v>
      </c>
      <c r="I19" s="24">
        <v>45363.0</v>
      </c>
      <c r="J19" s="24">
        <v>45352.0</v>
      </c>
      <c r="K19" s="8"/>
      <c r="L19" s="8" t="s">
        <v>4026</v>
      </c>
      <c r="M19" s="19" t="s">
        <v>4027</v>
      </c>
      <c r="N19" s="8" t="s">
        <v>4028</v>
      </c>
      <c r="O19" s="4" t="s">
        <v>4029</v>
      </c>
      <c r="Q19" s="4"/>
      <c r="R19" s="4" t="s">
        <v>4030</v>
      </c>
      <c r="S19" s="4">
        <v>3.3122879E7</v>
      </c>
      <c r="T19" s="4" t="s">
        <v>4009</v>
      </c>
      <c r="U19" s="3">
        <v>16.0</v>
      </c>
    </row>
    <row r="20">
      <c r="A20" s="8" t="s">
        <v>3378</v>
      </c>
      <c r="B20" s="24">
        <v>45342.0</v>
      </c>
      <c r="C20" s="8">
        <v>291900.0</v>
      </c>
      <c r="D20" s="24">
        <v>45306.0</v>
      </c>
      <c r="E20" s="24">
        <v>45336.0</v>
      </c>
      <c r="F20" s="8" t="s">
        <v>1471</v>
      </c>
      <c r="G20" s="8" t="s">
        <v>2528</v>
      </c>
      <c r="H20" s="21"/>
      <c r="I20" s="24">
        <v>45356.0</v>
      </c>
      <c r="J20" s="24">
        <v>45349.0</v>
      </c>
      <c r="K20" s="8"/>
      <c r="L20" s="8" t="s">
        <v>4031</v>
      </c>
      <c r="M20" s="19" t="s">
        <v>4032</v>
      </c>
      <c r="N20" s="21"/>
      <c r="P20" s="4" t="s">
        <v>4033</v>
      </c>
      <c r="Q20" s="4"/>
      <c r="R20" s="4" t="s">
        <v>4034</v>
      </c>
      <c r="S20" s="4">
        <v>3.3122879E7</v>
      </c>
      <c r="T20" s="4" t="s">
        <v>4035</v>
      </c>
      <c r="U20" s="3">
        <v>24.0</v>
      </c>
    </row>
    <row r="21">
      <c r="A21" s="8" t="s">
        <v>3379</v>
      </c>
      <c r="B21" s="24">
        <v>45353.0</v>
      </c>
      <c r="C21" s="8">
        <v>347000.0</v>
      </c>
      <c r="D21" s="24">
        <v>45314.0</v>
      </c>
      <c r="E21" s="24">
        <v>45344.0</v>
      </c>
      <c r="F21" s="8" t="s">
        <v>1437</v>
      </c>
      <c r="G21" s="8" t="s">
        <v>2887</v>
      </c>
      <c r="H21" s="21"/>
      <c r="I21" s="24">
        <v>45373.0</v>
      </c>
      <c r="J21" s="24">
        <v>45364.0</v>
      </c>
      <c r="K21" s="8"/>
      <c r="L21" s="8" t="s">
        <v>4036</v>
      </c>
      <c r="M21" s="19" t="s">
        <v>4037</v>
      </c>
      <c r="N21" s="21"/>
      <c r="Q21" s="4"/>
      <c r="R21" s="4" t="s">
        <v>4038</v>
      </c>
      <c r="S21" s="4">
        <v>3.3122879E7</v>
      </c>
      <c r="T21" s="4" t="s">
        <v>2150</v>
      </c>
      <c r="U21" s="3">
        <v>40.0</v>
      </c>
    </row>
    <row r="22">
      <c r="A22" s="8" t="s">
        <v>3380</v>
      </c>
      <c r="B22" s="24">
        <v>45356.0</v>
      </c>
      <c r="C22" s="8">
        <v>296000.0</v>
      </c>
      <c r="D22" s="24">
        <v>45328.0</v>
      </c>
      <c r="E22" s="24">
        <v>45357.0</v>
      </c>
      <c r="F22" s="8" t="s">
        <v>1433</v>
      </c>
      <c r="G22" s="8" t="s">
        <v>2583</v>
      </c>
      <c r="H22" s="21"/>
      <c r="I22" s="24">
        <v>45363.0</v>
      </c>
      <c r="J22" s="24">
        <v>45356.0</v>
      </c>
      <c r="K22" s="8"/>
      <c r="L22" s="8" t="s">
        <v>4039</v>
      </c>
      <c r="M22" s="19" t="s">
        <v>1592</v>
      </c>
      <c r="N22" s="21"/>
      <c r="S22" s="4">
        <v>3.3122879E7</v>
      </c>
      <c r="T22" s="4" t="s">
        <v>2145</v>
      </c>
      <c r="U22" s="3">
        <v>24.0</v>
      </c>
    </row>
    <row r="23">
      <c r="A23" s="8" t="s">
        <v>3381</v>
      </c>
      <c r="B23" s="24">
        <v>45363.0</v>
      </c>
      <c r="C23" s="8">
        <v>373100.0</v>
      </c>
      <c r="D23" s="24">
        <v>45333.0</v>
      </c>
      <c r="E23" s="24">
        <v>45362.0</v>
      </c>
      <c r="F23" s="8" t="s">
        <v>1419</v>
      </c>
      <c r="G23" s="8" t="s">
        <v>2478</v>
      </c>
      <c r="H23" s="8" t="s">
        <v>3998</v>
      </c>
      <c r="I23" s="24">
        <v>45384.0</v>
      </c>
      <c r="J23" s="24">
        <v>45377.0</v>
      </c>
      <c r="K23" s="8"/>
      <c r="L23" s="8" t="s">
        <v>4040</v>
      </c>
      <c r="M23" s="19" t="s">
        <v>4041</v>
      </c>
      <c r="N23" s="21"/>
      <c r="P23" s="4" t="s">
        <v>4042</v>
      </c>
      <c r="Q23" s="4"/>
      <c r="R23" s="4" t="s">
        <v>4043</v>
      </c>
      <c r="S23" s="7" t="s">
        <v>3984</v>
      </c>
      <c r="T23" s="4" t="s">
        <v>2174</v>
      </c>
      <c r="U23" s="3">
        <v>24.0</v>
      </c>
    </row>
    <row r="24">
      <c r="A24" s="8" t="s">
        <v>3382</v>
      </c>
      <c r="B24" s="24">
        <v>45364.0</v>
      </c>
      <c r="C24" s="8">
        <v>348200.0</v>
      </c>
      <c r="D24" s="24">
        <v>45329.0</v>
      </c>
      <c r="E24" s="24">
        <v>45357.0</v>
      </c>
      <c r="F24" s="8" t="s">
        <v>1426</v>
      </c>
      <c r="G24" s="8" t="s">
        <v>2265</v>
      </c>
      <c r="H24" s="8" t="s">
        <v>4044</v>
      </c>
      <c r="I24" s="24">
        <v>45378.0</v>
      </c>
      <c r="J24" s="24">
        <v>45371.0</v>
      </c>
      <c r="K24" s="8"/>
      <c r="L24" s="8" t="s">
        <v>4045</v>
      </c>
      <c r="M24" s="19" t="s">
        <v>2342</v>
      </c>
      <c r="N24" s="21"/>
      <c r="Q24" s="4"/>
      <c r="R24" s="4" t="s">
        <v>4046</v>
      </c>
      <c r="S24" s="7" t="s">
        <v>4047</v>
      </c>
      <c r="T24" s="4" t="s">
        <v>2161</v>
      </c>
      <c r="U24" s="3">
        <v>60.0</v>
      </c>
    </row>
    <row r="25">
      <c r="A25" s="8" t="s">
        <v>3383</v>
      </c>
      <c r="B25" s="24">
        <v>45365.0</v>
      </c>
      <c r="C25" s="8">
        <v>248100.0</v>
      </c>
      <c r="D25" s="24">
        <v>45335.0</v>
      </c>
      <c r="E25" s="24">
        <v>45365.0</v>
      </c>
      <c r="F25" s="8" t="s">
        <v>1437</v>
      </c>
      <c r="G25" s="8" t="s">
        <v>2517</v>
      </c>
      <c r="H25" s="8" t="s">
        <v>4003</v>
      </c>
      <c r="I25" s="24">
        <v>45380.0</v>
      </c>
      <c r="J25" s="24">
        <v>45371.0</v>
      </c>
      <c r="K25" s="8"/>
      <c r="L25" s="8" t="s">
        <v>4048</v>
      </c>
      <c r="M25" s="19" t="s">
        <v>4049</v>
      </c>
      <c r="N25" s="8" t="s">
        <v>4050</v>
      </c>
      <c r="O25" s="4" t="s">
        <v>4051</v>
      </c>
      <c r="Q25" s="4"/>
      <c r="R25" s="4" t="s">
        <v>4052</v>
      </c>
      <c r="S25" s="7" t="s">
        <v>3984</v>
      </c>
      <c r="T25" s="4" t="s">
        <v>4009</v>
      </c>
      <c r="U25" s="3">
        <v>16.0</v>
      </c>
    </row>
    <row r="26">
      <c r="A26" s="8" t="s">
        <v>3384</v>
      </c>
      <c r="B26" s="24">
        <v>45366.0</v>
      </c>
      <c r="C26" s="8">
        <v>326500.0</v>
      </c>
      <c r="D26" s="24">
        <v>45337.0</v>
      </c>
      <c r="E26" s="24">
        <v>45365.0</v>
      </c>
      <c r="F26" s="8" t="s">
        <v>1471</v>
      </c>
      <c r="G26" s="8" t="s">
        <v>2528</v>
      </c>
      <c r="H26" s="21"/>
      <c r="I26" s="24">
        <v>45379.0</v>
      </c>
      <c r="J26" s="24">
        <v>45372.0</v>
      </c>
      <c r="K26" s="8"/>
      <c r="L26" s="8" t="s">
        <v>4053</v>
      </c>
      <c r="M26" s="19" t="s">
        <v>4054</v>
      </c>
      <c r="N26" s="21"/>
      <c r="P26" s="4" t="s">
        <v>4055</v>
      </c>
      <c r="Q26" s="4"/>
      <c r="R26" s="4" t="s">
        <v>4056</v>
      </c>
      <c r="S26" s="7" t="s">
        <v>3984</v>
      </c>
      <c r="T26" s="4" t="s">
        <v>4035</v>
      </c>
      <c r="U26" s="3">
        <v>24.0</v>
      </c>
    </row>
    <row r="27">
      <c r="A27" s="8" t="s">
        <v>3385</v>
      </c>
      <c r="B27" s="24">
        <v>45379.0</v>
      </c>
      <c r="C27" s="8">
        <v>447650.0</v>
      </c>
      <c r="D27" s="24">
        <v>45346.0</v>
      </c>
      <c r="E27" s="24">
        <v>45374.0</v>
      </c>
      <c r="F27" s="8" t="s">
        <v>1437</v>
      </c>
      <c r="G27" s="8" t="s">
        <v>2887</v>
      </c>
      <c r="H27" s="21"/>
      <c r="I27" s="24">
        <v>45405.0</v>
      </c>
      <c r="J27" s="24">
        <v>45394.0</v>
      </c>
      <c r="K27" s="8"/>
      <c r="L27" s="8" t="s">
        <v>4057</v>
      </c>
      <c r="M27" s="19" t="s">
        <v>4058</v>
      </c>
      <c r="N27" s="21"/>
      <c r="P27" s="4" t="s">
        <v>4059</v>
      </c>
      <c r="Q27" s="4"/>
      <c r="R27" s="4" t="s">
        <v>4060</v>
      </c>
      <c r="S27" s="7" t="s">
        <v>3984</v>
      </c>
      <c r="T27" s="4" t="s">
        <v>2150</v>
      </c>
      <c r="U27" s="3">
        <v>40.0</v>
      </c>
    </row>
    <row r="28">
      <c r="A28" s="8" t="s">
        <v>3386</v>
      </c>
      <c r="B28" s="24">
        <v>45392.0</v>
      </c>
      <c r="C28" s="8">
        <v>296000.0</v>
      </c>
      <c r="D28" s="24">
        <v>45355.0</v>
      </c>
      <c r="E28" s="24">
        <v>45386.0</v>
      </c>
      <c r="F28" s="8" t="s">
        <v>1433</v>
      </c>
      <c r="G28" s="8" t="s">
        <v>2583</v>
      </c>
      <c r="H28" s="21"/>
      <c r="I28" s="24">
        <v>45399.0</v>
      </c>
      <c r="J28" s="24">
        <v>45392.0</v>
      </c>
      <c r="K28" s="8"/>
      <c r="L28" s="8" t="s">
        <v>4061</v>
      </c>
      <c r="M28" s="19" t="s">
        <v>4062</v>
      </c>
      <c r="N28" s="21"/>
      <c r="S28" s="7" t="s">
        <v>4047</v>
      </c>
      <c r="T28" s="4" t="s">
        <v>2145</v>
      </c>
      <c r="U28" s="3">
        <v>24.0</v>
      </c>
    </row>
    <row r="29">
      <c r="A29" s="8" t="s">
        <v>3387</v>
      </c>
      <c r="B29" s="24">
        <v>45393.0</v>
      </c>
      <c r="C29" s="8">
        <v>537100.0</v>
      </c>
      <c r="D29" s="24">
        <v>45358.0</v>
      </c>
      <c r="E29" s="24">
        <v>45388.0</v>
      </c>
      <c r="F29" s="8" t="s">
        <v>1426</v>
      </c>
      <c r="G29" s="8" t="s">
        <v>2265</v>
      </c>
      <c r="H29" s="21"/>
      <c r="I29" s="24">
        <v>45407.0</v>
      </c>
      <c r="J29" s="24">
        <v>45400.0</v>
      </c>
      <c r="K29" s="8"/>
      <c r="L29" s="8" t="s">
        <v>4063</v>
      </c>
      <c r="M29" s="19" t="s">
        <v>2345</v>
      </c>
      <c r="N29" s="21"/>
      <c r="S29" s="7" t="s">
        <v>4047</v>
      </c>
      <c r="T29" s="4" t="s">
        <v>2161</v>
      </c>
      <c r="U29" s="3">
        <v>60.0</v>
      </c>
    </row>
    <row r="30">
      <c r="A30" s="8" t="s">
        <v>3388</v>
      </c>
      <c r="B30" s="24">
        <v>45394.0</v>
      </c>
      <c r="C30" s="8">
        <v>417000.0</v>
      </c>
      <c r="D30" s="24">
        <v>45361.0</v>
      </c>
      <c r="E30" s="24">
        <v>45393.0</v>
      </c>
      <c r="F30" s="8" t="s">
        <v>1419</v>
      </c>
      <c r="G30" s="8" t="s">
        <v>2478</v>
      </c>
      <c r="H30" s="8" t="s">
        <v>3998</v>
      </c>
      <c r="I30" s="24">
        <v>45404.0</v>
      </c>
      <c r="J30" s="24">
        <v>45397.0</v>
      </c>
      <c r="K30" s="8"/>
      <c r="L30" s="8" t="s">
        <v>4064</v>
      </c>
      <c r="M30" s="19" t="s">
        <v>1592</v>
      </c>
      <c r="N30" s="21"/>
      <c r="Q30" s="4"/>
      <c r="R30" s="4" t="s">
        <v>4065</v>
      </c>
      <c r="S30" s="7" t="s">
        <v>3984</v>
      </c>
      <c r="T30" s="4" t="s">
        <v>2174</v>
      </c>
      <c r="U30" s="3">
        <v>24.0</v>
      </c>
    </row>
    <row r="31">
      <c r="A31" s="8" t="s">
        <v>3389</v>
      </c>
      <c r="B31" s="24">
        <v>45398.0</v>
      </c>
      <c r="C31" s="8">
        <v>248100.0</v>
      </c>
      <c r="D31" s="24">
        <v>45364.0</v>
      </c>
      <c r="E31" s="24">
        <v>45396.0</v>
      </c>
      <c r="F31" s="8" t="s">
        <v>1437</v>
      </c>
      <c r="G31" s="8" t="s">
        <v>2517</v>
      </c>
      <c r="H31" s="8" t="s">
        <v>4003</v>
      </c>
      <c r="I31" s="24">
        <v>45415.0</v>
      </c>
      <c r="J31" s="24">
        <v>45406.0</v>
      </c>
      <c r="K31" s="8"/>
      <c r="L31" s="8" t="s">
        <v>4066</v>
      </c>
      <c r="M31" s="19" t="s">
        <v>4067</v>
      </c>
      <c r="N31" s="8" t="s">
        <v>4068</v>
      </c>
      <c r="O31" s="4" t="s">
        <v>4069</v>
      </c>
      <c r="S31" s="7" t="s">
        <v>3984</v>
      </c>
      <c r="T31" s="4" t="s">
        <v>4009</v>
      </c>
      <c r="U31" s="3">
        <v>16.0</v>
      </c>
    </row>
    <row r="32">
      <c r="A32" s="8" t="s">
        <v>3390</v>
      </c>
      <c r="B32" s="24">
        <v>45399.0</v>
      </c>
      <c r="C32" s="8">
        <v>358800.0</v>
      </c>
      <c r="D32" s="24">
        <v>45366.0</v>
      </c>
      <c r="E32" s="24">
        <v>45397.0</v>
      </c>
      <c r="F32" s="8" t="s">
        <v>1471</v>
      </c>
      <c r="G32" s="8" t="s">
        <v>2528</v>
      </c>
      <c r="H32" s="21"/>
      <c r="I32" s="24">
        <v>45408.0</v>
      </c>
      <c r="J32" s="24">
        <v>45402.0</v>
      </c>
      <c r="K32" s="8"/>
      <c r="L32" s="8" t="s">
        <v>4070</v>
      </c>
      <c r="M32" s="19" t="s">
        <v>4071</v>
      </c>
      <c r="N32" s="21"/>
      <c r="P32" s="4" t="s">
        <v>4072</v>
      </c>
      <c r="Q32" s="4"/>
      <c r="R32" s="4" t="s">
        <v>4073</v>
      </c>
      <c r="S32" s="7" t="s">
        <v>3984</v>
      </c>
      <c r="T32" s="4" t="s">
        <v>4035</v>
      </c>
      <c r="U32" s="3">
        <v>24.0</v>
      </c>
    </row>
    <row r="33">
      <c r="A33" s="8" t="s">
        <v>3391</v>
      </c>
      <c r="B33" s="24">
        <v>45406.0</v>
      </c>
      <c r="C33" s="8">
        <v>447650.0</v>
      </c>
      <c r="D33" s="24">
        <v>45374.0</v>
      </c>
      <c r="E33" s="24">
        <v>45405.0</v>
      </c>
      <c r="F33" s="8" t="s">
        <v>1437</v>
      </c>
      <c r="G33" s="8" t="s">
        <v>2887</v>
      </c>
      <c r="H33" s="21"/>
      <c r="I33" s="24">
        <v>45425.0</v>
      </c>
      <c r="J33" s="24">
        <v>45414.0</v>
      </c>
      <c r="K33" s="8"/>
      <c r="L33" s="8" t="s">
        <v>4074</v>
      </c>
      <c r="M33" s="19" t="s">
        <v>4075</v>
      </c>
      <c r="N33" s="21"/>
      <c r="S33" s="7" t="s">
        <v>3984</v>
      </c>
      <c r="T33" s="4" t="s">
        <v>2150</v>
      </c>
      <c r="U33" s="3">
        <v>40.0</v>
      </c>
    </row>
    <row r="34">
      <c r="A34" s="8" t="s">
        <v>3392</v>
      </c>
      <c r="B34" s="24">
        <v>45411.0</v>
      </c>
      <c r="C34" s="8">
        <v>255200.0</v>
      </c>
      <c r="D34" s="24">
        <v>45377.0</v>
      </c>
      <c r="E34" s="24">
        <v>45408.0</v>
      </c>
      <c r="F34" s="8" t="s">
        <v>1491</v>
      </c>
      <c r="G34" s="19" t="s">
        <v>2425</v>
      </c>
      <c r="H34" s="21"/>
      <c r="I34" s="24">
        <v>45419.0</v>
      </c>
      <c r="J34" s="24">
        <v>45412.0</v>
      </c>
      <c r="K34" s="8"/>
      <c r="L34" s="8" t="s">
        <v>4076</v>
      </c>
      <c r="M34" s="19" t="s">
        <v>4077</v>
      </c>
      <c r="N34" s="21"/>
      <c r="S34" s="7" t="s">
        <v>3984</v>
      </c>
      <c r="T34" s="4" t="s">
        <v>4078</v>
      </c>
      <c r="U34" s="3">
        <v>16.0</v>
      </c>
    </row>
    <row r="35">
      <c r="A35" s="8" t="s">
        <v>3393</v>
      </c>
      <c r="B35" s="24">
        <v>45420.0</v>
      </c>
      <c r="C35" s="8">
        <v>397000.0</v>
      </c>
      <c r="D35" s="24">
        <v>45386.0</v>
      </c>
      <c r="E35" s="24">
        <v>45416.0</v>
      </c>
      <c r="F35" s="8" t="s">
        <v>1433</v>
      </c>
      <c r="G35" s="8" t="s">
        <v>2583</v>
      </c>
      <c r="H35" s="21"/>
      <c r="I35" s="24">
        <v>45427.0</v>
      </c>
      <c r="J35" s="24">
        <v>45420.0</v>
      </c>
      <c r="K35" s="8"/>
      <c r="L35" s="8" t="s">
        <v>4079</v>
      </c>
      <c r="M35" s="19" t="s">
        <v>1592</v>
      </c>
      <c r="N35" s="21"/>
      <c r="S35" s="7" t="s">
        <v>4047</v>
      </c>
      <c r="T35" s="4" t="s">
        <v>2145</v>
      </c>
      <c r="U35" s="3">
        <v>24.0</v>
      </c>
    </row>
    <row r="36">
      <c r="A36" s="8" t="s">
        <v>3394</v>
      </c>
      <c r="B36" s="24">
        <v>45421.0</v>
      </c>
      <c r="C36" s="8">
        <v>596800.0</v>
      </c>
      <c r="D36" s="24">
        <v>45388.0</v>
      </c>
      <c r="E36" s="24">
        <v>45418.0</v>
      </c>
      <c r="F36" s="8" t="s">
        <v>1426</v>
      </c>
      <c r="G36" s="8" t="s">
        <v>2265</v>
      </c>
      <c r="H36" s="21"/>
      <c r="I36" s="24">
        <v>45441.0</v>
      </c>
      <c r="J36" s="24">
        <v>45434.0</v>
      </c>
      <c r="K36" s="8"/>
      <c r="L36" s="8" t="s">
        <v>4080</v>
      </c>
      <c r="M36" s="19" t="s">
        <v>2257</v>
      </c>
      <c r="N36" s="21"/>
      <c r="S36" s="7" t="s">
        <v>4047</v>
      </c>
      <c r="T36" s="4" t="s">
        <v>2161</v>
      </c>
      <c r="U36" s="3">
        <v>60.0</v>
      </c>
    </row>
    <row r="37">
      <c r="A37" s="8" t="s">
        <v>3395</v>
      </c>
      <c r="B37" s="24">
        <v>45425.0</v>
      </c>
      <c r="C37" s="8">
        <v>462400.0</v>
      </c>
      <c r="D37" s="24">
        <v>45393.0</v>
      </c>
      <c r="E37" s="24">
        <v>45423.0</v>
      </c>
      <c r="F37" s="8" t="s">
        <v>1419</v>
      </c>
      <c r="G37" s="8" t="s">
        <v>2478</v>
      </c>
      <c r="H37" s="8" t="s">
        <v>3998</v>
      </c>
      <c r="I37" s="24">
        <v>45436.0</v>
      </c>
      <c r="J37" s="24">
        <v>45429.0</v>
      </c>
      <c r="K37" s="8"/>
      <c r="L37" s="8" t="s">
        <v>4081</v>
      </c>
      <c r="M37" s="19" t="s">
        <v>1592</v>
      </c>
      <c r="N37" s="21"/>
      <c r="Q37" s="4"/>
      <c r="R37" s="4" t="s">
        <v>4082</v>
      </c>
      <c r="S37" s="7" t="s">
        <v>3984</v>
      </c>
      <c r="T37" s="4" t="s">
        <v>2174</v>
      </c>
      <c r="U37" s="3">
        <v>24.0</v>
      </c>
    </row>
    <row r="38">
      <c r="A38" s="8" t="s">
        <v>3396</v>
      </c>
      <c r="B38" s="24">
        <v>45426.0</v>
      </c>
      <c r="C38" s="8">
        <v>248100.0</v>
      </c>
      <c r="D38" s="24">
        <v>45396.0</v>
      </c>
      <c r="E38" s="24">
        <v>45426.0</v>
      </c>
      <c r="F38" s="8" t="s">
        <v>1437</v>
      </c>
      <c r="G38" s="8" t="s">
        <v>2517</v>
      </c>
      <c r="H38" s="8" t="s">
        <v>4003</v>
      </c>
      <c r="I38" s="24">
        <v>45446.0</v>
      </c>
      <c r="J38" s="24">
        <v>45435.0</v>
      </c>
      <c r="K38" s="8"/>
      <c r="L38" s="8" t="s">
        <v>4083</v>
      </c>
      <c r="M38" s="19" t="s">
        <v>4084</v>
      </c>
      <c r="N38" s="8" t="s">
        <v>4085</v>
      </c>
      <c r="O38" s="4" t="s">
        <v>4086</v>
      </c>
      <c r="Q38" s="4"/>
      <c r="R38" s="4" t="s">
        <v>4087</v>
      </c>
      <c r="S38" s="7" t="s">
        <v>3984</v>
      </c>
      <c r="T38" s="4" t="s">
        <v>4009</v>
      </c>
      <c r="U38" s="3">
        <v>16.0</v>
      </c>
    </row>
    <row r="39">
      <c r="A39" s="8" t="s">
        <v>3397</v>
      </c>
      <c r="B39" s="24">
        <v>45434.0</v>
      </c>
      <c r="C39" s="8">
        <v>391900.0</v>
      </c>
      <c r="D39" s="24">
        <v>45397.0</v>
      </c>
      <c r="E39" s="24">
        <v>45427.0</v>
      </c>
      <c r="F39" s="8" t="s">
        <v>1471</v>
      </c>
      <c r="G39" s="8" t="s">
        <v>2528</v>
      </c>
      <c r="H39" s="21"/>
      <c r="I39" s="24">
        <v>45448.0</v>
      </c>
      <c r="J39" s="24">
        <v>45441.0</v>
      </c>
      <c r="K39" s="8"/>
      <c r="L39" s="8" t="s">
        <v>4088</v>
      </c>
      <c r="M39" s="19" t="s">
        <v>4089</v>
      </c>
      <c r="N39" s="21"/>
      <c r="P39" s="4" t="s">
        <v>4090</v>
      </c>
      <c r="Q39" s="4"/>
      <c r="R39" s="4" t="s">
        <v>4091</v>
      </c>
      <c r="S39" s="7" t="s">
        <v>3984</v>
      </c>
      <c r="T39" s="4" t="s">
        <v>4035</v>
      </c>
      <c r="U39" s="3">
        <v>24.0</v>
      </c>
    </row>
    <row r="40">
      <c r="A40" s="8" t="s">
        <v>3398</v>
      </c>
      <c r="B40" s="24">
        <v>45439.0</v>
      </c>
      <c r="C40" s="8">
        <v>280720.0</v>
      </c>
      <c r="D40" s="24">
        <v>45408.0</v>
      </c>
      <c r="E40" s="24">
        <v>45438.0</v>
      </c>
      <c r="F40" s="8" t="s">
        <v>1491</v>
      </c>
      <c r="G40" s="19" t="s">
        <v>2425</v>
      </c>
      <c r="H40" s="21"/>
      <c r="I40" s="24">
        <v>45453.0</v>
      </c>
      <c r="J40" s="24">
        <v>45446.0</v>
      </c>
      <c r="K40" s="8"/>
      <c r="L40" s="8" t="s">
        <v>4092</v>
      </c>
      <c r="M40" s="19" t="s">
        <v>2267</v>
      </c>
      <c r="N40" s="21"/>
      <c r="Q40" s="4"/>
      <c r="R40" s="4" t="s">
        <v>4093</v>
      </c>
      <c r="S40" s="7" t="s">
        <v>4047</v>
      </c>
      <c r="T40" s="4" t="s">
        <v>4078</v>
      </c>
      <c r="U40" s="3">
        <v>16.0</v>
      </c>
    </row>
    <row r="41">
      <c r="A41" s="8" t="s">
        <v>3399</v>
      </c>
      <c r="B41" s="24">
        <v>45439.0</v>
      </c>
      <c r="C41" s="8">
        <v>581000.0</v>
      </c>
      <c r="D41" s="24">
        <v>45405.0</v>
      </c>
      <c r="E41" s="24">
        <v>45435.0</v>
      </c>
      <c r="F41" s="8" t="s">
        <v>1437</v>
      </c>
      <c r="G41" s="8" t="s">
        <v>2589</v>
      </c>
      <c r="H41" s="8" t="s">
        <v>2589</v>
      </c>
      <c r="I41" s="24">
        <v>45464.0</v>
      </c>
      <c r="J41" s="24">
        <v>45450.0</v>
      </c>
      <c r="K41" s="8"/>
      <c r="L41" s="8" t="s">
        <v>4094</v>
      </c>
      <c r="M41" s="19" t="s">
        <v>4095</v>
      </c>
      <c r="N41" s="21"/>
      <c r="P41" s="4" t="s">
        <v>4096</v>
      </c>
      <c r="Q41" s="4"/>
      <c r="R41" s="4" t="s">
        <v>4097</v>
      </c>
      <c r="S41" s="7" t="s">
        <v>3984</v>
      </c>
      <c r="T41" s="4" t="s">
        <v>2150</v>
      </c>
      <c r="U41" s="3">
        <v>40.0</v>
      </c>
    </row>
    <row r="42">
      <c r="A42" s="8" t="s">
        <v>3400</v>
      </c>
      <c r="B42" s="24">
        <v>45449.0</v>
      </c>
      <c r="C42" s="8">
        <v>397000.0</v>
      </c>
      <c r="D42" s="24">
        <v>45416.0</v>
      </c>
      <c r="E42" s="24">
        <v>45447.0</v>
      </c>
      <c r="F42" s="8" t="s">
        <v>1433</v>
      </c>
      <c r="G42" s="8" t="s">
        <v>2583</v>
      </c>
      <c r="H42" s="21"/>
      <c r="I42" s="24">
        <v>45457.0</v>
      </c>
      <c r="J42" s="24">
        <v>45451.0</v>
      </c>
      <c r="K42" s="8"/>
      <c r="L42" s="8" t="s">
        <v>4098</v>
      </c>
      <c r="M42" s="19" t="s">
        <v>1592</v>
      </c>
      <c r="N42" s="21"/>
      <c r="S42" s="7" t="s">
        <v>4047</v>
      </c>
      <c r="T42" s="4" t="s">
        <v>2145</v>
      </c>
      <c r="U42" s="3">
        <v>24.0</v>
      </c>
    </row>
    <row r="43">
      <c r="A43" s="8" t="s">
        <v>3401</v>
      </c>
      <c r="B43" s="24">
        <v>45449.0</v>
      </c>
      <c r="C43" s="8">
        <v>686300.0</v>
      </c>
      <c r="D43" s="24">
        <v>45418.0</v>
      </c>
      <c r="E43" s="24">
        <v>45449.0</v>
      </c>
      <c r="F43" s="8" t="s">
        <v>1426</v>
      </c>
      <c r="G43" s="8" t="s">
        <v>2265</v>
      </c>
      <c r="H43" s="21"/>
      <c r="I43" s="24">
        <v>45463.0</v>
      </c>
      <c r="J43" s="24">
        <v>45456.0</v>
      </c>
      <c r="K43" s="8"/>
      <c r="L43" s="8" t="s">
        <v>4099</v>
      </c>
      <c r="M43" s="19" t="s">
        <v>2310</v>
      </c>
      <c r="N43" s="21"/>
      <c r="S43" s="7" t="s">
        <v>4047</v>
      </c>
      <c r="T43" s="4" t="s">
        <v>2161</v>
      </c>
      <c r="U43" s="3">
        <v>60.0</v>
      </c>
    </row>
    <row r="44">
      <c r="A44" s="8" t="s">
        <v>3402</v>
      </c>
      <c r="B44" s="24">
        <v>45457.0</v>
      </c>
      <c r="C44" s="8">
        <v>509000.0</v>
      </c>
      <c r="D44" s="24">
        <v>45423.0</v>
      </c>
      <c r="E44" s="24">
        <v>45454.0</v>
      </c>
      <c r="F44" s="8" t="s">
        <v>1419</v>
      </c>
      <c r="G44" s="8" t="s">
        <v>2478</v>
      </c>
      <c r="H44" s="8" t="s">
        <v>3998</v>
      </c>
      <c r="I44" s="24">
        <v>45478.0</v>
      </c>
      <c r="J44" s="24">
        <v>45471.0</v>
      </c>
      <c r="K44" s="8"/>
      <c r="L44" s="8" t="s">
        <v>4100</v>
      </c>
      <c r="M44" s="8" t="s">
        <v>4101</v>
      </c>
      <c r="N44" s="21"/>
      <c r="Q44" s="4"/>
      <c r="R44" s="4" t="s">
        <v>4101</v>
      </c>
      <c r="S44" s="7" t="s">
        <v>3984</v>
      </c>
      <c r="T44" s="4" t="s">
        <v>2174</v>
      </c>
      <c r="U44" s="3">
        <v>24.0</v>
      </c>
    </row>
    <row r="45">
      <c r="A45" s="8" t="s">
        <v>3403</v>
      </c>
      <c r="B45" s="24">
        <v>45457.0</v>
      </c>
      <c r="C45" s="8">
        <v>323700.0</v>
      </c>
      <c r="D45" s="24">
        <v>45426.0</v>
      </c>
      <c r="E45" s="24">
        <v>45457.0</v>
      </c>
      <c r="F45" s="8" t="s">
        <v>1437</v>
      </c>
      <c r="G45" s="8" t="s">
        <v>2517</v>
      </c>
      <c r="H45" s="8" t="s">
        <v>4003</v>
      </c>
      <c r="I45" s="24">
        <v>45490.0</v>
      </c>
      <c r="J45" s="24">
        <v>45476.0</v>
      </c>
      <c r="K45" s="8"/>
      <c r="L45" s="8" t="s">
        <v>4102</v>
      </c>
      <c r="M45" s="19" t="s">
        <v>4103</v>
      </c>
      <c r="N45" s="8" t="s">
        <v>4104</v>
      </c>
      <c r="O45" s="4" t="s">
        <v>4105</v>
      </c>
      <c r="P45" s="4" t="s">
        <v>4106</v>
      </c>
      <c r="S45" s="7" t="s">
        <v>3984</v>
      </c>
      <c r="T45" s="4" t="s">
        <v>4009</v>
      </c>
      <c r="U45" s="3">
        <v>16.0</v>
      </c>
    </row>
    <row r="46">
      <c r="A46" s="8" t="s">
        <v>3404</v>
      </c>
      <c r="B46" s="24">
        <v>45461.0</v>
      </c>
      <c r="C46" s="8">
        <v>426700.0</v>
      </c>
      <c r="D46" s="24">
        <v>45427.0</v>
      </c>
      <c r="E46" s="24">
        <v>45458.0</v>
      </c>
      <c r="F46" s="8" t="s">
        <v>1471</v>
      </c>
      <c r="G46" s="8" t="s">
        <v>2528</v>
      </c>
      <c r="H46" s="21"/>
      <c r="I46" s="24">
        <v>45482.0</v>
      </c>
      <c r="J46" s="24">
        <v>45471.0</v>
      </c>
      <c r="K46" s="8"/>
      <c r="L46" s="8" t="s">
        <v>4107</v>
      </c>
      <c r="M46" s="19" t="s">
        <v>2363</v>
      </c>
      <c r="N46" s="21"/>
      <c r="P46" s="4" t="s">
        <v>4108</v>
      </c>
      <c r="S46" s="7" t="s">
        <v>4047</v>
      </c>
      <c r="T46" s="4" t="s">
        <v>4035</v>
      </c>
      <c r="U46" s="3">
        <v>24.0</v>
      </c>
    </row>
    <row r="47">
      <c r="A47" s="8" t="s">
        <v>3405</v>
      </c>
      <c r="B47" s="24">
        <v>45468.0</v>
      </c>
      <c r="C47" s="8">
        <v>581000.0</v>
      </c>
      <c r="D47" s="24">
        <v>45435.0</v>
      </c>
      <c r="E47" s="24">
        <v>45466.0</v>
      </c>
      <c r="F47" s="8" t="s">
        <v>1437</v>
      </c>
      <c r="G47" s="8" t="s">
        <v>2589</v>
      </c>
      <c r="H47" s="21"/>
      <c r="I47" s="24">
        <v>45496.0</v>
      </c>
      <c r="J47" s="24">
        <v>45482.0</v>
      </c>
      <c r="K47" s="8"/>
      <c r="L47" s="8" t="s">
        <v>4109</v>
      </c>
      <c r="M47" s="19" t="s">
        <v>2366</v>
      </c>
      <c r="N47" s="21"/>
      <c r="Q47" s="4"/>
      <c r="R47" s="4" t="s">
        <v>4110</v>
      </c>
      <c r="S47" s="7" t="s">
        <v>4047</v>
      </c>
      <c r="T47" s="4" t="s">
        <v>2150</v>
      </c>
      <c r="U47" s="3">
        <v>40.0</v>
      </c>
    </row>
    <row r="48">
      <c r="A48" s="8" t="s">
        <v>3406</v>
      </c>
      <c r="B48" s="24">
        <v>45469.0</v>
      </c>
      <c r="C48" s="8">
        <v>308800.0</v>
      </c>
      <c r="D48" s="24">
        <v>45438.0</v>
      </c>
      <c r="E48" s="24">
        <v>45469.0</v>
      </c>
      <c r="F48" s="8" t="s">
        <v>1491</v>
      </c>
      <c r="G48" s="19" t="s">
        <v>2425</v>
      </c>
      <c r="H48" s="21"/>
      <c r="I48" s="24">
        <v>45496.0</v>
      </c>
      <c r="J48" s="24">
        <v>45489.0</v>
      </c>
      <c r="K48" s="8"/>
      <c r="L48" s="8" t="s">
        <v>4111</v>
      </c>
      <c r="M48" s="19" t="s">
        <v>2370</v>
      </c>
      <c r="N48" s="21"/>
      <c r="S48" s="7" t="s">
        <v>4047</v>
      </c>
      <c r="T48" s="4" t="s">
        <v>4078</v>
      </c>
      <c r="U48" s="3">
        <v>16.0</v>
      </c>
    </row>
    <row r="49">
      <c r="A49" s="8" t="s">
        <v>3407</v>
      </c>
      <c r="B49" s="24">
        <v>45469.0</v>
      </c>
      <c r="C49" s="8">
        <v>397000.0</v>
      </c>
      <c r="D49" s="24">
        <v>45432.0</v>
      </c>
      <c r="E49" s="24">
        <v>45463.0</v>
      </c>
      <c r="F49" s="8" t="s">
        <v>1433</v>
      </c>
      <c r="G49" s="8" t="s">
        <v>2583</v>
      </c>
      <c r="H49" s="21"/>
      <c r="I49" s="24">
        <v>45476.0</v>
      </c>
      <c r="J49" s="24">
        <v>45469.0</v>
      </c>
      <c r="K49" s="8"/>
      <c r="L49" s="8" t="s">
        <v>4112</v>
      </c>
      <c r="M49" s="19" t="s">
        <v>2322</v>
      </c>
      <c r="N49" s="21"/>
      <c r="Q49" s="4"/>
      <c r="R49" s="4" t="s">
        <v>4113</v>
      </c>
      <c r="S49" s="7" t="s">
        <v>4047</v>
      </c>
      <c r="T49" s="4" t="s">
        <v>2198</v>
      </c>
      <c r="U49" s="3">
        <v>24.0</v>
      </c>
    </row>
    <row r="50">
      <c r="A50" s="8" t="s">
        <v>3408</v>
      </c>
      <c r="B50" s="24">
        <v>45478.0</v>
      </c>
      <c r="C50" s="8">
        <v>483000.0</v>
      </c>
      <c r="D50" s="24">
        <v>45447.0</v>
      </c>
      <c r="E50" s="24">
        <v>45477.0</v>
      </c>
      <c r="F50" s="8" t="s">
        <v>1433</v>
      </c>
      <c r="G50" s="8" t="s">
        <v>2583</v>
      </c>
      <c r="H50" s="21"/>
      <c r="I50" s="24">
        <v>45491.0</v>
      </c>
      <c r="J50" s="24">
        <v>45484.0</v>
      </c>
      <c r="K50" s="8"/>
      <c r="L50" s="8" t="s">
        <v>4114</v>
      </c>
      <c r="M50" s="19" t="s">
        <v>4115</v>
      </c>
      <c r="N50" s="21"/>
      <c r="P50" s="4" t="s">
        <v>4116</v>
      </c>
      <c r="Q50" s="4"/>
      <c r="R50" s="4" t="s">
        <v>4117</v>
      </c>
      <c r="S50" s="7" t="s">
        <v>3984</v>
      </c>
      <c r="T50" s="4" t="s">
        <v>2145</v>
      </c>
      <c r="U50" s="3">
        <v>24.0</v>
      </c>
    </row>
    <row r="51">
      <c r="A51" s="8" t="s">
        <v>3409</v>
      </c>
      <c r="B51" s="24">
        <v>45483.0</v>
      </c>
      <c r="C51" s="8">
        <v>698300.0</v>
      </c>
      <c r="D51" s="24">
        <v>45449.0</v>
      </c>
      <c r="E51" s="24">
        <v>45479.0</v>
      </c>
      <c r="F51" s="8" t="s">
        <v>1426</v>
      </c>
      <c r="G51" s="8" t="s">
        <v>2265</v>
      </c>
      <c r="H51" s="21"/>
      <c r="I51" s="24">
        <v>45495.0</v>
      </c>
      <c r="J51" s="24">
        <v>45488.0</v>
      </c>
      <c r="K51" s="8"/>
      <c r="L51" s="8" t="s">
        <v>4118</v>
      </c>
      <c r="M51" s="19" t="s">
        <v>4119</v>
      </c>
      <c r="N51" s="21"/>
      <c r="S51" s="7" t="s">
        <v>3984</v>
      </c>
      <c r="T51" s="4" t="s">
        <v>2161</v>
      </c>
      <c r="U51" s="3">
        <v>60.0</v>
      </c>
    </row>
    <row r="52">
      <c r="A52" s="8" t="s">
        <v>3410</v>
      </c>
      <c r="B52" s="24">
        <v>45484.0</v>
      </c>
      <c r="C52" s="8">
        <v>455000.0</v>
      </c>
      <c r="D52" s="24">
        <v>45450.0</v>
      </c>
      <c r="E52" s="24">
        <v>45480.0</v>
      </c>
      <c r="F52" s="8" t="s">
        <v>1539</v>
      </c>
      <c r="G52" s="8" t="s">
        <v>2782</v>
      </c>
      <c r="H52" s="21"/>
      <c r="I52" s="24">
        <v>45491.0</v>
      </c>
      <c r="J52" s="24">
        <v>45485.0</v>
      </c>
      <c r="K52" s="8"/>
      <c r="L52" s="8" t="s">
        <v>4120</v>
      </c>
      <c r="M52" s="19" t="s">
        <v>4121</v>
      </c>
      <c r="N52" s="21"/>
      <c r="P52" s="4" t="s">
        <v>4122</v>
      </c>
      <c r="Q52" s="4"/>
      <c r="R52" s="4" t="s">
        <v>4123</v>
      </c>
      <c r="S52" s="7" t="s">
        <v>3984</v>
      </c>
      <c r="T52" s="4" t="s">
        <v>2152</v>
      </c>
      <c r="U52" s="3">
        <v>24.0</v>
      </c>
    </row>
    <row r="53">
      <c r="A53" s="8" t="s">
        <v>3411</v>
      </c>
      <c r="B53" s="24">
        <v>45484.0</v>
      </c>
      <c r="C53" s="8">
        <v>536000.0</v>
      </c>
      <c r="D53" s="24">
        <v>45454.0</v>
      </c>
      <c r="E53" s="24">
        <v>45484.0</v>
      </c>
      <c r="F53" s="8" t="s">
        <v>1419</v>
      </c>
      <c r="G53" s="8" t="s">
        <v>2478</v>
      </c>
      <c r="H53" s="8" t="s">
        <v>3998</v>
      </c>
      <c r="I53" s="24">
        <v>45506.0</v>
      </c>
      <c r="J53" s="24">
        <v>45500.0</v>
      </c>
      <c r="K53" s="8"/>
      <c r="L53" s="8" t="s">
        <v>4124</v>
      </c>
      <c r="M53" s="19" t="s">
        <v>1592</v>
      </c>
      <c r="N53" s="21"/>
      <c r="Q53" s="4"/>
      <c r="R53" s="4" t="s">
        <v>4125</v>
      </c>
      <c r="S53" s="7" t="s">
        <v>3984</v>
      </c>
      <c r="T53" s="4" t="s">
        <v>2174</v>
      </c>
      <c r="U53" s="3">
        <v>24.0</v>
      </c>
    </row>
    <row r="54">
      <c r="A54" s="8" t="s">
        <v>3412</v>
      </c>
      <c r="B54" s="24">
        <v>45488.0</v>
      </c>
      <c r="C54" s="8">
        <v>444000.0</v>
      </c>
      <c r="D54" s="24">
        <v>45458.0</v>
      </c>
      <c r="E54" s="24">
        <v>45488.0</v>
      </c>
      <c r="F54" s="8" t="s">
        <v>1471</v>
      </c>
      <c r="G54" s="8" t="s">
        <v>2528</v>
      </c>
      <c r="H54" s="21"/>
      <c r="I54" s="24">
        <v>45510.0</v>
      </c>
      <c r="J54" s="24">
        <v>45499.0</v>
      </c>
      <c r="K54" s="8"/>
      <c r="L54" s="8" t="s">
        <v>4126</v>
      </c>
      <c r="M54" s="19" t="s">
        <v>4127</v>
      </c>
      <c r="N54" s="21"/>
      <c r="P54" s="4" t="s">
        <v>4128</v>
      </c>
      <c r="Q54" s="4"/>
      <c r="R54" s="4" t="s">
        <v>4091</v>
      </c>
      <c r="S54" s="7" t="s">
        <v>3984</v>
      </c>
      <c r="T54" s="4" t="s">
        <v>4035</v>
      </c>
      <c r="U54" s="3">
        <v>24.0</v>
      </c>
    </row>
    <row r="55">
      <c r="A55" s="8" t="s">
        <v>3413</v>
      </c>
      <c r="B55" s="24">
        <v>45489.0</v>
      </c>
      <c r="C55" s="8">
        <v>337662.0</v>
      </c>
      <c r="D55" s="24">
        <v>45457.0</v>
      </c>
      <c r="E55" s="24">
        <v>45487.0</v>
      </c>
      <c r="F55" s="8" t="s">
        <v>1437</v>
      </c>
      <c r="G55" s="8" t="s">
        <v>2517</v>
      </c>
      <c r="H55" s="8" t="s">
        <v>4003</v>
      </c>
      <c r="I55" s="24">
        <v>45519.0</v>
      </c>
      <c r="J55" s="24">
        <v>45505.0</v>
      </c>
      <c r="K55" s="8"/>
      <c r="L55" s="8" t="s">
        <v>4129</v>
      </c>
      <c r="M55" s="19" t="s">
        <v>4130</v>
      </c>
      <c r="N55" s="8" t="s">
        <v>4131</v>
      </c>
      <c r="O55" s="4" t="s">
        <v>4132</v>
      </c>
      <c r="P55" s="4" t="s">
        <v>4133</v>
      </c>
      <c r="Q55" s="4"/>
      <c r="R55" s="4" t="s">
        <v>4043</v>
      </c>
      <c r="S55" s="7" t="s">
        <v>3984</v>
      </c>
      <c r="T55" s="4" t="s">
        <v>4009</v>
      </c>
      <c r="U55" s="3">
        <v>16.0</v>
      </c>
    </row>
    <row r="56">
      <c r="A56" s="8" t="s">
        <v>3414</v>
      </c>
      <c r="B56" s="24">
        <v>45495.0</v>
      </c>
      <c r="C56" s="8">
        <v>483000.0</v>
      </c>
      <c r="D56" s="24">
        <v>45463.0</v>
      </c>
      <c r="E56" s="24">
        <v>45493.0</v>
      </c>
      <c r="F56" s="8" t="s">
        <v>1433</v>
      </c>
      <c r="G56" s="8" t="s">
        <v>2583</v>
      </c>
      <c r="H56" s="21"/>
      <c r="I56" s="24">
        <v>45504.0</v>
      </c>
      <c r="J56" s="24">
        <v>45497.0</v>
      </c>
      <c r="K56" s="8"/>
      <c r="L56" s="8" t="s">
        <v>4134</v>
      </c>
      <c r="M56" s="19" t="s">
        <v>4135</v>
      </c>
      <c r="N56" s="21"/>
      <c r="Q56" s="4"/>
      <c r="R56" s="4" t="s">
        <v>4136</v>
      </c>
      <c r="S56" s="7" t="s">
        <v>3984</v>
      </c>
      <c r="T56" s="4" t="s">
        <v>2198</v>
      </c>
      <c r="U56" s="3">
        <v>24.0</v>
      </c>
    </row>
    <row r="57">
      <c r="A57" s="8" t="s">
        <v>3415</v>
      </c>
      <c r="B57" s="24">
        <v>45499.0</v>
      </c>
      <c r="C57" s="8">
        <v>696000.0</v>
      </c>
      <c r="D57" s="24">
        <v>45466.0</v>
      </c>
      <c r="E57" s="24">
        <v>45496.0</v>
      </c>
      <c r="F57" s="8" t="s">
        <v>1437</v>
      </c>
      <c r="G57" s="8" t="s">
        <v>2589</v>
      </c>
      <c r="H57" s="21"/>
      <c r="I57" s="24">
        <v>45530.0</v>
      </c>
      <c r="J57" s="24">
        <v>45516.0</v>
      </c>
      <c r="K57" s="8"/>
      <c r="L57" s="8" t="s">
        <v>4137</v>
      </c>
      <c r="M57" s="19" t="s">
        <v>4138</v>
      </c>
      <c r="N57" s="21"/>
      <c r="P57" s="4" t="s">
        <v>4139</v>
      </c>
      <c r="Q57" s="4"/>
      <c r="R57" s="4" t="s">
        <v>4140</v>
      </c>
      <c r="S57" s="7" t="s">
        <v>3984</v>
      </c>
      <c r="T57" s="4" t="s">
        <v>2150</v>
      </c>
      <c r="U57" s="3">
        <v>40.0</v>
      </c>
    </row>
    <row r="58">
      <c r="A58" s="19" t="s">
        <v>3416</v>
      </c>
      <c r="B58" s="24">
        <v>45510.0</v>
      </c>
      <c r="C58" s="8">
        <v>483000.0</v>
      </c>
      <c r="D58" s="24">
        <v>45477.0</v>
      </c>
      <c r="E58" s="24">
        <v>45508.0</v>
      </c>
      <c r="F58" s="8" t="s">
        <v>1433</v>
      </c>
      <c r="G58" s="8" t="s">
        <v>2583</v>
      </c>
      <c r="H58" s="21"/>
      <c r="I58" s="24">
        <v>45518.0</v>
      </c>
      <c r="J58" s="24">
        <v>45511.0</v>
      </c>
      <c r="K58" s="8"/>
      <c r="L58" s="8" t="s">
        <v>4141</v>
      </c>
      <c r="M58" s="19" t="s">
        <v>4142</v>
      </c>
      <c r="N58" s="21"/>
      <c r="S58" s="7" t="s">
        <v>3984</v>
      </c>
      <c r="T58" s="4" t="s">
        <v>2145</v>
      </c>
      <c r="U58" s="3">
        <v>24.0</v>
      </c>
    </row>
    <row r="59">
      <c r="A59" s="8" t="s">
        <v>3417</v>
      </c>
      <c r="B59" s="24">
        <v>45513.0</v>
      </c>
      <c r="C59" s="8">
        <v>814600.0</v>
      </c>
      <c r="D59" s="24">
        <v>45479.0</v>
      </c>
      <c r="E59" s="24">
        <v>45510.0</v>
      </c>
      <c r="F59" s="8" t="s">
        <v>1426</v>
      </c>
      <c r="G59" s="8" t="s">
        <v>2265</v>
      </c>
      <c r="H59" s="21"/>
      <c r="I59" s="24">
        <v>45533.0</v>
      </c>
      <c r="J59" s="24">
        <v>45526.0</v>
      </c>
      <c r="K59" s="8"/>
      <c r="L59" s="8" t="s">
        <v>4143</v>
      </c>
      <c r="M59" s="19" t="s">
        <v>4144</v>
      </c>
      <c r="N59" s="21"/>
      <c r="S59" s="7" t="s">
        <v>3984</v>
      </c>
      <c r="T59" s="4" t="s">
        <v>2161</v>
      </c>
      <c r="U59" s="3">
        <v>60.0</v>
      </c>
    </row>
    <row r="60">
      <c r="A60" s="8" t="s">
        <v>3418</v>
      </c>
      <c r="B60" s="24">
        <v>45517.0</v>
      </c>
      <c r="C60" s="8">
        <v>568000.0</v>
      </c>
      <c r="D60" s="24">
        <v>45484.0</v>
      </c>
      <c r="E60" s="24">
        <v>45515.0</v>
      </c>
      <c r="F60" s="8" t="s">
        <v>1419</v>
      </c>
      <c r="G60" s="8" t="s">
        <v>2478</v>
      </c>
      <c r="H60" s="21"/>
      <c r="I60" s="24">
        <v>45538.0</v>
      </c>
      <c r="J60" s="24">
        <v>45531.0</v>
      </c>
      <c r="K60" s="8"/>
      <c r="L60" s="8" t="s">
        <v>4145</v>
      </c>
      <c r="M60" s="19" t="s">
        <v>1592</v>
      </c>
      <c r="N60" s="21"/>
      <c r="Q60" s="4"/>
      <c r="R60" s="4" t="s">
        <v>4146</v>
      </c>
      <c r="S60" s="7" t="s">
        <v>3984</v>
      </c>
      <c r="T60" s="4" t="s">
        <v>2174</v>
      </c>
      <c r="U60" s="3">
        <v>24.0</v>
      </c>
    </row>
    <row r="61">
      <c r="A61" s="8" t="s">
        <v>3419</v>
      </c>
      <c r="B61" s="24">
        <v>45519.0</v>
      </c>
      <c r="C61" s="8">
        <v>354000.0</v>
      </c>
      <c r="D61" s="24">
        <v>45487.0</v>
      </c>
      <c r="E61" s="24">
        <v>45518.0</v>
      </c>
      <c r="F61" s="8" t="s">
        <v>1437</v>
      </c>
      <c r="G61" s="8" t="s">
        <v>2517</v>
      </c>
      <c r="H61" s="8" t="s">
        <v>4003</v>
      </c>
      <c r="I61" s="24">
        <v>45546.0</v>
      </c>
      <c r="J61" s="24">
        <v>45532.0</v>
      </c>
      <c r="K61" s="8"/>
      <c r="L61" s="8" t="s">
        <v>4147</v>
      </c>
      <c r="M61" s="19" t="s">
        <v>4148</v>
      </c>
      <c r="N61" s="8" t="s">
        <v>4149</v>
      </c>
      <c r="O61" s="4" t="s">
        <v>4150</v>
      </c>
      <c r="P61" s="4" t="s">
        <v>4151</v>
      </c>
      <c r="S61" s="7" t="s">
        <v>3984</v>
      </c>
      <c r="T61" s="4" t="s">
        <v>4009</v>
      </c>
      <c r="U61" s="4">
        <v>16.0</v>
      </c>
    </row>
    <row r="62">
      <c r="A62" s="8" t="s">
        <v>3420</v>
      </c>
      <c r="B62" s="24">
        <v>45520.0</v>
      </c>
      <c r="C62" s="8">
        <v>473000.0</v>
      </c>
      <c r="D62" s="24">
        <v>45480.0</v>
      </c>
      <c r="E62" s="24">
        <v>45511.0</v>
      </c>
      <c r="F62" s="8" t="s">
        <v>1539</v>
      </c>
      <c r="G62" s="8" t="s">
        <v>2782</v>
      </c>
      <c r="H62" s="21"/>
      <c r="I62" s="24">
        <v>45533.0</v>
      </c>
      <c r="J62" s="24">
        <v>45527.0</v>
      </c>
      <c r="K62" s="8"/>
      <c r="L62" s="8" t="s">
        <v>4152</v>
      </c>
      <c r="M62" s="19" t="s">
        <v>4153</v>
      </c>
      <c r="N62" s="21"/>
      <c r="P62" s="4" t="s">
        <v>4154</v>
      </c>
      <c r="Q62" s="4"/>
      <c r="R62" s="4" t="s">
        <v>4043</v>
      </c>
      <c r="S62" s="7" t="s">
        <v>3984</v>
      </c>
      <c r="T62" s="4" t="s">
        <v>2152</v>
      </c>
      <c r="U62" s="4">
        <v>24.0</v>
      </c>
    </row>
    <row r="63">
      <c r="A63" s="8" t="s">
        <v>3421</v>
      </c>
      <c r="B63" s="24">
        <v>45526.0</v>
      </c>
      <c r="C63" s="8">
        <v>472000.0</v>
      </c>
      <c r="D63" s="24">
        <v>45488.0</v>
      </c>
      <c r="E63" s="24">
        <v>45519.0</v>
      </c>
      <c r="F63" s="8" t="s">
        <v>1471</v>
      </c>
      <c r="G63" s="8" t="s">
        <v>2528</v>
      </c>
      <c r="H63" s="21"/>
      <c r="I63" s="24">
        <v>45541.0</v>
      </c>
      <c r="J63" s="24">
        <v>45532.0</v>
      </c>
      <c r="K63" s="8"/>
      <c r="L63" s="8" t="s">
        <v>4155</v>
      </c>
      <c r="M63" s="19" t="s">
        <v>4156</v>
      </c>
      <c r="N63" s="21"/>
      <c r="P63" s="4" t="s">
        <v>4157</v>
      </c>
      <c r="Q63" s="4"/>
      <c r="R63" s="4" t="s">
        <v>4043</v>
      </c>
      <c r="S63" s="7" t="s">
        <v>3984</v>
      </c>
      <c r="T63" s="4" t="s">
        <v>4035</v>
      </c>
      <c r="U63" s="4">
        <v>24.0</v>
      </c>
    </row>
    <row r="64">
      <c r="A64" s="19" t="s">
        <v>3422</v>
      </c>
      <c r="B64" s="24">
        <v>45527.0</v>
      </c>
      <c r="C64" s="8">
        <v>483000.0</v>
      </c>
      <c r="D64" s="24">
        <v>45493.0</v>
      </c>
      <c r="E64" s="24">
        <v>45524.0</v>
      </c>
      <c r="F64" s="8" t="s">
        <v>1433</v>
      </c>
      <c r="G64" s="8" t="s">
        <v>2583</v>
      </c>
      <c r="H64" s="21"/>
      <c r="I64" s="24">
        <v>45534.0</v>
      </c>
      <c r="J64" s="24">
        <v>45527.0</v>
      </c>
      <c r="K64" s="8"/>
      <c r="L64" s="8" t="s">
        <v>4158</v>
      </c>
      <c r="M64" s="19" t="s">
        <v>4159</v>
      </c>
      <c r="N64" s="21"/>
      <c r="S64" s="7" t="s">
        <v>3984</v>
      </c>
      <c r="T64" s="4" t="s">
        <v>2198</v>
      </c>
      <c r="U64" s="4">
        <v>24.0</v>
      </c>
    </row>
    <row r="65">
      <c r="A65" s="8" t="s">
        <v>3423</v>
      </c>
      <c r="B65" s="24">
        <v>45532.0</v>
      </c>
      <c r="C65" s="8">
        <v>696000.0</v>
      </c>
      <c r="D65" s="24">
        <v>45496.0</v>
      </c>
      <c r="E65" s="24">
        <v>45527.0</v>
      </c>
      <c r="F65" s="8" t="s">
        <v>1437</v>
      </c>
      <c r="G65" s="8" t="s">
        <v>2589</v>
      </c>
      <c r="H65" s="21"/>
      <c r="I65" s="24">
        <v>45553.0</v>
      </c>
      <c r="J65" s="24">
        <v>45539.0</v>
      </c>
      <c r="K65" s="8"/>
      <c r="L65" s="8" t="s">
        <v>4160</v>
      </c>
      <c r="M65" s="19" t="s">
        <v>4161</v>
      </c>
      <c r="N65" s="21"/>
      <c r="S65" s="7" t="s">
        <v>3984</v>
      </c>
      <c r="T65" s="4" t="s">
        <v>2150</v>
      </c>
      <c r="U65" s="4">
        <v>40.0</v>
      </c>
    </row>
    <row r="66">
      <c r="A66" s="8" t="s">
        <v>3424</v>
      </c>
      <c r="B66" s="24">
        <v>45532.0</v>
      </c>
      <c r="C66" s="8">
        <v>339000.0</v>
      </c>
      <c r="D66" s="24">
        <v>45469.0</v>
      </c>
      <c r="E66" s="24">
        <v>45499.0</v>
      </c>
      <c r="F66" s="8" t="s">
        <v>1491</v>
      </c>
      <c r="G66" s="19" t="s">
        <v>2425</v>
      </c>
      <c r="H66" s="21"/>
      <c r="I66" s="24">
        <v>45540.0</v>
      </c>
      <c r="J66" s="24">
        <v>45533.0</v>
      </c>
      <c r="K66" s="8"/>
      <c r="L66" s="8" t="s">
        <v>4162</v>
      </c>
      <c r="M66" s="19" t="s">
        <v>4163</v>
      </c>
      <c r="N66" s="21"/>
      <c r="S66" s="7" t="s">
        <v>3984</v>
      </c>
      <c r="T66" s="4" t="s">
        <v>4078</v>
      </c>
      <c r="U66" s="4">
        <v>16.0</v>
      </c>
    </row>
    <row r="67">
      <c r="A67" s="8" t="s">
        <v>3425</v>
      </c>
      <c r="B67" s="24">
        <v>45544.0</v>
      </c>
      <c r="C67" s="8">
        <v>541000.0</v>
      </c>
      <c r="D67" s="24">
        <v>45508.0</v>
      </c>
      <c r="E67" s="24">
        <v>45539.0</v>
      </c>
      <c r="F67" s="8" t="s">
        <v>1433</v>
      </c>
      <c r="G67" s="8" t="s">
        <v>2583</v>
      </c>
      <c r="H67" s="21"/>
      <c r="I67" s="24">
        <v>45551.0</v>
      </c>
      <c r="J67" s="24">
        <v>45544.0</v>
      </c>
      <c r="K67" s="8"/>
      <c r="L67" s="8" t="s">
        <v>4164</v>
      </c>
      <c r="M67" s="19" t="s">
        <v>4165</v>
      </c>
      <c r="N67" s="21"/>
      <c r="P67" s="4" t="s">
        <v>4166</v>
      </c>
      <c r="Q67" s="4"/>
      <c r="R67" s="4" t="s">
        <v>4167</v>
      </c>
      <c r="S67" s="7" t="s">
        <v>3984</v>
      </c>
      <c r="T67" s="4" t="s">
        <v>2145</v>
      </c>
      <c r="U67" s="4">
        <v>24.0</v>
      </c>
    </row>
    <row r="68">
      <c r="A68" s="8" t="s">
        <v>3426</v>
      </c>
      <c r="B68" s="24">
        <v>45548.0</v>
      </c>
      <c r="C68" s="8">
        <v>987100.0</v>
      </c>
      <c r="D68" s="24">
        <v>45510.0</v>
      </c>
      <c r="E68" s="24">
        <v>45541.0</v>
      </c>
      <c r="F68" s="8" t="s">
        <v>1426</v>
      </c>
      <c r="G68" s="8" t="s">
        <v>2265</v>
      </c>
      <c r="H68" s="21"/>
      <c r="I68" s="24">
        <v>45560.0</v>
      </c>
      <c r="J68" s="24">
        <v>45553.0</v>
      </c>
      <c r="K68" s="8"/>
      <c r="L68" s="8" t="s">
        <v>4168</v>
      </c>
      <c r="M68" s="19" t="s">
        <v>4169</v>
      </c>
      <c r="N68" s="21"/>
      <c r="S68" s="7" t="s">
        <v>3984</v>
      </c>
      <c r="T68" s="4" t="s">
        <v>2161</v>
      </c>
      <c r="U68" s="4">
        <v>60.0</v>
      </c>
    </row>
    <row r="69">
      <c r="A69" s="8" t="s">
        <v>3427</v>
      </c>
      <c r="B69" s="24">
        <v>45548.0</v>
      </c>
      <c r="C69" s="8">
        <v>493000.0</v>
      </c>
      <c r="D69" s="24">
        <v>45511.0</v>
      </c>
      <c r="E69" s="24">
        <v>45542.0</v>
      </c>
      <c r="F69" s="8" t="s">
        <v>1539</v>
      </c>
      <c r="G69" s="8" t="s">
        <v>2782</v>
      </c>
      <c r="H69" s="21"/>
      <c r="I69" s="24">
        <v>45559.0</v>
      </c>
      <c r="J69" s="24">
        <v>45553.0</v>
      </c>
      <c r="K69" s="8"/>
      <c r="L69" s="8" t="s">
        <v>4170</v>
      </c>
      <c r="M69" s="19" t="s">
        <v>4171</v>
      </c>
      <c r="N69" s="21"/>
      <c r="P69" s="4" t="s">
        <v>4172</v>
      </c>
      <c r="S69" s="7" t="s">
        <v>3984</v>
      </c>
      <c r="T69" s="4" t="s">
        <v>2152</v>
      </c>
      <c r="U69" s="4">
        <v>24.0</v>
      </c>
    </row>
    <row r="70">
      <c r="A70" s="8" t="s">
        <v>3428</v>
      </c>
      <c r="B70" s="24">
        <v>45552.0</v>
      </c>
      <c r="C70" s="8">
        <v>369000.0</v>
      </c>
      <c r="D70" s="24">
        <v>45518.0</v>
      </c>
      <c r="E70" s="24">
        <v>45549.0</v>
      </c>
      <c r="F70" s="8" t="s">
        <v>1437</v>
      </c>
      <c r="G70" s="8" t="s">
        <v>2517</v>
      </c>
      <c r="H70" s="8" t="s">
        <v>4003</v>
      </c>
      <c r="I70" s="24">
        <v>45579.0</v>
      </c>
      <c r="J70" s="24">
        <v>45565.0</v>
      </c>
      <c r="K70" s="8"/>
      <c r="L70" s="8" t="s">
        <v>4173</v>
      </c>
      <c r="M70" s="19" t="s">
        <v>4174</v>
      </c>
      <c r="N70" s="8" t="s">
        <v>4175</v>
      </c>
      <c r="O70" s="4" t="s">
        <v>4176</v>
      </c>
      <c r="P70" s="4" t="s">
        <v>4177</v>
      </c>
      <c r="S70" s="7" t="s">
        <v>3984</v>
      </c>
      <c r="T70" s="4" t="s">
        <v>4009</v>
      </c>
      <c r="U70" s="4">
        <v>16.0</v>
      </c>
    </row>
    <row r="71">
      <c r="A71" s="8" t="s">
        <v>3429</v>
      </c>
      <c r="B71" s="24">
        <v>45558.0</v>
      </c>
      <c r="C71" s="8">
        <v>770000.0</v>
      </c>
      <c r="D71" s="24">
        <v>45527.0</v>
      </c>
      <c r="E71" s="24">
        <v>45558.0</v>
      </c>
      <c r="F71" s="8" t="s">
        <v>1437</v>
      </c>
      <c r="G71" s="8" t="s">
        <v>2589</v>
      </c>
      <c r="H71" s="21"/>
      <c r="I71" s="24">
        <v>45581.0</v>
      </c>
      <c r="J71" s="24">
        <v>45567.0</v>
      </c>
      <c r="K71" s="8"/>
      <c r="L71" s="8" t="s">
        <v>4178</v>
      </c>
      <c r="M71" s="19" t="s">
        <v>4179</v>
      </c>
      <c r="N71" s="21"/>
      <c r="P71" s="4" t="s">
        <v>4180</v>
      </c>
      <c r="Q71" s="4"/>
      <c r="R71" s="4" t="s">
        <v>4181</v>
      </c>
      <c r="S71" s="7" t="s">
        <v>3984</v>
      </c>
      <c r="T71" s="4" t="s">
        <v>2150</v>
      </c>
      <c r="U71" s="4">
        <v>40.0</v>
      </c>
    </row>
    <row r="72">
      <c r="A72" s="8" t="s">
        <v>3430</v>
      </c>
      <c r="B72" s="24">
        <v>45558.0</v>
      </c>
      <c r="C72" s="8">
        <v>496000.0</v>
      </c>
      <c r="D72" s="24">
        <v>45519.0</v>
      </c>
      <c r="E72" s="24">
        <v>45550.0</v>
      </c>
      <c r="F72" s="8" t="s">
        <v>1471</v>
      </c>
      <c r="G72" s="8" t="s">
        <v>2528</v>
      </c>
      <c r="H72" s="21"/>
      <c r="I72" s="24">
        <v>45576.0</v>
      </c>
      <c r="J72" s="24">
        <v>45567.0</v>
      </c>
      <c r="K72" s="8"/>
      <c r="L72" s="8" t="s">
        <v>4182</v>
      </c>
      <c r="M72" s="19" t="s">
        <v>4183</v>
      </c>
      <c r="N72" s="21"/>
      <c r="P72" s="4" t="s">
        <v>4184</v>
      </c>
      <c r="Q72" s="4"/>
      <c r="R72" s="4" t="s">
        <v>4185</v>
      </c>
      <c r="S72" s="7" t="s">
        <v>3984</v>
      </c>
      <c r="T72" s="4" t="s">
        <v>4035</v>
      </c>
      <c r="U72" s="4">
        <v>24.0</v>
      </c>
    </row>
    <row r="73">
      <c r="A73" s="8" t="s">
        <v>3431</v>
      </c>
      <c r="B73" s="24">
        <v>45559.0</v>
      </c>
      <c r="C73" s="8">
        <v>300000.0</v>
      </c>
      <c r="D73" s="24">
        <v>45526.0</v>
      </c>
      <c r="E73" s="24">
        <v>45557.0</v>
      </c>
      <c r="F73" s="8" t="s">
        <v>1553</v>
      </c>
      <c r="G73" s="8" t="s">
        <v>3988</v>
      </c>
      <c r="H73" s="21"/>
      <c r="I73" s="24">
        <v>45569.0</v>
      </c>
      <c r="J73" s="24">
        <v>45565.0</v>
      </c>
      <c r="K73" s="8"/>
      <c r="L73" s="8" t="s">
        <v>4186</v>
      </c>
      <c r="M73" s="19" t="s">
        <v>4187</v>
      </c>
      <c r="N73" s="21"/>
      <c r="S73" s="7" t="s">
        <v>3984</v>
      </c>
      <c r="T73" s="4" t="s">
        <v>2183</v>
      </c>
      <c r="U73" s="4">
        <v>16.0</v>
      </c>
    </row>
    <row r="74">
      <c r="A74" s="8" t="s">
        <v>3436</v>
      </c>
      <c r="B74" s="24">
        <v>45574.0</v>
      </c>
      <c r="C74" s="8">
        <v>587000.0</v>
      </c>
      <c r="D74" s="24">
        <v>45539.0</v>
      </c>
      <c r="E74" s="24">
        <v>45569.0</v>
      </c>
      <c r="F74" s="8" t="s">
        <v>1433</v>
      </c>
      <c r="G74" s="8" t="s">
        <v>2583</v>
      </c>
      <c r="H74" s="21"/>
      <c r="I74" s="24">
        <v>45588.0</v>
      </c>
      <c r="J74" s="24">
        <v>45581.0</v>
      </c>
      <c r="K74" s="8"/>
      <c r="L74" s="8" t="s">
        <v>4188</v>
      </c>
      <c r="M74" s="19" t="s">
        <v>4189</v>
      </c>
      <c r="N74" s="21"/>
      <c r="P74" s="4" t="s">
        <v>4190</v>
      </c>
      <c r="Q74" s="4"/>
      <c r="R74" s="4" t="s">
        <v>4191</v>
      </c>
      <c r="S74" s="7" t="s">
        <v>3984</v>
      </c>
      <c r="T74" s="4" t="s">
        <v>2145</v>
      </c>
      <c r="U74" s="4">
        <v>24.0</v>
      </c>
      <c r="V74" s="18">
        <v>45581.583761574075</v>
      </c>
    </row>
    <row r="75">
      <c r="A75" s="8" t="s">
        <v>3439</v>
      </c>
      <c r="B75" s="25">
        <v>45581.0</v>
      </c>
      <c r="C75" s="8">
        <v>512000.0</v>
      </c>
      <c r="D75" s="24">
        <v>45542.0</v>
      </c>
      <c r="E75" s="24">
        <v>45572.0</v>
      </c>
      <c r="F75" s="8" t="s">
        <v>1539</v>
      </c>
      <c r="G75" s="8" t="s">
        <v>2782</v>
      </c>
      <c r="H75" s="21"/>
      <c r="I75" s="25">
        <v>45589.0</v>
      </c>
      <c r="J75" s="25">
        <v>45585.0</v>
      </c>
      <c r="K75" s="8"/>
      <c r="L75" s="8" t="s">
        <v>4192</v>
      </c>
      <c r="M75" s="19" t="s">
        <v>4193</v>
      </c>
      <c r="N75" s="21"/>
      <c r="P75" s="4" t="s">
        <v>4194</v>
      </c>
      <c r="Q75" s="4"/>
      <c r="R75" s="4" t="s">
        <v>4043</v>
      </c>
      <c r="S75" s="7" t="s">
        <v>3984</v>
      </c>
      <c r="T75" s="4" t="s">
        <v>2152</v>
      </c>
      <c r="U75" s="4">
        <v>24.0</v>
      </c>
      <c r="V75" s="28">
        <v>45585.516064814816</v>
      </c>
    </row>
    <row r="76">
      <c r="A76" s="19" t="s">
        <v>3449</v>
      </c>
      <c r="B76" s="25">
        <v>45581.0</v>
      </c>
      <c r="C76" s="8">
        <v>627000.0</v>
      </c>
      <c r="D76" s="24">
        <v>45545.0</v>
      </c>
      <c r="E76" s="25">
        <v>45575.0</v>
      </c>
      <c r="F76" s="8" t="s">
        <v>1419</v>
      </c>
      <c r="G76" s="8" t="s">
        <v>2478</v>
      </c>
      <c r="H76" s="8" t="s">
        <v>3981</v>
      </c>
      <c r="I76" s="25">
        <v>45601.0</v>
      </c>
      <c r="J76" s="25">
        <v>45590.0</v>
      </c>
      <c r="K76" s="8"/>
      <c r="L76" s="8" t="s">
        <v>4195</v>
      </c>
      <c r="M76" s="19" t="s">
        <v>4196</v>
      </c>
      <c r="N76" s="21"/>
      <c r="P76" s="4" t="s">
        <v>4197</v>
      </c>
      <c r="Q76" s="4"/>
      <c r="R76" s="4" t="s">
        <v>4043</v>
      </c>
      <c r="S76" s="7" t="s">
        <v>3984</v>
      </c>
      <c r="T76" s="4" t="s">
        <v>2174</v>
      </c>
      <c r="U76" s="4">
        <v>24.0</v>
      </c>
      <c r="V76" s="28">
        <v>45590.52704861111</v>
      </c>
    </row>
    <row r="77">
      <c r="A77" s="8" t="s">
        <v>3453</v>
      </c>
      <c r="B77" s="25">
        <v>45581.0</v>
      </c>
      <c r="C77" s="8">
        <v>524000.0</v>
      </c>
      <c r="D77" s="24">
        <v>45549.0</v>
      </c>
      <c r="E77" s="25">
        <v>45579.0</v>
      </c>
      <c r="F77" s="8" t="s">
        <v>1471</v>
      </c>
      <c r="G77" s="8" t="s">
        <v>2528</v>
      </c>
      <c r="H77" s="21"/>
      <c r="I77" s="25">
        <v>45604.0</v>
      </c>
      <c r="J77" s="25">
        <v>45595.0</v>
      </c>
      <c r="K77" s="8"/>
      <c r="L77" s="8" t="s">
        <v>4198</v>
      </c>
      <c r="M77" s="19" t="s">
        <v>4199</v>
      </c>
      <c r="N77" s="21"/>
      <c r="P77" s="4" t="s">
        <v>4200</v>
      </c>
      <c r="Q77" s="4"/>
      <c r="R77" s="4" t="s">
        <v>4043</v>
      </c>
      <c r="S77" s="7" t="s">
        <v>3984</v>
      </c>
      <c r="T77" s="4" t="s">
        <v>4035</v>
      </c>
      <c r="U77" s="4">
        <v>24.0</v>
      </c>
      <c r="V77" s="28">
        <v>45595.37670138889</v>
      </c>
    </row>
    <row r="78">
      <c r="A78" s="8" t="s">
        <v>3455</v>
      </c>
      <c r="B78" s="25">
        <v>45581.0</v>
      </c>
      <c r="C78" s="8">
        <v>381000.0</v>
      </c>
      <c r="D78" s="24">
        <v>45548.0</v>
      </c>
      <c r="E78" s="25">
        <v>45578.0</v>
      </c>
      <c r="F78" s="8" t="s">
        <v>1437</v>
      </c>
      <c r="G78" s="8" t="s">
        <v>2517</v>
      </c>
      <c r="H78" s="8" t="s">
        <v>4003</v>
      </c>
      <c r="I78" s="25">
        <v>45617.0</v>
      </c>
      <c r="J78" s="25">
        <v>45603.0</v>
      </c>
      <c r="K78" s="8"/>
      <c r="L78" s="8" t="s">
        <v>4201</v>
      </c>
      <c r="M78" s="19" t="s">
        <v>4202</v>
      </c>
      <c r="N78" s="8" t="s">
        <v>4203</v>
      </c>
      <c r="O78" s="4" t="s">
        <v>4204</v>
      </c>
      <c r="P78" s="4" t="s">
        <v>4205</v>
      </c>
      <c r="Q78" s="4"/>
      <c r="R78" s="4" t="s">
        <v>4043</v>
      </c>
      <c r="S78" s="7" t="s">
        <v>3984</v>
      </c>
      <c r="T78" s="4" t="s">
        <v>4009</v>
      </c>
      <c r="U78" s="4">
        <v>16.0</v>
      </c>
      <c r="V78" s="28">
        <v>45603.66119212963</v>
      </c>
    </row>
    <row r="79">
      <c r="A79" s="8" t="s">
        <v>3441</v>
      </c>
      <c r="B79" s="25">
        <v>45582.0</v>
      </c>
      <c r="C79" s="8">
        <v>708000.0</v>
      </c>
      <c r="D79" s="24">
        <v>45539.0</v>
      </c>
      <c r="E79" s="24">
        <v>45569.0</v>
      </c>
      <c r="F79" s="8" t="s">
        <v>1559</v>
      </c>
      <c r="G79" s="8" t="s">
        <v>4206</v>
      </c>
      <c r="H79" s="8" t="s">
        <v>4207</v>
      </c>
      <c r="I79" s="25">
        <v>45593.0</v>
      </c>
      <c r="J79" s="25">
        <v>45586.0</v>
      </c>
      <c r="K79" s="8"/>
      <c r="L79" s="8" t="s">
        <v>4208</v>
      </c>
      <c r="M79" s="19" t="s">
        <v>4209</v>
      </c>
      <c r="N79" s="8" t="s">
        <v>4210</v>
      </c>
      <c r="O79" s="4" t="s">
        <v>4211</v>
      </c>
      <c r="P79" s="4" t="s">
        <v>4212</v>
      </c>
      <c r="Q79" s="4"/>
      <c r="R79" s="4" t="s">
        <v>4213</v>
      </c>
      <c r="S79" s="7" t="s">
        <v>3984</v>
      </c>
      <c r="T79" s="4" t="s">
        <v>2191</v>
      </c>
      <c r="U79" s="4">
        <v>32.0</v>
      </c>
      <c r="V79" s="28">
        <v>45586.59724537037</v>
      </c>
    </row>
    <row r="80">
      <c r="A80" s="8" t="s">
        <v>3445</v>
      </c>
      <c r="B80" s="25">
        <v>45582.0</v>
      </c>
      <c r="C80" s="8">
        <v>858300.0</v>
      </c>
      <c r="D80" s="24">
        <v>45541.0</v>
      </c>
      <c r="E80" s="24">
        <v>45571.0</v>
      </c>
      <c r="F80" s="8" t="s">
        <v>1426</v>
      </c>
      <c r="G80" s="8" t="s">
        <v>2265</v>
      </c>
      <c r="H80" s="21"/>
      <c r="I80" s="25">
        <v>45595.0</v>
      </c>
      <c r="J80" s="25">
        <v>45588.0</v>
      </c>
      <c r="K80" s="8"/>
      <c r="L80" s="8" t="s">
        <v>4214</v>
      </c>
      <c r="M80" s="19" t="s">
        <v>4215</v>
      </c>
      <c r="N80" s="21"/>
      <c r="S80" s="7" t="s">
        <v>3984</v>
      </c>
      <c r="T80" s="4" t="s">
        <v>2161</v>
      </c>
      <c r="U80" s="4">
        <v>60.0</v>
      </c>
      <c r="V80" s="28">
        <v>45588.544282407405</v>
      </c>
    </row>
    <row r="81">
      <c r="A81" s="8" t="s">
        <v>3443</v>
      </c>
      <c r="B81" s="25">
        <v>45586.0</v>
      </c>
      <c r="C81" s="8">
        <v>397000.0</v>
      </c>
      <c r="D81" s="24">
        <v>45547.0</v>
      </c>
      <c r="E81" s="25">
        <v>45577.0</v>
      </c>
      <c r="F81" s="8" t="s">
        <v>1556</v>
      </c>
      <c r="G81" s="8" t="s">
        <v>4216</v>
      </c>
      <c r="H81" s="21"/>
      <c r="I81" s="25">
        <v>45594.0</v>
      </c>
      <c r="J81" s="25">
        <v>45588.0</v>
      </c>
      <c r="K81" s="8"/>
      <c r="L81" s="8" t="s">
        <v>4217</v>
      </c>
      <c r="M81" s="19" t="s">
        <v>4218</v>
      </c>
      <c r="N81" s="21"/>
      <c r="P81" s="4" t="s">
        <v>4219</v>
      </c>
      <c r="S81" s="7" t="s">
        <v>3992</v>
      </c>
      <c r="T81" s="4" t="s">
        <v>4220</v>
      </c>
      <c r="U81" s="4">
        <v>16.0</v>
      </c>
      <c r="V81" s="28">
        <v>45588.47818287037</v>
      </c>
    </row>
    <row r="82">
      <c r="A82" s="8" t="s">
        <v>3447</v>
      </c>
      <c r="B82" s="25">
        <v>45588.0</v>
      </c>
      <c r="C82" s="8">
        <v>587000.0</v>
      </c>
      <c r="D82" s="24">
        <v>45554.0</v>
      </c>
      <c r="E82" s="25">
        <v>45584.0</v>
      </c>
      <c r="F82" s="8" t="s">
        <v>1433</v>
      </c>
      <c r="G82" s="8" t="s">
        <v>2583</v>
      </c>
      <c r="H82" s="21"/>
      <c r="I82" s="25">
        <v>45597.0</v>
      </c>
      <c r="J82" s="25">
        <v>45590.0</v>
      </c>
      <c r="K82" s="8"/>
      <c r="L82" s="8" t="s">
        <v>4221</v>
      </c>
      <c r="M82" s="19" t="s">
        <v>4222</v>
      </c>
      <c r="N82" s="21"/>
      <c r="Q82" s="4"/>
      <c r="R82" s="4" t="s">
        <v>4223</v>
      </c>
      <c r="S82" s="7" t="s">
        <v>3992</v>
      </c>
      <c r="T82" s="4" t="s">
        <v>2198</v>
      </c>
      <c r="U82" s="4">
        <v>24.0</v>
      </c>
      <c r="V82" s="28">
        <v>45590.40856481482</v>
      </c>
    </row>
    <row r="83">
      <c r="A83" s="8" t="s">
        <v>3459</v>
      </c>
      <c r="B83" s="25">
        <v>45588.0</v>
      </c>
      <c r="C83" s="8">
        <v>770000.0</v>
      </c>
      <c r="D83" s="24">
        <v>45557.0</v>
      </c>
      <c r="E83" s="25">
        <v>45587.0</v>
      </c>
      <c r="F83" s="8" t="s">
        <v>1437</v>
      </c>
      <c r="G83" s="8" t="s">
        <v>2589</v>
      </c>
      <c r="H83" s="21"/>
      <c r="I83" s="25">
        <v>45617.0</v>
      </c>
      <c r="J83" s="25">
        <v>45603.0</v>
      </c>
      <c r="K83" s="8"/>
      <c r="L83" s="8" t="s">
        <v>4224</v>
      </c>
      <c r="M83" s="19" t="s">
        <v>4225</v>
      </c>
      <c r="N83" s="21"/>
      <c r="S83" s="7" t="s">
        <v>3992</v>
      </c>
      <c r="T83" s="4" t="s">
        <v>2150</v>
      </c>
      <c r="U83" s="4">
        <v>40.0</v>
      </c>
      <c r="V83" s="28">
        <v>45603.66122685185</v>
      </c>
      <c r="X83" s="30">
        <v>0.11</v>
      </c>
    </row>
    <row r="84">
      <c r="A84" s="8" t="s">
        <v>3451</v>
      </c>
      <c r="B84" s="25">
        <v>45588.0</v>
      </c>
      <c r="C84" s="8">
        <v>300000.0</v>
      </c>
      <c r="D84" s="24">
        <v>45556.0</v>
      </c>
      <c r="E84" s="25">
        <v>45586.0</v>
      </c>
      <c r="F84" s="8" t="s">
        <v>1553</v>
      </c>
      <c r="G84" s="8" t="s">
        <v>3988</v>
      </c>
      <c r="H84" s="21"/>
      <c r="I84" s="25">
        <v>45597.0</v>
      </c>
      <c r="J84" s="25">
        <v>45593.0</v>
      </c>
      <c r="K84" s="8"/>
      <c r="L84" s="8" t="s">
        <v>4226</v>
      </c>
      <c r="M84" s="19" t="s">
        <v>4227</v>
      </c>
      <c r="N84" s="21"/>
      <c r="S84" s="7" t="s">
        <v>3992</v>
      </c>
      <c r="T84" s="4" t="s">
        <v>2183</v>
      </c>
      <c r="U84" s="4">
        <v>16.0</v>
      </c>
      <c r="V84" s="28">
        <v>45593.5912962963</v>
      </c>
    </row>
    <row r="85">
      <c r="A85" s="8" t="s">
        <v>3465</v>
      </c>
      <c r="B85" s="24">
        <v>45603.0</v>
      </c>
      <c r="C85" s="8">
        <v>532000.0</v>
      </c>
      <c r="D85" s="24">
        <v>45572.0</v>
      </c>
      <c r="E85" s="24">
        <v>45603.0</v>
      </c>
      <c r="F85" s="8" t="s">
        <v>1539</v>
      </c>
      <c r="G85" s="8" t="s">
        <v>2782</v>
      </c>
      <c r="H85" s="21"/>
      <c r="I85" s="25">
        <v>45616.0</v>
      </c>
      <c r="J85" s="24">
        <v>45610.0</v>
      </c>
      <c r="K85" s="8"/>
      <c r="L85" s="8" t="s">
        <v>4228</v>
      </c>
      <c r="M85" s="19" t="s">
        <v>4229</v>
      </c>
      <c r="N85" s="21"/>
      <c r="P85" s="4" t="s">
        <v>4230</v>
      </c>
      <c r="Q85" s="4"/>
      <c r="R85" s="4" t="s">
        <v>4043</v>
      </c>
      <c r="S85" s="7" t="s">
        <v>3992</v>
      </c>
      <c r="T85" s="4" t="s">
        <v>2152</v>
      </c>
      <c r="U85" s="4">
        <v>24.0</v>
      </c>
      <c r="V85" s="18">
        <v>45610.38774305556</v>
      </c>
    </row>
    <row r="86">
      <c r="A86" s="8" t="s">
        <v>3461</v>
      </c>
      <c r="B86" s="24">
        <v>45603.0</v>
      </c>
      <c r="C86" s="8">
        <v>587000.0</v>
      </c>
      <c r="D86" s="24">
        <v>45569.0</v>
      </c>
      <c r="E86" s="24">
        <v>45600.0</v>
      </c>
      <c r="F86" s="8" t="s">
        <v>1433</v>
      </c>
      <c r="G86" s="8" t="s">
        <v>2583</v>
      </c>
      <c r="H86" s="21"/>
      <c r="I86" s="25">
        <v>45615.0</v>
      </c>
      <c r="J86" s="24">
        <v>45608.0</v>
      </c>
      <c r="K86" s="8"/>
      <c r="L86" s="8" t="s">
        <v>4231</v>
      </c>
      <c r="M86" s="19" t="s">
        <v>4232</v>
      </c>
      <c r="N86" s="21"/>
      <c r="S86" s="7" t="s">
        <v>3992</v>
      </c>
      <c r="T86" s="4" t="s">
        <v>2145</v>
      </c>
      <c r="U86" s="4">
        <v>24.0</v>
      </c>
      <c r="V86" s="18">
        <v>45608.372094907405</v>
      </c>
    </row>
    <row r="87">
      <c r="A87" s="8" t="s">
        <v>3463</v>
      </c>
      <c r="B87" s="24">
        <v>45603.0</v>
      </c>
      <c r="C87" s="8">
        <v>732000.0</v>
      </c>
      <c r="D87" s="24">
        <v>45569.0</v>
      </c>
      <c r="E87" s="24">
        <v>45600.0</v>
      </c>
      <c r="F87" s="8" t="s">
        <v>1559</v>
      </c>
      <c r="G87" s="8" t="s">
        <v>4206</v>
      </c>
      <c r="H87" s="8" t="s">
        <v>4207</v>
      </c>
      <c r="I87" s="25">
        <v>45615.0</v>
      </c>
      <c r="J87" s="24">
        <v>45608.0</v>
      </c>
      <c r="K87" s="8"/>
      <c r="L87" s="8" t="s">
        <v>4233</v>
      </c>
      <c r="M87" s="19" t="s">
        <v>4234</v>
      </c>
      <c r="N87" s="21"/>
      <c r="P87" s="4" t="s">
        <v>4235</v>
      </c>
      <c r="Q87" s="4"/>
      <c r="R87" s="4" t="s">
        <v>4043</v>
      </c>
      <c r="S87" s="7" t="s">
        <v>3992</v>
      </c>
      <c r="T87" s="4" t="s">
        <v>2191</v>
      </c>
      <c r="U87" s="4">
        <v>32.0</v>
      </c>
      <c r="V87" s="18">
        <v>45608.62725694444</v>
      </c>
    </row>
    <row r="88">
      <c r="A88" s="8" t="s">
        <v>3471</v>
      </c>
      <c r="B88" s="24">
        <v>45604.0</v>
      </c>
      <c r="C88" s="8">
        <v>350000.0</v>
      </c>
      <c r="D88" s="24">
        <v>45561.0</v>
      </c>
      <c r="E88" s="25">
        <v>45592.0</v>
      </c>
      <c r="F88" s="8" t="s">
        <v>1491</v>
      </c>
      <c r="G88" s="19" t="s">
        <v>2425</v>
      </c>
      <c r="H88" s="21"/>
      <c r="I88" s="25">
        <v>45623.0</v>
      </c>
      <c r="J88" s="24">
        <v>45616.0</v>
      </c>
      <c r="K88" s="8"/>
      <c r="L88" s="8" t="s">
        <v>4236</v>
      </c>
      <c r="M88" s="19" t="s">
        <v>4237</v>
      </c>
      <c r="N88" s="21"/>
      <c r="S88" s="7" t="s">
        <v>3992</v>
      </c>
      <c r="T88" s="4" t="s">
        <v>2195</v>
      </c>
      <c r="U88" s="4">
        <v>16.0</v>
      </c>
      <c r="V88" s="18">
        <v>45616.68587962963</v>
      </c>
    </row>
    <row r="89">
      <c r="A89" s="8" t="s">
        <v>3476</v>
      </c>
      <c r="B89" s="25">
        <v>45607.0</v>
      </c>
      <c r="C89" s="8">
        <v>657000.0</v>
      </c>
      <c r="D89" s="24">
        <v>45574.0</v>
      </c>
      <c r="E89" s="25">
        <v>45606.0</v>
      </c>
      <c r="F89" s="8" t="s">
        <v>1419</v>
      </c>
      <c r="G89" s="8" t="s">
        <v>2478</v>
      </c>
      <c r="H89" s="8" t="s">
        <v>3981</v>
      </c>
      <c r="I89" s="25">
        <v>45638.0</v>
      </c>
      <c r="J89" s="25">
        <v>45624.0</v>
      </c>
      <c r="K89" s="8"/>
      <c r="L89" s="8" t="s">
        <v>4238</v>
      </c>
      <c r="M89" s="19" t="s">
        <v>4239</v>
      </c>
      <c r="N89" s="21"/>
      <c r="P89" s="4" t="s">
        <v>4240</v>
      </c>
      <c r="S89" s="7" t="s">
        <v>3992</v>
      </c>
      <c r="T89" s="4" t="s">
        <v>2174</v>
      </c>
      <c r="U89" s="4">
        <v>24.0</v>
      </c>
      <c r="V89" s="28">
        <v>45624.66136574074</v>
      </c>
      <c r="W89" s="4" t="s">
        <v>4241</v>
      </c>
      <c r="X89" s="29">
        <v>0.03</v>
      </c>
    </row>
    <row r="90">
      <c r="A90" s="8" t="s">
        <v>3473</v>
      </c>
      <c r="B90" s="25">
        <v>45607.0</v>
      </c>
      <c r="C90" s="8">
        <v>471000.0</v>
      </c>
      <c r="D90" s="25">
        <v>45577.0</v>
      </c>
      <c r="E90" s="25">
        <v>45609.0</v>
      </c>
      <c r="F90" s="8" t="s">
        <v>1437</v>
      </c>
      <c r="G90" s="8" t="s">
        <v>2517</v>
      </c>
      <c r="H90" s="8" t="s">
        <v>4003</v>
      </c>
      <c r="I90" s="25">
        <v>45639.0</v>
      </c>
      <c r="J90" s="25">
        <v>45625.0</v>
      </c>
      <c r="K90" s="8"/>
      <c r="L90" s="8" t="s">
        <v>4242</v>
      </c>
      <c r="M90" s="19" t="s">
        <v>4243</v>
      </c>
      <c r="N90" s="8" t="s">
        <v>4244</v>
      </c>
      <c r="O90" s="4" t="s">
        <v>4245</v>
      </c>
      <c r="P90" s="4" t="s">
        <v>4246</v>
      </c>
      <c r="Q90" s="4"/>
      <c r="R90" s="4" t="s">
        <v>4247</v>
      </c>
      <c r="S90" s="7" t="s">
        <v>3992</v>
      </c>
      <c r="T90" s="4" t="s">
        <v>4009</v>
      </c>
      <c r="U90" s="4">
        <v>16.0</v>
      </c>
      <c r="V90" s="28">
        <v>45625.58969907407</v>
      </c>
      <c r="W90" s="4" t="s">
        <v>4248</v>
      </c>
    </row>
    <row r="91">
      <c r="A91" s="8" t="s">
        <v>3467</v>
      </c>
      <c r="B91" s="25">
        <v>45608.0</v>
      </c>
      <c r="C91" s="8">
        <v>1039000.0</v>
      </c>
      <c r="D91" s="24">
        <v>45571.0</v>
      </c>
      <c r="E91" s="24">
        <v>45602.0</v>
      </c>
      <c r="F91" s="8" t="s">
        <v>1426</v>
      </c>
      <c r="G91" s="8" t="s">
        <v>2265</v>
      </c>
      <c r="H91" s="21"/>
      <c r="I91" s="25">
        <v>45623.0</v>
      </c>
      <c r="J91" s="25">
        <v>45616.0</v>
      </c>
      <c r="K91" s="8"/>
      <c r="L91" s="8" t="s">
        <v>4249</v>
      </c>
      <c r="M91" s="19" t="s">
        <v>4250</v>
      </c>
      <c r="N91" s="21"/>
      <c r="S91" s="7" t="s">
        <v>3992</v>
      </c>
      <c r="T91" s="4" t="s">
        <v>2161</v>
      </c>
      <c r="U91" s="4">
        <v>60.0</v>
      </c>
      <c r="V91" s="28">
        <v>45616.400185185186</v>
      </c>
      <c r="W91" s="4" t="s">
        <v>4251</v>
      </c>
    </row>
    <row r="92">
      <c r="A92" s="8" t="s">
        <v>3483</v>
      </c>
      <c r="B92" s="25">
        <v>45616.0</v>
      </c>
      <c r="C92" s="8">
        <v>549000.0</v>
      </c>
      <c r="D92" s="25">
        <v>45578.0</v>
      </c>
      <c r="E92" s="25">
        <v>45610.0</v>
      </c>
      <c r="F92" s="8" t="s">
        <v>1471</v>
      </c>
      <c r="G92" s="8" t="s">
        <v>2528</v>
      </c>
      <c r="H92" s="21"/>
      <c r="I92" s="25">
        <v>45643.0</v>
      </c>
      <c r="J92" s="25">
        <v>45632.0</v>
      </c>
      <c r="K92" s="8"/>
      <c r="L92" s="8" t="s">
        <v>4252</v>
      </c>
      <c r="M92" s="19" t="s">
        <v>3584</v>
      </c>
      <c r="N92" s="21"/>
      <c r="P92" s="4" t="s">
        <v>4253</v>
      </c>
      <c r="Q92" s="4"/>
      <c r="R92" s="4" t="s">
        <v>4043</v>
      </c>
      <c r="S92" s="7" t="s">
        <v>3984</v>
      </c>
      <c r="T92" s="4" t="s">
        <v>4035</v>
      </c>
      <c r="U92" s="4">
        <v>24.0</v>
      </c>
      <c r="V92" s="28">
        <v>45632.507789351854</v>
      </c>
      <c r="W92" s="4" t="s">
        <v>4254</v>
      </c>
    </row>
    <row r="93">
      <c r="A93" s="8"/>
      <c r="B93" s="25"/>
      <c r="C93" s="8"/>
      <c r="D93" s="25"/>
      <c r="E93" s="25"/>
      <c r="F93" s="8"/>
      <c r="G93" s="8"/>
      <c r="H93" s="21"/>
      <c r="I93" s="25"/>
      <c r="J93" s="25"/>
      <c r="K93" s="8"/>
      <c r="L93" s="8"/>
      <c r="M93" s="8"/>
      <c r="N93" s="21"/>
      <c r="S93" s="4"/>
      <c r="T93" s="4"/>
      <c r="U93" s="4"/>
      <c r="V93" s="28"/>
      <c r="W93" s="4"/>
      <c r="Z93" s="4"/>
      <c r="AA93" s="4"/>
      <c r="AB93" s="6"/>
    </row>
    <row r="94">
      <c r="A94" s="8" t="s">
        <v>3469</v>
      </c>
      <c r="B94" s="25">
        <v>45616.0</v>
      </c>
      <c r="C94" s="8">
        <v>587000.0</v>
      </c>
      <c r="D94" s="25">
        <v>45583.0</v>
      </c>
      <c r="E94" s="25">
        <v>45615.0</v>
      </c>
      <c r="F94" s="8" t="s">
        <v>1433</v>
      </c>
      <c r="G94" s="8" t="s">
        <v>2583</v>
      </c>
      <c r="H94" s="21"/>
      <c r="I94" s="25">
        <v>45623.0</v>
      </c>
      <c r="J94" s="25">
        <v>45616.0</v>
      </c>
      <c r="K94" s="8"/>
      <c r="L94" s="8" t="s">
        <v>4255</v>
      </c>
      <c r="M94" s="19" t="s">
        <v>4256</v>
      </c>
      <c r="N94" s="21"/>
      <c r="Q94" s="4"/>
      <c r="R94" s="4" t="s">
        <v>4257</v>
      </c>
      <c r="S94" s="7" t="s">
        <v>3984</v>
      </c>
      <c r="T94" s="4" t="s">
        <v>2198</v>
      </c>
      <c r="U94" s="4">
        <v>24.0</v>
      </c>
      <c r="V94" s="28">
        <v>45616.68541666667</v>
      </c>
      <c r="W94" s="4" t="s">
        <v>4258</v>
      </c>
    </row>
    <row r="95">
      <c r="A95" s="8" t="s">
        <v>3481</v>
      </c>
      <c r="B95" s="25">
        <v>45621.0</v>
      </c>
      <c r="C95" s="8">
        <v>300000.0</v>
      </c>
      <c r="D95" s="25">
        <v>45585.0</v>
      </c>
      <c r="E95" s="25">
        <v>45617.0</v>
      </c>
      <c r="F95" s="8" t="s">
        <v>1553</v>
      </c>
      <c r="G95" s="8" t="s">
        <v>3988</v>
      </c>
      <c r="H95" s="21"/>
      <c r="I95" s="25">
        <v>45631.0</v>
      </c>
      <c r="J95" s="25">
        <v>45626.0</v>
      </c>
      <c r="K95" s="8"/>
      <c r="L95" s="8" t="s">
        <v>4259</v>
      </c>
      <c r="M95" s="19" t="s">
        <v>4260</v>
      </c>
      <c r="N95" s="21"/>
      <c r="S95" s="7" t="s">
        <v>3992</v>
      </c>
      <c r="T95" s="4" t="s">
        <v>2183</v>
      </c>
      <c r="U95" s="4">
        <v>16.0</v>
      </c>
      <c r="V95" s="28">
        <v>45626.41158564815</v>
      </c>
      <c r="W95" s="4"/>
      <c r="X95" s="29"/>
    </row>
    <row r="96">
      <c r="A96" s="8" t="s">
        <v>3503</v>
      </c>
      <c r="B96" s="25">
        <v>45624.0</v>
      </c>
      <c r="C96" s="8">
        <v>861000.0</v>
      </c>
      <c r="D96" s="25">
        <v>45586.0</v>
      </c>
      <c r="E96" s="25">
        <v>45618.0</v>
      </c>
      <c r="F96" s="8" t="s">
        <v>1437</v>
      </c>
      <c r="G96" s="8" t="s">
        <v>2589</v>
      </c>
      <c r="H96" s="21"/>
      <c r="I96" s="24">
        <v>45670.0</v>
      </c>
      <c r="J96" s="25">
        <v>45656.0</v>
      </c>
      <c r="K96" s="8"/>
      <c r="L96" s="8" t="s">
        <v>4261</v>
      </c>
      <c r="M96" s="19" t="s">
        <v>4262</v>
      </c>
      <c r="N96" s="21"/>
      <c r="S96" s="7" t="s">
        <v>3984</v>
      </c>
      <c r="T96" s="4" t="s">
        <v>2150</v>
      </c>
      <c r="U96" s="4">
        <v>40.0</v>
      </c>
      <c r="V96" s="28">
        <v>45656.6462962963</v>
      </c>
      <c r="W96" s="4" t="s">
        <v>4263</v>
      </c>
      <c r="X96" s="29">
        <v>0.11</v>
      </c>
      <c r="Z96" s="5" t="s">
        <v>4264</v>
      </c>
    </row>
    <row r="97">
      <c r="A97" s="8" t="s">
        <v>3491</v>
      </c>
      <c r="B97" s="24">
        <v>45632.0</v>
      </c>
      <c r="C97" s="8">
        <v>558000.0</v>
      </c>
      <c r="D97" s="25">
        <v>45591.0</v>
      </c>
      <c r="E97" s="25">
        <v>45623.0</v>
      </c>
      <c r="F97" s="8" t="s">
        <v>1535</v>
      </c>
      <c r="G97" s="8" t="s">
        <v>2887</v>
      </c>
      <c r="H97" s="21"/>
      <c r="I97" s="25">
        <v>45645.0</v>
      </c>
      <c r="J97" s="24">
        <v>45639.0</v>
      </c>
      <c r="K97" s="8"/>
      <c r="L97" s="8" t="s">
        <v>4265</v>
      </c>
      <c r="M97" s="19" t="s">
        <v>4266</v>
      </c>
      <c r="N97" s="21"/>
      <c r="S97" s="7" t="s">
        <v>3984</v>
      </c>
      <c r="T97" s="4" t="s">
        <v>2186</v>
      </c>
      <c r="U97" s="4">
        <v>20.0</v>
      </c>
      <c r="V97" s="18">
        <v>45639.696076388886</v>
      </c>
      <c r="W97" s="4" t="s">
        <v>4267</v>
      </c>
    </row>
    <row r="98">
      <c r="A98" s="8" t="s">
        <v>3487</v>
      </c>
      <c r="B98" s="24">
        <v>45632.0</v>
      </c>
      <c r="C98" s="8">
        <v>635000.0</v>
      </c>
      <c r="D98" s="24">
        <v>45600.0</v>
      </c>
      <c r="E98" s="24">
        <v>45630.0</v>
      </c>
      <c r="F98" s="8" t="s">
        <v>1433</v>
      </c>
      <c r="G98" s="8" t="s">
        <v>2583</v>
      </c>
      <c r="H98" s="21"/>
      <c r="I98" s="25">
        <v>45644.0</v>
      </c>
      <c r="J98" s="24">
        <v>45637.0</v>
      </c>
      <c r="K98" s="8"/>
      <c r="L98" s="8" t="s">
        <v>4268</v>
      </c>
      <c r="M98" s="19" t="s">
        <v>4269</v>
      </c>
      <c r="N98" s="21"/>
      <c r="S98" s="7" t="s">
        <v>3984</v>
      </c>
      <c r="T98" s="4" t="s">
        <v>2145</v>
      </c>
      <c r="U98" s="4">
        <v>24.0</v>
      </c>
      <c r="V98" s="18">
        <v>45637.60047453704</v>
      </c>
      <c r="X98" s="29">
        <v>0.07</v>
      </c>
    </row>
    <row r="99">
      <c r="A99" s="8" t="s">
        <v>3489</v>
      </c>
      <c r="B99" s="25">
        <v>45636.0</v>
      </c>
      <c r="C99" s="8">
        <v>755000.0</v>
      </c>
      <c r="D99" s="24">
        <v>45600.0</v>
      </c>
      <c r="E99" s="24">
        <v>45630.0</v>
      </c>
      <c r="F99" s="8" t="s">
        <v>1559</v>
      </c>
      <c r="G99" s="8" t="s">
        <v>4206</v>
      </c>
      <c r="H99" s="8" t="s">
        <v>4207</v>
      </c>
      <c r="I99" s="25">
        <v>45646.0</v>
      </c>
      <c r="J99" s="25">
        <v>45639.0</v>
      </c>
      <c r="K99" s="8"/>
      <c r="L99" s="8" t="s">
        <v>4270</v>
      </c>
      <c r="M99" s="19" t="s">
        <v>4271</v>
      </c>
      <c r="N99" s="21"/>
      <c r="S99" s="7" t="s">
        <v>3984</v>
      </c>
      <c r="T99" s="4" t="s">
        <v>2191</v>
      </c>
      <c r="U99" s="4">
        <v>32.0</v>
      </c>
      <c r="V99" s="28">
        <v>45639.69587962963</v>
      </c>
      <c r="W99" s="4" t="s">
        <v>4272</v>
      </c>
    </row>
    <row r="100">
      <c r="A100" s="8" t="s">
        <v>3485</v>
      </c>
      <c r="B100" s="25">
        <v>45636.0</v>
      </c>
      <c r="C100" s="8">
        <v>547000.0</v>
      </c>
      <c r="D100" s="24">
        <v>45603.0</v>
      </c>
      <c r="E100" s="24">
        <v>45633.0</v>
      </c>
      <c r="F100" s="8" t="s">
        <v>1539</v>
      </c>
      <c r="G100" s="8" t="s">
        <v>2782</v>
      </c>
      <c r="H100" s="21"/>
      <c r="I100" s="25">
        <v>45643.0</v>
      </c>
      <c r="J100" s="25">
        <v>45637.0</v>
      </c>
      <c r="K100" s="8"/>
      <c r="L100" s="8" t="s">
        <v>4273</v>
      </c>
      <c r="M100" s="19" t="s">
        <v>4274</v>
      </c>
      <c r="N100" s="21"/>
      <c r="S100" s="7" t="s">
        <v>3992</v>
      </c>
      <c r="T100" s="4" t="s">
        <v>2152</v>
      </c>
      <c r="U100" s="4">
        <v>24.0</v>
      </c>
      <c r="V100" s="28">
        <v>45637.391168981485</v>
      </c>
    </row>
    <row r="101">
      <c r="A101" s="8" t="s">
        <v>3505</v>
      </c>
      <c r="B101" s="25">
        <v>45636.0</v>
      </c>
      <c r="C101" s="8">
        <v>367000.0</v>
      </c>
      <c r="D101" s="25">
        <v>45622.0</v>
      </c>
      <c r="E101" s="25">
        <v>45653.0</v>
      </c>
      <c r="F101" s="8" t="s">
        <v>1491</v>
      </c>
      <c r="G101" s="19" t="s">
        <v>2425</v>
      </c>
      <c r="H101" s="21"/>
      <c r="I101" s="25">
        <v>45667.0</v>
      </c>
      <c r="J101" s="25">
        <v>45662.0</v>
      </c>
      <c r="K101" s="8"/>
      <c r="L101" s="8" t="s">
        <v>4275</v>
      </c>
      <c r="M101" s="19" t="s">
        <v>4276</v>
      </c>
      <c r="N101" s="21"/>
      <c r="S101" s="7" t="s">
        <v>3992</v>
      </c>
      <c r="T101" s="4" t="s">
        <v>2195</v>
      </c>
      <c r="U101" s="4">
        <v>16.0</v>
      </c>
      <c r="V101" s="28">
        <v>45662.502118055556</v>
      </c>
      <c r="Z101" s="5" t="s">
        <v>4277</v>
      </c>
      <c r="AA101" s="4" t="s">
        <v>4278</v>
      </c>
      <c r="AB101" s="6">
        <v>45664.0</v>
      </c>
    </row>
    <row r="102">
      <c r="A102" s="8" t="s">
        <v>3495</v>
      </c>
      <c r="B102" s="25">
        <v>45638.0</v>
      </c>
      <c r="C102" s="8">
        <v>682000.0</v>
      </c>
      <c r="D102" s="24">
        <v>45605.0</v>
      </c>
      <c r="E102" s="25">
        <v>45636.0</v>
      </c>
      <c r="F102" s="8" t="s">
        <v>1419</v>
      </c>
      <c r="G102" s="8" t="s">
        <v>2478</v>
      </c>
      <c r="H102" s="8" t="s">
        <v>3981</v>
      </c>
      <c r="I102" s="25">
        <v>45663.0</v>
      </c>
      <c r="J102" s="25">
        <v>45649.0</v>
      </c>
      <c r="K102" s="8"/>
      <c r="L102" s="8" t="s">
        <v>4279</v>
      </c>
      <c r="M102" s="19" t="s">
        <v>4280</v>
      </c>
      <c r="N102" s="21"/>
      <c r="S102" s="7" t="s">
        <v>3984</v>
      </c>
      <c r="T102" s="4" t="s">
        <v>2174</v>
      </c>
      <c r="U102" s="4">
        <v>24.0</v>
      </c>
      <c r="V102" s="28">
        <v>45649.36483796296</v>
      </c>
      <c r="X102" s="29">
        <v>0.06</v>
      </c>
    </row>
    <row r="103">
      <c r="A103" s="8" t="s">
        <v>3493</v>
      </c>
      <c r="B103" s="25">
        <v>45643.0</v>
      </c>
      <c r="C103" s="8">
        <v>991000.0</v>
      </c>
      <c r="D103" s="24">
        <v>45602.0</v>
      </c>
      <c r="E103" s="24">
        <v>45632.0</v>
      </c>
      <c r="F103" s="8" t="s">
        <v>1426</v>
      </c>
      <c r="G103" s="8" t="s">
        <v>2265</v>
      </c>
      <c r="H103" s="21"/>
      <c r="I103" s="25">
        <v>45653.0</v>
      </c>
      <c r="J103" s="25">
        <v>45646.0</v>
      </c>
      <c r="K103" s="8"/>
      <c r="L103" s="8" t="s">
        <v>4281</v>
      </c>
      <c r="M103" s="19" t="s">
        <v>4282</v>
      </c>
      <c r="N103" s="21"/>
      <c r="S103" s="7" t="s">
        <v>3984</v>
      </c>
      <c r="T103" s="4" t="s">
        <v>2161</v>
      </c>
      <c r="U103" s="4">
        <v>60.0</v>
      </c>
      <c r="V103" s="28">
        <v>45646.488275462965</v>
      </c>
      <c r="W103" s="4" t="s">
        <v>4283</v>
      </c>
    </row>
    <row r="104">
      <c r="A104" s="8" t="s">
        <v>3501</v>
      </c>
      <c r="B104" s="25">
        <v>45644.0</v>
      </c>
      <c r="C104" s="8">
        <v>569000.0</v>
      </c>
      <c r="D104" s="25">
        <v>45609.0</v>
      </c>
      <c r="E104" s="25">
        <v>45640.0</v>
      </c>
      <c r="F104" s="8" t="s">
        <v>1471</v>
      </c>
      <c r="G104" s="8" t="s">
        <v>2528</v>
      </c>
      <c r="H104" s="21"/>
      <c r="I104" s="25">
        <v>45665.0</v>
      </c>
      <c r="J104" s="25">
        <v>45656.0</v>
      </c>
      <c r="K104" s="8"/>
      <c r="L104" s="8" t="s">
        <v>4284</v>
      </c>
      <c r="M104" s="19" t="s">
        <v>4285</v>
      </c>
      <c r="N104" s="21"/>
      <c r="S104" s="7" t="s">
        <v>3984</v>
      </c>
      <c r="T104" s="4" t="s">
        <v>4035</v>
      </c>
      <c r="U104" s="4">
        <v>24.0</v>
      </c>
      <c r="V104" s="28">
        <v>45656.52263888889</v>
      </c>
      <c r="X104" s="29">
        <v>0.15</v>
      </c>
    </row>
    <row r="105">
      <c r="A105" s="8" t="s">
        <v>3497</v>
      </c>
      <c r="B105" s="25">
        <v>45646.0</v>
      </c>
      <c r="C105" s="8">
        <v>626000.0</v>
      </c>
      <c r="D105" s="25">
        <v>45614.0</v>
      </c>
      <c r="E105" s="25">
        <v>45645.0</v>
      </c>
      <c r="F105" s="8" t="s">
        <v>1433</v>
      </c>
      <c r="G105" s="8" t="s">
        <v>2583</v>
      </c>
      <c r="H105" s="21"/>
      <c r="I105" s="25">
        <v>45659.0</v>
      </c>
      <c r="J105" s="25">
        <v>45652.0</v>
      </c>
      <c r="K105" s="8"/>
      <c r="L105" s="8" t="s">
        <v>4286</v>
      </c>
      <c r="M105" s="19" t="s">
        <v>4287</v>
      </c>
      <c r="N105" s="21"/>
      <c r="S105" s="7" t="s">
        <v>3984</v>
      </c>
      <c r="T105" s="4" t="s">
        <v>2198</v>
      </c>
      <c r="U105" s="4">
        <v>24.0</v>
      </c>
      <c r="V105" s="28">
        <v>45652.470601851855</v>
      </c>
      <c r="W105" s="4" t="s">
        <v>4288</v>
      </c>
      <c r="Y105" s="4" t="b">
        <v>1</v>
      </c>
    </row>
    <row r="106">
      <c r="A106" s="8" t="s">
        <v>3513</v>
      </c>
      <c r="B106" s="25">
        <v>45663.0</v>
      </c>
      <c r="C106" s="8">
        <v>897000.0</v>
      </c>
      <c r="D106" s="25">
        <v>45632.0</v>
      </c>
      <c r="E106" s="25">
        <v>45663.0</v>
      </c>
      <c r="F106" s="8" t="s">
        <v>1426</v>
      </c>
      <c r="G106" s="8" t="s">
        <v>2265</v>
      </c>
      <c r="H106" s="21"/>
      <c r="I106" s="31">
        <v>45685.0</v>
      </c>
      <c r="J106" s="25">
        <v>45675.0</v>
      </c>
      <c r="K106" s="8"/>
      <c r="L106" s="8" t="s">
        <v>4289</v>
      </c>
      <c r="M106" s="19" t="s">
        <v>4290</v>
      </c>
      <c r="N106" s="21"/>
      <c r="P106" s="8"/>
      <c r="S106" s="7" t="s">
        <v>3984</v>
      </c>
      <c r="T106" s="4" t="s">
        <v>2161</v>
      </c>
      <c r="U106" s="4">
        <v>60.0</v>
      </c>
      <c r="V106" s="28">
        <v>45675.382893518516</v>
      </c>
      <c r="W106" s="4" t="s">
        <v>4283</v>
      </c>
      <c r="Y106" s="4" t="b">
        <v>0</v>
      </c>
      <c r="Z106" s="32" t="s">
        <v>4291</v>
      </c>
      <c r="AA106" s="4" t="s">
        <v>4292</v>
      </c>
      <c r="AB106" s="17">
        <v>45687.0</v>
      </c>
    </row>
    <row r="107">
      <c r="A107" s="8"/>
      <c r="B107" s="25"/>
      <c r="C107" s="8"/>
      <c r="D107" s="25"/>
      <c r="E107" s="25"/>
      <c r="F107" s="8"/>
      <c r="G107" s="8"/>
      <c r="H107" s="21"/>
      <c r="I107" s="24"/>
      <c r="J107" s="25"/>
      <c r="K107" s="8"/>
      <c r="L107" s="8"/>
      <c r="M107" s="8"/>
      <c r="N107" s="21"/>
      <c r="S107" s="4"/>
      <c r="T107" s="4"/>
      <c r="U107" s="4"/>
      <c r="V107" s="28"/>
      <c r="Y107" s="4"/>
      <c r="Z107" s="4"/>
      <c r="AA107" s="4"/>
      <c r="AB107" s="6"/>
    </row>
    <row r="108">
      <c r="A108" s="8" t="s">
        <v>3509</v>
      </c>
      <c r="B108" s="24">
        <v>45664.0</v>
      </c>
      <c r="C108" s="8">
        <v>635000.0</v>
      </c>
      <c r="D108" s="24">
        <v>45630.0</v>
      </c>
      <c r="E108" s="24">
        <v>45661.0</v>
      </c>
      <c r="F108" s="8" t="s">
        <v>1433</v>
      </c>
      <c r="G108" s="8" t="s">
        <v>2583</v>
      </c>
      <c r="H108" s="21"/>
      <c r="I108" s="24">
        <v>45674.0</v>
      </c>
      <c r="J108" s="24">
        <v>45667.0</v>
      </c>
      <c r="K108" s="8"/>
      <c r="L108" s="8" t="s">
        <v>4293</v>
      </c>
      <c r="M108" s="19" t="s">
        <v>4294</v>
      </c>
      <c r="N108" s="21"/>
      <c r="S108" s="7" t="s">
        <v>3984</v>
      </c>
      <c r="T108" s="4" t="s">
        <v>2145</v>
      </c>
      <c r="U108" s="4">
        <v>24.0</v>
      </c>
      <c r="V108" s="18">
        <v>45667.67523148148</v>
      </c>
      <c r="X108" s="29">
        <v>0.07</v>
      </c>
      <c r="Y108" s="4" t="b">
        <v>1</v>
      </c>
      <c r="Z108" s="5" t="s">
        <v>4295</v>
      </c>
      <c r="AA108" s="4" t="s">
        <v>4296</v>
      </c>
      <c r="AB108" s="6">
        <v>45678.0</v>
      </c>
    </row>
    <row r="109">
      <c r="A109" s="8" t="s">
        <v>3517</v>
      </c>
      <c r="B109" s="24">
        <v>45664.0</v>
      </c>
      <c r="C109" s="8">
        <v>572000.0</v>
      </c>
      <c r="D109" s="25">
        <v>45623.0</v>
      </c>
      <c r="E109" s="25">
        <v>45654.0</v>
      </c>
      <c r="F109" s="8" t="s">
        <v>1535</v>
      </c>
      <c r="G109" s="8" t="s">
        <v>2887</v>
      </c>
      <c r="H109" s="21"/>
      <c r="I109" s="24">
        <v>45688.0</v>
      </c>
      <c r="J109" s="24">
        <v>45684.0</v>
      </c>
      <c r="K109" s="8"/>
      <c r="L109" s="8" t="s">
        <v>4297</v>
      </c>
      <c r="M109" s="19" t="s">
        <v>4298</v>
      </c>
      <c r="N109" s="21"/>
      <c r="S109" s="7" t="s">
        <v>3984</v>
      </c>
      <c r="T109" s="4" t="s">
        <v>2186</v>
      </c>
      <c r="U109" s="4">
        <v>20.0</v>
      </c>
      <c r="V109" s="18">
        <v>45684.70443287037</v>
      </c>
      <c r="W109" s="4" t="s">
        <v>4267</v>
      </c>
      <c r="Y109" s="4" t="b">
        <v>1</v>
      </c>
      <c r="Z109" s="5" t="s">
        <v>4299</v>
      </c>
      <c r="AA109" s="4" t="s">
        <v>4300</v>
      </c>
      <c r="AB109" s="6">
        <v>45693.0</v>
      </c>
    </row>
    <row r="110">
      <c r="A110" s="8" t="s">
        <v>3511</v>
      </c>
      <c r="B110" s="24">
        <v>45664.0</v>
      </c>
      <c r="C110" s="8">
        <v>775000.0</v>
      </c>
      <c r="D110" s="24">
        <v>45630.0</v>
      </c>
      <c r="E110" s="24">
        <v>45661.0</v>
      </c>
      <c r="F110" s="8" t="s">
        <v>1559</v>
      </c>
      <c r="G110" s="8" t="s">
        <v>4206</v>
      </c>
      <c r="H110" s="8" t="s">
        <v>4207</v>
      </c>
      <c r="I110" s="24">
        <v>45678.0</v>
      </c>
      <c r="J110" s="24">
        <v>45671.0</v>
      </c>
      <c r="K110" s="8"/>
      <c r="L110" s="8" t="s">
        <v>4301</v>
      </c>
      <c r="M110" s="19" t="s">
        <v>4302</v>
      </c>
      <c r="N110" s="21"/>
      <c r="S110" s="7" t="s">
        <v>3984</v>
      </c>
      <c r="T110" s="4" t="s">
        <v>2191</v>
      </c>
      <c r="U110" s="4">
        <v>32.0</v>
      </c>
      <c r="V110" s="18">
        <v>45671.764375</v>
      </c>
      <c r="W110" s="4" t="s">
        <v>4272</v>
      </c>
      <c r="Y110" s="4" t="b">
        <v>1</v>
      </c>
      <c r="Z110" s="5" t="s">
        <v>4303</v>
      </c>
      <c r="AA110" s="4" t="s">
        <v>4304</v>
      </c>
      <c r="AB110" s="6"/>
    </row>
    <row r="111">
      <c r="A111" s="8" t="s">
        <v>3515</v>
      </c>
      <c r="B111" s="24">
        <v>45664.0</v>
      </c>
      <c r="C111" s="8">
        <v>861000.0</v>
      </c>
      <c r="D111" s="25">
        <v>45619.0</v>
      </c>
      <c r="E111" s="25">
        <v>45649.0</v>
      </c>
      <c r="F111" s="8" t="s">
        <v>1437</v>
      </c>
      <c r="G111" s="8" t="s">
        <v>2589</v>
      </c>
      <c r="H111" s="21"/>
      <c r="I111" s="24">
        <v>45692.0</v>
      </c>
      <c r="J111" s="24">
        <v>45678.0</v>
      </c>
      <c r="K111" s="8"/>
      <c r="L111" s="8" t="s">
        <v>4305</v>
      </c>
      <c r="M111" s="19" t="s">
        <v>4306</v>
      </c>
      <c r="N111" s="21"/>
      <c r="S111" s="7" t="s">
        <v>3984</v>
      </c>
      <c r="T111" s="4" t="s">
        <v>2150</v>
      </c>
      <c r="U111" s="4">
        <v>40.0</v>
      </c>
      <c r="V111" s="18">
        <v>45678.57809027778</v>
      </c>
      <c r="W111" s="4" t="s">
        <v>4263</v>
      </c>
      <c r="X111" s="29">
        <v>0.11</v>
      </c>
      <c r="Y111" s="4" t="b">
        <v>1</v>
      </c>
      <c r="Z111" s="5" t="s">
        <v>4264</v>
      </c>
      <c r="AA111" s="4" t="s">
        <v>4307</v>
      </c>
      <c r="AB111" s="6">
        <v>45695.0</v>
      </c>
    </row>
    <row r="112">
      <c r="A112" s="8" t="s">
        <v>3507</v>
      </c>
      <c r="B112" s="24">
        <v>45665.0</v>
      </c>
      <c r="C112" s="8">
        <v>561000.0</v>
      </c>
      <c r="D112" s="24">
        <v>45633.0</v>
      </c>
      <c r="E112" s="24">
        <v>45664.0</v>
      </c>
      <c r="F112" s="8" t="s">
        <v>1539</v>
      </c>
      <c r="G112" s="8" t="s">
        <v>2782</v>
      </c>
      <c r="H112" s="21"/>
      <c r="I112" s="24">
        <v>45672.0</v>
      </c>
      <c r="J112" s="24">
        <v>45666.0</v>
      </c>
      <c r="K112" s="8"/>
      <c r="L112" s="8" t="s">
        <v>4308</v>
      </c>
      <c r="M112" s="19" t="s">
        <v>2316</v>
      </c>
      <c r="N112" s="21"/>
      <c r="S112" s="7" t="s">
        <v>4047</v>
      </c>
      <c r="T112" s="4" t="s">
        <v>2152</v>
      </c>
      <c r="U112" s="4">
        <v>24.0</v>
      </c>
      <c r="V112" s="18">
        <v>45666.36162037037</v>
      </c>
      <c r="Y112" s="4" t="b">
        <v>1</v>
      </c>
      <c r="Z112" s="5" t="s">
        <v>4309</v>
      </c>
      <c r="AA112" s="4" t="s">
        <v>4310</v>
      </c>
      <c r="AB112" s="6">
        <v>45674.0</v>
      </c>
    </row>
    <row r="113">
      <c r="A113" s="8" t="s">
        <v>3534</v>
      </c>
      <c r="B113" s="24">
        <v>45671.0</v>
      </c>
      <c r="C113" s="8">
        <v>376000.0</v>
      </c>
      <c r="D113" s="25">
        <v>45623.0</v>
      </c>
      <c r="E113" s="25">
        <v>45654.0</v>
      </c>
      <c r="F113" s="8" t="s">
        <v>1491</v>
      </c>
      <c r="G113" s="19" t="s">
        <v>2425</v>
      </c>
      <c r="H113" s="21"/>
      <c r="I113" s="24">
        <v>45708.0</v>
      </c>
      <c r="J113" s="24">
        <v>45701.0</v>
      </c>
      <c r="K113" s="8"/>
      <c r="L113" s="8" t="s">
        <v>4311</v>
      </c>
      <c r="M113" s="19" t="s">
        <v>2375</v>
      </c>
      <c r="N113" s="21"/>
      <c r="S113" s="7" t="s">
        <v>4047</v>
      </c>
      <c r="T113" s="4" t="s">
        <v>2195</v>
      </c>
      <c r="U113" s="4">
        <v>16.0</v>
      </c>
      <c r="V113" s="18">
        <v>45701.498090277775</v>
      </c>
      <c r="Y113" s="4" t="b">
        <v>1</v>
      </c>
      <c r="Z113" s="5" t="s">
        <v>4277</v>
      </c>
      <c r="AA113" s="4" t="s">
        <v>4312</v>
      </c>
      <c r="AB113" s="6">
        <v>45712.0</v>
      </c>
    </row>
    <row r="114">
      <c r="A114" s="8" t="s">
        <v>3519</v>
      </c>
      <c r="B114" s="24">
        <v>45671.0</v>
      </c>
      <c r="C114" s="8">
        <v>590000.0</v>
      </c>
      <c r="D114" s="25">
        <v>45640.0</v>
      </c>
      <c r="E114" s="24">
        <v>45672.0</v>
      </c>
      <c r="F114" s="8" t="s">
        <v>1471</v>
      </c>
      <c r="G114" s="8" t="s">
        <v>2528</v>
      </c>
      <c r="H114" s="21"/>
      <c r="I114" s="24">
        <v>45695.0</v>
      </c>
      <c r="J114" s="24">
        <v>45686.0</v>
      </c>
      <c r="K114" s="8"/>
      <c r="L114" s="8" t="s">
        <v>4313</v>
      </c>
      <c r="M114" s="19" t="s">
        <v>2377</v>
      </c>
      <c r="N114" s="21"/>
      <c r="S114" s="7" t="s">
        <v>4047</v>
      </c>
      <c r="T114" s="4" t="s">
        <v>4035</v>
      </c>
      <c r="U114" s="4">
        <v>24.0</v>
      </c>
      <c r="V114" s="18">
        <v>45686.594375</v>
      </c>
      <c r="X114" s="29">
        <v>0.14</v>
      </c>
      <c r="Y114" s="4" t="b">
        <v>1</v>
      </c>
      <c r="Z114" s="5" t="s">
        <v>4314</v>
      </c>
      <c r="AA114" s="4" t="s">
        <v>4315</v>
      </c>
      <c r="AB114" s="6">
        <v>45700.0</v>
      </c>
    </row>
    <row r="115">
      <c r="A115" s="8" t="s">
        <v>3523</v>
      </c>
      <c r="B115" s="24">
        <v>45687.0</v>
      </c>
      <c r="C115" s="8">
        <v>626000.0</v>
      </c>
      <c r="D115" s="25">
        <v>45645.0</v>
      </c>
      <c r="E115" s="24">
        <v>45677.0</v>
      </c>
      <c r="F115" s="8" t="s">
        <v>1433</v>
      </c>
      <c r="G115" s="8" t="s">
        <v>2583</v>
      </c>
      <c r="H115" s="21"/>
      <c r="I115" s="24">
        <v>45700.0</v>
      </c>
      <c r="J115" s="24">
        <v>45693.0</v>
      </c>
      <c r="K115" s="8"/>
      <c r="L115" s="8" t="s">
        <v>4316</v>
      </c>
      <c r="M115" s="19" t="s">
        <v>2379</v>
      </c>
      <c r="N115" s="21"/>
      <c r="S115" s="7" t="s">
        <v>4047</v>
      </c>
      <c r="T115" s="4" t="s">
        <v>2198</v>
      </c>
      <c r="U115" s="4">
        <v>24.0</v>
      </c>
      <c r="V115" s="18">
        <v>45693.72929398148</v>
      </c>
      <c r="W115" s="4" t="s">
        <v>4288</v>
      </c>
      <c r="Y115" s="4" t="b">
        <v>1</v>
      </c>
      <c r="Z115" s="5" t="s">
        <v>4295</v>
      </c>
      <c r="AA115" s="4" t="s">
        <v>4317</v>
      </c>
      <c r="AB115" s="6">
        <v>45702.0</v>
      </c>
    </row>
    <row r="116">
      <c r="A116" s="8" t="s">
        <v>3529</v>
      </c>
      <c r="B116" s="24">
        <v>45687.0</v>
      </c>
      <c r="C116" s="8">
        <v>150000.0</v>
      </c>
      <c r="D116" s="24">
        <v>45671.0</v>
      </c>
      <c r="E116" s="24">
        <v>45687.0</v>
      </c>
      <c r="F116" s="8" t="s">
        <v>1437</v>
      </c>
      <c r="G116" s="8" t="s">
        <v>2517</v>
      </c>
      <c r="H116" s="8" t="s">
        <v>4003</v>
      </c>
      <c r="I116" s="24">
        <v>45726.0</v>
      </c>
      <c r="J116" s="24">
        <v>45712.0</v>
      </c>
      <c r="K116" s="8"/>
      <c r="L116" s="8" t="s">
        <v>4318</v>
      </c>
      <c r="M116" s="19" t="s">
        <v>4319</v>
      </c>
      <c r="N116" s="8" t="s">
        <v>4320</v>
      </c>
      <c r="O116" s="4" t="s">
        <v>4321</v>
      </c>
      <c r="S116" s="7" t="s">
        <v>3984</v>
      </c>
      <c r="T116" s="4" t="s">
        <v>4322</v>
      </c>
      <c r="U116" s="4">
        <v>5.0</v>
      </c>
      <c r="V116" s="18">
        <v>45712.5675</v>
      </c>
      <c r="W116" s="4" t="s">
        <v>4323</v>
      </c>
      <c r="Y116" s="4" t="b">
        <v>1</v>
      </c>
      <c r="Z116" s="5" t="s">
        <v>4324</v>
      </c>
      <c r="AA116" s="4" t="s">
        <v>4325</v>
      </c>
      <c r="AB116" s="6">
        <v>45729.0</v>
      </c>
    </row>
    <row r="117">
      <c r="A117" s="8" t="s">
        <v>3525</v>
      </c>
      <c r="B117" s="24">
        <v>45687.0</v>
      </c>
      <c r="C117" s="8">
        <v>861000.0</v>
      </c>
      <c r="D117" s="25">
        <v>45648.0</v>
      </c>
      <c r="E117" s="24">
        <v>45680.0</v>
      </c>
      <c r="F117" s="8" t="s">
        <v>1437</v>
      </c>
      <c r="G117" s="8" t="s">
        <v>2589</v>
      </c>
      <c r="H117" s="21"/>
      <c r="I117" s="24">
        <v>45709.0</v>
      </c>
      <c r="J117" s="24">
        <v>45695.0</v>
      </c>
      <c r="K117" s="8"/>
      <c r="L117" s="8" t="s">
        <v>4326</v>
      </c>
      <c r="M117" s="19" t="s">
        <v>4327</v>
      </c>
      <c r="N117" s="21"/>
      <c r="S117" s="7" t="s">
        <v>3984</v>
      </c>
      <c r="T117" s="4" t="s">
        <v>2150</v>
      </c>
      <c r="U117" s="4">
        <v>40.0</v>
      </c>
      <c r="V117" s="18">
        <v>45695.75502314815</v>
      </c>
      <c r="W117" s="4" t="s">
        <v>4328</v>
      </c>
      <c r="X117" s="29">
        <v>0.11</v>
      </c>
      <c r="Y117" s="4" t="b">
        <v>1</v>
      </c>
      <c r="Z117" s="5" t="s">
        <v>4264</v>
      </c>
      <c r="AA117" s="4" t="s">
        <v>4329</v>
      </c>
      <c r="AB117" s="6">
        <v>45713.0</v>
      </c>
    </row>
    <row r="118">
      <c r="A118" s="8" t="s">
        <v>3536</v>
      </c>
      <c r="B118" s="24">
        <v>45695.0</v>
      </c>
      <c r="C118" s="8">
        <v>575000.0</v>
      </c>
      <c r="D118" s="24">
        <v>45664.0</v>
      </c>
      <c r="E118" s="24">
        <v>45695.0</v>
      </c>
      <c r="F118" s="8" t="s">
        <v>1539</v>
      </c>
      <c r="G118" s="8" t="s">
        <v>2782</v>
      </c>
      <c r="H118" s="21"/>
      <c r="I118" s="24">
        <v>45712.0</v>
      </c>
      <c r="J118" s="24">
        <v>45706.0</v>
      </c>
      <c r="K118" s="8"/>
      <c r="L118" s="8" t="s">
        <v>4330</v>
      </c>
      <c r="M118" s="19" t="s">
        <v>2387</v>
      </c>
      <c r="N118" s="21"/>
      <c r="S118" s="7" t="s">
        <v>4047</v>
      </c>
      <c r="T118" s="4" t="s">
        <v>2152</v>
      </c>
      <c r="U118" s="4">
        <v>24.0</v>
      </c>
      <c r="V118" s="18">
        <v>45706.73736111111</v>
      </c>
      <c r="Y118" s="4" t="b">
        <v>1</v>
      </c>
      <c r="Z118" s="5" t="s">
        <v>4309</v>
      </c>
      <c r="AA118" s="4" t="s">
        <v>4331</v>
      </c>
      <c r="AB118" s="6">
        <v>45714.0</v>
      </c>
    </row>
    <row r="119">
      <c r="A119" s="8" t="s">
        <v>3538</v>
      </c>
      <c r="B119" s="24">
        <v>45695.0</v>
      </c>
      <c r="C119" s="8">
        <v>586000.0</v>
      </c>
      <c r="D119" s="25">
        <v>45654.0</v>
      </c>
      <c r="E119" s="24">
        <v>45685.0</v>
      </c>
      <c r="F119" s="8" t="s">
        <v>1535</v>
      </c>
      <c r="G119" s="8" t="s">
        <v>2887</v>
      </c>
      <c r="H119" s="8" t="s">
        <v>4332</v>
      </c>
      <c r="I119" s="24">
        <v>45713.0</v>
      </c>
      <c r="J119" s="24">
        <v>45707.0</v>
      </c>
      <c r="K119" s="8"/>
      <c r="L119" s="8" t="s">
        <v>4333</v>
      </c>
      <c r="M119" s="19" t="s">
        <v>4334</v>
      </c>
      <c r="N119" s="21"/>
      <c r="S119" s="7" t="s">
        <v>3984</v>
      </c>
      <c r="T119" s="4" t="s">
        <v>2186</v>
      </c>
      <c r="U119" s="4">
        <v>20.0</v>
      </c>
      <c r="V119" s="18">
        <v>45707.527708333335</v>
      </c>
      <c r="W119" s="4" t="s">
        <v>4267</v>
      </c>
      <c r="Y119" s="4" t="b">
        <v>1</v>
      </c>
      <c r="Z119" s="5" t="s">
        <v>4299</v>
      </c>
      <c r="AA119" s="4" t="s">
        <v>4335</v>
      </c>
      <c r="AB119" s="6">
        <v>45715.0</v>
      </c>
    </row>
    <row r="120">
      <c r="A120" s="8" t="s">
        <v>3540</v>
      </c>
      <c r="B120" s="24">
        <v>45695.0</v>
      </c>
      <c r="C120" s="8">
        <v>795000.0</v>
      </c>
      <c r="D120" s="24">
        <v>45661.0</v>
      </c>
      <c r="E120" s="24">
        <v>45692.0</v>
      </c>
      <c r="F120" s="8" t="s">
        <v>1559</v>
      </c>
      <c r="G120" s="8" t="s">
        <v>4206</v>
      </c>
      <c r="H120" s="8" t="s">
        <v>4207</v>
      </c>
      <c r="I120" s="24">
        <v>45714.0</v>
      </c>
      <c r="J120" s="24">
        <v>45707.0</v>
      </c>
      <c r="K120" s="8"/>
      <c r="L120" s="8" t="s">
        <v>4336</v>
      </c>
      <c r="M120" s="19" t="s">
        <v>4337</v>
      </c>
      <c r="N120" s="21"/>
      <c r="S120" s="7" t="s">
        <v>3984</v>
      </c>
      <c r="T120" s="4" t="s">
        <v>2191</v>
      </c>
      <c r="U120" s="4">
        <v>32.0</v>
      </c>
      <c r="V120" s="18">
        <v>45707.527766203704</v>
      </c>
      <c r="W120" s="4" t="s">
        <v>4338</v>
      </c>
      <c r="Y120" s="4" t="b">
        <v>1</v>
      </c>
      <c r="Z120" s="5" t="s">
        <v>4303</v>
      </c>
      <c r="AA120" s="4" t="s">
        <v>4339</v>
      </c>
      <c r="AB120" s="6">
        <v>45716.0</v>
      </c>
    </row>
    <row r="121">
      <c r="A121" s="8" t="s">
        <v>3527</v>
      </c>
      <c r="B121" s="24">
        <v>45695.0</v>
      </c>
      <c r="C121" s="8">
        <v>635000.0</v>
      </c>
      <c r="D121" s="24">
        <v>45661.0</v>
      </c>
      <c r="E121" s="24">
        <v>45692.0</v>
      </c>
      <c r="F121" s="8" t="s">
        <v>1433</v>
      </c>
      <c r="G121" s="8" t="s">
        <v>2583</v>
      </c>
      <c r="H121" s="21"/>
      <c r="I121" s="24">
        <v>45702.0</v>
      </c>
      <c r="J121" s="24">
        <v>45695.0</v>
      </c>
      <c r="K121" s="8"/>
      <c r="L121" s="8" t="s">
        <v>4340</v>
      </c>
      <c r="M121" s="19" t="s">
        <v>2384</v>
      </c>
      <c r="N121" s="21"/>
      <c r="S121" s="7" t="s">
        <v>3984</v>
      </c>
      <c r="T121" s="4" t="s">
        <v>2145</v>
      </c>
      <c r="U121" s="4">
        <v>24.0</v>
      </c>
      <c r="V121" s="18">
        <v>45695.75515046297</v>
      </c>
      <c r="W121" s="4" t="s">
        <v>4341</v>
      </c>
      <c r="X121" s="29">
        <v>0.07</v>
      </c>
      <c r="Y121" s="4" t="b">
        <v>1</v>
      </c>
      <c r="Z121" s="5" t="s">
        <v>4295</v>
      </c>
      <c r="AA121" s="4" t="s">
        <v>4342</v>
      </c>
      <c r="AB121" s="6">
        <v>45706.0</v>
      </c>
    </row>
    <row r="122">
      <c r="A122" s="8" t="s">
        <v>3532</v>
      </c>
      <c r="B122" s="24">
        <v>45699.0</v>
      </c>
      <c r="C122" s="8">
        <v>800000.0</v>
      </c>
      <c r="D122" s="24">
        <v>45664.0</v>
      </c>
      <c r="E122" s="24">
        <v>45694.0</v>
      </c>
      <c r="F122" s="8" t="s">
        <v>1426</v>
      </c>
      <c r="G122" s="8" t="s">
        <v>2265</v>
      </c>
      <c r="H122" s="21"/>
      <c r="I122" s="24">
        <v>45709.0</v>
      </c>
      <c r="J122" s="24">
        <v>45700.0</v>
      </c>
      <c r="K122" s="8"/>
      <c r="L122" s="8" t="s">
        <v>4343</v>
      </c>
      <c r="M122" s="19" t="s">
        <v>2393</v>
      </c>
      <c r="N122" s="21"/>
      <c r="S122" s="7" t="s">
        <v>4047</v>
      </c>
      <c r="T122" s="4" t="s">
        <v>2161</v>
      </c>
      <c r="U122" s="4">
        <v>60.0</v>
      </c>
      <c r="V122" s="18">
        <v>45700.50466435185</v>
      </c>
      <c r="W122" s="4" t="s">
        <v>4283</v>
      </c>
      <c r="Y122" s="4" t="b">
        <v>0</v>
      </c>
      <c r="Z122" s="5" t="s">
        <v>4291</v>
      </c>
      <c r="AA122" s="4" t="s">
        <v>4344</v>
      </c>
      <c r="AB122" s="6">
        <v>45713.0</v>
      </c>
    </row>
    <row r="123">
      <c r="A123" s="8" t="s">
        <v>3543</v>
      </c>
      <c r="B123" s="24">
        <v>45699.0</v>
      </c>
      <c r="C123" s="8">
        <v>726000.0</v>
      </c>
      <c r="D123" s="24">
        <v>45668.0</v>
      </c>
      <c r="E123" s="24">
        <v>45699.0</v>
      </c>
      <c r="F123" s="8" t="s">
        <v>1419</v>
      </c>
      <c r="G123" s="8" t="s">
        <v>2478</v>
      </c>
      <c r="H123" s="8" t="s">
        <v>3981</v>
      </c>
      <c r="I123" s="24">
        <v>45728.0</v>
      </c>
      <c r="J123" s="24">
        <v>45714.0</v>
      </c>
      <c r="K123" s="8"/>
      <c r="L123" s="8" t="s">
        <v>4345</v>
      </c>
      <c r="M123" s="19" t="s">
        <v>2147</v>
      </c>
      <c r="N123" s="21"/>
      <c r="Q123" s="4"/>
      <c r="R123" s="4" t="s">
        <v>4346</v>
      </c>
      <c r="S123" s="7" t="s">
        <v>4347</v>
      </c>
      <c r="T123" s="4" t="s">
        <v>2174</v>
      </c>
      <c r="U123" s="4">
        <v>24.0</v>
      </c>
      <c r="V123" s="18">
        <v>45714.62159722222</v>
      </c>
      <c r="W123" s="4" t="s">
        <v>4348</v>
      </c>
      <c r="X123" s="29">
        <v>0.05</v>
      </c>
      <c r="Y123" s="4" t="b">
        <v>1</v>
      </c>
      <c r="Z123" s="5" t="s">
        <v>3986</v>
      </c>
      <c r="AA123" s="4" t="s">
        <v>4349</v>
      </c>
      <c r="AB123" s="6">
        <v>45733.0</v>
      </c>
    </row>
    <row r="124">
      <c r="A124" s="8" t="s">
        <v>3549</v>
      </c>
      <c r="B124" s="24">
        <v>45709.0</v>
      </c>
      <c r="C124" s="8">
        <v>606000.0</v>
      </c>
      <c r="D124" s="24">
        <v>45672.0</v>
      </c>
      <c r="E124" s="24">
        <v>45703.0</v>
      </c>
      <c r="F124" s="8" t="s">
        <v>1471</v>
      </c>
      <c r="G124" s="8" t="s">
        <v>2528</v>
      </c>
      <c r="H124" s="21"/>
      <c r="I124" s="24">
        <v>45737.0</v>
      </c>
      <c r="J124" s="24">
        <v>45733.0</v>
      </c>
      <c r="K124" s="8"/>
      <c r="L124" s="8" t="s">
        <v>4350</v>
      </c>
      <c r="M124" s="19" t="s">
        <v>2276</v>
      </c>
      <c r="N124" s="21"/>
      <c r="S124" s="7" t="s">
        <v>4047</v>
      </c>
      <c r="T124" s="4" t="s">
        <v>4035</v>
      </c>
      <c r="U124" s="4">
        <v>24.0</v>
      </c>
      <c r="V124" s="18">
        <v>45733.58862268519</v>
      </c>
      <c r="X124" s="29">
        <v>0.14</v>
      </c>
      <c r="Y124" s="4" t="b">
        <v>1</v>
      </c>
      <c r="Z124" s="5" t="s">
        <v>4314</v>
      </c>
      <c r="AA124" s="4" t="s">
        <v>4351</v>
      </c>
      <c r="AB124" s="6">
        <v>45741.0</v>
      </c>
    </row>
    <row r="125">
      <c r="A125" s="8" t="s">
        <v>3551</v>
      </c>
      <c r="B125" s="24">
        <v>45715.0</v>
      </c>
      <c r="C125" s="8">
        <v>895000.0</v>
      </c>
      <c r="D125" s="24">
        <v>45680.0</v>
      </c>
      <c r="E125" s="24">
        <v>45711.0</v>
      </c>
      <c r="F125" s="8" t="s">
        <v>1437</v>
      </c>
      <c r="G125" s="8" t="s">
        <v>2589</v>
      </c>
      <c r="H125" s="21"/>
      <c r="I125" s="24">
        <v>45748.0</v>
      </c>
      <c r="J125" s="24">
        <v>45736.0</v>
      </c>
      <c r="K125" s="8"/>
      <c r="L125" s="8" t="s">
        <v>4352</v>
      </c>
      <c r="M125" s="19" t="s">
        <v>4353</v>
      </c>
      <c r="N125" s="21"/>
      <c r="S125" s="7" t="s">
        <v>3984</v>
      </c>
      <c r="T125" s="4" t="s">
        <v>2150</v>
      </c>
      <c r="U125" s="4">
        <v>40.0</v>
      </c>
      <c r="V125" s="18">
        <v>45736.84662037037</v>
      </c>
      <c r="W125" s="4" t="s">
        <v>4328</v>
      </c>
      <c r="X125" s="29">
        <v>0.12</v>
      </c>
      <c r="Y125" s="4" t="b">
        <v>1</v>
      </c>
      <c r="Z125" s="5" t="s">
        <v>4264</v>
      </c>
      <c r="AA125" s="4" t="s">
        <v>4354</v>
      </c>
      <c r="AB125" s="6">
        <v>45751.0</v>
      </c>
    </row>
    <row r="126">
      <c r="A126" s="8" t="s">
        <v>3547</v>
      </c>
      <c r="B126" s="24">
        <v>45727.0</v>
      </c>
      <c r="C126" s="8">
        <v>588000.0</v>
      </c>
      <c r="D126" s="24">
        <v>45695.0</v>
      </c>
      <c r="E126" s="24">
        <v>45723.0</v>
      </c>
      <c r="F126" s="8" t="s">
        <v>1539</v>
      </c>
      <c r="G126" s="8" t="s">
        <v>2782</v>
      </c>
      <c r="H126" s="21"/>
      <c r="I126" s="24">
        <v>45751.0</v>
      </c>
      <c r="J126" s="24">
        <v>45744.0</v>
      </c>
      <c r="K126" s="8"/>
      <c r="L126" s="8" t="s">
        <v>4355</v>
      </c>
      <c r="M126" s="19" t="s">
        <v>2396</v>
      </c>
      <c r="N126" s="21"/>
      <c r="S126" s="7" t="s">
        <v>4047</v>
      </c>
      <c r="T126" s="4" t="s">
        <v>2152</v>
      </c>
      <c r="U126" s="4">
        <v>24.0</v>
      </c>
      <c r="V126" s="18">
        <v>45733.497453703705</v>
      </c>
      <c r="Y126" s="4" t="b">
        <v>1</v>
      </c>
      <c r="Z126" s="5" t="s">
        <v>4309</v>
      </c>
      <c r="AA126" s="4" t="s">
        <v>4356</v>
      </c>
      <c r="AB126" s="6">
        <v>45742.0</v>
      </c>
    </row>
    <row r="127">
      <c r="A127" s="8" t="s">
        <v>3562</v>
      </c>
      <c r="B127" s="24">
        <v>45727.0</v>
      </c>
      <c r="C127" s="8">
        <v>741000.0</v>
      </c>
      <c r="D127" s="24">
        <v>45699.0</v>
      </c>
      <c r="E127" s="24">
        <v>45727.0</v>
      </c>
      <c r="F127" s="8" t="s">
        <v>1419</v>
      </c>
      <c r="G127" s="8" t="s">
        <v>2478</v>
      </c>
      <c r="H127" s="8" t="s">
        <v>3981</v>
      </c>
      <c r="I127" s="24">
        <v>45758.0</v>
      </c>
      <c r="J127" s="24">
        <v>45748.0</v>
      </c>
      <c r="K127" s="8"/>
      <c r="L127" s="8" t="s">
        <v>4357</v>
      </c>
      <c r="M127" s="8" t="s">
        <v>4358</v>
      </c>
      <c r="N127" s="21"/>
      <c r="Q127" s="4"/>
      <c r="R127" s="4" t="s">
        <v>4359</v>
      </c>
      <c r="S127" s="7" t="s">
        <v>4347</v>
      </c>
      <c r="T127" s="4" t="s">
        <v>2174</v>
      </c>
      <c r="U127" s="4">
        <v>24.0</v>
      </c>
      <c r="V127" s="18">
        <v>45748.649988425925</v>
      </c>
      <c r="W127" s="4" t="s">
        <v>4348</v>
      </c>
      <c r="X127" s="29">
        <v>0.05</v>
      </c>
      <c r="Y127" s="4" t="b">
        <v>1</v>
      </c>
      <c r="Z127" s="5" t="s">
        <v>3986</v>
      </c>
      <c r="AA127" s="4" t="s">
        <v>4360</v>
      </c>
      <c r="AB127" s="6">
        <v>45763.0</v>
      </c>
    </row>
    <row r="128">
      <c r="A128" s="8" t="s">
        <v>3559</v>
      </c>
      <c r="B128" s="24">
        <v>45727.0</v>
      </c>
      <c r="C128" s="8">
        <v>811000.0</v>
      </c>
      <c r="D128" s="24">
        <v>45692.0</v>
      </c>
      <c r="E128" s="24">
        <v>45720.0</v>
      </c>
      <c r="F128" s="8" t="s">
        <v>1559</v>
      </c>
      <c r="G128" s="8" t="s">
        <v>4206</v>
      </c>
      <c r="H128" s="8" t="s">
        <v>4207</v>
      </c>
      <c r="I128" s="24">
        <v>45754.0</v>
      </c>
      <c r="J128" s="24">
        <v>45747.0</v>
      </c>
      <c r="K128" s="8"/>
      <c r="L128" s="8" t="s">
        <v>4361</v>
      </c>
      <c r="M128" s="19" t="s">
        <v>4362</v>
      </c>
      <c r="N128" s="21"/>
      <c r="S128" s="7" t="s">
        <v>3984</v>
      </c>
      <c r="T128" s="4" t="s">
        <v>2191</v>
      </c>
      <c r="U128" s="4">
        <v>32.0</v>
      </c>
      <c r="V128" s="18">
        <v>45747.58122685185</v>
      </c>
      <c r="W128" s="4" t="s">
        <v>4338</v>
      </c>
      <c r="Y128" s="4" t="b">
        <v>1</v>
      </c>
      <c r="Z128" s="5" t="s">
        <v>4303</v>
      </c>
      <c r="AA128" s="4" t="s">
        <v>4363</v>
      </c>
      <c r="AB128" s="6">
        <v>45757.0</v>
      </c>
    </row>
    <row r="129">
      <c r="A129" s="8" t="s">
        <v>3545</v>
      </c>
      <c r="B129" s="24">
        <v>45727.0</v>
      </c>
      <c r="C129" s="8">
        <v>1364000.0</v>
      </c>
      <c r="D129" s="24">
        <v>45692.0</v>
      </c>
      <c r="E129" s="24">
        <v>45720.0</v>
      </c>
      <c r="F129" s="8" t="s">
        <v>1433</v>
      </c>
      <c r="G129" s="8" t="s">
        <v>2583</v>
      </c>
      <c r="H129" s="21"/>
      <c r="I129" s="24">
        <v>45736.0</v>
      </c>
      <c r="J129" s="24">
        <v>45729.0</v>
      </c>
      <c r="K129" s="8"/>
      <c r="L129" s="8" t="s">
        <v>4364</v>
      </c>
      <c r="M129" s="19" t="s">
        <v>2399</v>
      </c>
      <c r="N129" s="21"/>
      <c r="S129" s="7" t="s">
        <v>4047</v>
      </c>
      <c r="T129" s="4" t="s">
        <v>4365</v>
      </c>
      <c r="U129" s="4">
        <v>48.0</v>
      </c>
      <c r="V129" s="18">
        <v>45729.630694444444</v>
      </c>
      <c r="X129" s="29">
        <v>0.07</v>
      </c>
      <c r="Y129" s="4" t="b">
        <v>1</v>
      </c>
      <c r="Z129" s="5" t="s">
        <v>4295</v>
      </c>
      <c r="AA129" s="4" t="s">
        <v>4366</v>
      </c>
      <c r="AB129" s="6">
        <v>45740.0</v>
      </c>
    </row>
    <row r="130">
      <c r="A130" s="8" t="s">
        <v>3553</v>
      </c>
      <c r="B130" s="24">
        <v>45727.0</v>
      </c>
      <c r="C130" s="8">
        <v>960000.0</v>
      </c>
      <c r="D130" s="24">
        <v>45694.0</v>
      </c>
      <c r="E130" s="24">
        <v>45722.0</v>
      </c>
      <c r="F130" s="8" t="s">
        <v>1426</v>
      </c>
      <c r="G130" s="8" t="s">
        <v>2265</v>
      </c>
      <c r="H130" s="21"/>
      <c r="I130" s="24">
        <v>45750.0</v>
      </c>
      <c r="J130" s="24">
        <v>45741.0</v>
      </c>
      <c r="K130" s="8"/>
      <c r="L130" s="8" t="s">
        <v>4367</v>
      </c>
      <c r="M130" s="19" t="s">
        <v>2401</v>
      </c>
      <c r="N130" s="21"/>
      <c r="S130" s="7" t="s">
        <v>4047</v>
      </c>
      <c r="T130" s="4" t="s">
        <v>2161</v>
      </c>
      <c r="U130" s="4">
        <v>60.0</v>
      </c>
      <c r="V130" s="18">
        <v>45741.76059027778</v>
      </c>
      <c r="W130" s="4" t="s">
        <v>4283</v>
      </c>
      <c r="Y130" s="4" t="b">
        <v>0</v>
      </c>
      <c r="Z130" s="5" t="s">
        <v>4291</v>
      </c>
      <c r="AA130" s="4" t="s">
        <v>4368</v>
      </c>
      <c r="AB130" s="6">
        <v>45755.0</v>
      </c>
    </row>
    <row r="131">
      <c r="A131" s="8" t="s">
        <v>3564</v>
      </c>
      <c r="B131" s="24">
        <v>45729.0</v>
      </c>
      <c r="C131" s="8">
        <v>602000.0</v>
      </c>
      <c r="D131" s="24">
        <v>45685.0</v>
      </c>
      <c r="E131" s="24">
        <v>45716.0</v>
      </c>
      <c r="F131" s="8" t="s">
        <v>1535</v>
      </c>
      <c r="G131" s="8" t="s">
        <v>2887</v>
      </c>
      <c r="H131" s="8" t="s">
        <v>4332</v>
      </c>
      <c r="I131" s="24">
        <v>45770.0</v>
      </c>
      <c r="J131" s="24">
        <v>45761.0</v>
      </c>
      <c r="K131" s="8"/>
      <c r="L131" s="8" t="s">
        <v>4369</v>
      </c>
      <c r="M131" s="19" t="s">
        <v>4370</v>
      </c>
      <c r="N131" s="21"/>
      <c r="S131" s="7" t="s">
        <v>3984</v>
      </c>
      <c r="T131" s="4" t="s">
        <v>2186</v>
      </c>
      <c r="U131" s="4">
        <v>20.0</v>
      </c>
      <c r="V131" s="18">
        <v>45761.940104166664</v>
      </c>
      <c r="W131" s="4" t="s">
        <v>4267</v>
      </c>
      <c r="X131" s="29">
        <v>0.0</v>
      </c>
      <c r="Y131" s="4" t="b">
        <v>1</v>
      </c>
      <c r="Z131" s="5" t="s">
        <v>4371</v>
      </c>
      <c r="AA131" s="4" t="s">
        <v>4372</v>
      </c>
      <c r="AB131" s="6">
        <v>45772.0</v>
      </c>
    </row>
    <row r="132">
      <c r="A132" s="8" t="s">
        <v>3555</v>
      </c>
      <c r="B132" s="24">
        <v>45729.0</v>
      </c>
      <c r="C132" s="8">
        <v>303160.0</v>
      </c>
      <c r="D132" s="24">
        <v>45688.0</v>
      </c>
      <c r="E132" s="24">
        <v>45722.0</v>
      </c>
      <c r="F132" s="8" t="s">
        <v>1437</v>
      </c>
      <c r="G132" s="8" t="s">
        <v>2517</v>
      </c>
      <c r="H132" s="8" t="s">
        <v>4003</v>
      </c>
      <c r="I132" s="24">
        <v>45757.0</v>
      </c>
      <c r="J132" s="24">
        <v>45747.0</v>
      </c>
      <c r="K132" s="8"/>
      <c r="L132" s="8" t="s">
        <v>4373</v>
      </c>
      <c r="M132" s="19" t="s">
        <v>4374</v>
      </c>
      <c r="N132" s="8" t="s">
        <v>4375</v>
      </c>
      <c r="O132" s="4" t="s">
        <v>4376</v>
      </c>
      <c r="Q132" s="4"/>
      <c r="R132" s="4" t="s">
        <v>4377</v>
      </c>
      <c r="S132" s="7" t="s">
        <v>3984</v>
      </c>
      <c r="T132" s="4" t="s">
        <v>4322</v>
      </c>
      <c r="U132" s="4">
        <v>10.0</v>
      </c>
      <c r="V132" s="18">
        <v>45747.58131944444</v>
      </c>
      <c r="W132" s="4" t="s">
        <v>4378</v>
      </c>
      <c r="Y132" s="4" t="b">
        <v>1</v>
      </c>
      <c r="Z132" s="5" t="s">
        <v>4324</v>
      </c>
      <c r="AA132" s="4" t="s">
        <v>4379</v>
      </c>
      <c r="AB132" s="6">
        <v>45762.0</v>
      </c>
    </row>
    <row r="133">
      <c r="A133" s="8" t="s">
        <v>3576</v>
      </c>
      <c r="B133" s="24">
        <v>45742.0</v>
      </c>
      <c r="C133" s="8">
        <v>620000.0</v>
      </c>
      <c r="D133" s="24">
        <v>45703.0</v>
      </c>
      <c r="E133" s="24">
        <v>45731.0</v>
      </c>
      <c r="F133" s="8" t="s">
        <v>1471</v>
      </c>
      <c r="G133" s="8" t="s">
        <v>2528</v>
      </c>
      <c r="H133" s="21"/>
      <c r="I133" s="24">
        <v>45784.0</v>
      </c>
      <c r="J133" s="24">
        <v>45782.0</v>
      </c>
      <c r="K133" s="8"/>
      <c r="L133" s="8" t="s">
        <v>4380</v>
      </c>
      <c r="M133" s="19" t="s">
        <v>2412</v>
      </c>
      <c r="N133" s="21"/>
      <c r="S133" s="7" t="s">
        <v>4047</v>
      </c>
      <c r="T133" s="4" t="s">
        <v>4035</v>
      </c>
      <c r="U133" s="4">
        <v>24.0</v>
      </c>
      <c r="V133" s="18">
        <v>45782.39679398148</v>
      </c>
      <c r="X133" s="29">
        <v>0.14</v>
      </c>
      <c r="Y133" s="4" t="b">
        <v>1</v>
      </c>
      <c r="Z133" s="5" t="s">
        <v>4314</v>
      </c>
      <c r="AA133" s="4" t="s">
        <v>4381</v>
      </c>
      <c r="AB133" s="6">
        <v>45786.0</v>
      </c>
    </row>
    <row r="134">
      <c r="A134" s="8" t="s">
        <v>3574</v>
      </c>
      <c r="B134" s="24">
        <v>45747.0</v>
      </c>
      <c r="C134" s="8">
        <v>895000.0</v>
      </c>
      <c r="D134" s="24">
        <v>45711.0</v>
      </c>
      <c r="E134" s="24">
        <v>45739.0</v>
      </c>
      <c r="F134" s="8" t="s">
        <v>1437</v>
      </c>
      <c r="G134" s="8" t="s">
        <v>2589</v>
      </c>
      <c r="H134" s="21"/>
      <c r="I134" s="24">
        <v>45783.0</v>
      </c>
      <c r="J134" s="24">
        <v>45771.0</v>
      </c>
      <c r="K134" s="8"/>
      <c r="L134" s="8" t="s">
        <v>4382</v>
      </c>
      <c r="M134" s="19" t="s">
        <v>4383</v>
      </c>
      <c r="N134" s="21"/>
      <c r="S134" s="7" t="s">
        <v>3984</v>
      </c>
      <c r="T134" s="4" t="s">
        <v>2150</v>
      </c>
      <c r="U134" s="4">
        <v>40.0</v>
      </c>
      <c r="V134" s="18">
        <v>45771.60951388889</v>
      </c>
      <c r="W134" s="4" t="s">
        <v>4328</v>
      </c>
      <c r="X134" s="29">
        <v>0.12</v>
      </c>
      <c r="Y134" s="4" t="b">
        <v>1</v>
      </c>
      <c r="Z134" s="5" t="s">
        <v>4264</v>
      </c>
      <c r="AA134" s="4" t="s">
        <v>4384</v>
      </c>
      <c r="AB134" s="6">
        <v>45785.0</v>
      </c>
    </row>
    <row r="135">
      <c r="A135" s="8" t="s">
        <v>3566</v>
      </c>
      <c r="B135" s="24">
        <v>45756.0</v>
      </c>
      <c r="C135" s="8">
        <v>1364000.0</v>
      </c>
      <c r="D135" s="24">
        <v>45720.0</v>
      </c>
      <c r="E135" s="24">
        <v>45751.0</v>
      </c>
      <c r="F135" s="8" t="s">
        <v>1433</v>
      </c>
      <c r="G135" s="8" t="s">
        <v>2583</v>
      </c>
      <c r="H135" s="21"/>
      <c r="I135" s="24">
        <v>45769.0</v>
      </c>
      <c r="J135" s="24">
        <v>45762.0</v>
      </c>
      <c r="K135" s="8"/>
      <c r="L135" s="8" t="s">
        <v>4385</v>
      </c>
      <c r="M135" s="19" t="s">
        <v>2106</v>
      </c>
      <c r="N135" s="21"/>
      <c r="S135" s="7" t="s">
        <v>4047</v>
      </c>
      <c r="T135" s="4" t="s">
        <v>4365</v>
      </c>
      <c r="U135" s="4">
        <v>48.0</v>
      </c>
      <c r="V135" s="18">
        <v>45762.435891203706</v>
      </c>
      <c r="X135" s="29">
        <v>0.07</v>
      </c>
      <c r="Y135" s="4" t="b">
        <v>1</v>
      </c>
      <c r="Z135" s="5" t="s">
        <v>4295</v>
      </c>
      <c r="AA135" s="4" t="s">
        <v>4386</v>
      </c>
      <c r="AB135" s="6">
        <v>45771.0</v>
      </c>
    </row>
    <row r="136">
      <c r="A136" s="8" t="s">
        <v>3572</v>
      </c>
      <c r="B136" s="24">
        <v>45756.0</v>
      </c>
      <c r="C136" s="8">
        <v>833000.0</v>
      </c>
      <c r="D136" s="24">
        <v>45720.0</v>
      </c>
      <c r="E136" s="24">
        <v>45751.0</v>
      </c>
      <c r="F136" s="8" t="s">
        <v>1559</v>
      </c>
      <c r="G136" s="8" t="s">
        <v>4206</v>
      </c>
      <c r="H136" s="8" t="s">
        <v>4207</v>
      </c>
      <c r="I136" s="24">
        <v>45777.0</v>
      </c>
      <c r="J136" s="24">
        <v>45770.0</v>
      </c>
      <c r="K136" s="8"/>
      <c r="L136" s="8" t="s">
        <v>4387</v>
      </c>
      <c r="M136" s="19" t="s">
        <v>4388</v>
      </c>
      <c r="N136" s="21"/>
      <c r="S136" s="7" t="s">
        <v>3984</v>
      </c>
      <c r="T136" s="4" t="s">
        <v>2191</v>
      </c>
      <c r="U136" s="4">
        <v>32.0</v>
      </c>
      <c r="V136" s="18">
        <v>45770.531481481485</v>
      </c>
      <c r="W136" s="4" t="s">
        <v>4338</v>
      </c>
      <c r="Y136" s="4" t="b">
        <v>1</v>
      </c>
      <c r="Z136" s="5" t="s">
        <v>4303</v>
      </c>
      <c r="AA136" s="4" t="s">
        <v>4389</v>
      </c>
      <c r="AB136" s="6">
        <v>45779.0</v>
      </c>
    </row>
    <row r="137">
      <c r="A137" s="8" t="s">
        <v>3568</v>
      </c>
      <c r="B137" s="24">
        <v>45758.0</v>
      </c>
      <c r="C137" s="8">
        <v>1174000.0</v>
      </c>
      <c r="D137" s="24">
        <v>45723.0</v>
      </c>
      <c r="E137" s="24">
        <v>45753.0</v>
      </c>
      <c r="F137" s="8" t="s">
        <v>1426</v>
      </c>
      <c r="G137" s="8" t="s">
        <v>2265</v>
      </c>
      <c r="H137" s="21"/>
      <c r="I137" s="24">
        <v>45771.0</v>
      </c>
      <c r="J137" s="24">
        <v>45762.0</v>
      </c>
      <c r="K137" s="8"/>
      <c r="L137" s="8" t="s">
        <v>4390</v>
      </c>
      <c r="M137" s="19" t="s">
        <v>4391</v>
      </c>
      <c r="N137" s="21"/>
      <c r="S137" s="7" t="s">
        <v>4047</v>
      </c>
      <c r="T137" s="4" t="s">
        <v>2161</v>
      </c>
      <c r="U137" s="4">
        <v>60.0</v>
      </c>
      <c r="V137" s="18">
        <v>45762.63966435185</v>
      </c>
      <c r="W137" s="4" t="s">
        <v>4283</v>
      </c>
      <c r="Y137" s="4" t="b">
        <v>0</v>
      </c>
      <c r="Z137" s="5" t="s">
        <v>4291</v>
      </c>
      <c r="AA137" s="4" t="s">
        <v>4392</v>
      </c>
      <c r="AB137" s="6">
        <v>45775.0</v>
      </c>
    </row>
    <row r="138">
      <c r="A138" s="8" t="s">
        <v>3570</v>
      </c>
      <c r="B138" s="24">
        <v>45758.0</v>
      </c>
      <c r="C138" s="8">
        <v>759000.0</v>
      </c>
      <c r="D138" s="24">
        <v>45727.0</v>
      </c>
      <c r="E138" s="24">
        <v>45758.0</v>
      </c>
      <c r="F138" s="8" t="s">
        <v>1419</v>
      </c>
      <c r="G138" s="8" t="s">
        <v>3981</v>
      </c>
      <c r="H138" s="8" t="s">
        <v>2478</v>
      </c>
      <c r="I138" s="24">
        <v>45779.0</v>
      </c>
      <c r="J138" s="24">
        <v>45769.0</v>
      </c>
      <c r="K138" s="8"/>
      <c r="L138" s="8" t="s">
        <v>4393</v>
      </c>
      <c r="M138" s="19" t="s">
        <v>1592</v>
      </c>
      <c r="N138" s="21"/>
      <c r="S138" s="7" t="s">
        <v>4347</v>
      </c>
      <c r="T138" s="4" t="s">
        <v>2174</v>
      </c>
      <c r="U138" s="4">
        <v>24.0</v>
      </c>
      <c r="V138" s="18">
        <v>45769.571493055555</v>
      </c>
      <c r="W138" s="4" t="s">
        <v>4348</v>
      </c>
      <c r="X138" s="29">
        <v>0.05</v>
      </c>
      <c r="Y138" s="4" t="b">
        <v>1</v>
      </c>
      <c r="Z138" s="5" t="s">
        <v>4394</v>
      </c>
      <c r="AA138" s="4" t="s">
        <v>4395</v>
      </c>
      <c r="AB138" s="6">
        <v>45783.0</v>
      </c>
    </row>
    <row r="139">
      <c r="A139" s="8" t="s">
        <v>3578</v>
      </c>
      <c r="B139" s="24">
        <v>45768.0</v>
      </c>
      <c r="C139" s="8">
        <v>615000.0</v>
      </c>
      <c r="D139" s="24">
        <v>45716.0</v>
      </c>
      <c r="E139" s="24">
        <v>45744.0</v>
      </c>
      <c r="F139" s="8" t="s">
        <v>1535</v>
      </c>
      <c r="G139" s="8" t="s">
        <v>2887</v>
      </c>
      <c r="H139" s="8" t="s">
        <v>4332</v>
      </c>
      <c r="I139" s="24">
        <v>45796.0</v>
      </c>
      <c r="J139" s="24">
        <v>45785.0</v>
      </c>
      <c r="K139" s="8"/>
      <c r="L139" s="8" t="s">
        <v>4396</v>
      </c>
      <c r="M139" s="19" t="s">
        <v>4397</v>
      </c>
      <c r="N139" s="21"/>
      <c r="S139" s="7" t="s">
        <v>3984</v>
      </c>
      <c r="T139" s="4" t="s">
        <v>2186</v>
      </c>
      <c r="U139" s="4">
        <v>20.0</v>
      </c>
      <c r="V139" s="18">
        <v>45785.69561342592</v>
      </c>
      <c r="W139" s="4" t="s">
        <v>4267</v>
      </c>
      <c r="X139" s="29">
        <v>0.0</v>
      </c>
      <c r="Y139" s="4" t="b">
        <v>1</v>
      </c>
      <c r="Z139" s="5" t="s">
        <v>4371</v>
      </c>
      <c r="AA139" s="4" t="s">
        <v>4398</v>
      </c>
      <c r="AB139" s="6">
        <v>45798.0</v>
      </c>
    </row>
    <row r="140">
      <c r="A140" s="8" t="s">
        <v>3580</v>
      </c>
      <c r="B140" s="24">
        <v>45768.0</v>
      </c>
      <c r="C140" s="8">
        <v>378000.0</v>
      </c>
      <c r="D140" s="24">
        <v>45734.0</v>
      </c>
      <c r="E140" s="24">
        <v>45765.0</v>
      </c>
      <c r="F140" s="8" t="s">
        <v>1437</v>
      </c>
      <c r="G140" s="8" t="s">
        <v>4003</v>
      </c>
      <c r="H140" s="8" t="s">
        <v>2517</v>
      </c>
      <c r="I140" s="24">
        <v>45799.0</v>
      </c>
      <c r="J140" s="24">
        <v>45789.0</v>
      </c>
      <c r="K140" s="8"/>
      <c r="L140" s="8" t="s">
        <v>4399</v>
      </c>
      <c r="M140" s="19" t="s">
        <v>4400</v>
      </c>
      <c r="N140" s="8" t="s">
        <v>4401</v>
      </c>
      <c r="O140" s="4" t="s">
        <v>4402</v>
      </c>
      <c r="S140" s="7" t="s">
        <v>3984</v>
      </c>
      <c r="T140" s="4" t="s">
        <v>4403</v>
      </c>
      <c r="U140" s="4">
        <v>13.0</v>
      </c>
      <c r="V140" s="18">
        <v>45789.695706018516</v>
      </c>
      <c r="Y140" s="4" t="b">
        <v>1</v>
      </c>
      <c r="Z140" s="5" t="s">
        <v>4404</v>
      </c>
      <c r="AA140" s="4" t="s">
        <v>4405</v>
      </c>
      <c r="AB140" s="6">
        <v>45803.0</v>
      </c>
    </row>
    <row r="141">
      <c r="A141" s="8" t="s">
        <v>3599</v>
      </c>
      <c r="B141" s="24">
        <v>45775.0</v>
      </c>
      <c r="C141" s="8">
        <v>939000.0</v>
      </c>
      <c r="D141" s="24">
        <v>45739.0</v>
      </c>
      <c r="E141" s="24">
        <v>45770.0</v>
      </c>
      <c r="F141" s="8" t="s">
        <v>1437</v>
      </c>
      <c r="G141" s="8" t="s">
        <v>2589</v>
      </c>
      <c r="H141" s="21"/>
      <c r="I141" s="24">
        <v>45813.0</v>
      </c>
      <c r="J141" s="24">
        <v>45803.0</v>
      </c>
      <c r="K141" s="8"/>
      <c r="L141" s="8" t="s">
        <v>4406</v>
      </c>
      <c r="M141" s="19" t="s">
        <v>4407</v>
      </c>
      <c r="N141" s="21"/>
      <c r="S141" s="7" t="s">
        <v>3984</v>
      </c>
      <c r="T141" s="4" t="s">
        <v>2150</v>
      </c>
      <c r="U141" s="4">
        <v>40.0</v>
      </c>
      <c r="V141" s="18">
        <v>45803.632060185184</v>
      </c>
      <c r="W141" s="4" t="s">
        <v>4328</v>
      </c>
      <c r="X141" s="29">
        <v>0.12</v>
      </c>
      <c r="Y141" s="4" t="b">
        <v>1</v>
      </c>
      <c r="Z141" s="5" t="s">
        <v>4264</v>
      </c>
      <c r="AA141" s="4" t="s">
        <v>4408</v>
      </c>
      <c r="AB141" s="6">
        <v>45817.0</v>
      </c>
    </row>
    <row r="142">
      <c r="A142" s="8" t="s">
        <v>3590</v>
      </c>
      <c r="B142" s="24">
        <v>45785.0</v>
      </c>
      <c r="C142" s="8">
        <v>1364000.0</v>
      </c>
      <c r="D142" s="24">
        <v>45751.0</v>
      </c>
      <c r="E142" s="24">
        <v>45781.0</v>
      </c>
      <c r="F142" s="8" t="s">
        <v>1433</v>
      </c>
      <c r="G142" s="8" t="s">
        <v>2583</v>
      </c>
      <c r="H142" s="21"/>
      <c r="I142" s="24">
        <v>45803.0</v>
      </c>
      <c r="J142" s="24">
        <v>45796.0</v>
      </c>
      <c r="K142" s="8"/>
      <c r="L142" s="8" t="s">
        <v>4409</v>
      </c>
      <c r="M142" s="19" t="s">
        <v>4410</v>
      </c>
      <c r="N142" s="21"/>
      <c r="S142" s="7" t="s">
        <v>4047</v>
      </c>
      <c r="T142" s="4" t="s">
        <v>4365</v>
      </c>
      <c r="U142" s="4">
        <v>48.0</v>
      </c>
      <c r="V142" s="18">
        <v>45796.46065972222</v>
      </c>
      <c r="X142" s="29">
        <v>0.07</v>
      </c>
      <c r="Y142" s="4" t="b">
        <v>1</v>
      </c>
      <c r="Z142" s="5" t="s">
        <v>4295</v>
      </c>
      <c r="AA142" s="4" t="s">
        <v>4411</v>
      </c>
      <c r="AB142" s="6">
        <v>45805.0</v>
      </c>
    </row>
    <row r="143">
      <c r="A143" s="8" t="s">
        <v>3585</v>
      </c>
      <c r="B143" s="24">
        <v>45785.0</v>
      </c>
      <c r="C143" s="8">
        <v>856000.0</v>
      </c>
      <c r="D143" s="24">
        <v>45751.0</v>
      </c>
      <c r="E143" s="24">
        <v>45781.0</v>
      </c>
      <c r="F143" s="8" t="s">
        <v>1559</v>
      </c>
      <c r="G143" s="8" t="s">
        <v>4206</v>
      </c>
      <c r="H143" s="8" t="s">
        <v>4207</v>
      </c>
      <c r="I143" s="24">
        <v>45796.0</v>
      </c>
      <c r="J143" s="24">
        <v>45789.0</v>
      </c>
      <c r="K143" s="8"/>
      <c r="L143" s="8" t="s">
        <v>4412</v>
      </c>
      <c r="M143" s="19" t="s">
        <v>4413</v>
      </c>
      <c r="N143" s="21"/>
      <c r="S143" s="7" t="s">
        <v>3984</v>
      </c>
      <c r="T143" s="4" t="s">
        <v>2191</v>
      </c>
      <c r="U143" s="4">
        <v>32.0</v>
      </c>
      <c r="V143" s="18">
        <v>45789.695439814815</v>
      </c>
      <c r="W143" s="4" t="s">
        <v>4338</v>
      </c>
      <c r="Y143" s="4" t="b">
        <v>1</v>
      </c>
      <c r="Z143" s="5" t="s">
        <v>4303</v>
      </c>
      <c r="AA143" s="4" t="s">
        <v>4414</v>
      </c>
      <c r="AB143" s="6">
        <v>45798.0</v>
      </c>
    </row>
    <row r="144">
      <c r="A144" s="8" t="s">
        <v>3588</v>
      </c>
      <c r="B144" s="24">
        <v>45785.0</v>
      </c>
      <c r="C144" s="8">
        <v>602000.0</v>
      </c>
      <c r="D144" s="24">
        <v>45754.0</v>
      </c>
      <c r="E144" s="24">
        <v>45784.0</v>
      </c>
      <c r="F144" s="8" t="s">
        <v>1539</v>
      </c>
      <c r="G144" s="8" t="s">
        <v>2782</v>
      </c>
      <c r="H144" s="21"/>
      <c r="I144" s="24">
        <v>45796.0</v>
      </c>
      <c r="J144" s="24">
        <v>45789.0</v>
      </c>
      <c r="K144" s="8"/>
      <c r="L144" s="8" t="s">
        <v>4415</v>
      </c>
      <c r="M144" s="19" t="s">
        <v>4416</v>
      </c>
      <c r="N144" s="21"/>
      <c r="S144" s="7" t="s">
        <v>4047</v>
      </c>
      <c r="T144" s="4" t="s">
        <v>2152</v>
      </c>
      <c r="U144" s="4">
        <v>24.0</v>
      </c>
      <c r="V144" s="18">
        <v>45789.697291666664</v>
      </c>
      <c r="Y144" s="4" t="b">
        <v>1</v>
      </c>
      <c r="Z144" s="5" t="s">
        <v>4309</v>
      </c>
      <c r="AA144" s="4" t="s">
        <v>4417</v>
      </c>
      <c r="AB144" s="6">
        <v>45798.0</v>
      </c>
    </row>
    <row r="145">
      <c r="A145" s="8" t="s">
        <v>3592</v>
      </c>
      <c r="B145" s="24">
        <v>45789.0</v>
      </c>
      <c r="C145" s="8">
        <v>784000.0</v>
      </c>
      <c r="D145" s="24">
        <v>45758.0</v>
      </c>
      <c r="E145" s="24">
        <v>45788.0</v>
      </c>
      <c r="F145" s="8" t="s">
        <v>1419</v>
      </c>
      <c r="G145" s="8" t="s">
        <v>3981</v>
      </c>
      <c r="H145" s="8" t="s">
        <v>2478</v>
      </c>
      <c r="I145" s="24">
        <v>45807.0</v>
      </c>
      <c r="J145" s="24">
        <v>45797.0</v>
      </c>
      <c r="K145" s="8"/>
      <c r="L145" s="8" t="s">
        <v>4418</v>
      </c>
      <c r="M145" s="8" t="s">
        <v>4419</v>
      </c>
      <c r="N145" s="21"/>
      <c r="S145" s="7" t="s">
        <v>4347</v>
      </c>
      <c r="T145" s="4" t="s">
        <v>2174</v>
      </c>
      <c r="U145" s="4">
        <v>24.0</v>
      </c>
      <c r="V145" s="18">
        <v>45797.814675925925</v>
      </c>
      <c r="W145" s="4" t="s">
        <v>4348</v>
      </c>
      <c r="X145" s="29">
        <v>0.05</v>
      </c>
      <c r="Y145" s="4" t="b">
        <v>1</v>
      </c>
      <c r="Z145" s="5" t="s">
        <v>4394</v>
      </c>
      <c r="AA145" s="4" t="s">
        <v>4420</v>
      </c>
      <c r="AB145" s="6">
        <v>45811.0</v>
      </c>
    </row>
    <row r="146">
      <c r="A146" s="8" t="s">
        <v>3606</v>
      </c>
      <c r="B146" s="24">
        <v>45789.0</v>
      </c>
      <c r="C146" s="8">
        <v>631000.0</v>
      </c>
      <c r="D146" s="24">
        <v>45744.0</v>
      </c>
      <c r="E146" s="24">
        <v>45775.0</v>
      </c>
      <c r="F146" s="8" t="s">
        <v>1535</v>
      </c>
      <c r="G146" s="8" t="s">
        <v>2887</v>
      </c>
      <c r="H146" s="8" t="s">
        <v>4332</v>
      </c>
      <c r="I146" s="24">
        <v>45818.0</v>
      </c>
      <c r="J146" s="24">
        <v>45807.0</v>
      </c>
      <c r="K146" s="8"/>
      <c r="L146" s="8" t="s">
        <v>4421</v>
      </c>
      <c r="M146" s="19" t="s">
        <v>4422</v>
      </c>
      <c r="N146" s="21"/>
      <c r="S146" s="7" t="s">
        <v>3984</v>
      </c>
      <c r="T146" s="4" t="s">
        <v>2186</v>
      </c>
      <c r="U146" s="4">
        <v>20.0</v>
      </c>
      <c r="V146" s="18">
        <v>45807.68771990741</v>
      </c>
      <c r="W146" s="4" t="s">
        <v>4423</v>
      </c>
      <c r="X146" s="29">
        <v>0.0</v>
      </c>
      <c r="Y146" s="4" t="b">
        <v>1</v>
      </c>
      <c r="Z146" s="5" t="s">
        <v>4371</v>
      </c>
      <c r="AA146" s="4" t="s">
        <v>4424</v>
      </c>
      <c r="AB146" s="6">
        <v>45820.0</v>
      </c>
    </row>
    <row r="147">
      <c r="A147" s="8" t="s">
        <v>3596</v>
      </c>
      <c r="B147" s="24">
        <v>45792.0</v>
      </c>
      <c r="C147" s="8">
        <v>423.0</v>
      </c>
      <c r="D147" s="24">
        <v>45761.0</v>
      </c>
      <c r="E147" s="24">
        <v>45791.0</v>
      </c>
      <c r="F147" s="8" t="s">
        <v>1587</v>
      </c>
      <c r="G147" s="8" t="s">
        <v>4425</v>
      </c>
      <c r="H147" s="21"/>
      <c r="I147" s="24">
        <v>45852.0</v>
      </c>
      <c r="J147" s="24">
        <v>45846.0</v>
      </c>
      <c r="K147" s="8"/>
      <c r="L147" s="8" t="s">
        <v>212</v>
      </c>
      <c r="M147" s="19" t="s">
        <v>1592</v>
      </c>
      <c r="N147" s="21"/>
      <c r="Q147" s="4"/>
      <c r="R147" s="4" t="s">
        <v>4426</v>
      </c>
      <c r="S147" s="4" t="s">
        <v>4427</v>
      </c>
      <c r="T147" s="4" t="s">
        <v>2225</v>
      </c>
      <c r="U147" s="4">
        <v>24.0</v>
      </c>
      <c r="V147" s="18">
        <v>45846.99957175926</v>
      </c>
      <c r="Z147" s="5" t="s">
        <v>4428</v>
      </c>
      <c r="AA147" s="4" t="s">
        <v>4429</v>
      </c>
      <c r="AB147" s="6">
        <v>45854.0</v>
      </c>
    </row>
    <row r="148">
      <c r="A148" s="8" t="s">
        <v>3594</v>
      </c>
      <c r="B148" s="24">
        <v>45796.0</v>
      </c>
      <c r="C148" s="8">
        <v>1014000.0</v>
      </c>
      <c r="D148" s="24">
        <v>45754.0</v>
      </c>
      <c r="E148" s="24">
        <v>45783.0</v>
      </c>
      <c r="F148" s="8" t="s">
        <v>1426</v>
      </c>
      <c r="G148" s="8" t="s">
        <v>2265</v>
      </c>
      <c r="H148" s="21"/>
      <c r="I148" s="24">
        <v>45810.0</v>
      </c>
      <c r="J148" s="24">
        <v>45799.0</v>
      </c>
      <c r="K148" s="8"/>
      <c r="L148" s="8" t="s">
        <v>4430</v>
      </c>
      <c r="M148" s="19" t="s">
        <v>4431</v>
      </c>
      <c r="N148" s="21"/>
      <c r="S148" s="7" t="s">
        <v>4047</v>
      </c>
      <c r="T148" s="4" t="s">
        <v>2161</v>
      </c>
      <c r="U148" s="4">
        <v>60.0</v>
      </c>
      <c r="V148" s="18">
        <v>45799.75980324074</v>
      </c>
      <c r="W148" s="4" t="s">
        <v>4283</v>
      </c>
      <c r="Y148" s="4" t="b">
        <v>0</v>
      </c>
      <c r="Z148" s="5" t="s">
        <v>4291</v>
      </c>
      <c r="AA148" s="4" t="s">
        <v>4432</v>
      </c>
      <c r="AB148" s="6">
        <v>45812.0</v>
      </c>
    </row>
    <row r="149">
      <c r="A149" s="8" t="s">
        <v>3601</v>
      </c>
      <c r="B149" s="24">
        <v>45796.0</v>
      </c>
      <c r="C149" s="8">
        <v>378000.0</v>
      </c>
      <c r="D149" s="24">
        <v>45765.0</v>
      </c>
      <c r="E149" s="24">
        <v>45795.0</v>
      </c>
      <c r="F149" s="8" t="s">
        <v>1437</v>
      </c>
      <c r="G149" s="8" t="s">
        <v>4003</v>
      </c>
      <c r="H149" s="8" t="s">
        <v>2517</v>
      </c>
      <c r="I149" s="24">
        <v>45821.0</v>
      </c>
      <c r="J149" s="24">
        <v>45811.0</v>
      </c>
      <c r="K149" s="8"/>
      <c r="L149" s="8" t="s">
        <v>4433</v>
      </c>
      <c r="M149" s="19" t="s">
        <v>4434</v>
      </c>
      <c r="N149" s="8" t="s">
        <v>4435</v>
      </c>
      <c r="O149" s="4" t="s">
        <v>4436</v>
      </c>
      <c r="S149" s="7" t="s">
        <v>3984</v>
      </c>
      <c r="T149" s="4" t="s">
        <v>4403</v>
      </c>
      <c r="U149" s="4">
        <v>13.0</v>
      </c>
      <c r="V149" s="18">
        <v>45811.53693287037</v>
      </c>
      <c r="Y149" s="4" t="b">
        <v>1</v>
      </c>
      <c r="Z149" s="5" t="s">
        <v>4404</v>
      </c>
      <c r="AA149" s="4" t="s">
        <v>4437</v>
      </c>
      <c r="AB149" s="6">
        <v>45825.0</v>
      </c>
    </row>
    <row r="150">
      <c r="A150" s="8"/>
      <c r="B150" s="24"/>
      <c r="C150" s="8"/>
      <c r="D150" s="24"/>
      <c r="E150" s="24"/>
      <c r="F150" s="8"/>
      <c r="G150" s="8"/>
      <c r="H150" s="21"/>
      <c r="I150" s="24"/>
      <c r="J150" s="24"/>
      <c r="K150" s="8"/>
      <c r="L150" s="8"/>
      <c r="M150" s="8"/>
      <c r="N150" s="8"/>
      <c r="S150" s="4"/>
      <c r="T150" s="4"/>
      <c r="U150" s="4"/>
      <c r="V150" s="18"/>
      <c r="Z150" s="4"/>
      <c r="AA150" s="4"/>
      <c r="AB150" s="6"/>
      <c r="AD150" s="6"/>
      <c r="AE150" s="4"/>
    </row>
    <row r="151">
      <c r="A151" s="8" t="s">
        <v>3609</v>
      </c>
      <c r="B151" s="24">
        <v>45805.0</v>
      </c>
      <c r="C151" s="8">
        <v>998000.0</v>
      </c>
      <c r="D151" s="24">
        <v>45770.0</v>
      </c>
      <c r="E151" s="24">
        <v>45800.0</v>
      </c>
      <c r="F151" s="8" t="s">
        <v>1437</v>
      </c>
      <c r="G151" s="8" t="s">
        <v>2589</v>
      </c>
      <c r="H151" s="21"/>
      <c r="I151" s="24">
        <v>45825.0</v>
      </c>
      <c r="J151" s="24">
        <v>45813.0</v>
      </c>
      <c r="K151" s="8"/>
      <c r="L151" s="8" t="s">
        <v>4438</v>
      </c>
      <c r="M151" s="19" t="s">
        <v>3666</v>
      </c>
      <c r="N151" s="21"/>
      <c r="S151" s="7" t="s">
        <v>3984</v>
      </c>
      <c r="T151" s="4" t="s">
        <v>2150</v>
      </c>
      <c r="U151" s="4">
        <v>40.0</v>
      </c>
      <c r="V151" s="18">
        <v>45813.66820601852</v>
      </c>
      <c r="W151" s="4" t="s">
        <v>4439</v>
      </c>
      <c r="X151" s="29">
        <v>0.12</v>
      </c>
      <c r="Y151" s="4" t="b">
        <v>1</v>
      </c>
      <c r="Z151" s="5" t="s">
        <v>4264</v>
      </c>
      <c r="AA151" s="4" t="s">
        <v>4440</v>
      </c>
      <c r="AB151" s="6">
        <v>45827.0</v>
      </c>
    </row>
    <row r="152">
      <c r="A152" s="8" t="s">
        <v>3604</v>
      </c>
      <c r="B152" s="24">
        <v>45805.0</v>
      </c>
      <c r="C152" s="8">
        <v>549000.0</v>
      </c>
      <c r="D152" s="24">
        <v>45769.0</v>
      </c>
      <c r="E152" s="24">
        <v>45799.0</v>
      </c>
      <c r="F152" s="8" t="s">
        <v>1596</v>
      </c>
      <c r="G152" s="8" t="s">
        <v>4441</v>
      </c>
      <c r="H152" s="21"/>
      <c r="I152" s="24">
        <v>45817.0</v>
      </c>
      <c r="J152" s="24">
        <v>45807.0</v>
      </c>
      <c r="K152" s="8"/>
      <c r="L152" s="8" t="s">
        <v>4442</v>
      </c>
      <c r="M152" s="19" t="s">
        <v>1592</v>
      </c>
      <c r="N152" s="21"/>
      <c r="Q152" s="4"/>
      <c r="R152" s="4" t="s">
        <v>4443</v>
      </c>
      <c r="S152" s="7" t="s">
        <v>3984</v>
      </c>
      <c r="T152" s="4" t="s">
        <v>4444</v>
      </c>
      <c r="U152" s="4">
        <v>24.0</v>
      </c>
      <c r="V152" s="18">
        <v>45807.53607638889</v>
      </c>
      <c r="W152" s="4" t="s">
        <v>4445</v>
      </c>
      <c r="Z152" s="5" t="s">
        <v>4446</v>
      </c>
      <c r="AA152" s="4" t="s">
        <v>4447</v>
      </c>
      <c r="AB152" s="6">
        <v>45819.0</v>
      </c>
    </row>
    <row r="153">
      <c r="A153" s="8" t="s">
        <v>3627</v>
      </c>
      <c r="B153" s="24">
        <v>45817.0</v>
      </c>
      <c r="C153" s="8">
        <v>654000.0</v>
      </c>
      <c r="D153" s="24">
        <v>45775.0</v>
      </c>
      <c r="E153" s="24">
        <v>45805.0</v>
      </c>
      <c r="F153" s="8" t="s">
        <v>1535</v>
      </c>
      <c r="G153" s="8" t="s">
        <v>2887</v>
      </c>
      <c r="H153" s="8" t="s">
        <v>4332</v>
      </c>
      <c r="I153" s="24">
        <v>45854.0</v>
      </c>
      <c r="J153" s="24">
        <v>45845.0</v>
      </c>
      <c r="K153" s="8"/>
      <c r="L153" s="8" t="s">
        <v>219</v>
      </c>
      <c r="M153" s="19" t="s">
        <v>4448</v>
      </c>
      <c r="N153" s="21"/>
      <c r="S153" s="7" t="s">
        <v>3984</v>
      </c>
      <c r="T153" s="4" t="s">
        <v>2186</v>
      </c>
      <c r="U153" s="4">
        <v>20.0</v>
      </c>
      <c r="V153" s="18">
        <v>45845.6775462963</v>
      </c>
      <c r="W153" s="4" t="s">
        <v>4423</v>
      </c>
      <c r="X153" s="29">
        <v>0.0</v>
      </c>
      <c r="Y153" s="4" t="b">
        <v>1</v>
      </c>
      <c r="Z153" s="5" t="s">
        <v>4371</v>
      </c>
      <c r="AA153" s="4" t="s">
        <v>4449</v>
      </c>
      <c r="AB153" s="6">
        <v>45856.0</v>
      </c>
      <c r="AD153" s="6">
        <v>45840.0</v>
      </c>
    </row>
    <row r="154">
      <c r="A154" s="8" t="s">
        <v>3613</v>
      </c>
      <c r="B154" s="24">
        <v>45817.0</v>
      </c>
      <c r="C154" s="8">
        <v>1364000.0</v>
      </c>
      <c r="D154" s="24">
        <v>45781.0</v>
      </c>
      <c r="E154" s="24">
        <v>45812.0</v>
      </c>
      <c r="F154" s="8" t="s">
        <v>1433</v>
      </c>
      <c r="G154" s="8" t="s">
        <v>2583</v>
      </c>
      <c r="H154" s="21"/>
      <c r="I154" s="24">
        <v>45833.0</v>
      </c>
      <c r="J154" s="24">
        <v>45826.0</v>
      </c>
      <c r="K154" s="8"/>
      <c r="L154" s="8" t="s">
        <v>4450</v>
      </c>
      <c r="M154" s="19" t="s">
        <v>4451</v>
      </c>
      <c r="N154" s="21"/>
      <c r="S154" s="7" t="s">
        <v>4047</v>
      </c>
      <c r="T154" s="4" t="s">
        <v>4365</v>
      </c>
      <c r="U154" s="4">
        <v>48.0</v>
      </c>
      <c r="V154" s="18">
        <v>45826.40976851852</v>
      </c>
      <c r="X154" s="29">
        <v>0.07</v>
      </c>
      <c r="Y154" s="4" t="b">
        <v>1</v>
      </c>
      <c r="Z154" s="5" t="s">
        <v>4295</v>
      </c>
      <c r="AA154" s="4" t="s">
        <v>4452</v>
      </c>
      <c r="AB154" s="6">
        <v>45835.0</v>
      </c>
    </row>
    <row r="155">
      <c r="A155" s="8" t="s">
        <v>3615</v>
      </c>
      <c r="B155" s="24">
        <v>45817.0</v>
      </c>
      <c r="C155" s="8">
        <v>622000.0</v>
      </c>
      <c r="D155" s="24">
        <v>45784.0</v>
      </c>
      <c r="E155" s="24">
        <v>45815.0</v>
      </c>
      <c r="F155" s="8" t="s">
        <v>1539</v>
      </c>
      <c r="G155" s="8" t="s">
        <v>2782</v>
      </c>
      <c r="H155" s="21"/>
      <c r="I155" s="24">
        <v>45833.0</v>
      </c>
      <c r="J155" s="24">
        <v>45826.0</v>
      </c>
      <c r="K155" s="8"/>
      <c r="L155" s="8" t="s">
        <v>4453</v>
      </c>
      <c r="M155" s="19" t="s">
        <v>4454</v>
      </c>
      <c r="N155" s="21"/>
      <c r="S155" s="7" t="s">
        <v>4047</v>
      </c>
      <c r="T155" s="4" t="s">
        <v>2152</v>
      </c>
      <c r="U155" s="4">
        <v>24.0</v>
      </c>
      <c r="V155" s="18">
        <v>45826.40980324074</v>
      </c>
      <c r="Y155" s="4" t="b">
        <v>1</v>
      </c>
      <c r="Z155" s="5" t="s">
        <v>4309</v>
      </c>
      <c r="AA155" s="4" t="s">
        <v>4455</v>
      </c>
      <c r="AB155" s="6">
        <v>45835.0</v>
      </c>
    </row>
    <row r="156">
      <c r="A156" s="8" t="s">
        <v>3611</v>
      </c>
      <c r="B156" s="24">
        <v>45817.0</v>
      </c>
      <c r="C156" s="8">
        <v>592000.0</v>
      </c>
      <c r="D156" s="24">
        <v>45783.0</v>
      </c>
      <c r="E156" s="24">
        <v>45814.0</v>
      </c>
      <c r="F156" s="8" t="s">
        <v>1426</v>
      </c>
      <c r="G156" s="8" t="s">
        <v>2265</v>
      </c>
      <c r="H156" s="21"/>
      <c r="I156" s="24">
        <v>45832.0</v>
      </c>
      <c r="J156" s="24">
        <v>45821.0</v>
      </c>
      <c r="K156" s="8"/>
      <c r="L156" s="8" t="s">
        <v>4456</v>
      </c>
      <c r="M156" s="19" t="s">
        <v>4457</v>
      </c>
      <c r="N156" s="21"/>
      <c r="S156" s="7" t="s">
        <v>4047</v>
      </c>
      <c r="T156" s="4" t="s">
        <v>4458</v>
      </c>
      <c r="U156" s="4">
        <v>30.0</v>
      </c>
      <c r="V156" s="18">
        <v>45821.6678125</v>
      </c>
      <c r="W156" s="4" t="s">
        <v>4459</v>
      </c>
      <c r="Y156" s="4" t="b">
        <v>0</v>
      </c>
      <c r="Z156" s="5" t="s">
        <v>4291</v>
      </c>
      <c r="AA156" s="4" t="s">
        <v>4460</v>
      </c>
      <c r="AB156" s="6">
        <v>45834.0</v>
      </c>
    </row>
    <row r="157">
      <c r="A157" s="8" t="s">
        <v>3617</v>
      </c>
      <c r="B157" s="24">
        <v>45818.0</v>
      </c>
      <c r="C157" s="8">
        <v>700000.0</v>
      </c>
      <c r="D157" s="24">
        <v>45783.0</v>
      </c>
      <c r="E157" s="24">
        <v>45814.0</v>
      </c>
      <c r="F157" s="8" t="s">
        <v>1602</v>
      </c>
      <c r="G157" s="8" t="s">
        <v>4461</v>
      </c>
      <c r="H157" s="21"/>
      <c r="I157" s="24">
        <v>45835.0</v>
      </c>
      <c r="J157" s="24">
        <v>45831.0</v>
      </c>
      <c r="K157" s="8"/>
      <c r="L157" s="8" t="s">
        <v>4462</v>
      </c>
      <c r="M157" s="19" t="s">
        <v>4463</v>
      </c>
      <c r="N157" s="8" t="s">
        <v>4464</v>
      </c>
      <c r="P157" s="4" t="s">
        <v>4465</v>
      </c>
      <c r="S157" s="7" t="s">
        <v>3984</v>
      </c>
      <c r="T157" s="4" t="s">
        <v>4466</v>
      </c>
      <c r="U157" s="4">
        <v>24.0</v>
      </c>
      <c r="V157" s="18">
        <v>45831.64675925926</v>
      </c>
      <c r="W157" s="4" t="s">
        <v>4467</v>
      </c>
      <c r="Y157" s="4" t="b">
        <v>1</v>
      </c>
      <c r="Z157" s="5" t="s">
        <v>4468</v>
      </c>
      <c r="AA157" s="4" t="s">
        <v>4469</v>
      </c>
      <c r="AB157" s="6">
        <v>45839.0</v>
      </c>
    </row>
    <row r="158">
      <c r="A158" s="8" t="s">
        <v>3623</v>
      </c>
      <c r="B158" s="24">
        <v>45826.0</v>
      </c>
      <c r="C158" s="8">
        <v>809000.0</v>
      </c>
      <c r="D158" s="24">
        <v>45788.0</v>
      </c>
      <c r="E158" s="24">
        <v>45819.0</v>
      </c>
      <c r="F158" s="8" t="s">
        <v>1419</v>
      </c>
      <c r="G158" s="8" t="s">
        <v>3981</v>
      </c>
      <c r="H158" s="8" t="s">
        <v>2478</v>
      </c>
      <c r="I158" s="24">
        <v>45852.0</v>
      </c>
      <c r="J158" s="24">
        <v>45840.0</v>
      </c>
      <c r="K158" s="8"/>
      <c r="L158" s="8" t="s">
        <v>229</v>
      </c>
      <c r="M158" s="19" t="s">
        <v>1592</v>
      </c>
      <c r="N158" s="21"/>
      <c r="Q158" s="4"/>
      <c r="R158" s="4" t="s">
        <v>4470</v>
      </c>
      <c r="S158" s="7" t="s">
        <v>3984</v>
      </c>
      <c r="T158" s="4" t="s">
        <v>2174</v>
      </c>
      <c r="U158" s="4">
        <v>24.0</v>
      </c>
      <c r="V158" s="18">
        <v>45840.54277777778</v>
      </c>
      <c r="W158" s="4" t="s">
        <v>4471</v>
      </c>
      <c r="X158" s="29">
        <v>0.05</v>
      </c>
      <c r="Y158" s="4" t="b">
        <v>1</v>
      </c>
      <c r="Z158" s="5" t="s">
        <v>4394</v>
      </c>
      <c r="AA158" s="4" t="s">
        <v>4472</v>
      </c>
      <c r="AB158" s="6">
        <v>45854.0</v>
      </c>
      <c r="AD158" s="6">
        <v>45838.0</v>
      </c>
      <c r="AE158" s="6"/>
    </row>
    <row r="159">
      <c r="A159" s="8" t="s">
        <v>3619</v>
      </c>
      <c r="B159" s="24">
        <v>45826.0</v>
      </c>
      <c r="C159" s="8">
        <v>378000.0</v>
      </c>
      <c r="D159" s="24">
        <v>45795.0</v>
      </c>
      <c r="E159" s="24">
        <v>45826.0</v>
      </c>
      <c r="F159" s="8" t="s">
        <v>1437</v>
      </c>
      <c r="G159" s="8" t="s">
        <v>4003</v>
      </c>
      <c r="H159" s="8" t="s">
        <v>2517</v>
      </c>
      <c r="I159" s="24">
        <v>45852.0</v>
      </c>
      <c r="J159" s="24">
        <v>45840.0</v>
      </c>
      <c r="K159" s="8"/>
      <c r="L159" s="8" t="s">
        <v>4473</v>
      </c>
      <c r="M159" s="19" t="s">
        <v>4474</v>
      </c>
      <c r="N159" s="21"/>
      <c r="S159" s="7" t="s">
        <v>3984</v>
      </c>
      <c r="T159" s="4" t="s">
        <v>4403</v>
      </c>
      <c r="U159" s="4">
        <v>13.0</v>
      </c>
      <c r="V159" s="18">
        <v>45840.41782407407</v>
      </c>
      <c r="Y159" s="4" t="b">
        <v>1</v>
      </c>
      <c r="Z159" s="5" t="s">
        <v>4404</v>
      </c>
      <c r="AA159" s="4" t="s">
        <v>4475</v>
      </c>
      <c r="AB159" s="6">
        <v>45854.0</v>
      </c>
      <c r="AD159" s="6"/>
      <c r="AE159" s="6"/>
    </row>
    <row r="160">
      <c r="A160" s="8" t="s">
        <v>3629</v>
      </c>
      <c r="B160" s="24">
        <v>45831.0</v>
      </c>
      <c r="C160" s="8">
        <v>470.56</v>
      </c>
      <c r="D160" s="24">
        <v>45791.0</v>
      </c>
      <c r="E160" s="24">
        <v>45822.0</v>
      </c>
      <c r="F160" s="8" t="s">
        <v>1587</v>
      </c>
      <c r="G160" s="8" t="s">
        <v>4425</v>
      </c>
      <c r="H160" s="21"/>
      <c r="I160" s="24">
        <v>45852.0</v>
      </c>
      <c r="J160" s="24">
        <v>45846.0</v>
      </c>
      <c r="K160" s="8" t="b">
        <v>1</v>
      </c>
      <c r="L160" s="8"/>
      <c r="M160" s="8"/>
      <c r="N160" s="21"/>
      <c r="Q160" s="8"/>
      <c r="R160" s="4" t="s">
        <v>4476</v>
      </c>
      <c r="S160" s="4" t="s">
        <v>4477</v>
      </c>
      <c r="T160" s="4" t="s">
        <v>2225</v>
      </c>
      <c r="U160" s="4">
        <v>24.0</v>
      </c>
      <c r="V160" s="18">
        <v>45846.99951388889</v>
      </c>
      <c r="Y160" s="4" t="b">
        <v>1</v>
      </c>
      <c r="Z160" s="5" t="s">
        <v>4428</v>
      </c>
      <c r="AA160" s="4" t="s">
        <v>169</v>
      </c>
      <c r="AB160" s="6">
        <v>45854.0</v>
      </c>
      <c r="AC160" s="6">
        <v>45839.0</v>
      </c>
      <c r="AD160" s="6"/>
      <c r="AE160" s="6"/>
    </row>
    <row r="161">
      <c r="A161" s="8" t="s">
        <v>3643</v>
      </c>
      <c r="B161" s="24">
        <v>45835.0</v>
      </c>
      <c r="C161" s="8">
        <v>873250.0</v>
      </c>
      <c r="D161" s="24">
        <v>45800.0</v>
      </c>
      <c r="E161" s="24">
        <v>45831.0</v>
      </c>
      <c r="F161" s="8" t="s">
        <v>1437</v>
      </c>
      <c r="G161" s="8" t="s">
        <v>2589</v>
      </c>
      <c r="H161" s="21"/>
      <c r="I161" s="24">
        <v>45870.0</v>
      </c>
      <c r="J161" s="24">
        <v>45860.0</v>
      </c>
      <c r="K161" s="8" t="b">
        <v>0</v>
      </c>
      <c r="L161" s="8" t="s">
        <v>189</v>
      </c>
      <c r="M161" s="19" t="s">
        <v>4478</v>
      </c>
      <c r="N161" s="21"/>
      <c r="Q161" s="4"/>
      <c r="S161" s="7" t="s">
        <v>3984</v>
      </c>
      <c r="T161" s="4" t="s">
        <v>2150</v>
      </c>
      <c r="U161" s="4">
        <v>40.0</v>
      </c>
      <c r="V161" s="18">
        <v>45860.42508101852</v>
      </c>
      <c r="W161" s="4" t="s">
        <v>4479</v>
      </c>
      <c r="X161" s="29">
        <v>0.12</v>
      </c>
      <c r="Y161" s="4" t="b">
        <v>1</v>
      </c>
      <c r="Z161" s="5" t="s">
        <v>4264</v>
      </c>
      <c r="AA161" s="4" t="s">
        <v>190</v>
      </c>
      <c r="AB161" s="6">
        <v>45874.0</v>
      </c>
      <c r="AC161" s="6">
        <v>45839.0</v>
      </c>
    </row>
    <row r="162">
      <c r="A162" s="8" t="s">
        <v>3625</v>
      </c>
      <c r="B162" s="24">
        <v>45838.0</v>
      </c>
      <c r="C162" s="8">
        <v>549000.0</v>
      </c>
      <c r="D162" s="24">
        <v>45799.0</v>
      </c>
      <c r="E162" s="24">
        <v>45830.0</v>
      </c>
      <c r="F162" s="8" t="s">
        <v>1596</v>
      </c>
      <c r="G162" s="8" t="s">
        <v>4441</v>
      </c>
      <c r="H162" s="21"/>
      <c r="I162" s="24">
        <v>45848.0</v>
      </c>
      <c r="J162" s="24">
        <v>45840.0</v>
      </c>
      <c r="K162" s="8" t="b">
        <v>1</v>
      </c>
      <c r="L162" s="8"/>
      <c r="M162" s="8"/>
      <c r="N162" s="21"/>
      <c r="Q162" s="4"/>
      <c r="R162" s="4" t="s">
        <v>4480</v>
      </c>
      <c r="S162" s="7" t="s">
        <v>3984</v>
      </c>
      <c r="T162" s="4" t="s">
        <v>4444</v>
      </c>
      <c r="U162" s="4">
        <v>24.0</v>
      </c>
      <c r="V162" s="18">
        <v>45840.621782407405</v>
      </c>
      <c r="W162" s="4" t="s">
        <v>4445</v>
      </c>
      <c r="Y162" s="4"/>
      <c r="Z162" s="5" t="s">
        <v>4446</v>
      </c>
      <c r="AA162" s="4" t="s">
        <v>197</v>
      </c>
      <c r="AB162" s="6">
        <v>45852.0</v>
      </c>
      <c r="AC162" s="6">
        <v>45839.0</v>
      </c>
    </row>
    <row r="163">
      <c r="A163" s="8" t="s">
        <v>3636</v>
      </c>
      <c r="B163" s="24">
        <v>45846.0</v>
      </c>
      <c r="C163" s="8">
        <v>642000.0</v>
      </c>
      <c r="D163" s="24">
        <v>45815.0</v>
      </c>
      <c r="E163" s="24">
        <v>45845.0</v>
      </c>
      <c r="F163" s="8" t="s">
        <v>1539</v>
      </c>
      <c r="G163" s="8" t="s">
        <v>2782</v>
      </c>
      <c r="H163" s="21"/>
      <c r="I163" s="24">
        <v>45862.0</v>
      </c>
      <c r="J163" s="24">
        <v>45855.0</v>
      </c>
      <c r="K163" s="8" t="b">
        <v>0</v>
      </c>
      <c r="L163" s="8" t="s">
        <v>241</v>
      </c>
      <c r="M163" s="19" t="s">
        <v>4481</v>
      </c>
      <c r="N163" s="21"/>
      <c r="Q163" s="4"/>
      <c r="S163" s="7" t="s">
        <v>4047</v>
      </c>
      <c r="T163" s="4" t="s">
        <v>2152</v>
      </c>
      <c r="U163" s="4">
        <v>24.0</v>
      </c>
      <c r="V163" s="18">
        <v>45855.38450231482</v>
      </c>
      <c r="Y163" s="4" t="b">
        <v>1</v>
      </c>
      <c r="Z163" s="5" t="s">
        <v>4309</v>
      </c>
      <c r="AA163" s="4" t="s">
        <v>243</v>
      </c>
      <c r="AB163" s="6">
        <v>45866.0</v>
      </c>
    </row>
    <row r="164">
      <c r="A164" s="8" t="s">
        <v>3638</v>
      </c>
      <c r="B164" s="24">
        <v>45846.0</v>
      </c>
      <c r="C164" s="8">
        <v>1364000.0</v>
      </c>
      <c r="D164" s="24">
        <v>45812.0</v>
      </c>
      <c r="E164" s="24">
        <v>45842.0</v>
      </c>
      <c r="F164" s="8" t="s">
        <v>1433</v>
      </c>
      <c r="G164" s="8" t="s">
        <v>2583</v>
      </c>
      <c r="H164" s="21"/>
      <c r="I164" s="24">
        <v>45863.0</v>
      </c>
      <c r="J164" s="24">
        <v>45856.0</v>
      </c>
      <c r="K164" s="8" t="b">
        <v>0</v>
      </c>
      <c r="L164" s="8" t="s">
        <v>249</v>
      </c>
      <c r="M164" s="19" t="s">
        <v>4482</v>
      </c>
      <c r="N164" s="21"/>
      <c r="Q164" s="4"/>
      <c r="S164" s="7" t="s">
        <v>4047</v>
      </c>
      <c r="T164" s="4" t="s">
        <v>4365</v>
      </c>
      <c r="U164" s="4">
        <v>48.0</v>
      </c>
      <c r="V164" s="18">
        <v>45856.90761574074</v>
      </c>
      <c r="X164" s="29">
        <v>0.07</v>
      </c>
      <c r="Y164" s="4" t="b">
        <v>1</v>
      </c>
      <c r="Z164" s="5" t="s">
        <v>4295</v>
      </c>
      <c r="AA164" s="4" t="s">
        <v>251</v>
      </c>
      <c r="AB164" s="6">
        <v>45867.0</v>
      </c>
    </row>
    <row r="165">
      <c r="A165" s="8"/>
      <c r="B165" s="24"/>
      <c r="C165" s="8"/>
      <c r="D165" s="24"/>
      <c r="E165" s="24"/>
      <c r="F165" s="8"/>
      <c r="G165" s="8"/>
      <c r="H165" s="21"/>
      <c r="I165" s="24"/>
      <c r="J165" s="24"/>
      <c r="K165" s="8"/>
      <c r="L165" s="21"/>
      <c r="M165" s="8"/>
      <c r="N165" s="21"/>
      <c r="Q165" s="4"/>
      <c r="S165" s="4"/>
      <c r="T165" s="4"/>
      <c r="U165" s="4"/>
      <c r="V165" s="18"/>
      <c r="X165" s="29"/>
      <c r="Z165" s="4"/>
      <c r="AA165" s="4"/>
      <c r="AB165" s="6"/>
    </row>
    <row r="166">
      <c r="A166" s="8"/>
      <c r="B166" s="24"/>
      <c r="C166" s="8"/>
      <c r="D166" s="24"/>
      <c r="E166" s="24"/>
      <c r="F166" s="8"/>
      <c r="G166" s="8"/>
      <c r="H166" s="21"/>
      <c r="I166" s="24"/>
      <c r="J166" s="24"/>
      <c r="K166" s="8"/>
      <c r="L166" s="21"/>
      <c r="M166" s="8"/>
      <c r="N166" s="21"/>
      <c r="Q166" s="4"/>
      <c r="S166" s="4"/>
      <c r="T166" s="4"/>
      <c r="U166" s="4"/>
      <c r="V166" s="18"/>
      <c r="W166" s="4"/>
      <c r="X166" s="29"/>
      <c r="Y166" s="4"/>
      <c r="Z166" s="4"/>
      <c r="AA166" s="4"/>
      <c r="AB166" s="6"/>
    </row>
    <row r="167">
      <c r="A167" s="8" t="s">
        <v>3651</v>
      </c>
      <c r="B167" s="24">
        <v>45848.0</v>
      </c>
      <c r="C167" s="8">
        <v>669000.0</v>
      </c>
      <c r="D167" s="24">
        <v>45836.0</v>
      </c>
      <c r="E167" s="24">
        <v>45866.0</v>
      </c>
      <c r="F167" s="8" t="s">
        <v>1535</v>
      </c>
      <c r="G167" s="8" t="s">
        <v>2887</v>
      </c>
      <c r="H167" s="8" t="s">
        <v>4332</v>
      </c>
      <c r="I167" s="24">
        <v>45880.0</v>
      </c>
      <c r="J167" s="24">
        <v>45869.0</v>
      </c>
      <c r="K167" s="8" t="b">
        <v>0</v>
      </c>
      <c r="L167" s="8" t="s">
        <v>270</v>
      </c>
      <c r="M167" s="19" t="s">
        <v>4483</v>
      </c>
      <c r="N167" s="21"/>
      <c r="Q167" s="4"/>
      <c r="S167" s="7" t="s">
        <v>3984</v>
      </c>
      <c r="T167" s="4" t="s">
        <v>2186</v>
      </c>
      <c r="U167" s="4">
        <v>20.0</v>
      </c>
      <c r="V167" s="18">
        <v>45869.36478009259</v>
      </c>
      <c r="W167" s="4" t="s">
        <v>4423</v>
      </c>
      <c r="X167" s="29">
        <v>0.0</v>
      </c>
      <c r="Y167" s="4" t="b">
        <v>1</v>
      </c>
      <c r="Z167" s="5" t="s">
        <v>4371</v>
      </c>
      <c r="AA167" s="4" t="s">
        <v>272</v>
      </c>
      <c r="AB167" s="6">
        <v>45883.0</v>
      </c>
    </row>
    <row r="168">
      <c r="A168" s="8" t="s">
        <v>3632</v>
      </c>
      <c r="B168" s="24">
        <v>45848.0</v>
      </c>
      <c r="C168" s="8">
        <v>621000.0</v>
      </c>
      <c r="D168" s="24">
        <v>45814.0</v>
      </c>
      <c r="E168" s="24">
        <v>45844.0</v>
      </c>
      <c r="F168" s="8" t="s">
        <v>1426</v>
      </c>
      <c r="G168" s="8" t="s">
        <v>2265</v>
      </c>
      <c r="H168" s="21"/>
      <c r="I168" s="24">
        <v>45863.0</v>
      </c>
      <c r="J168" s="24">
        <v>45854.0</v>
      </c>
      <c r="K168" s="8" t="b">
        <v>0</v>
      </c>
      <c r="L168" s="8" t="s">
        <v>285</v>
      </c>
      <c r="M168" s="19" t="s">
        <v>4484</v>
      </c>
      <c r="N168" s="21"/>
      <c r="Q168" s="4"/>
      <c r="S168" s="7" t="s">
        <v>4047</v>
      </c>
      <c r="T168" s="4" t="s">
        <v>4458</v>
      </c>
      <c r="U168" s="4">
        <v>30.0</v>
      </c>
      <c r="V168" s="18">
        <v>45854.454664351855</v>
      </c>
      <c r="W168" s="4" t="s">
        <v>4459</v>
      </c>
      <c r="Y168" s="4" t="b">
        <v>0</v>
      </c>
      <c r="Z168" s="5" t="s">
        <v>4291</v>
      </c>
      <c r="AA168" s="4" t="s">
        <v>280</v>
      </c>
      <c r="AB168" s="6">
        <v>45867.0</v>
      </c>
    </row>
    <row r="169">
      <c r="A169" s="8" t="s">
        <v>3647</v>
      </c>
      <c r="B169" s="24">
        <v>45852.0</v>
      </c>
      <c r="C169" s="8">
        <v>822000.0</v>
      </c>
      <c r="D169" s="24">
        <v>45819.0</v>
      </c>
      <c r="E169" s="24">
        <v>45849.0</v>
      </c>
      <c r="F169" s="8" t="s">
        <v>1419</v>
      </c>
      <c r="G169" s="8" t="s">
        <v>3981</v>
      </c>
      <c r="H169" s="8" t="s">
        <v>2478</v>
      </c>
      <c r="I169" s="24">
        <v>45877.0</v>
      </c>
      <c r="J169" s="24">
        <v>45867.0</v>
      </c>
      <c r="K169" s="8" t="b">
        <v>1</v>
      </c>
      <c r="L169" s="21"/>
      <c r="M169" s="21"/>
      <c r="N169" s="21"/>
      <c r="Q169" s="4"/>
      <c r="S169" s="4" t="s">
        <v>4485</v>
      </c>
      <c r="T169" s="4" t="s">
        <v>2174</v>
      </c>
      <c r="U169" s="4">
        <v>24.0</v>
      </c>
      <c r="V169" s="18">
        <v>45867.75234953704</v>
      </c>
      <c r="W169" s="4" t="s">
        <v>4471</v>
      </c>
      <c r="X169" s="29">
        <v>0.05</v>
      </c>
      <c r="Y169" s="4" t="b">
        <v>1</v>
      </c>
      <c r="Z169" s="5" t="s">
        <v>4394</v>
      </c>
      <c r="AA169" s="4" t="s">
        <v>292</v>
      </c>
      <c r="AB169" s="6">
        <v>45882.0</v>
      </c>
    </row>
    <row r="170">
      <c r="A170" s="8" t="s">
        <v>3634</v>
      </c>
      <c r="B170" s="24">
        <v>45852.0</v>
      </c>
      <c r="C170" s="8">
        <v>500000.0</v>
      </c>
      <c r="D170" s="24">
        <v>45819.0</v>
      </c>
      <c r="E170" s="24">
        <v>45849.0</v>
      </c>
      <c r="F170" s="8" t="s">
        <v>1606</v>
      </c>
      <c r="G170" s="8" t="s">
        <v>4486</v>
      </c>
      <c r="H170" s="21"/>
      <c r="I170" s="24">
        <v>45860.0</v>
      </c>
      <c r="J170" s="24">
        <v>45854.0</v>
      </c>
      <c r="K170" s="8" t="b">
        <v>0</v>
      </c>
      <c r="L170" s="8" t="s">
        <v>297</v>
      </c>
      <c r="M170" s="19" t="s">
        <v>4487</v>
      </c>
      <c r="N170" s="21"/>
      <c r="Q170" s="4"/>
      <c r="S170" s="7" t="s">
        <v>4047</v>
      </c>
      <c r="T170" s="4" t="s">
        <v>4488</v>
      </c>
      <c r="U170" s="4">
        <v>18.0</v>
      </c>
      <c r="V170" s="18">
        <v>45854.532546296294</v>
      </c>
      <c r="W170" s="4" t="s">
        <v>4489</v>
      </c>
      <c r="Y170" s="4" t="b">
        <v>1</v>
      </c>
      <c r="Z170" s="5" t="s">
        <v>4490</v>
      </c>
      <c r="AA170" s="4" t="s">
        <v>299</v>
      </c>
      <c r="AB170" s="6">
        <v>45862.0</v>
      </c>
    </row>
    <row r="171">
      <c r="A171" s="8" t="s">
        <v>3679</v>
      </c>
      <c r="B171" s="24">
        <v>45855.0</v>
      </c>
      <c r="C171" s="8">
        <v>423.0</v>
      </c>
      <c r="D171" s="24">
        <v>45822.0</v>
      </c>
      <c r="E171" s="24">
        <v>45852.0</v>
      </c>
      <c r="F171" s="8" t="s">
        <v>1587</v>
      </c>
      <c r="G171" s="8" t="s">
        <v>4425</v>
      </c>
      <c r="H171" s="21"/>
      <c r="I171" s="24">
        <v>45903.0</v>
      </c>
      <c r="J171" s="24">
        <v>45897.0</v>
      </c>
      <c r="K171" s="8" t="b">
        <v>1</v>
      </c>
      <c r="L171" s="21"/>
      <c r="M171" s="21"/>
      <c r="N171" s="21"/>
      <c r="Q171" s="4"/>
      <c r="S171" s="4" t="s">
        <v>4477</v>
      </c>
      <c r="T171" s="4" t="s">
        <v>2225</v>
      </c>
      <c r="U171" s="4">
        <v>24.0</v>
      </c>
      <c r="V171" s="18">
        <v>45897.551666666666</v>
      </c>
      <c r="W171" s="4" t="s">
        <v>4480</v>
      </c>
      <c r="Y171" s="4" t="b">
        <v>1</v>
      </c>
      <c r="Z171" s="5" t="s">
        <v>4428</v>
      </c>
      <c r="AA171" s="4" t="s">
        <v>4491</v>
      </c>
      <c r="AB171" s="6">
        <v>45905.0</v>
      </c>
    </row>
    <row r="172">
      <c r="A172" s="8" t="s">
        <v>3645</v>
      </c>
      <c r="B172" s="24">
        <v>45860.0</v>
      </c>
      <c r="C172" s="8">
        <v>1000000.0</v>
      </c>
      <c r="D172" s="24">
        <v>45826.0</v>
      </c>
      <c r="E172" s="24">
        <v>45856.0</v>
      </c>
      <c r="F172" s="8" t="s">
        <v>1610</v>
      </c>
      <c r="G172" s="8" t="s">
        <v>4492</v>
      </c>
      <c r="H172" s="8" t="s">
        <v>4493</v>
      </c>
      <c r="I172" s="24">
        <v>45869.0</v>
      </c>
      <c r="J172" s="24">
        <v>45863.0</v>
      </c>
      <c r="K172" s="8" t="b">
        <v>0</v>
      </c>
      <c r="L172" s="8" t="s">
        <v>327</v>
      </c>
      <c r="M172" s="19" t="s">
        <v>4494</v>
      </c>
      <c r="N172" s="21"/>
      <c r="Q172" s="4"/>
      <c r="S172" s="7" t="s">
        <v>3984</v>
      </c>
      <c r="T172" s="4" t="s">
        <v>82</v>
      </c>
      <c r="U172" s="4">
        <v>40.0</v>
      </c>
      <c r="V172" s="18">
        <v>45863.64028935185</v>
      </c>
      <c r="W172" s="4" t="s">
        <v>4495</v>
      </c>
      <c r="Z172" s="5" t="s">
        <v>4496</v>
      </c>
      <c r="AA172" s="4" t="s">
        <v>329</v>
      </c>
      <c r="AB172" s="6">
        <v>45873.0</v>
      </c>
      <c r="AD172" s="6"/>
    </row>
    <row r="173">
      <c r="A173" s="8" t="s">
        <v>3655</v>
      </c>
      <c r="B173" s="24">
        <v>45860.0</v>
      </c>
      <c r="C173" s="8">
        <v>378000.0</v>
      </c>
      <c r="D173" s="24">
        <v>45826.0</v>
      </c>
      <c r="E173" s="24">
        <v>45856.0</v>
      </c>
      <c r="F173" s="8" t="s">
        <v>1437</v>
      </c>
      <c r="G173" s="8" t="s">
        <v>4003</v>
      </c>
      <c r="H173" s="8" t="s">
        <v>2517</v>
      </c>
      <c r="I173" s="24">
        <v>45882.0</v>
      </c>
      <c r="J173" s="24">
        <v>45870.0</v>
      </c>
      <c r="K173" s="8" t="b">
        <v>0</v>
      </c>
      <c r="L173" s="8" t="s">
        <v>335</v>
      </c>
      <c r="M173" s="19" t="s">
        <v>4497</v>
      </c>
      <c r="N173" s="21"/>
      <c r="Q173" s="4"/>
      <c r="S173" s="7" t="s">
        <v>3984</v>
      </c>
      <c r="T173" s="4" t="s">
        <v>4403</v>
      </c>
      <c r="U173" s="4">
        <v>13.0</v>
      </c>
      <c r="V173" s="18">
        <v>45870.85254629629</v>
      </c>
      <c r="Y173" s="4" t="b">
        <v>1</v>
      </c>
      <c r="Z173" s="5" t="s">
        <v>4404</v>
      </c>
      <c r="AA173" s="4" t="s">
        <v>4498</v>
      </c>
      <c r="AB173" s="6">
        <v>45887.0</v>
      </c>
    </row>
    <row r="174">
      <c r="A174" s="8" t="s">
        <v>3649</v>
      </c>
      <c r="B174" s="24">
        <v>45862.0</v>
      </c>
      <c r="C174" s="8">
        <v>315000.0</v>
      </c>
      <c r="D174" s="24">
        <v>45831.0</v>
      </c>
      <c r="E174" s="24">
        <v>45861.0</v>
      </c>
      <c r="F174" s="8" t="s">
        <v>1437</v>
      </c>
      <c r="G174" s="8" t="s">
        <v>2589</v>
      </c>
      <c r="H174" s="21"/>
      <c r="I174" s="24">
        <v>45880.0</v>
      </c>
      <c r="J174" s="24">
        <v>45868.0</v>
      </c>
      <c r="K174" s="8" t="b">
        <v>0</v>
      </c>
      <c r="L174" s="8" t="s">
        <v>348</v>
      </c>
      <c r="M174" s="21"/>
      <c r="N174" s="21"/>
      <c r="Q174" s="4"/>
      <c r="R174" s="7" t="s">
        <v>4499</v>
      </c>
      <c r="S174" s="7" t="s">
        <v>3984</v>
      </c>
      <c r="T174" s="4" t="s">
        <v>4500</v>
      </c>
      <c r="U174" s="4">
        <v>0.0</v>
      </c>
      <c r="V174" s="18">
        <v>45868.68337962963</v>
      </c>
      <c r="W174" s="4" t="s">
        <v>4501</v>
      </c>
      <c r="Y174" s="4" t="b">
        <v>1</v>
      </c>
      <c r="Z174" s="5" t="s">
        <v>4264</v>
      </c>
      <c r="AA174" s="4" t="s">
        <v>350</v>
      </c>
      <c r="AB174" s="6">
        <v>45883.0</v>
      </c>
    </row>
    <row r="175">
      <c r="A175" s="8" t="s">
        <v>3653</v>
      </c>
      <c r="B175" s="24">
        <v>45866.0</v>
      </c>
      <c r="C175" s="8">
        <v>549000.0</v>
      </c>
      <c r="D175" s="24">
        <v>45830.0</v>
      </c>
      <c r="E175" s="24">
        <v>45860.0</v>
      </c>
      <c r="F175" s="8" t="s">
        <v>1596</v>
      </c>
      <c r="G175" s="8" t="s">
        <v>4441</v>
      </c>
      <c r="H175" s="21"/>
      <c r="I175" s="24">
        <v>45877.0</v>
      </c>
      <c r="J175" s="24">
        <v>45869.0</v>
      </c>
      <c r="K175" s="8" t="b">
        <v>1</v>
      </c>
      <c r="L175" s="21"/>
      <c r="M175" s="21"/>
      <c r="N175" s="21"/>
      <c r="Q175" s="4"/>
      <c r="S175" s="7" t="s">
        <v>3984</v>
      </c>
      <c r="T175" s="4" t="s">
        <v>4444</v>
      </c>
      <c r="U175" s="4">
        <v>24.0</v>
      </c>
      <c r="V175" s="18">
        <v>45869.52377314815</v>
      </c>
      <c r="W175" s="4" t="s">
        <v>4445</v>
      </c>
      <c r="Z175" s="5" t="s">
        <v>4446</v>
      </c>
      <c r="AA175" s="4" t="s">
        <v>362</v>
      </c>
      <c r="AB175" s="6">
        <v>45882.0</v>
      </c>
    </row>
    <row r="176">
      <c r="A176" s="8" t="s">
        <v>4502</v>
      </c>
      <c r="B176" s="24">
        <v>45870.0</v>
      </c>
      <c r="C176" s="8">
        <v>0.0</v>
      </c>
      <c r="D176" s="24">
        <v>45839.0</v>
      </c>
      <c r="E176" s="24">
        <v>45870.0</v>
      </c>
      <c r="F176" s="8" t="s">
        <v>1559</v>
      </c>
      <c r="G176" s="8" t="s">
        <v>4206</v>
      </c>
      <c r="H176" s="8" t="s">
        <v>4207</v>
      </c>
      <c r="I176" s="24">
        <v>45877.0</v>
      </c>
      <c r="J176" s="24">
        <v>45870.0</v>
      </c>
      <c r="K176" s="8" t="b">
        <v>1</v>
      </c>
      <c r="L176" s="21"/>
      <c r="M176" s="21"/>
      <c r="N176" s="21"/>
      <c r="Q176" s="4"/>
      <c r="R176" s="4" t="s">
        <v>4503</v>
      </c>
      <c r="S176" s="7" t="s">
        <v>3984</v>
      </c>
      <c r="T176" s="4" t="s">
        <v>4504</v>
      </c>
      <c r="U176" s="4">
        <v>24.0</v>
      </c>
      <c r="V176" s="18">
        <v>45870.85383101852</v>
      </c>
      <c r="W176" s="4" t="s">
        <v>4503</v>
      </c>
      <c r="Y176" s="4" t="b">
        <v>1</v>
      </c>
      <c r="Z176" s="5" t="s">
        <v>4303</v>
      </c>
      <c r="AA176" s="4" t="s">
        <v>369</v>
      </c>
      <c r="AB176" s="6">
        <v>45882.0</v>
      </c>
    </row>
    <row r="177">
      <c r="A177" s="8" t="s">
        <v>3675</v>
      </c>
      <c r="B177" s="24">
        <v>45875.0</v>
      </c>
      <c r="C177" s="8">
        <v>678000.0</v>
      </c>
      <c r="D177" s="24">
        <v>45866.0</v>
      </c>
      <c r="E177" s="24">
        <v>45897.0</v>
      </c>
      <c r="F177" s="8" t="s">
        <v>1535</v>
      </c>
      <c r="G177" s="8" t="s">
        <v>2887</v>
      </c>
      <c r="H177" s="8" t="s">
        <v>4332</v>
      </c>
      <c r="I177" s="24">
        <v>45902.0</v>
      </c>
      <c r="J177" s="24">
        <v>45892.0</v>
      </c>
      <c r="K177" s="8" t="b">
        <v>0</v>
      </c>
      <c r="L177" s="8" t="s">
        <v>374</v>
      </c>
      <c r="M177" s="19" t="s">
        <v>4505</v>
      </c>
      <c r="N177" s="21"/>
      <c r="Q177" s="4"/>
      <c r="S177" s="7" t="s">
        <v>3984</v>
      </c>
      <c r="T177" s="4" t="s">
        <v>2186</v>
      </c>
      <c r="U177" s="4">
        <v>20.0</v>
      </c>
      <c r="V177" s="18">
        <v>45892.78223379629</v>
      </c>
      <c r="W177" s="4" t="s">
        <v>4423</v>
      </c>
      <c r="X177" s="29">
        <v>0.0</v>
      </c>
      <c r="Y177" s="4" t="b">
        <v>1</v>
      </c>
      <c r="Z177" s="5" t="s">
        <v>4371</v>
      </c>
      <c r="AA177" s="4" t="s">
        <v>376</v>
      </c>
      <c r="AB177" s="6">
        <v>45904.0</v>
      </c>
    </row>
    <row r="178">
      <c r="A178" s="8" t="s">
        <v>3661</v>
      </c>
      <c r="B178" s="24">
        <v>45875.0</v>
      </c>
      <c r="C178" s="8">
        <v>1437000.0</v>
      </c>
      <c r="D178" s="24">
        <v>45842.0</v>
      </c>
      <c r="E178" s="24">
        <v>45873.0</v>
      </c>
      <c r="F178" s="8" t="s">
        <v>1433</v>
      </c>
      <c r="G178" s="8" t="s">
        <v>2583</v>
      </c>
      <c r="H178" s="21"/>
      <c r="I178" s="24">
        <v>45896.0</v>
      </c>
      <c r="J178" s="24">
        <v>45889.0</v>
      </c>
      <c r="K178" s="8" t="b">
        <v>0</v>
      </c>
      <c r="L178" s="8" t="s">
        <v>381</v>
      </c>
      <c r="M178" s="19" t="s">
        <v>4506</v>
      </c>
      <c r="N178" s="21"/>
      <c r="Q178" s="4"/>
      <c r="S178" s="7" t="s">
        <v>4047</v>
      </c>
      <c r="T178" s="4" t="s">
        <v>4365</v>
      </c>
      <c r="U178" s="4">
        <v>48.0</v>
      </c>
      <c r="V178" s="18">
        <v>45889.76043981482</v>
      </c>
      <c r="X178" s="29">
        <v>0.1</v>
      </c>
      <c r="Y178" s="4" t="b">
        <v>1</v>
      </c>
      <c r="Z178" s="5" t="s">
        <v>4295</v>
      </c>
      <c r="AA178" s="4" t="s">
        <v>383</v>
      </c>
      <c r="AB178" s="6">
        <v>45898.0</v>
      </c>
    </row>
    <row r="179">
      <c r="A179" s="8"/>
      <c r="B179" s="24"/>
      <c r="C179" s="8"/>
      <c r="D179" s="24"/>
      <c r="E179" s="24"/>
      <c r="F179" s="8"/>
      <c r="G179" s="8"/>
      <c r="H179" s="8"/>
      <c r="I179" s="24"/>
      <c r="J179" s="24"/>
      <c r="K179" s="8"/>
      <c r="L179" s="8"/>
      <c r="M179" s="8"/>
      <c r="N179" s="21"/>
      <c r="Q179" s="4"/>
      <c r="S179" s="4"/>
      <c r="T179" s="4"/>
      <c r="U179" s="4"/>
      <c r="V179" s="18"/>
      <c r="W179" s="4"/>
      <c r="Y179" s="4"/>
      <c r="Z179" s="4"/>
      <c r="AA179" s="4"/>
      <c r="AB179" s="6"/>
    </row>
    <row r="180">
      <c r="A180" s="8" t="s">
        <v>3657</v>
      </c>
      <c r="B180" s="24">
        <v>45880.0</v>
      </c>
      <c r="C180" s="8">
        <v>440000.0</v>
      </c>
      <c r="D180" s="24">
        <v>45845.0</v>
      </c>
      <c r="E180" s="24">
        <v>45876.0</v>
      </c>
      <c r="F180" s="8" t="s">
        <v>1539</v>
      </c>
      <c r="G180" s="8" t="s">
        <v>2782</v>
      </c>
      <c r="H180" s="21"/>
      <c r="I180" s="24">
        <v>45888.0</v>
      </c>
      <c r="J180" s="24">
        <v>45881.0</v>
      </c>
      <c r="K180" s="8" t="b">
        <v>0</v>
      </c>
      <c r="L180" s="8" t="s">
        <v>396</v>
      </c>
      <c r="M180" s="19" t="s">
        <v>4507</v>
      </c>
      <c r="N180" s="21"/>
      <c r="Q180" s="4"/>
      <c r="S180" s="7" t="s">
        <v>4047</v>
      </c>
      <c r="T180" s="4" t="s">
        <v>4508</v>
      </c>
      <c r="U180" s="4">
        <v>16.0</v>
      </c>
      <c r="V180" s="18">
        <v>45881.54782407408</v>
      </c>
      <c r="W180" s="4" t="s">
        <v>4509</v>
      </c>
      <c r="Y180" s="4" t="b">
        <v>1</v>
      </c>
      <c r="Z180" s="5" t="s">
        <v>4309</v>
      </c>
      <c r="AA180" s="4" t="s">
        <v>398</v>
      </c>
      <c r="AB180" s="6">
        <v>45890.0</v>
      </c>
    </row>
    <row r="181">
      <c r="A181" s="8" t="s">
        <v>3677</v>
      </c>
      <c r="B181" s="24">
        <v>45880.0</v>
      </c>
      <c r="C181" s="8">
        <v>835000.0</v>
      </c>
      <c r="D181" s="24">
        <v>45849.0</v>
      </c>
      <c r="E181" s="24">
        <v>45880.0</v>
      </c>
      <c r="F181" s="8" t="s">
        <v>1419</v>
      </c>
      <c r="G181" s="8" t="s">
        <v>3981</v>
      </c>
      <c r="H181" s="8" t="s">
        <v>2478</v>
      </c>
      <c r="I181" s="24">
        <v>45904.0</v>
      </c>
      <c r="J181" s="24">
        <v>45894.0</v>
      </c>
      <c r="K181" s="8" t="b">
        <v>1</v>
      </c>
      <c r="L181" s="21"/>
      <c r="M181" s="21"/>
      <c r="N181" s="21"/>
      <c r="Q181" s="4"/>
      <c r="S181" s="4" t="s">
        <v>4485</v>
      </c>
      <c r="T181" s="4" t="s">
        <v>2174</v>
      </c>
      <c r="U181" s="4">
        <v>24.0</v>
      </c>
      <c r="V181" s="18">
        <v>45894.73685185185</v>
      </c>
      <c r="W181" s="4" t="s">
        <v>4471</v>
      </c>
      <c r="X181" s="29">
        <v>0.05</v>
      </c>
      <c r="Y181" s="4" t="b">
        <v>1</v>
      </c>
      <c r="Z181" s="5" t="s">
        <v>4394</v>
      </c>
      <c r="AA181" s="4" t="s">
        <v>404</v>
      </c>
      <c r="AB181" s="6">
        <v>45908.0</v>
      </c>
    </row>
    <row r="182">
      <c r="A182" s="8" t="s">
        <v>3659</v>
      </c>
      <c r="B182" s="24">
        <v>45880.0</v>
      </c>
      <c r="C182" s="8">
        <v>500000.0</v>
      </c>
      <c r="D182" s="24">
        <v>45849.0</v>
      </c>
      <c r="E182" s="24">
        <v>45880.0</v>
      </c>
      <c r="F182" s="8" t="s">
        <v>1606</v>
      </c>
      <c r="G182" s="8" t="s">
        <v>4486</v>
      </c>
      <c r="H182" s="21"/>
      <c r="I182" s="24">
        <v>45889.0</v>
      </c>
      <c r="J182" s="24">
        <v>45883.0</v>
      </c>
      <c r="K182" s="8" t="b">
        <v>0</v>
      </c>
      <c r="L182" s="8" t="s">
        <v>408</v>
      </c>
      <c r="M182" s="19" t="s">
        <v>4510</v>
      </c>
      <c r="N182" s="21"/>
      <c r="Q182" s="4"/>
      <c r="S182" s="7" t="s">
        <v>4047</v>
      </c>
      <c r="T182" s="4" t="s">
        <v>4488</v>
      </c>
      <c r="U182" s="4">
        <v>18.0</v>
      </c>
      <c r="V182" s="18">
        <v>45883.51283564815</v>
      </c>
      <c r="W182" s="4" t="s">
        <v>4489</v>
      </c>
      <c r="Y182" s="4" t="b">
        <v>1</v>
      </c>
      <c r="Z182" s="5" t="s">
        <v>4490</v>
      </c>
      <c r="AA182" s="4" t="s">
        <v>410</v>
      </c>
      <c r="AB182" s="6">
        <v>45891.0</v>
      </c>
    </row>
    <row r="183">
      <c r="A183" s="8" t="s">
        <v>3667</v>
      </c>
      <c r="B183" s="24">
        <v>45881.0</v>
      </c>
      <c r="C183" s="8">
        <v>631000.0</v>
      </c>
      <c r="D183" s="24">
        <v>45844.0</v>
      </c>
      <c r="E183" s="24">
        <v>45875.0</v>
      </c>
      <c r="F183" s="8" t="s">
        <v>1426</v>
      </c>
      <c r="G183" s="8" t="s">
        <v>2265</v>
      </c>
      <c r="H183" s="21"/>
      <c r="I183" s="24">
        <v>45897.0</v>
      </c>
      <c r="J183" s="24">
        <v>45888.0</v>
      </c>
      <c r="K183" s="8" t="b">
        <v>0</v>
      </c>
      <c r="L183" s="8" t="s">
        <v>415</v>
      </c>
      <c r="M183" s="19" t="s">
        <v>4511</v>
      </c>
      <c r="N183" s="21"/>
      <c r="Q183" s="4"/>
      <c r="S183" s="7" t="s">
        <v>4047</v>
      </c>
      <c r="T183" s="4" t="s">
        <v>4458</v>
      </c>
      <c r="U183" s="4">
        <v>30.0</v>
      </c>
      <c r="V183" s="18">
        <v>45888.407314814816</v>
      </c>
      <c r="W183" s="4" t="s">
        <v>4459</v>
      </c>
      <c r="Y183" s="4" t="b">
        <v>0</v>
      </c>
      <c r="Z183" s="5" t="s">
        <v>4291</v>
      </c>
      <c r="AA183" s="4" t="s">
        <v>417</v>
      </c>
      <c r="AB183" s="6">
        <v>45901.0</v>
      </c>
    </row>
    <row r="184">
      <c r="A184" s="8" t="s">
        <v>3664</v>
      </c>
      <c r="B184" s="24">
        <v>45881.0</v>
      </c>
      <c r="C184" s="8">
        <v>1274000.0</v>
      </c>
      <c r="D184" s="24">
        <v>45846.0</v>
      </c>
      <c r="E184" s="24">
        <v>45877.0</v>
      </c>
      <c r="F184" s="8" t="s">
        <v>1616</v>
      </c>
      <c r="G184" s="8" t="s">
        <v>4512</v>
      </c>
      <c r="H184" s="8" t="s">
        <v>4513</v>
      </c>
      <c r="I184" s="24">
        <v>45895.0</v>
      </c>
      <c r="J184" s="24">
        <v>45887.0</v>
      </c>
      <c r="K184" s="8" t="b">
        <v>0</v>
      </c>
      <c r="L184" s="8" t="s">
        <v>423</v>
      </c>
      <c r="M184" s="19" t="s">
        <v>4514</v>
      </c>
      <c r="N184" s="21"/>
      <c r="Q184" s="4"/>
      <c r="S184" s="7" t="s">
        <v>3984</v>
      </c>
      <c r="T184" s="4" t="s">
        <v>4515</v>
      </c>
      <c r="U184" s="4">
        <v>40.0</v>
      </c>
      <c r="V184" s="18">
        <v>45887.68232638889</v>
      </c>
      <c r="W184" s="4" t="s">
        <v>4516</v>
      </c>
      <c r="Y184" s="4" t="b">
        <v>1</v>
      </c>
      <c r="Z184" s="5" t="s">
        <v>4517</v>
      </c>
      <c r="AA184" s="4" t="s">
        <v>425</v>
      </c>
      <c r="AB184" s="6">
        <v>45897.0</v>
      </c>
    </row>
    <row r="185">
      <c r="A185" s="8" t="s">
        <v>3687</v>
      </c>
      <c r="B185" s="24">
        <v>45887.0</v>
      </c>
      <c r="C185" s="8">
        <v>423.0</v>
      </c>
      <c r="D185" s="24">
        <v>45852.0</v>
      </c>
      <c r="E185" s="24">
        <v>45883.0</v>
      </c>
      <c r="F185" s="8" t="s">
        <v>1587</v>
      </c>
      <c r="G185" s="8" t="s">
        <v>4425</v>
      </c>
      <c r="H185" s="21"/>
      <c r="I185" s="24">
        <v>45917.0</v>
      </c>
      <c r="J185" s="24">
        <v>45911.0</v>
      </c>
      <c r="K185" s="8" t="b">
        <v>1</v>
      </c>
      <c r="L185" s="21"/>
      <c r="M185" s="21"/>
      <c r="N185" s="21"/>
      <c r="Q185" s="4"/>
      <c r="S185" s="4" t="s">
        <v>4477</v>
      </c>
      <c r="T185" s="4" t="s">
        <v>2225</v>
      </c>
      <c r="U185" s="4">
        <v>24.0</v>
      </c>
      <c r="V185" s="18">
        <v>45911.74068287037</v>
      </c>
      <c r="W185" s="4" t="s">
        <v>4480</v>
      </c>
      <c r="Y185" s="4" t="b">
        <v>1</v>
      </c>
      <c r="Z185" s="5" t="s">
        <v>4428</v>
      </c>
      <c r="AA185" s="4" t="s">
        <v>4518</v>
      </c>
      <c r="AB185" s="6">
        <v>45919.0</v>
      </c>
    </row>
    <row r="186">
      <c r="A186" s="8" t="s">
        <v>3671</v>
      </c>
      <c r="B186" s="24">
        <v>45889.0</v>
      </c>
      <c r="C186" s="8">
        <v>1000000.0</v>
      </c>
      <c r="D186" s="24">
        <v>45856.0</v>
      </c>
      <c r="E186" s="24">
        <v>45887.0</v>
      </c>
      <c r="F186" s="8" t="s">
        <v>1610</v>
      </c>
      <c r="G186" s="8" t="s">
        <v>4492</v>
      </c>
      <c r="H186" s="8" t="s">
        <v>4493</v>
      </c>
      <c r="I186" s="24">
        <v>45897.0</v>
      </c>
      <c r="J186" s="24">
        <v>45891.0</v>
      </c>
      <c r="K186" s="8" t="b">
        <v>0</v>
      </c>
      <c r="L186" s="8" t="s">
        <v>443</v>
      </c>
      <c r="M186" s="19" t="s">
        <v>4519</v>
      </c>
      <c r="N186" s="21"/>
      <c r="Q186" s="4"/>
      <c r="S186" s="7" t="s">
        <v>3984</v>
      </c>
      <c r="T186" s="4" t="s">
        <v>82</v>
      </c>
      <c r="U186" s="4">
        <v>40.0</v>
      </c>
      <c r="V186" s="18">
        <v>45891.595243055555</v>
      </c>
      <c r="W186" s="4" t="s">
        <v>4495</v>
      </c>
      <c r="Z186" s="5" t="s">
        <v>4496</v>
      </c>
      <c r="AA186" s="4" t="s">
        <v>445</v>
      </c>
      <c r="AB186" s="6">
        <v>45901.0</v>
      </c>
    </row>
    <row r="187">
      <c r="A187" s="8" t="s">
        <v>3673</v>
      </c>
      <c r="B187" s="24">
        <v>45891.0</v>
      </c>
      <c r="C187" s="8">
        <v>305000.0</v>
      </c>
      <c r="D187" s="24">
        <v>45839.0</v>
      </c>
      <c r="E187" s="24">
        <v>45870.0</v>
      </c>
      <c r="F187" s="8" t="s">
        <v>1491</v>
      </c>
      <c r="G187" s="19" t="s">
        <v>2425</v>
      </c>
      <c r="H187" s="21"/>
      <c r="I187" s="24">
        <v>45898.0</v>
      </c>
      <c r="J187" s="24">
        <v>45891.0</v>
      </c>
      <c r="K187" s="8" t="b">
        <v>0</v>
      </c>
      <c r="L187" s="8" t="s">
        <v>453</v>
      </c>
      <c r="M187" s="8" t="s">
        <v>4520</v>
      </c>
      <c r="N187" s="8" t="s">
        <v>454</v>
      </c>
      <c r="Q187" s="4"/>
      <c r="S187" s="7" t="s">
        <v>4047</v>
      </c>
      <c r="T187" s="4" t="s">
        <v>4521</v>
      </c>
      <c r="U187" s="4">
        <v>16.0</v>
      </c>
      <c r="V187" s="18">
        <v>45891.64299768519</v>
      </c>
      <c r="W187" s="4" t="s">
        <v>4522</v>
      </c>
      <c r="Y187" s="4" t="b">
        <v>1</v>
      </c>
      <c r="Z187" s="5" t="s">
        <v>4277</v>
      </c>
      <c r="AA187" s="4" t="s">
        <v>456</v>
      </c>
      <c r="AB187" s="6">
        <v>45902.0</v>
      </c>
    </row>
    <row r="188">
      <c r="A188" s="8" t="s">
        <v>3681</v>
      </c>
      <c r="B188" s="24">
        <v>45894.0</v>
      </c>
      <c r="C188" s="8">
        <v>315000.0</v>
      </c>
      <c r="D188" s="24">
        <v>45861.0</v>
      </c>
      <c r="E188" s="24">
        <v>45892.0</v>
      </c>
      <c r="F188" s="8" t="s">
        <v>1437</v>
      </c>
      <c r="G188" s="8" t="s">
        <v>2589</v>
      </c>
      <c r="H188" s="21"/>
      <c r="I188" s="24">
        <v>45912.0</v>
      </c>
      <c r="J188" s="24">
        <v>45902.0</v>
      </c>
      <c r="K188" s="8" t="b">
        <v>0</v>
      </c>
      <c r="L188" s="8" t="s">
        <v>462</v>
      </c>
      <c r="M188" s="19" t="s">
        <v>4523</v>
      </c>
      <c r="N188" s="21"/>
      <c r="Q188" s="4"/>
      <c r="S188" s="7" t="s">
        <v>3984</v>
      </c>
      <c r="T188" s="4" t="s">
        <v>4500</v>
      </c>
      <c r="U188" s="4">
        <v>0.0</v>
      </c>
      <c r="V188" s="18">
        <v>45902.75309027778</v>
      </c>
      <c r="W188" s="4" t="s">
        <v>4501</v>
      </c>
      <c r="Y188" s="4" t="b">
        <v>1</v>
      </c>
      <c r="Z188" s="5" t="s">
        <v>4264</v>
      </c>
      <c r="AA188" s="4" t="s">
        <v>464</v>
      </c>
      <c r="AB188" s="6">
        <v>45916.0</v>
      </c>
    </row>
    <row r="189">
      <c r="A189" s="8" t="s">
        <v>3683</v>
      </c>
      <c r="B189" s="24">
        <v>45901.0</v>
      </c>
      <c r="C189" s="8">
        <v>593000.0</v>
      </c>
      <c r="D189" s="24">
        <v>45860.0</v>
      </c>
      <c r="E189" s="24">
        <v>45891.0</v>
      </c>
      <c r="F189" s="8" t="s">
        <v>1596</v>
      </c>
      <c r="G189" s="8" t="s">
        <v>4441</v>
      </c>
      <c r="H189" s="21"/>
      <c r="I189" s="24">
        <v>45910.0</v>
      </c>
      <c r="J189" s="24">
        <v>45902.0</v>
      </c>
      <c r="K189" s="8" t="b">
        <v>1</v>
      </c>
      <c r="L189" s="21"/>
      <c r="M189" s="21"/>
      <c r="N189" s="21"/>
      <c r="Q189" s="4"/>
      <c r="R189" s="4" t="s">
        <v>4524</v>
      </c>
      <c r="S189" s="7" t="s">
        <v>3984</v>
      </c>
      <c r="T189" s="4" t="s">
        <v>4444</v>
      </c>
      <c r="U189" s="4">
        <v>24.0</v>
      </c>
      <c r="V189" s="18">
        <v>45902.753113425926</v>
      </c>
      <c r="W189" s="4" t="s">
        <v>4445</v>
      </c>
      <c r="Y189" s="4" t="b">
        <v>1</v>
      </c>
      <c r="Z189" s="5" t="s">
        <v>4446</v>
      </c>
      <c r="AA189" s="4" t="s">
        <v>473</v>
      </c>
      <c r="AB189" s="6">
        <v>45912.0</v>
      </c>
    </row>
    <row r="190">
      <c r="A190" s="8" t="s">
        <v>3704</v>
      </c>
      <c r="B190" s="24">
        <v>45903.0</v>
      </c>
      <c r="C190" s="8">
        <v>691000.0</v>
      </c>
      <c r="D190" s="24">
        <v>45866.0</v>
      </c>
      <c r="E190" s="24">
        <v>45897.0</v>
      </c>
      <c r="F190" s="8" t="s">
        <v>1535</v>
      </c>
      <c r="G190" s="8" t="s">
        <v>2887</v>
      </c>
      <c r="H190" s="8" t="s">
        <v>4332</v>
      </c>
      <c r="I190" s="24">
        <v>45932.0</v>
      </c>
      <c r="J190" s="24">
        <v>45923.0</v>
      </c>
      <c r="K190" s="8" t="b">
        <v>0</v>
      </c>
      <c r="L190" s="8" t="s">
        <v>478</v>
      </c>
      <c r="M190" s="19" t="s">
        <v>4525</v>
      </c>
      <c r="N190" s="21"/>
      <c r="Q190" s="4"/>
      <c r="S190" s="7" t="s">
        <v>3984</v>
      </c>
      <c r="T190" s="4" t="s">
        <v>2186</v>
      </c>
      <c r="U190" s="4">
        <v>20.0</v>
      </c>
      <c r="V190" s="18">
        <v>45923.6619212963</v>
      </c>
      <c r="W190" s="4" t="s">
        <v>4423</v>
      </c>
      <c r="X190" s="29">
        <v>0.0</v>
      </c>
      <c r="Y190" s="4" t="b">
        <v>1</v>
      </c>
      <c r="Z190" s="5" t="s">
        <v>4371</v>
      </c>
      <c r="AA190" s="4" t="s">
        <v>4526</v>
      </c>
      <c r="AB190" s="6">
        <v>45936.0</v>
      </c>
    </row>
    <row r="191">
      <c r="A191" s="8" t="s">
        <v>4527</v>
      </c>
      <c r="B191" s="24">
        <v>45903.0</v>
      </c>
      <c r="C191" s="8">
        <v>0.0</v>
      </c>
      <c r="D191" s="24">
        <v>45870.0</v>
      </c>
      <c r="E191" s="24">
        <v>45901.0</v>
      </c>
      <c r="F191" s="8" t="s">
        <v>1559</v>
      </c>
      <c r="G191" s="8" t="s">
        <v>4206</v>
      </c>
      <c r="H191" s="8" t="s">
        <v>4207</v>
      </c>
      <c r="I191" s="24">
        <v>45910.0</v>
      </c>
      <c r="J191" s="24">
        <v>45903.0</v>
      </c>
      <c r="K191" s="8" t="b">
        <v>1</v>
      </c>
      <c r="L191" s="21"/>
      <c r="M191" s="21"/>
      <c r="N191" s="21"/>
      <c r="Q191" s="4"/>
      <c r="S191" s="7" t="s">
        <v>3984</v>
      </c>
      <c r="T191" s="4" t="s">
        <v>4504</v>
      </c>
      <c r="U191" s="4">
        <v>24.0</v>
      </c>
      <c r="V191" s="18">
        <v>45903.60302083333</v>
      </c>
      <c r="W191" s="4" t="s">
        <v>4503</v>
      </c>
      <c r="Y191" s="4" t="b">
        <v>1</v>
      </c>
      <c r="Z191" s="5" t="s">
        <v>4303</v>
      </c>
      <c r="AA191" s="4" t="s">
        <v>486</v>
      </c>
      <c r="AB191" s="6">
        <v>45912.0</v>
      </c>
    </row>
    <row r="192">
      <c r="A192" s="8" t="s">
        <v>3700</v>
      </c>
      <c r="B192" s="24">
        <v>45903.0</v>
      </c>
      <c r="C192" s="8">
        <v>148000.0</v>
      </c>
      <c r="D192" s="24">
        <v>45855.0</v>
      </c>
      <c r="E192" s="24">
        <v>45886.0</v>
      </c>
      <c r="F192" s="8" t="s">
        <v>1437</v>
      </c>
      <c r="G192" s="8" t="s">
        <v>4003</v>
      </c>
      <c r="H192" s="8" t="s">
        <v>2517</v>
      </c>
      <c r="I192" s="24">
        <v>45931.0</v>
      </c>
      <c r="J192" s="24">
        <v>45919.0</v>
      </c>
      <c r="K192" s="8" t="b">
        <v>0</v>
      </c>
      <c r="L192" s="8" t="s">
        <v>490</v>
      </c>
      <c r="M192" s="19" t="s">
        <v>4528</v>
      </c>
      <c r="N192" s="21"/>
      <c r="Q192" s="4"/>
      <c r="R192" s="4" t="s">
        <v>4529</v>
      </c>
      <c r="S192" s="7" t="s">
        <v>3984</v>
      </c>
      <c r="T192" s="4" t="s">
        <v>2156</v>
      </c>
      <c r="U192" s="4">
        <v>0.0</v>
      </c>
      <c r="V192" s="18">
        <v>45919.72822916666</v>
      </c>
      <c r="W192" s="4" t="s">
        <v>4529</v>
      </c>
      <c r="Z192" s="5" t="s">
        <v>4404</v>
      </c>
      <c r="AA192" s="4" t="s">
        <v>4530</v>
      </c>
      <c r="AB192" s="6">
        <v>45933.0</v>
      </c>
      <c r="AC192" s="6">
        <v>45903.0</v>
      </c>
    </row>
    <row r="193">
      <c r="A193" s="8" t="s">
        <v>3712</v>
      </c>
      <c r="B193" s="24">
        <v>45903.0</v>
      </c>
      <c r="C193" s="8">
        <v>290000.0</v>
      </c>
      <c r="D193" s="24">
        <v>45870.0</v>
      </c>
      <c r="E193" s="24">
        <v>45901.0</v>
      </c>
      <c r="F193" s="8" t="s">
        <v>1491</v>
      </c>
      <c r="G193" s="19" t="s">
        <v>2425</v>
      </c>
      <c r="H193" s="21"/>
      <c r="I193" s="24">
        <v>45936.0</v>
      </c>
      <c r="J193" s="24">
        <v>45929.0</v>
      </c>
      <c r="K193" s="8" t="b">
        <v>0</v>
      </c>
      <c r="L193" s="8" t="s">
        <v>497</v>
      </c>
      <c r="M193" s="19" t="s">
        <v>4531</v>
      </c>
      <c r="N193" s="21"/>
      <c r="Q193" s="4"/>
      <c r="R193" s="4" t="s">
        <v>4532</v>
      </c>
      <c r="S193" s="7" t="s">
        <v>4047</v>
      </c>
      <c r="T193" s="4" t="s">
        <v>4521</v>
      </c>
      <c r="U193" s="4">
        <v>16.0</v>
      </c>
      <c r="V193" s="18">
        <v>45929.84012731481</v>
      </c>
      <c r="W193" s="4" t="s">
        <v>4532</v>
      </c>
      <c r="Y193" s="4" t="b">
        <v>1</v>
      </c>
      <c r="Z193" s="5" t="s">
        <v>4277</v>
      </c>
      <c r="AA193" s="4" t="s">
        <v>499</v>
      </c>
      <c r="AB193" s="6">
        <v>45937.0</v>
      </c>
    </row>
    <row r="194">
      <c r="A194" s="8" t="s">
        <v>3698</v>
      </c>
      <c r="B194" s="24">
        <v>45909.0</v>
      </c>
      <c r="C194" s="8">
        <v>1274000.0</v>
      </c>
      <c r="D194" s="24">
        <v>45877.0</v>
      </c>
      <c r="E194" s="24">
        <v>45908.0</v>
      </c>
      <c r="F194" s="8" t="s">
        <v>1616</v>
      </c>
      <c r="G194" s="8" t="s">
        <v>4512</v>
      </c>
      <c r="H194" s="8" t="s">
        <v>4513</v>
      </c>
      <c r="I194" s="24">
        <v>45929.0</v>
      </c>
      <c r="J194" s="24">
        <v>45919.0</v>
      </c>
      <c r="K194" s="8" t="b">
        <v>0</v>
      </c>
      <c r="L194" s="8" t="s">
        <v>504</v>
      </c>
      <c r="M194" s="19" t="s">
        <v>4533</v>
      </c>
      <c r="N194" s="21"/>
      <c r="Q194" s="4"/>
      <c r="S194" s="7" t="s">
        <v>3984</v>
      </c>
      <c r="T194" s="4" t="s">
        <v>4515</v>
      </c>
      <c r="U194" s="4">
        <v>40.0</v>
      </c>
      <c r="V194" s="18">
        <v>45919.46706018518</v>
      </c>
      <c r="W194" s="4" t="s">
        <v>4516</v>
      </c>
      <c r="Y194" s="4" t="b">
        <v>1</v>
      </c>
      <c r="Z194" s="5" t="s">
        <v>4517</v>
      </c>
      <c r="AA194" s="4" t="s">
        <v>506</v>
      </c>
      <c r="AB194" s="6">
        <v>45931.0</v>
      </c>
    </row>
    <row r="195">
      <c r="A195" s="8" t="s">
        <v>3696</v>
      </c>
      <c r="B195" s="24">
        <v>45911.0</v>
      </c>
      <c r="C195" s="8">
        <v>851000.0</v>
      </c>
      <c r="D195" s="24">
        <v>45880.0</v>
      </c>
      <c r="E195" s="24">
        <v>45911.0</v>
      </c>
      <c r="F195" s="8" t="s">
        <v>1419</v>
      </c>
      <c r="G195" s="8" t="s">
        <v>3981</v>
      </c>
      <c r="H195" s="8" t="s">
        <v>2478</v>
      </c>
      <c r="I195" s="24">
        <v>45930.0</v>
      </c>
      <c r="J195" s="24">
        <v>45918.0</v>
      </c>
      <c r="K195" s="8" t="b">
        <v>1</v>
      </c>
      <c r="L195" s="21"/>
      <c r="M195" s="21"/>
      <c r="N195" s="21"/>
      <c r="Q195" s="4"/>
      <c r="S195" s="4" t="s">
        <v>4485</v>
      </c>
      <c r="T195" s="4" t="s">
        <v>2174</v>
      </c>
      <c r="U195" s="4">
        <v>24.0</v>
      </c>
      <c r="V195" s="18">
        <v>45918.950370370374</v>
      </c>
      <c r="W195" s="4" t="s">
        <v>4471</v>
      </c>
      <c r="X195" s="29">
        <v>0.05</v>
      </c>
      <c r="Y195" s="4" t="b">
        <v>1</v>
      </c>
      <c r="Z195" s="5" t="s">
        <v>4394</v>
      </c>
      <c r="AA195" s="4" t="s">
        <v>513</v>
      </c>
      <c r="AB195" s="6">
        <v>45932.0</v>
      </c>
      <c r="AC195" s="6">
        <v>45911.0</v>
      </c>
    </row>
    <row r="196">
      <c r="A196" s="8" t="s">
        <v>3689</v>
      </c>
      <c r="B196" s="24">
        <v>45911.0</v>
      </c>
      <c r="C196" s="8">
        <v>500000.0</v>
      </c>
      <c r="D196" s="24">
        <v>45880.0</v>
      </c>
      <c r="E196" s="24">
        <v>45911.0</v>
      </c>
      <c r="F196" s="8" t="s">
        <v>1606</v>
      </c>
      <c r="G196" s="8" t="s">
        <v>4486</v>
      </c>
      <c r="H196" s="21"/>
      <c r="I196" s="24">
        <v>45919.0</v>
      </c>
      <c r="J196" s="24">
        <v>45915.0</v>
      </c>
      <c r="K196" s="8" t="b">
        <v>0</v>
      </c>
      <c r="L196" s="8" t="s">
        <v>517</v>
      </c>
      <c r="M196" s="19" t="s">
        <v>4534</v>
      </c>
      <c r="N196" s="21"/>
      <c r="Q196" s="4"/>
      <c r="S196" s="7" t="s">
        <v>4047</v>
      </c>
      <c r="T196" s="4" t="s">
        <v>4488</v>
      </c>
      <c r="U196" s="4">
        <v>18.0</v>
      </c>
      <c r="V196" s="18">
        <v>45915.46386574074</v>
      </c>
      <c r="W196" s="4" t="s">
        <v>4489</v>
      </c>
      <c r="Y196" s="4" t="b">
        <v>1</v>
      </c>
      <c r="Z196" s="5" t="s">
        <v>4490</v>
      </c>
      <c r="AA196" s="4" t="s">
        <v>519</v>
      </c>
      <c r="AB196" s="6">
        <v>45923.0</v>
      </c>
    </row>
    <row r="197">
      <c r="A197" s="8" t="s">
        <v>3693</v>
      </c>
      <c r="B197" s="24">
        <v>45911.0</v>
      </c>
      <c r="C197" s="8">
        <v>1437000.0</v>
      </c>
      <c r="D197" s="24">
        <v>45873.0</v>
      </c>
      <c r="E197" s="24">
        <v>45904.0</v>
      </c>
      <c r="F197" s="8" t="s">
        <v>1433</v>
      </c>
      <c r="G197" s="8" t="s">
        <v>2583</v>
      </c>
      <c r="H197" s="21"/>
      <c r="I197" s="24">
        <v>45931.0</v>
      </c>
      <c r="J197" s="24">
        <v>45924.0</v>
      </c>
      <c r="K197" s="8" t="b">
        <v>0</v>
      </c>
      <c r="L197" s="8" t="s">
        <v>524</v>
      </c>
      <c r="M197" s="19" t="s">
        <v>4535</v>
      </c>
      <c r="N197" s="21"/>
      <c r="Q197" s="4"/>
      <c r="S197" s="7" t="s">
        <v>4047</v>
      </c>
      <c r="T197" s="4" t="s">
        <v>4365</v>
      </c>
      <c r="U197" s="4">
        <v>48.0</v>
      </c>
      <c r="V197" s="18">
        <v>45924.463900462964</v>
      </c>
      <c r="X197" s="29">
        <v>0.1</v>
      </c>
      <c r="Y197" s="4" t="b">
        <v>1</v>
      </c>
      <c r="Z197" s="5" t="s">
        <v>4295</v>
      </c>
      <c r="AA197" s="4" t="s">
        <v>526</v>
      </c>
      <c r="AB197" s="6">
        <v>45933.0</v>
      </c>
    </row>
    <row r="198">
      <c r="A198" s="8" t="s">
        <v>3691</v>
      </c>
      <c r="B198" s="24">
        <v>45911.0</v>
      </c>
      <c r="C198" s="8">
        <v>642000.0</v>
      </c>
      <c r="D198" s="24">
        <v>45875.0</v>
      </c>
      <c r="E198" s="24">
        <v>45906.0</v>
      </c>
      <c r="F198" s="8" t="s">
        <v>1426</v>
      </c>
      <c r="G198" s="8" t="s">
        <v>2265</v>
      </c>
      <c r="H198" s="21"/>
      <c r="I198" s="24">
        <v>45926.0</v>
      </c>
      <c r="J198" s="24">
        <v>45917.0</v>
      </c>
      <c r="K198" s="8" t="b">
        <v>0</v>
      </c>
      <c r="L198" s="8" t="s">
        <v>531</v>
      </c>
      <c r="M198" s="19" t="s">
        <v>4536</v>
      </c>
      <c r="N198" s="21"/>
      <c r="Q198" s="4"/>
      <c r="S198" s="7" t="s">
        <v>4047</v>
      </c>
      <c r="T198" s="4" t="s">
        <v>4458</v>
      </c>
      <c r="U198" s="4">
        <v>30.0</v>
      </c>
      <c r="V198" s="18">
        <v>45917.494988425926</v>
      </c>
      <c r="W198" s="4" t="s">
        <v>4459</v>
      </c>
      <c r="Y198" s="4" t="b">
        <v>0</v>
      </c>
      <c r="Z198" s="5" t="s">
        <v>4291</v>
      </c>
      <c r="AA198" s="4" t="s">
        <v>533</v>
      </c>
      <c r="AB198" s="6">
        <v>45930.0</v>
      </c>
    </row>
    <row r="199">
      <c r="A199" s="8" t="s">
        <v>3685</v>
      </c>
      <c r="B199" s="24">
        <v>45911.0</v>
      </c>
      <c r="C199" s="8">
        <v>440000.0</v>
      </c>
      <c r="D199" s="24">
        <v>45876.0</v>
      </c>
      <c r="E199" s="24">
        <v>45907.0</v>
      </c>
      <c r="F199" s="8" t="s">
        <v>1539</v>
      </c>
      <c r="G199" s="8" t="s">
        <v>2782</v>
      </c>
      <c r="H199" s="21"/>
      <c r="I199" s="24">
        <v>45918.0</v>
      </c>
      <c r="J199" s="24">
        <v>45911.0</v>
      </c>
      <c r="K199" s="8" t="b">
        <v>0</v>
      </c>
      <c r="L199" s="8" t="s">
        <v>538</v>
      </c>
      <c r="M199" s="21"/>
      <c r="N199" s="21"/>
      <c r="Q199" s="4"/>
      <c r="S199" s="7" t="s">
        <v>4047</v>
      </c>
      <c r="T199" s="4" t="s">
        <v>4508</v>
      </c>
      <c r="U199" s="4">
        <v>16.0</v>
      </c>
      <c r="V199" s="18">
        <v>45911.67901620371</v>
      </c>
      <c r="W199" s="4" t="s">
        <v>4509</v>
      </c>
      <c r="Y199" s="4" t="b">
        <v>1</v>
      </c>
      <c r="Z199" s="5" t="s">
        <v>4309</v>
      </c>
      <c r="AA199" s="4" t="s">
        <v>4537</v>
      </c>
      <c r="AB199" s="6">
        <v>45922.0</v>
      </c>
    </row>
    <row r="200">
      <c r="A200" s="8"/>
      <c r="B200" s="24"/>
      <c r="C200" s="8"/>
      <c r="D200" s="24"/>
      <c r="E200" s="24"/>
      <c r="F200" s="8"/>
      <c r="G200" s="8"/>
      <c r="H200" s="21"/>
      <c r="I200" s="24"/>
      <c r="J200" s="24"/>
      <c r="K200" s="8"/>
      <c r="L200" s="21"/>
      <c r="M200" s="21"/>
      <c r="N200" s="21"/>
      <c r="Q200" s="4"/>
      <c r="S200" s="4"/>
      <c r="T200" s="4"/>
      <c r="U200" s="4"/>
      <c r="V200" s="18"/>
      <c r="Z200" s="4"/>
      <c r="AA200" s="4"/>
      <c r="AB200" s="6"/>
    </row>
    <row r="201">
      <c r="A201" s="8" t="s">
        <v>3702</v>
      </c>
      <c r="B201" s="24">
        <v>45915.0</v>
      </c>
      <c r="C201" s="8">
        <v>370500.0</v>
      </c>
      <c r="D201" s="24">
        <v>45901.0</v>
      </c>
      <c r="E201" s="24">
        <v>45903.0</v>
      </c>
      <c r="F201" s="8" t="s">
        <v>1635</v>
      </c>
      <c r="G201" s="8" t="s">
        <v>4538</v>
      </c>
      <c r="H201" s="21"/>
      <c r="I201" s="24">
        <v>45925.0</v>
      </c>
      <c r="J201" s="24">
        <v>45919.0</v>
      </c>
      <c r="K201" s="8" t="b">
        <v>1</v>
      </c>
      <c r="L201" s="21"/>
      <c r="M201" s="21"/>
      <c r="N201" s="21"/>
      <c r="Q201" s="4"/>
      <c r="S201" s="7" t="s">
        <v>4047</v>
      </c>
      <c r="T201" s="4" t="s">
        <v>4539</v>
      </c>
      <c r="U201" s="4">
        <v>16.0</v>
      </c>
      <c r="V201" s="18">
        <v>45919.868125</v>
      </c>
      <c r="W201" s="4" t="s">
        <v>4540</v>
      </c>
      <c r="Y201" s="4" t="b">
        <v>1</v>
      </c>
      <c r="Z201" s="5" t="s">
        <v>4541</v>
      </c>
      <c r="AA201" s="4" t="s">
        <v>4542</v>
      </c>
      <c r="AB201" s="6">
        <v>45929.0</v>
      </c>
    </row>
    <row r="202">
      <c r="A202" s="8" t="s">
        <v>3737</v>
      </c>
      <c r="B202" s="24">
        <v>45918.0</v>
      </c>
      <c r="C202" s="8">
        <v>423.0</v>
      </c>
      <c r="D202" s="24">
        <v>45883.0</v>
      </c>
      <c r="E202" s="24">
        <v>45914.0</v>
      </c>
      <c r="F202" s="8" t="s">
        <v>1587</v>
      </c>
      <c r="G202" s="8" t="s">
        <v>4425</v>
      </c>
      <c r="H202" s="21"/>
      <c r="I202" s="24">
        <v>45966.0</v>
      </c>
      <c r="J202" s="24">
        <v>45960.0</v>
      </c>
      <c r="K202" s="8" t="b">
        <v>1</v>
      </c>
      <c r="L202" s="21"/>
      <c r="M202" s="21"/>
      <c r="N202" s="21"/>
      <c r="Q202" s="4"/>
      <c r="S202" s="4" t="s">
        <v>4477</v>
      </c>
      <c r="T202" s="4" t="s">
        <v>2225</v>
      </c>
      <c r="U202" s="4">
        <v>24.0</v>
      </c>
      <c r="V202" s="18">
        <v>45960.63136574074</v>
      </c>
      <c r="W202" s="4" t="s">
        <v>4480</v>
      </c>
      <c r="Y202" s="4" t="b">
        <v>1</v>
      </c>
      <c r="Z202" s="5" t="s">
        <v>4428</v>
      </c>
      <c r="AA202" s="4" t="s">
        <v>569</v>
      </c>
      <c r="AB202" s="6">
        <v>45968.0</v>
      </c>
    </row>
    <row r="203">
      <c r="A203" s="8" t="s">
        <v>3714</v>
      </c>
      <c r="B203" s="24">
        <v>45924.0</v>
      </c>
      <c r="C203" s="8">
        <v>315000.0</v>
      </c>
      <c r="D203" s="24">
        <v>45892.0</v>
      </c>
      <c r="E203" s="24">
        <v>45923.0</v>
      </c>
      <c r="F203" s="8" t="s">
        <v>1437</v>
      </c>
      <c r="G203" s="8" t="s">
        <v>2589</v>
      </c>
      <c r="H203" s="21"/>
      <c r="I203" s="24">
        <v>45947.0</v>
      </c>
      <c r="J203" s="24">
        <v>45937.0</v>
      </c>
      <c r="K203" s="8" t="b">
        <v>0</v>
      </c>
      <c r="L203" s="8" t="s">
        <v>577</v>
      </c>
      <c r="M203" s="19" t="s">
        <v>4543</v>
      </c>
      <c r="N203" s="21"/>
      <c r="Q203" s="4"/>
      <c r="S203" s="7" t="s">
        <v>3984</v>
      </c>
      <c r="T203" s="4" t="s">
        <v>4500</v>
      </c>
      <c r="U203" s="4">
        <v>0.0</v>
      </c>
      <c r="V203" s="18">
        <v>45937.414675925924</v>
      </c>
      <c r="W203" s="4" t="s">
        <v>4501</v>
      </c>
      <c r="Y203" s="4" t="b">
        <v>1</v>
      </c>
      <c r="Z203" s="5" t="s">
        <v>4264</v>
      </c>
      <c r="AA203" s="4" t="s">
        <v>579</v>
      </c>
      <c r="AB203" s="6">
        <v>45951.0</v>
      </c>
    </row>
    <row r="204">
      <c r="A204" s="8" t="s">
        <v>3716</v>
      </c>
      <c r="B204" s="24">
        <v>45924.0</v>
      </c>
      <c r="C204" s="8">
        <v>149000.0</v>
      </c>
      <c r="D204" s="24">
        <v>45886.0</v>
      </c>
      <c r="E204" s="24">
        <v>45917.0</v>
      </c>
      <c r="F204" s="8" t="s">
        <v>1437</v>
      </c>
      <c r="G204" s="8" t="s">
        <v>4003</v>
      </c>
      <c r="H204" s="8" t="s">
        <v>2517</v>
      </c>
      <c r="I204" s="24">
        <v>45947.0</v>
      </c>
      <c r="J204" s="24">
        <v>45937.0</v>
      </c>
      <c r="K204" s="8" t="b">
        <v>0</v>
      </c>
      <c r="L204" s="8" t="s">
        <v>584</v>
      </c>
      <c r="M204" s="19" t="s">
        <v>4544</v>
      </c>
      <c r="N204" s="21"/>
      <c r="Q204" s="4"/>
      <c r="S204" s="7" t="s">
        <v>3984</v>
      </c>
      <c r="T204" s="4" t="s">
        <v>2156</v>
      </c>
      <c r="U204" s="4">
        <v>0.0</v>
      </c>
      <c r="V204" s="18">
        <v>45937.41473379629</v>
      </c>
      <c r="W204" s="4" t="s">
        <v>4529</v>
      </c>
      <c r="Y204" s="4" t="b">
        <v>1</v>
      </c>
      <c r="Z204" s="5" t="s">
        <v>4404</v>
      </c>
      <c r="AA204" s="4" t="s">
        <v>586</v>
      </c>
      <c r="AB204" s="6">
        <v>45951.0</v>
      </c>
    </row>
    <row r="205">
      <c r="A205" s="8" t="s">
        <v>3708</v>
      </c>
      <c r="B205" s="24">
        <v>45925.0</v>
      </c>
      <c r="C205" s="8">
        <v>1000000.0</v>
      </c>
      <c r="D205" s="24">
        <v>45887.0</v>
      </c>
      <c r="E205" s="24">
        <v>45918.0</v>
      </c>
      <c r="F205" s="8" t="s">
        <v>1610</v>
      </c>
      <c r="G205" s="8" t="s">
        <v>4492</v>
      </c>
      <c r="H205" s="8" t="s">
        <v>4493</v>
      </c>
      <c r="I205" s="24">
        <v>45932.0</v>
      </c>
      <c r="J205" s="24">
        <v>45926.0</v>
      </c>
      <c r="K205" s="8" t="b">
        <v>0</v>
      </c>
      <c r="L205" s="8" t="s">
        <v>591</v>
      </c>
      <c r="M205" s="19" t="s">
        <v>4545</v>
      </c>
      <c r="N205" s="21"/>
      <c r="Q205" s="4"/>
      <c r="S205" s="7" t="s">
        <v>3984</v>
      </c>
      <c r="T205" s="4" t="s">
        <v>82</v>
      </c>
      <c r="U205" s="4">
        <v>40.0</v>
      </c>
      <c r="V205" s="18">
        <v>45926.61856481482</v>
      </c>
      <c r="W205" s="4" t="s">
        <v>4546</v>
      </c>
      <c r="Y205" s="4" t="b">
        <v>1</v>
      </c>
      <c r="Z205" s="5" t="s">
        <v>4496</v>
      </c>
      <c r="AA205" s="4" t="s">
        <v>593</v>
      </c>
      <c r="AB205" s="6">
        <v>45936.0</v>
      </c>
    </row>
    <row r="206">
      <c r="A206" s="8" t="s">
        <v>3710</v>
      </c>
      <c r="B206" s="24">
        <v>45929.0</v>
      </c>
      <c r="C206" s="8">
        <v>593000.0</v>
      </c>
      <c r="D206" s="24">
        <v>45891.0</v>
      </c>
      <c r="E206" s="24">
        <v>45922.0</v>
      </c>
      <c r="F206" s="8" t="s">
        <v>1596</v>
      </c>
      <c r="G206" s="8" t="s">
        <v>4441</v>
      </c>
      <c r="H206" s="21"/>
      <c r="I206" s="24">
        <v>45937.0</v>
      </c>
      <c r="J206" s="24">
        <v>45929.0</v>
      </c>
      <c r="K206" s="8" t="b">
        <v>1</v>
      </c>
      <c r="L206" s="21"/>
      <c r="M206" s="21"/>
      <c r="N206" s="21"/>
      <c r="Q206" s="4"/>
      <c r="S206" s="7" t="s">
        <v>3984</v>
      </c>
      <c r="T206" s="4" t="s">
        <v>4444</v>
      </c>
      <c r="U206" s="4">
        <v>24.0</v>
      </c>
      <c r="V206" s="18">
        <v>45929.47163194444</v>
      </c>
      <c r="W206" s="4" t="s">
        <v>4445</v>
      </c>
      <c r="Y206" s="4" t="b">
        <v>1</v>
      </c>
      <c r="Z206" s="5" t="s">
        <v>4446</v>
      </c>
      <c r="AA206" s="4" t="s">
        <v>4547</v>
      </c>
      <c r="AB206" s="6">
        <v>45939.0</v>
      </c>
    </row>
    <row r="207">
      <c r="A207" s="8" t="s">
        <v>3726</v>
      </c>
      <c r="B207" s="24">
        <v>45939.0</v>
      </c>
      <c r="C207" s="8">
        <v>1437000.0</v>
      </c>
      <c r="D207" s="24">
        <v>45904.0</v>
      </c>
      <c r="E207" s="24">
        <v>45934.0</v>
      </c>
      <c r="F207" s="8" t="s">
        <v>1433</v>
      </c>
      <c r="G207" s="8" t="s">
        <v>2583</v>
      </c>
      <c r="H207" s="21"/>
      <c r="I207" s="25">
        <v>45972.0</v>
      </c>
      <c r="J207" s="24">
        <v>45965.0</v>
      </c>
      <c r="K207" s="8" t="b">
        <v>0</v>
      </c>
      <c r="L207" s="8" t="s">
        <v>617</v>
      </c>
      <c r="M207" s="19" t="s">
        <v>4548</v>
      </c>
      <c r="N207" s="21"/>
      <c r="Q207" s="4"/>
      <c r="S207" s="7" t="s">
        <v>4047</v>
      </c>
      <c r="T207" s="4" t="s">
        <v>4365</v>
      </c>
      <c r="U207" s="4">
        <v>48.0</v>
      </c>
      <c r="V207" s="18">
        <v>45965.57975694445</v>
      </c>
      <c r="X207" s="29">
        <v>0.1</v>
      </c>
      <c r="Y207" s="4" t="b">
        <v>1</v>
      </c>
      <c r="Z207" s="5" t="s">
        <v>4295</v>
      </c>
      <c r="AA207" s="4" t="s">
        <v>619</v>
      </c>
      <c r="AB207" s="17">
        <v>45974.0</v>
      </c>
    </row>
    <row r="208">
      <c r="A208" s="8" t="s">
        <v>3722</v>
      </c>
      <c r="B208" s="24">
        <v>45939.0</v>
      </c>
      <c r="C208" s="8">
        <v>1274000.0</v>
      </c>
      <c r="D208" s="24">
        <v>45908.0</v>
      </c>
      <c r="E208" s="24">
        <v>45938.0</v>
      </c>
      <c r="F208" s="8" t="s">
        <v>1616</v>
      </c>
      <c r="G208" s="8" t="s">
        <v>4512</v>
      </c>
      <c r="H208" s="8" t="s">
        <v>4513</v>
      </c>
      <c r="I208" s="25">
        <v>45959.0</v>
      </c>
      <c r="J208" s="24">
        <v>45951.0</v>
      </c>
      <c r="K208" s="8" t="b">
        <v>0</v>
      </c>
      <c r="L208" s="8" t="s">
        <v>624</v>
      </c>
      <c r="M208" s="19" t="s">
        <v>4549</v>
      </c>
      <c r="N208" s="21"/>
      <c r="Q208" s="4"/>
      <c r="S208" s="7" t="s">
        <v>3984</v>
      </c>
      <c r="T208" s="4" t="s">
        <v>4515</v>
      </c>
      <c r="U208" s="4">
        <v>40.0</v>
      </c>
      <c r="V208" s="18">
        <v>45951.52815972222</v>
      </c>
      <c r="W208" s="4" t="s">
        <v>4516</v>
      </c>
      <c r="Y208" s="4" t="b">
        <v>1</v>
      </c>
      <c r="Z208" s="5" t="s">
        <v>4517</v>
      </c>
      <c r="AA208" s="4" t="s">
        <v>626</v>
      </c>
      <c r="AB208" s="17">
        <v>45961.0</v>
      </c>
    </row>
    <row r="209">
      <c r="A209" s="8" t="s">
        <v>3728</v>
      </c>
      <c r="B209" s="24">
        <v>45939.0</v>
      </c>
      <c r="C209" s="8">
        <v>655000.0</v>
      </c>
      <c r="D209" s="24">
        <v>45906.0</v>
      </c>
      <c r="E209" s="24">
        <v>45936.0</v>
      </c>
      <c r="F209" s="8" t="s">
        <v>1426</v>
      </c>
      <c r="G209" s="8" t="s">
        <v>2265</v>
      </c>
      <c r="H209" s="21"/>
      <c r="I209" s="25">
        <v>45961.0</v>
      </c>
      <c r="J209" s="24">
        <v>45952.0</v>
      </c>
      <c r="K209" s="8" t="b">
        <v>0</v>
      </c>
      <c r="L209" s="8" t="s">
        <v>631</v>
      </c>
      <c r="M209" s="19" t="s">
        <v>4550</v>
      </c>
      <c r="N209" s="21"/>
      <c r="Q209" s="4"/>
      <c r="S209" s="7" t="s">
        <v>4047</v>
      </c>
      <c r="T209" s="4" t="s">
        <v>4458</v>
      </c>
      <c r="U209" s="4">
        <v>30.0</v>
      </c>
      <c r="V209" s="18">
        <v>45952.69886574074</v>
      </c>
      <c r="W209" s="4" t="s">
        <v>4459</v>
      </c>
      <c r="Y209" s="4" t="b">
        <v>0</v>
      </c>
      <c r="Z209" s="5" t="s">
        <v>4291</v>
      </c>
      <c r="AA209" s="4" t="s">
        <v>633</v>
      </c>
      <c r="AB209" s="17">
        <v>45965.0</v>
      </c>
    </row>
    <row r="210">
      <c r="A210" s="8" t="s">
        <v>3718</v>
      </c>
      <c r="B210" s="24">
        <v>45939.0</v>
      </c>
      <c r="C210" s="8">
        <v>440000.0</v>
      </c>
      <c r="D210" s="24">
        <v>45907.0</v>
      </c>
      <c r="E210" s="24">
        <v>45937.0</v>
      </c>
      <c r="F210" s="8" t="s">
        <v>1539</v>
      </c>
      <c r="G210" s="8" t="s">
        <v>2782</v>
      </c>
      <c r="H210" s="21"/>
      <c r="I210" s="25">
        <v>45951.0</v>
      </c>
      <c r="J210" s="24">
        <v>45944.0</v>
      </c>
      <c r="K210" s="8" t="b">
        <v>0</v>
      </c>
      <c r="L210" s="8" t="s">
        <v>638</v>
      </c>
      <c r="M210" s="19" t="s">
        <v>4551</v>
      </c>
      <c r="N210" s="21"/>
      <c r="Q210" s="4"/>
      <c r="S210" s="7" t="s">
        <v>4047</v>
      </c>
      <c r="T210" s="4" t="s">
        <v>4508</v>
      </c>
      <c r="U210" s="4">
        <v>16.0</v>
      </c>
      <c r="V210" s="18">
        <v>45944.509791666664</v>
      </c>
      <c r="W210" s="4" t="s">
        <v>4509</v>
      </c>
      <c r="Y210" s="4" t="b">
        <v>1</v>
      </c>
      <c r="Z210" s="5" t="s">
        <v>4309</v>
      </c>
      <c r="AA210" s="4" t="s">
        <v>640</v>
      </c>
      <c r="AB210" s="17">
        <v>45953.0</v>
      </c>
    </row>
    <row r="211" ht="120.75" customHeight="1">
      <c r="A211" s="8" t="s">
        <v>4552</v>
      </c>
      <c r="B211" s="24">
        <v>45939.0</v>
      </c>
      <c r="C211" s="8">
        <v>0.0</v>
      </c>
      <c r="D211" s="24">
        <v>45901.0</v>
      </c>
      <c r="E211" s="24">
        <v>45931.0</v>
      </c>
      <c r="F211" s="8" t="s">
        <v>1559</v>
      </c>
      <c r="G211" s="8" t="s">
        <v>4206</v>
      </c>
      <c r="H211" s="8" t="s">
        <v>4207</v>
      </c>
      <c r="I211" s="25">
        <v>45946.0</v>
      </c>
      <c r="J211" s="24">
        <v>45939.0</v>
      </c>
      <c r="K211" s="8" t="b">
        <v>1</v>
      </c>
      <c r="L211" s="21"/>
      <c r="M211" s="21"/>
      <c r="N211" s="21"/>
      <c r="Q211" s="4"/>
      <c r="S211" s="7" t="s">
        <v>3984</v>
      </c>
      <c r="T211" s="4" t="s">
        <v>4504</v>
      </c>
      <c r="U211" s="4">
        <v>24.0</v>
      </c>
      <c r="V211" s="18">
        <v>45940.47466435185</v>
      </c>
      <c r="W211" s="4" t="s">
        <v>4503</v>
      </c>
      <c r="Y211" s="4" t="b">
        <v>1</v>
      </c>
      <c r="Z211" s="5" t="s">
        <v>4303</v>
      </c>
      <c r="AA211" s="4" t="s">
        <v>646</v>
      </c>
      <c r="AB211" s="17">
        <v>45950.0</v>
      </c>
    </row>
    <row r="212">
      <c r="A212" s="8" t="s">
        <v>3739</v>
      </c>
      <c r="B212" s="25">
        <v>45946.0</v>
      </c>
      <c r="C212" s="8">
        <v>1127000.0</v>
      </c>
      <c r="D212" s="24">
        <v>45910.0</v>
      </c>
      <c r="E212" s="25">
        <v>45940.0</v>
      </c>
      <c r="F212" s="8" t="s">
        <v>1419</v>
      </c>
      <c r="G212" s="8" t="s">
        <v>3981</v>
      </c>
      <c r="H212" s="8" t="s">
        <v>2478</v>
      </c>
      <c r="I212" s="25">
        <v>45972.0</v>
      </c>
      <c r="J212" s="25">
        <v>45960.0</v>
      </c>
      <c r="K212" s="8" t="b">
        <v>1</v>
      </c>
      <c r="L212" s="21"/>
      <c r="M212" s="21"/>
      <c r="N212" s="21"/>
      <c r="Q212" s="4"/>
      <c r="S212" s="4" t="s">
        <v>4485</v>
      </c>
      <c r="T212" s="4" t="s">
        <v>4553</v>
      </c>
      <c r="U212" s="4">
        <v>36.0</v>
      </c>
      <c r="V212" s="28">
        <v>45960.71670138889</v>
      </c>
      <c r="W212" s="4" t="s">
        <v>4554</v>
      </c>
      <c r="Y212" s="4" t="b">
        <v>1</v>
      </c>
      <c r="Z212" s="5" t="s">
        <v>4394</v>
      </c>
      <c r="AA212" s="4" t="s">
        <v>652</v>
      </c>
      <c r="AB212" s="17">
        <v>45974.0</v>
      </c>
    </row>
    <row r="213">
      <c r="A213" s="8" t="s">
        <v>3724</v>
      </c>
      <c r="B213" s="25">
        <v>45946.0</v>
      </c>
      <c r="C213" s="8">
        <v>500000.0</v>
      </c>
      <c r="D213" s="24">
        <v>45910.0</v>
      </c>
      <c r="E213" s="25">
        <v>45940.0</v>
      </c>
      <c r="F213" s="8" t="s">
        <v>1606</v>
      </c>
      <c r="G213" s="8" t="s">
        <v>4486</v>
      </c>
      <c r="H213" s="21"/>
      <c r="I213" s="25">
        <v>45957.0</v>
      </c>
      <c r="J213" s="25">
        <v>45951.0</v>
      </c>
      <c r="K213" s="8" t="b">
        <v>0</v>
      </c>
      <c r="L213" s="8" t="s">
        <v>656</v>
      </c>
      <c r="M213" s="19" t="s">
        <v>4011</v>
      </c>
      <c r="N213" s="21"/>
      <c r="Q213" s="4"/>
      <c r="S213" s="7" t="s">
        <v>4047</v>
      </c>
      <c r="T213" s="4" t="s">
        <v>4488</v>
      </c>
      <c r="U213" s="4">
        <v>18.0</v>
      </c>
      <c r="V213" s="28">
        <v>45951.53797453704</v>
      </c>
      <c r="W213" s="4" t="s">
        <v>4489</v>
      </c>
      <c r="Y213" s="4" t="b">
        <v>1</v>
      </c>
      <c r="Z213" s="5" t="s">
        <v>4490</v>
      </c>
      <c r="AA213" s="4" t="s">
        <v>658</v>
      </c>
      <c r="AB213" s="17">
        <v>45959.0</v>
      </c>
    </row>
    <row r="214">
      <c r="A214" s="8" t="s">
        <v>3762</v>
      </c>
      <c r="B214" s="25">
        <v>45946.0</v>
      </c>
      <c r="C214" s="8">
        <v>28800.0</v>
      </c>
      <c r="D214" s="24">
        <v>45901.0</v>
      </c>
      <c r="E214" s="24">
        <v>45931.0</v>
      </c>
      <c r="F214" s="8" t="s">
        <v>1491</v>
      </c>
      <c r="G214" s="19" t="s">
        <v>2425</v>
      </c>
      <c r="H214" s="21"/>
      <c r="I214" s="25">
        <v>45982.0</v>
      </c>
      <c r="J214" s="25">
        <v>45976.0</v>
      </c>
      <c r="K214" s="8" t="b">
        <v>0</v>
      </c>
      <c r="L214" s="8" t="s">
        <v>663</v>
      </c>
      <c r="M214" s="19" t="s">
        <v>4015</v>
      </c>
      <c r="N214" s="21"/>
      <c r="Q214" s="4"/>
      <c r="S214" s="7" t="s">
        <v>4047</v>
      </c>
      <c r="T214" s="4" t="s">
        <v>4521</v>
      </c>
      <c r="U214" s="4">
        <v>16.0</v>
      </c>
      <c r="V214" s="28">
        <v>45976.455717592595</v>
      </c>
      <c r="W214" s="4" t="s">
        <v>4555</v>
      </c>
      <c r="Y214" s="4" t="b">
        <v>1</v>
      </c>
      <c r="Z214" s="5" t="s">
        <v>4277</v>
      </c>
      <c r="AA214" s="4" t="s">
        <v>665</v>
      </c>
      <c r="AB214" s="17">
        <v>45986.0</v>
      </c>
    </row>
    <row r="215">
      <c r="A215" s="8" t="s">
        <v>3730</v>
      </c>
      <c r="B215" s="25">
        <v>45950.0</v>
      </c>
      <c r="C215" s="8">
        <v>1050000.0</v>
      </c>
      <c r="D215" s="24">
        <v>45918.0</v>
      </c>
      <c r="E215" s="25">
        <v>45948.0</v>
      </c>
      <c r="F215" s="8" t="s">
        <v>1610</v>
      </c>
      <c r="G215" s="8" t="s">
        <v>4492</v>
      </c>
      <c r="H215" s="8" t="s">
        <v>4493</v>
      </c>
      <c r="I215" s="25">
        <v>45958.0</v>
      </c>
      <c r="J215" s="25">
        <v>45952.0</v>
      </c>
      <c r="K215" s="8" t="b">
        <v>0</v>
      </c>
      <c r="L215" s="8" t="s">
        <v>673</v>
      </c>
      <c r="M215" s="19" t="s">
        <v>4556</v>
      </c>
      <c r="N215" s="21"/>
      <c r="Q215" s="4"/>
      <c r="S215" s="7" t="s">
        <v>3984</v>
      </c>
      <c r="T215" s="4" t="s">
        <v>82</v>
      </c>
      <c r="U215" s="4">
        <v>40.0</v>
      </c>
      <c r="V215" s="28">
        <v>45952.75230324074</v>
      </c>
      <c r="W215" s="4" t="s">
        <v>4546</v>
      </c>
      <c r="Y215" s="4" t="b">
        <v>1</v>
      </c>
      <c r="Z215" s="5" t="s">
        <v>4496</v>
      </c>
      <c r="AA215" s="4" t="s">
        <v>675</v>
      </c>
      <c r="AB215" s="17">
        <v>45960.0</v>
      </c>
    </row>
    <row r="216">
      <c r="A216" s="8" t="s">
        <v>3746</v>
      </c>
      <c r="B216" s="25">
        <v>45950.0</v>
      </c>
      <c r="C216" s="8">
        <v>950000.0</v>
      </c>
      <c r="D216" s="24">
        <v>45897.0</v>
      </c>
      <c r="E216" s="24">
        <v>45928.0</v>
      </c>
      <c r="F216" s="8" t="s">
        <v>1535</v>
      </c>
      <c r="G216" s="8" t="s">
        <v>2887</v>
      </c>
      <c r="H216" s="8" t="s">
        <v>4332</v>
      </c>
      <c r="I216" s="25">
        <v>45974.0</v>
      </c>
      <c r="J216" s="25">
        <v>45965.0</v>
      </c>
      <c r="K216" s="8" t="b">
        <v>0</v>
      </c>
      <c r="L216" s="8" t="s">
        <v>680</v>
      </c>
      <c r="M216" s="19" t="s">
        <v>4557</v>
      </c>
      <c r="N216" s="21"/>
      <c r="Q216" s="4"/>
      <c r="R216" s="4" t="s">
        <v>4558</v>
      </c>
      <c r="S216" s="7" t="s">
        <v>3984</v>
      </c>
      <c r="T216" s="4" t="s">
        <v>4559</v>
      </c>
      <c r="U216" s="4">
        <v>30.0</v>
      </c>
      <c r="V216" s="28">
        <v>45965.56519675926</v>
      </c>
      <c r="W216" s="4" t="s">
        <v>4558</v>
      </c>
      <c r="Z216" s="5" t="s">
        <v>4371</v>
      </c>
      <c r="AA216" s="4" t="s">
        <v>4560</v>
      </c>
      <c r="AB216" s="17">
        <v>45978.0</v>
      </c>
    </row>
    <row r="217">
      <c r="A217" s="8" t="s">
        <v>3720</v>
      </c>
      <c r="B217" s="25">
        <v>45950.0</v>
      </c>
      <c r="C217" s="8">
        <v>236000.0</v>
      </c>
      <c r="D217" s="24">
        <v>45915.0</v>
      </c>
      <c r="E217" s="25">
        <v>45945.0</v>
      </c>
      <c r="F217" s="8" t="s">
        <v>1635</v>
      </c>
      <c r="G217" s="8" t="s">
        <v>4538</v>
      </c>
      <c r="H217" s="21"/>
      <c r="I217" s="25">
        <v>45954.0</v>
      </c>
      <c r="J217" s="25">
        <v>45950.0</v>
      </c>
      <c r="K217" s="8" t="b">
        <v>1</v>
      </c>
      <c r="L217" s="21"/>
      <c r="M217" s="21"/>
      <c r="N217" s="21"/>
      <c r="Q217" s="4"/>
      <c r="R217" s="4" t="s">
        <v>4561</v>
      </c>
      <c r="S217" s="7" t="s">
        <v>4047</v>
      </c>
      <c r="T217" s="4" t="s">
        <v>4539</v>
      </c>
      <c r="U217" s="4">
        <v>16.0</v>
      </c>
      <c r="V217" s="28">
        <v>45950.627858796295</v>
      </c>
      <c r="W217" s="4" t="s">
        <v>4562</v>
      </c>
      <c r="Y217" s="4" t="b">
        <v>1</v>
      </c>
      <c r="Z217" s="5" t="s">
        <v>4541</v>
      </c>
      <c r="AA217" s="4" t="s">
        <v>4563</v>
      </c>
      <c r="AB217" s="17"/>
    </row>
    <row r="218">
      <c r="A218" s="8" t="s">
        <v>3744</v>
      </c>
      <c r="B218" s="25">
        <v>45952.0</v>
      </c>
      <c r="C218" s="8">
        <v>151000.0</v>
      </c>
      <c r="D218" s="24">
        <v>45916.0</v>
      </c>
      <c r="E218" s="25">
        <v>45946.0</v>
      </c>
      <c r="F218" s="8" t="s">
        <v>1437</v>
      </c>
      <c r="G218" s="8" t="s">
        <v>4003</v>
      </c>
      <c r="H218" s="8" t="s">
        <v>2517</v>
      </c>
      <c r="I218" s="25">
        <v>45975.0</v>
      </c>
      <c r="J218" s="25">
        <v>45965.0</v>
      </c>
      <c r="K218" s="8" t="b">
        <v>0</v>
      </c>
      <c r="L218" s="8" t="s">
        <v>698</v>
      </c>
      <c r="M218" s="19" t="s">
        <v>4564</v>
      </c>
      <c r="N218" s="21"/>
      <c r="Q218" s="4"/>
      <c r="S218" s="7" t="s">
        <v>3984</v>
      </c>
      <c r="T218" s="4" t="s">
        <v>2156</v>
      </c>
      <c r="U218" s="4">
        <v>0.0</v>
      </c>
      <c r="V218" s="28">
        <v>45965.564988425926</v>
      </c>
      <c r="W218" s="4" t="s">
        <v>4529</v>
      </c>
      <c r="Y218" s="4" t="b">
        <v>1</v>
      </c>
      <c r="Z218" s="5" t="s">
        <v>4404</v>
      </c>
      <c r="AA218" s="4" t="s">
        <v>700</v>
      </c>
      <c r="AB218" s="6">
        <v>45979.0</v>
      </c>
    </row>
    <row r="219">
      <c r="A219" s="8" t="s">
        <v>3773</v>
      </c>
      <c r="B219" s="25">
        <v>45952.0</v>
      </c>
      <c r="C219" s="8">
        <v>423.0</v>
      </c>
      <c r="D219" s="24">
        <v>45913.0</v>
      </c>
      <c r="E219" s="25">
        <v>45943.0</v>
      </c>
      <c r="F219" s="8" t="s">
        <v>1587</v>
      </c>
      <c r="G219" s="8" t="s">
        <v>4425</v>
      </c>
      <c r="H219" s="21"/>
      <c r="I219" s="25">
        <v>45987.0</v>
      </c>
      <c r="J219" s="25">
        <v>45981.0</v>
      </c>
      <c r="K219" s="8" t="b">
        <v>1</v>
      </c>
      <c r="L219" s="21"/>
      <c r="M219" s="21"/>
      <c r="N219" s="21"/>
      <c r="Q219" s="4"/>
      <c r="S219" s="4" t="s">
        <v>4477</v>
      </c>
      <c r="T219" s="4" t="s">
        <v>2225</v>
      </c>
      <c r="U219" s="4">
        <v>24.0</v>
      </c>
      <c r="V219" s="28">
        <v>45981.46681712963</v>
      </c>
      <c r="W219" s="4" t="s">
        <v>4480</v>
      </c>
      <c r="Y219" s="4" t="b">
        <v>1</v>
      </c>
      <c r="Z219" s="5" t="s">
        <v>4428</v>
      </c>
      <c r="AA219" s="4" t="s">
        <v>706</v>
      </c>
      <c r="AB219" s="17">
        <v>45989.0</v>
      </c>
    </row>
    <row r="220">
      <c r="A220" s="8" t="s">
        <v>3733</v>
      </c>
      <c r="B220" s="25">
        <v>45953.0</v>
      </c>
      <c r="C220" s="8">
        <v>593000.0</v>
      </c>
      <c r="D220" s="24">
        <v>45921.0</v>
      </c>
      <c r="E220" s="25">
        <v>45951.0</v>
      </c>
      <c r="F220" s="8" t="s">
        <v>1596</v>
      </c>
      <c r="G220" s="8" t="s">
        <v>4441</v>
      </c>
      <c r="H220" s="21"/>
      <c r="I220" s="25">
        <v>45965.0</v>
      </c>
      <c r="J220" s="25">
        <v>45957.0</v>
      </c>
      <c r="K220" s="8" t="b">
        <v>1</v>
      </c>
      <c r="L220" s="21"/>
      <c r="M220" s="21"/>
      <c r="N220" s="21"/>
      <c r="P220" s="4" t="s">
        <v>711</v>
      </c>
      <c r="Q220" s="4"/>
      <c r="S220" s="7" t="s">
        <v>3984</v>
      </c>
      <c r="T220" s="4" t="s">
        <v>4444</v>
      </c>
      <c r="U220" s="4">
        <v>24.0</v>
      </c>
      <c r="V220" s="28">
        <v>45957.42953703704</v>
      </c>
      <c r="W220" s="4" t="s">
        <v>4445</v>
      </c>
      <c r="Y220" s="4" t="b">
        <v>1</v>
      </c>
      <c r="Z220" s="5" t="s">
        <v>4446</v>
      </c>
      <c r="AA220" s="4" t="s">
        <v>712</v>
      </c>
      <c r="AB220" s="6">
        <v>45967.0</v>
      </c>
    </row>
    <row r="221">
      <c r="A221" s="8" t="s">
        <v>3742</v>
      </c>
      <c r="B221" s="25">
        <v>45957.0</v>
      </c>
      <c r="C221" s="8">
        <v>315000.0</v>
      </c>
      <c r="D221" s="24">
        <v>45922.0</v>
      </c>
      <c r="E221" s="25">
        <v>45952.0</v>
      </c>
      <c r="F221" s="8" t="s">
        <v>1437</v>
      </c>
      <c r="G221" s="8" t="s">
        <v>2589</v>
      </c>
      <c r="H221" s="21"/>
      <c r="I221" s="24">
        <v>45975.0</v>
      </c>
      <c r="J221" s="25">
        <v>45965.0</v>
      </c>
      <c r="K221" s="8" t="b">
        <v>0</v>
      </c>
      <c r="L221" s="8" t="s">
        <v>716</v>
      </c>
      <c r="M221" s="21"/>
      <c r="N221" s="21"/>
      <c r="Q221" s="4"/>
      <c r="S221" s="7" t="s">
        <v>3984</v>
      </c>
      <c r="T221" s="4" t="s">
        <v>4500</v>
      </c>
      <c r="U221" s="4">
        <v>0.0</v>
      </c>
      <c r="V221" s="28">
        <v>45965.5649537037</v>
      </c>
      <c r="W221" s="4" t="s">
        <v>4501</v>
      </c>
      <c r="Y221" s="4" t="b">
        <v>1</v>
      </c>
      <c r="Z221" s="5" t="s">
        <v>4264</v>
      </c>
      <c r="AA221" s="4" t="s">
        <v>718</v>
      </c>
      <c r="AB221" s="17">
        <v>45979.0</v>
      </c>
    </row>
    <row r="222">
      <c r="A222" s="8" t="s">
        <v>3749</v>
      </c>
      <c r="B222" s="24">
        <v>45965.0</v>
      </c>
      <c r="C222" s="8">
        <v>1437000.0</v>
      </c>
      <c r="D222" s="24">
        <v>45934.0</v>
      </c>
      <c r="E222" s="24">
        <v>45965.0</v>
      </c>
      <c r="F222" s="8" t="s">
        <v>1433</v>
      </c>
      <c r="G222" s="8" t="s">
        <v>2583</v>
      </c>
      <c r="H222" s="21"/>
      <c r="I222" s="24">
        <v>45987.0</v>
      </c>
      <c r="J222" s="24">
        <v>45980.0</v>
      </c>
      <c r="K222" s="8" t="b">
        <v>0</v>
      </c>
      <c r="L222" s="8" t="s">
        <v>734</v>
      </c>
      <c r="M222" s="19" t="s">
        <v>4020</v>
      </c>
      <c r="N222" s="21"/>
      <c r="Q222" s="4"/>
      <c r="S222" s="7" t="s">
        <v>4047</v>
      </c>
      <c r="T222" s="4" t="s">
        <v>4365</v>
      </c>
      <c r="U222" s="4">
        <v>48.0</v>
      </c>
      <c r="V222" s="18">
        <v>45980.536203703705</v>
      </c>
      <c r="X222" s="29">
        <v>0.1</v>
      </c>
      <c r="Y222" s="4" t="b">
        <v>1</v>
      </c>
      <c r="Z222" s="5" t="s">
        <v>4295</v>
      </c>
      <c r="AA222" s="4" t="s">
        <v>736</v>
      </c>
      <c r="AB222" s="17">
        <v>45989.0</v>
      </c>
    </row>
    <row r="223">
      <c r="A223" s="8" t="s">
        <v>3753</v>
      </c>
      <c r="B223" s="24">
        <v>45981.0</v>
      </c>
      <c r="C223" s="8">
        <v>700000.0</v>
      </c>
      <c r="D223" s="25">
        <v>45948.0</v>
      </c>
      <c r="E223" s="25">
        <v>45980.0</v>
      </c>
      <c r="F223" s="8" t="s">
        <v>1648</v>
      </c>
      <c r="G223" s="8" t="s">
        <v>4565</v>
      </c>
      <c r="H223" s="21"/>
      <c r="I223" s="24">
        <v>45999.0</v>
      </c>
      <c r="J223" s="24">
        <v>45993.0</v>
      </c>
      <c r="K223" s="8" t="b">
        <v>0</v>
      </c>
      <c r="L223" s="8" t="s">
        <v>742</v>
      </c>
      <c r="M223" s="19" t="s">
        <v>4566</v>
      </c>
      <c r="N223" s="21"/>
      <c r="Q223" s="4"/>
      <c r="S223" s="7" t="s">
        <v>3984</v>
      </c>
      <c r="T223" s="7" t="s">
        <v>4567</v>
      </c>
      <c r="U223" s="4">
        <v>24.0</v>
      </c>
      <c r="V223" s="18">
        <v>45993.50506944444</v>
      </c>
      <c r="W223" s="4" t="s">
        <v>4568</v>
      </c>
      <c r="Y223" s="4" t="b">
        <v>1</v>
      </c>
      <c r="Z223" s="5" t="s">
        <v>4569</v>
      </c>
      <c r="AA223" s="4" t="s">
        <v>4570</v>
      </c>
      <c r="AB223" s="17">
        <v>46002.0</v>
      </c>
    </row>
    <row r="224">
      <c r="A224" s="8" t="s">
        <v>3751</v>
      </c>
      <c r="B224" s="24">
        <v>45965.0</v>
      </c>
      <c r="C224" s="8">
        <v>970000.0</v>
      </c>
      <c r="D224" s="24">
        <v>45931.0</v>
      </c>
      <c r="E224" s="24">
        <v>45962.0</v>
      </c>
      <c r="F224" s="8" t="s">
        <v>1559</v>
      </c>
      <c r="G224" s="8" t="s">
        <v>4571</v>
      </c>
      <c r="H224" s="8" t="s">
        <v>4207</v>
      </c>
      <c r="I224" s="24">
        <v>45975.0</v>
      </c>
      <c r="J224" s="24">
        <v>45968.0</v>
      </c>
      <c r="K224" s="8" t="b">
        <v>0</v>
      </c>
      <c r="L224" s="8" t="s">
        <v>750</v>
      </c>
      <c r="M224" s="19" t="s">
        <v>4572</v>
      </c>
      <c r="N224" s="21"/>
      <c r="Q224" s="4"/>
      <c r="S224" s="7" t="s">
        <v>3984</v>
      </c>
      <c r="T224" s="4" t="s">
        <v>4504</v>
      </c>
      <c r="U224" s="4">
        <v>32.0</v>
      </c>
      <c r="V224" s="18">
        <v>45968.6006712963</v>
      </c>
      <c r="W224" s="4" t="s">
        <v>4573</v>
      </c>
      <c r="Y224" s="4" t="b">
        <v>1</v>
      </c>
      <c r="Z224" s="5" t="s">
        <v>4574</v>
      </c>
      <c r="AA224" s="4" t="s">
        <v>752</v>
      </c>
      <c r="AB224" s="17">
        <v>45979.0</v>
      </c>
    </row>
    <row r="225">
      <c r="A225" s="19" t="s">
        <v>3756</v>
      </c>
      <c r="B225" s="25">
        <v>45971.0</v>
      </c>
      <c r="C225" s="8">
        <v>459000.0</v>
      </c>
      <c r="D225" s="24">
        <v>45937.0</v>
      </c>
      <c r="E225" s="24">
        <v>45968.0</v>
      </c>
      <c r="F225" s="8" t="s">
        <v>1539</v>
      </c>
      <c r="G225" s="8" t="s">
        <v>2782</v>
      </c>
      <c r="H225" s="21"/>
      <c r="I225" s="25">
        <v>45980.0</v>
      </c>
      <c r="J225" s="25">
        <v>45973.0</v>
      </c>
      <c r="K225" s="8" t="b">
        <v>0</v>
      </c>
      <c r="L225" s="8" t="s">
        <v>759</v>
      </c>
      <c r="M225" s="19" t="s">
        <v>4023</v>
      </c>
      <c r="N225" s="21"/>
      <c r="Q225" s="4"/>
      <c r="S225" s="7" t="s">
        <v>4047</v>
      </c>
      <c r="T225" s="4" t="s">
        <v>4508</v>
      </c>
      <c r="U225" s="4">
        <v>16.0</v>
      </c>
      <c r="V225" s="28">
        <v>45973.52222222222</v>
      </c>
      <c r="W225" s="4" t="s">
        <v>4575</v>
      </c>
      <c r="Y225" s="4" t="b">
        <v>1</v>
      </c>
      <c r="Z225" s="5" t="s">
        <v>4309</v>
      </c>
      <c r="AA225" s="4" t="s">
        <v>761</v>
      </c>
      <c r="AB225" s="17">
        <v>45982.0</v>
      </c>
    </row>
    <row r="226">
      <c r="A226" s="8" t="s">
        <v>3779</v>
      </c>
      <c r="B226" s="25">
        <v>45971.0</v>
      </c>
      <c r="C226" s="8">
        <v>1342000.0</v>
      </c>
      <c r="D226" s="24">
        <v>45938.0</v>
      </c>
      <c r="E226" s="24">
        <v>45969.0</v>
      </c>
      <c r="F226" s="8" t="s">
        <v>1616</v>
      </c>
      <c r="G226" s="8" t="s">
        <v>4512</v>
      </c>
      <c r="H226" s="8" t="s">
        <v>4513</v>
      </c>
      <c r="I226" s="25">
        <v>45995.0</v>
      </c>
      <c r="J226" s="25">
        <v>45987.0</v>
      </c>
      <c r="K226" s="8" t="b">
        <v>0</v>
      </c>
      <c r="L226" s="8" t="s">
        <v>766</v>
      </c>
      <c r="M226" s="19" t="s">
        <v>4576</v>
      </c>
      <c r="N226" s="21"/>
      <c r="Q226" s="4"/>
      <c r="S226" s="7" t="s">
        <v>3984</v>
      </c>
      <c r="T226" s="4" t="s">
        <v>4515</v>
      </c>
      <c r="U226" s="4">
        <v>40.0</v>
      </c>
      <c r="V226" s="28">
        <v>45987.495300925926</v>
      </c>
      <c r="W226" s="4" t="s">
        <v>4577</v>
      </c>
      <c r="Y226" s="4" t="b">
        <v>1</v>
      </c>
      <c r="Z226" s="5" t="s">
        <v>4517</v>
      </c>
      <c r="AA226" s="4" t="s">
        <v>4578</v>
      </c>
      <c r="AB226" s="17">
        <v>45999.0</v>
      </c>
    </row>
    <row r="227">
      <c r="A227" s="8" t="s">
        <v>3760</v>
      </c>
      <c r="B227" s="25">
        <v>45971.0</v>
      </c>
      <c r="C227" s="8">
        <v>668000.0</v>
      </c>
      <c r="D227" s="24">
        <v>45936.0</v>
      </c>
      <c r="E227" s="24">
        <v>45967.0</v>
      </c>
      <c r="F227" s="8" t="s">
        <v>1426</v>
      </c>
      <c r="G227" s="8" t="s">
        <v>2265</v>
      </c>
      <c r="H227" s="21"/>
      <c r="I227" s="25">
        <v>45986.0</v>
      </c>
      <c r="J227" s="25">
        <v>45975.0</v>
      </c>
      <c r="K227" s="8" t="b">
        <v>0</v>
      </c>
      <c r="L227" s="8" t="s">
        <v>773</v>
      </c>
      <c r="M227" s="19" t="s">
        <v>4579</v>
      </c>
      <c r="N227" s="21"/>
      <c r="Q227" s="4"/>
      <c r="S227" s="7" t="s">
        <v>4047</v>
      </c>
      <c r="T227" s="4" t="s">
        <v>4458</v>
      </c>
      <c r="U227" s="4">
        <v>30.0</v>
      </c>
      <c r="V227" s="28">
        <v>45975.42225694445</v>
      </c>
      <c r="W227" s="4" t="s">
        <v>4459</v>
      </c>
      <c r="Y227" s="4" t="b">
        <v>0</v>
      </c>
      <c r="Z227" s="5" t="s">
        <v>4291</v>
      </c>
      <c r="AA227" s="4" t="s">
        <v>775</v>
      </c>
      <c r="AB227" s="17">
        <v>45988.0</v>
      </c>
    </row>
    <row r="228">
      <c r="A228" s="8" t="s">
        <v>3783</v>
      </c>
      <c r="B228" s="25">
        <v>45971.0</v>
      </c>
      <c r="C228" s="8">
        <v>950000.0</v>
      </c>
      <c r="D228" s="24">
        <v>45928.0</v>
      </c>
      <c r="E228" s="25">
        <v>45958.0</v>
      </c>
      <c r="F228" s="8" t="s">
        <v>1535</v>
      </c>
      <c r="G228" s="8" t="s">
        <v>2887</v>
      </c>
      <c r="H228" s="8" t="s">
        <v>4332</v>
      </c>
      <c r="I228" s="25">
        <v>46000.0</v>
      </c>
      <c r="J228" s="25">
        <v>45989.0</v>
      </c>
      <c r="K228" s="8" t="b">
        <v>0</v>
      </c>
      <c r="L228" s="8" t="s">
        <v>780</v>
      </c>
      <c r="M228" s="19" t="s">
        <v>4580</v>
      </c>
      <c r="N228" s="21"/>
      <c r="Q228" s="4"/>
      <c r="S228" s="7" t="s">
        <v>3984</v>
      </c>
      <c r="T228" s="4" t="s">
        <v>4559</v>
      </c>
      <c r="U228" s="4">
        <v>30.0</v>
      </c>
      <c r="V228" s="28">
        <v>45989.99579861111</v>
      </c>
      <c r="W228" s="4" t="s">
        <v>4558</v>
      </c>
      <c r="Y228" s="4" t="b">
        <v>1</v>
      </c>
      <c r="Z228" s="5" t="s">
        <v>4371</v>
      </c>
      <c r="AA228" s="4" t="s">
        <v>4581</v>
      </c>
      <c r="AB228" s="17">
        <v>46003.0</v>
      </c>
    </row>
    <row r="229">
      <c r="A229" s="8" t="s">
        <v>3777</v>
      </c>
      <c r="B229" s="25">
        <v>45974.0</v>
      </c>
      <c r="C229" s="8">
        <v>158400.0</v>
      </c>
      <c r="D229" s="24">
        <v>45931.0</v>
      </c>
      <c r="E229" s="25">
        <v>45974.0</v>
      </c>
      <c r="F229" s="8" t="s">
        <v>1491</v>
      </c>
      <c r="G229" s="19" t="s">
        <v>2425</v>
      </c>
      <c r="H229" s="21"/>
      <c r="I229" s="25">
        <v>45993.0</v>
      </c>
      <c r="J229" s="25">
        <v>45986.0</v>
      </c>
      <c r="K229" s="8" t="b">
        <v>0</v>
      </c>
      <c r="L229" s="8" t="s">
        <v>790</v>
      </c>
      <c r="M229" s="19" t="s">
        <v>4582</v>
      </c>
      <c r="N229" s="21"/>
      <c r="Q229" s="4"/>
      <c r="R229" s="4" t="s">
        <v>4583</v>
      </c>
      <c r="S229" s="7" t="s">
        <v>4047</v>
      </c>
      <c r="T229" s="4" t="s">
        <v>4521</v>
      </c>
      <c r="U229" s="4">
        <v>16.0</v>
      </c>
      <c r="V229" s="28">
        <v>45986.87847222222</v>
      </c>
      <c r="W229" s="4" t="s">
        <v>4583</v>
      </c>
      <c r="Y229" s="4" t="b">
        <v>1</v>
      </c>
      <c r="Z229" s="5" t="s">
        <v>4277</v>
      </c>
      <c r="AA229" s="4" t="s">
        <v>792</v>
      </c>
      <c r="AB229" s="17">
        <v>45995.0</v>
      </c>
    </row>
    <row r="230">
      <c r="A230" s="8" t="s">
        <v>3758</v>
      </c>
      <c r="B230" s="25">
        <v>45974.0</v>
      </c>
      <c r="C230" s="8">
        <v>653000.0</v>
      </c>
      <c r="D230" s="24">
        <v>45936.0</v>
      </c>
      <c r="E230" s="24">
        <v>45967.0</v>
      </c>
      <c r="F230" s="8" t="s">
        <v>1515</v>
      </c>
      <c r="G230" s="8" t="s">
        <v>4584</v>
      </c>
      <c r="H230" s="21"/>
      <c r="I230" s="25">
        <v>45980.0</v>
      </c>
      <c r="J230" s="25">
        <v>45974.0</v>
      </c>
      <c r="K230" s="8" t="b">
        <v>1</v>
      </c>
      <c r="L230" s="21"/>
      <c r="M230" s="21"/>
      <c r="N230" s="21"/>
      <c r="Q230" s="4"/>
      <c r="R230" s="4" t="s">
        <v>4585</v>
      </c>
      <c r="S230" s="7" t="s">
        <v>3984</v>
      </c>
      <c r="T230" s="4" t="s">
        <v>4586</v>
      </c>
      <c r="U230" s="4">
        <v>24.0</v>
      </c>
      <c r="V230" s="28">
        <v>45974.47414351852</v>
      </c>
      <c r="W230" s="4" t="s">
        <v>4587</v>
      </c>
      <c r="Y230" s="4" t="b">
        <v>1</v>
      </c>
      <c r="Z230" s="5" t="s">
        <v>4588</v>
      </c>
      <c r="AA230" s="4" t="s">
        <v>4589</v>
      </c>
      <c r="AB230" s="17">
        <v>45982.0</v>
      </c>
    </row>
    <row r="231">
      <c r="A231" s="8" t="s">
        <v>3765</v>
      </c>
      <c r="B231" s="25">
        <v>45978.0</v>
      </c>
      <c r="C231" s="8">
        <v>228800.0</v>
      </c>
      <c r="D231" s="25">
        <v>45977.0</v>
      </c>
      <c r="E231" s="25">
        <v>46007.0</v>
      </c>
      <c r="F231" s="8" t="s">
        <v>1635</v>
      </c>
      <c r="G231" s="8" t="s">
        <v>4538</v>
      </c>
      <c r="H231" s="21"/>
      <c r="I231" s="25">
        <v>45982.0</v>
      </c>
      <c r="J231" s="25">
        <v>45978.0</v>
      </c>
      <c r="K231" s="8" t="b">
        <v>1</v>
      </c>
      <c r="L231" s="21"/>
      <c r="M231" s="21"/>
      <c r="N231" s="21"/>
      <c r="Q231" s="4"/>
      <c r="S231" s="7" t="s">
        <v>4047</v>
      </c>
      <c r="T231" s="4" t="s">
        <v>4539</v>
      </c>
      <c r="U231" s="4">
        <v>16.0</v>
      </c>
      <c r="V231" s="28">
        <v>45978.478541666664</v>
      </c>
      <c r="W231" s="4" t="s">
        <v>4590</v>
      </c>
      <c r="Y231" s="4" t="b">
        <v>1</v>
      </c>
      <c r="Z231" s="5" t="s">
        <v>4541</v>
      </c>
      <c r="AA231" s="4" t="s">
        <v>810</v>
      </c>
      <c r="AB231" s="17">
        <v>45986.0</v>
      </c>
    </row>
    <row r="232">
      <c r="A232" s="8" t="s">
        <v>3788</v>
      </c>
      <c r="B232" s="25">
        <v>45980.0</v>
      </c>
      <c r="C232" s="8">
        <v>184000.0</v>
      </c>
      <c r="D232" s="25">
        <v>45945.0</v>
      </c>
      <c r="E232" s="25">
        <v>45977.0</v>
      </c>
      <c r="F232" s="8" t="s">
        <v>1437</v>
      </c>
      <c r="G232" s="8" t="s">
        <v>4003</v>
      </c>
      <c r="H232" s="8" t="s">
        <v>2517</v>
      </c>
      <c r="I232" s="25">
        <v>46006.0</v>
      </c>
      <c r="J232" s="25">
        <v>45994.0</v>
      </c>
      <c r="K232" s="8" t="b">
        <v>0</v>
      </c>
      <c r="L232" s="8" t="s">
        <v>816</v>
      </c>
      <c r="M232" s="19" t="s">
        <v>4591</v>
      </c>
      <c r="N232" s="21"/>
      <c r="Q232" s="4"/>
      <c r="S232" s="7" t="s">
        <v>3984</v>
      </c>
      <c r="T232" s="4" t="s">
        <v>2156</v>
      </c>
      <c r="U232" s="4">
        <v>0.0</v>
      </c>
      <c r="V232" s="28">
        <v>45994.829733796294</v>
      </c>
      <c r="W232" s="4" t="s">
        <v>4592</v>
      </c>
      <c r="Y232" s="4" t="b">
        <v>1</v>
      </c>
      <c r="Z232" s="5" t="s">
        <v>4404</v>
      </c>
      <c r="AA232" s="4" t="s">
        <v>818</v>
      </c>
      <c r="AB232" s="6">
        <v>46009.0</v>
      </c>
    </row>
    <row r="233">
      <c r="A233" s="8" t="s">
        <v>3785</v>
      </c>
      <c r="B233" s="25">
        <v>45980.0</v>
      </c>
      <c r="C233" s="8">
        <v>1127000.0</v>
      </c>
      <c r="D233" s="24">
        <v>45939.0</v>
      </c>
      <c r="E233" s="25">
        <v>45971.0</v>
      </c>
      <c r="F233" s="8" t="s">
        <v>1419</v>
      </c>
      <c r="G233" s="8" t="s">
        <v>3981</v>
      </c>
      <c r="H233" s="8" t="s">
        <v>2478</v>
      </c>
      <c r="I233" s="25">
        <v>46020.0</v>
      </c>
      <c r="J233" s="25">
        <v>46008.0</v>
      </c>
      <c r="K233" s="8" t="b">
        <v>1</v>
      </c>
      <c r="L233" s="21"/>
      <c r="M233" s="21"/>
      <c r="N233" s="21"/>
      <c r="Q233" s="4"/>
      <c r="S233" s="4" t="s">
        <v>4485</v>
      </c>
      <c r="T233" s="4" t="s">
        <v>4553</v>
      </c>
      <c r="U233" s="4">
        <v>36.0</v>
      </c>
      <c r="V233" s="28">
        <v>45992.47342592593</v>
      </c>
      <c r="W233" s="4" t="s">
        <v>4554</v>
      </c>
      <c r="Y233" s="4" t="b">
        <v>1</v>
      </c>
      <c r="Z233" s="5" t="s">
        <v>4394</v>
      </c>
      <c r="AA233" s="4" t="s">
        <v>824</v>
      </c>
      <c r="AB233" s="6">
        <v>46007.0</v>
      </c>
    </row>
    <row r="234">
      <c r="A234" s="8" t="s">
        <v>3768</v>
      </c>
      <c r="B234" s="25">
        <v>45980.0</v>
      </c>
      <c r="C234" s="8">
        <v>400000.0</v>
      </c>
      <c r="D234" s="24">
        <v>45933.0</v>
      </c>
      <c r="E234" s="24">
        <v>45964.0</v>
      </c>
      <c r="F234" s="8" t="s">
        <v>1486</v>
      </c>
      <c r="G234" s="8" t="s">
        <v>4593</v>
      </c>
      <c r="H234" s="21"/>
      <c r="I234" s="25">
        <v>45987.0</v>
      </c>
      <c r="J234" s="25">
        <v>45980.0</v>
      </c>
      <c r="K234" s="8" t="b">
        <v>1</v>
      </c>
      <c r="L234" s="8" t="s">
        <v>1233</v>
      </c>
      <c r="M234" s="21"/>
      <c r="N234" s="8" t="s">
        <v>1239</v>
      </c>
      <c r="O234" s="4" t="s">
        <v>1252</v>
      </c>
      <c r="Q234" s="4"/>
      <c r="S234" s="4" t="s">
        <v>4594</v>
      </c>
      <c r="T234" s="4" t="s">
        <v>2216</v>
      </c>
      <c r="U234" s="4">
        <v>24.0</v>
      </c>
      <c r="V234" s="28">
        <v>45980.58173611111</v>
      </c>
      <c r="Y234" s="4" t="b">
        <v>1</v>
      </c>
      <c r="Z234" s="5" t="s">
        <v>4595</v>
      </c>
      <c r="AA234" s="4" t="s">
        <v>829</v>
      </c>
      <c r="AB234" s="17">
        <v>46114.0</v>
      </c>
    </row>
    <row r="235">
      <c r="A235" s="8" t="s">
        <v>3797</v>
      </c>
      <c r="B235" s="25">
        <v>45980.0</v>
      </c>
      <c r="C235" s="8">
        <v>423.0</v>
      </c>
      <c r="D235" s="25">
        <v>45942.0</v>
      </c>
      <c r="E235" s="25">
        <v>45974.0</v>
      </c>
      <c r="F235" s="8" t="s">
        <v>1587</v>
      </c>
      <c r="G235" s="8" t="s">
        <v>4425</v>
      </c>
      <c r="H235" s="21"/>
      <c r="I235" s="25">
        <v>46008.0</v>
      </c>
      <c r="J235" s="25">
        <v>46002.0</v>
      </c>
      <c r="K235" s="8" t="b">
        <v>1</v>
      </c>
      <c r="L235" s="21"/>
      <c r="M235" s="21"/>
      <c r="N235" s="21"/>
      <c r="Q235" s="4"/>
      <c r="S235" s="4" t="s">
        <v>4477</v>
      </c>
      <c r="T235" s="4" t="s">
        <v>2225</v>
      </c>
      <c r="U235" s="4">
        <v>24.0</v>
      </c>
      <c r="V235" s="28">
        <v>46002.43324074074</v>
      </c>
      <c r="W235" s="4" t="s">
        <v>4480</v>
      </c>
      <c r="Y235" s="4" t="b">
        <v>1</v>
      </c>
      <c r="Z235" s="5" t="s">
        <v>4428</v>
      </c>
      <c r="AA235" s="4" t="s">
        <v>4596</v>
      </c>
      <c r="AB235" s="17">
        <v>46010.0</v>
      </c>
    </row>
    <row r="236">
      <c r="A236" s="8" t="s">
        <v>3775</v>
      </c>
      <c r="B236" s="25">
        <v>45980.0</v>
      </c>
      <c r="C236" s="8">
        <v>1050000.0</v>
      </c>
      <c r="D236" s="25">
        <v>45946.0</v>
      </c>
      <c r="E236" s="25">
        <v>45978.0</v>
      </c>
      <c r="F236" s="8" t="s">
        <v>1610</v>
      </c>
      <c r="G236" s="8" t="s">
        <v>4492</v>
      </c>
      <c r="H236" s="8" t="s">
        <v>4493</v>
      </c>
      <c r="I236" s="25">
        <v>45992.0</v>
      </c>
      <c r="J236" s="25">
        <v>45986.0</v>
      </c>
      <c r="K236" s="8" t="b">
        <v>0</v>
      </c>
      <c r="L236" s="8" t="s">
        <v>838</v>
      </c>
      <c r="M236" s="19" t="s">
        <v>4597</v>
      </c>
      <c r="N236" s="21"/>
      <c r="Q236" s="4"/>
      <c r="S236" s="7" t="s">
        <v>3984</v>
      </c>
      <c r="T236" s="4" t="s">
        <v>82</v>
      </c>
      <c r="U236" s="4">
        <v>40.0</v>
      </c>
      <c r="V236" s="28">
        <v>45986.59950231481</v>
      </c>
      <c r="W236" s="4" t="s">
        <v>4598</v>
      </c>
      <c r="Y236" s="4" t="b">
        <v>1</v>
      </c>
      <c r="Z236" s="5" t="s">
        <v>4496</v>
      </c>
      <c r="AA236" s="4" t="s">
        <v>4599</v>
      </c>
      <c r="AB236" s="17">
        <v>45994.0</v>
      </c>
    </row>
    <row r="237">
      <c r="A237" s="8" t="s">
        <v>3781</v>
      </c>
      <c r="B237" s="25">
        <v>45981.0</v>
      </c>
      <c r="C237" s="8">
        <v>527000.0</v>
      </c>
      <c r="D237" s="24">
        <v>45939.0</v>
      </c>
      <c r="E237" s="25">
        <v>45971.0</v>
      </c>
      <c r="F237" s="8" t="s">
        <v>1606</v>
      </c>
      <c r="G237" s="8" t="s">
        <v>4486</v>
      </c>
      <c r="H237" s="21"/>
      <c r="I237" s="25">
        <v>45993.0</v>
      </c>
      <c r="J237" s="25">
        <v>45987.0</v>
      </c>
      <c r="K237" s="8" t="b">
        <v>0</v>
      </c>
      <c r="L237" s="8" t="s">
        <v>848</v>
      </c>
      <c r="M237" s="19" t="s">
        <v>4600</v>
      </c>
      <c r="N237" s="21"/>
      <c r="Q237" s="4"/>
      <c r="S237" s="7" t="s">
        <v>4047</v>
      </c>
      <c r="T237" s="4" t="s">
        <v>4488</v>
      </c>
      <c r="U237" s="4">
        <v>18.0</v>
      </c>
      <c r="V237" s="28">
        <v>45987.583449074074</v>
      </c>
      <c r="W237" s="4" t="s">
        <v>4601</v>
      </c>
      <c r="Y237" s="4" t="b">
        <v>1</v>
      </c>
      <c r="Z237" s="5" t="s">
        <v>4490</v>
      </c>
      <c r="AA237" s="4" t="s">
        <v>4602</v>
      </c>
      <c r="AB237" s="17">
        <v>45995.0</v>
      </c>
    </row>
    <row r="238">
      <c r="A238" s="8" t="s">
        <v>3790</v>
      </c>
      <c r="B238" s="25">
        <v>45986.0</v>
      </c>
      <c r="C238" s="8">
        <v>315000.0</v>
      </c>
      <c r="D238" s="25">
        <v>45951.0</v>
      </c>
      <c r="E238" s="25">
        <v>45983.0</v>
      </c>
      <c r="F238" s="8" t="s">
        <v>1437</v>
      </c>
      <c r="G238" s="8" t="s">
        <v>2589</v>
      </c>
      <c r="H238" s="21"/>
      <c r="I238" s="25">
        <v>46007.0</v>
      </c>
      <c r="J238" s="25">
        <v>45995.0</v>
      </c>
      <c r="K238" s="8" t="b">
        <v>0</v>
      </c>
      <c r="L238" s="8" t="s">
        <v>861</v>
      </c>
      <c r="M238" s="19" t="s">
        <v>4603</v>
      </c>
      <c r="N238" s="21"/>
      <c r="Q238" s="4"/>
      <c r="S238" s="7" t="s">
        <v>3984</v>
      </c>
      <c r="T238" s="4" t="s">
        <v>4500</v>
      </c>
      <c r="U238" s="4">
        <v>0.0</v>
      </c>
      <c r="V238" s="28">
        <v>45995.630960648145</v>
      </c>
      <c r="W238" s="4" t="s">
        <v>4501</v>
      </c>
      <c r="Y238" s="4" t="b">
        <v>1</v>
      </c>
      <c r="Z238" s="5" t="s">
        <v>4264</v>
      </c>
      <c r="AA238" s="4" t="s">
        <v>863</v>
      </c>
      <c r="AB238" s="6">
        <v>46010.0</v>
      </c>
    </row>
    <row r="239">
      <c r="A239" s="8" t="s">
        <v>3799</v>
      </c>
      <c r="B239" s="24">
        <v>45994.0</v>
      </c>
      <c r="C239" s="8">
        <v>970000.0</v>
      </c>
      <c r="D239" s="24">
        <v>45962.0</v>
      </c>
      <c r="E239" s="24">
        <v>45992.0</v>
      </c>
      <c r="F239" s="8" t="s">
        <v>1559</v>
      </c>
      <c r="G239" s="8" t="s">
        <v>4571</v>
      </c>
      <c r="H239" s="8" t="s">
        <v>4207</v>
      </c>
      <c r="I239" s="24">
        <v>46010.0</v>
      </c>
      <c r="J239" s="24">
        <v>46003.0</v>
      </c>
      <c r="K239" s="8" t="b">
        <v>0</v>
      </c>
      <c r="L239" s="8" t="s">
        <v>877</v>
      </c>
      <c r="M239" s="19" t="s">
        <v>4604</v>
      </c>
      <c r="N239" s="21"/>
      <c r="Q239" s="4"/>
      <c r="S239" s="7" t="s">
        <v>3984</v>
      </c>
      <c r="T239" s="4" t="s">
        <v>4504</v>
      </c>
      <c r="U239" s="4">
        <v>32.0</v>
      </c>
      <c r="V239" s="18">
        <v>46003.39119212963</v>
      </c>
      <c r="W239" s="4" t="s">
        <v>4573</v>
      </c>
      <c r="Y239" s="4" t="b">
        <v>1</v>
      </c>
      <c r="Z239" s="5" t="s">
        <v>4574</v>
      </c>
      <c r="AA239" s="4" t="s">
        <v>879</v>
      </c>
      <c r="AB239" s="17">
        <v>46014.0</v>
      </c>
    </row>
    <row r="240">
      <c r="A240" s="8" t="s">
        <v>3792</v>
      </c>
      <c r="B240" s="24">
        <v>46000.0</v>
      </c>
      <c r="C240" s="8">
        <v>1437000.0</v>
      </c>
      <c r="D240" s="24">
        <v>45965.0</v>
      </c>
      <c r="E240" s="24">
        <v>45995.0</v>
      </c>
      <c r="F240" s="8" t="s">
        <v>1433</v>
      </c>
      <c r="G240" s="8" t="s">
        <v>2583</v>
      </c>
      <c r="H240" s="21"/>
      <c r="I240" s="25">
        <v>46013.0</v>
      </c>
      <c r="J240" s="24">
        <v>46006.0</v>
      </c>
      <c r="K240" s="8" t="b">
        <v>0</v>
      </c>
      <c r="L240" s="8" t="s">
        <v>896</v>
      </c>
      <c r="M240" s="19" t="s">
        <v>4032</v>
      </c>
      <c r="N240" s="21"/>
      <c r="Q240" s="4"/>
      <c r="S240" s="7" t="s">
        <v>4047</v>
      </c>
      <c r="T240" s="4" t="s">
        <v>4365</v>
      </c>
      <c r="U240" s="4">
        <v>48.0</v>
      </c>
      <c r="V240" s="18">
        <v>46006.603159722225</v>
      </c>
      <c r="X240" s="29">
        <v>0.1</v>
      </c>
      <c r="Y240" s="4" t="b">
        <v>1</v>
      </c>
      <c r="Z240" s="5" t="s">
        <v>4295</v>
      </c>
      <c r="AA240" s="4" t="s">
        <v>4605</v>
      </c>
      <c r="AB240" s="17">
        <v>46015.0</v>
      </c>
    </row>
    <row r="241">
      <c r="A241" s="8" t="s">
        <v>3808</v>
      </c>
      <c r="B241" s="25">
        <v>46003.0</v>
      </c>
      <c r="C241" s="8">
        <v>459000.0</v>
      </c>
      <c r="D241" s="24">
        <v>45968.0</v>
      </c>
      <c r="E241" s="24">
        <v>45998.0</v>
      </c>
      <c r="F241" s="8" t="s">
        <v>1539</v>
      </c>
      <c r="G241" s="8" t="s">
        <v>2782</v>
      </c>
      <c r="H241" s="21"/>
      <c r="I241" s="25">
        <v>46015.0</v>
      </c>
      <c r="J241" s="25">
        <v>46008.0</v>
      </c>
      <c r="K241" s="8" t="b">
        <v>0</v>
      </c>
      <c r="L241" s="8" t="s">
        <v>913</v>
      </c>
      <c r="M241" s="19" t="s">
        <v>4037</v>
      </c>
      <c r="N241" s="21"/>
      <c r="Q241" s="4"/>
      <c r="S241" s="7" t="s">
        <v>4047</v>
      </c>
      <c r="T241" s="4" t="s">
        <v>4508</v>
      </c>
      <c r="U241" s="4">
        <v>16.0</v>
      </c>
      <c r="V241" s="28">
        <v>46008.35445601852</v>
      </c>
      <c r="W241" s="4" t="s">
        <v>4575</v>
      </c>
      <c r="Y241" s="4" t="b">
        <v>1</v>
      </c>
      <c r="Z241" s="5" t="s">
        <v>4309</v>
      </c>
      <c r="AA241" s="4" t="s">
        <v>915</v>
      </c>
      <c r="AB241" s="17">
        <v>46017.0</v>
      </c>
    </row>
    <row r="242">
      <c r="A242" s="8" t="s">
        <v>3822</v>
      </c>
      <c r="B242" s="25">
        <v>46003.0</v>
      </c>
      <c r="C242" s="8">
        <v>950000.0</v>
      </c>
      <c r="D242" s="24">
        <v>45958.0</v>
      </c>
      <c r="E242" s="24">
        <v>45989.0</v>
      </c>
      <c r="F242" s="8" t="s">
        <v>1535</v>
      </c>
      <c r="G242" s="8" t="s">
        <v>2887</v>
      </c>
      <c r="H242" s="8" t="s">
        <v>4332</v>
      </c>
      <c r="I242" s="25">
        <v>46028.0</v>
      </c>
      <c r="J242" s="25">
        <v>46017.0</v>
      </c>
      <c r="K242" s="8" t="b">
        <v>0</v>
      </c>
      <c r="L242" s="8" t="s">
        <v>926</v>
      </c>
      <c r="M242" s="19" t="s">
        <v>4606</v>
      </c>
      <c r="N242" s="21"/>
      <c r="Q242" s="4"/>
      <c r="S242" s="7" t="s">
        <v>3984</v>
      </c>
      <c r="T242" s="4" t="s">
        <v>4559</v>
      </c>
      <c r="U242" s="4">
        <v>30.0</v>
      </c>
      <c r="V242" s="28">
        <v>46017.55498842592</v>
      </c>
      <c r="W242" s="4" t="s">
        <v>4558</v>
      </c>
      <c r="Y242" s="4" t="b">
        <v>1</v>
      </c>
      <c r="Z242" s="5" t="s">
        <v>4371</v>
      </c>
      <c r="AA242" s="4" t="s">
        <v>928</v>
      </c>
      <c r="AB242" s="17">
        <v>46030.0</v>
      </c>
    </row>
    <row r="243">
      <c r="A243" s="8" t="s">
        <v>3828</v>
      </c>
      <c r="B243" s="25">
        <v>46003.0</v>
      </c>
      <c r="C243" s="8">
        <v>1342000.0</v>
      </c>
      <c r="D243" s="24">
        <v>45969.0</v>
      </c>
      <c r="E243" s="24">
        <v>45999.0</v>
      </c>
      <c r="F243" s="8" t="s">
        <v>1616</v>
      </c>
      <c r="G243" s="8" t="s">
        <v>4512</v>
      </c>
      <c r="H243" s="8" t="s">
        <v>4513</v>
      </c>
      <c r="I243" s="25">
        <v>46035.0</v>
      </c>
      <c r="J243" s="25">
        <v>46027.0</v>
      </c>
      <c r="K243" s="8" t="b">
        <v>0</v>
      </c>
      <c r="L243" s="8" t="s">
        <v>932</v>
      </c>
      <c r="M243" s="19" t="s">
        <v>4607</v>
      </c>
      <c r="N243" s="21"/>
      <c r="Q243" s="4"/>
      <c r="S243" s="7" t="s">
        <v>3984</v>
      </c>
      <c r="T243" s="4" t="s">
        <v>4515</v>
      </c>
      <c r="U243" s="4">
        <v>40.0</v>
      </c>
      <c r="V243" s="28">
        <v>46027.62326388889</v>
      </c>
      <c r="W243" s="4" t="s">
        <v>4608</v>
      </c>
      <c r="Y243" s="4" t="b">
        <v>1</v>
      </c>
      <c r="Z243" s="5" t="s">
        <v>4517</v>
      </c>
      <c r="AA243" s="4" t="s">
        <v>934</v>
      </c>
      <c r="AB243" s="17">
        <v>46037.0</v>
      </c>
    </row>
    <row r="244">
      <c r="A244" s="8" t="s">
        <v>3812</v>
      </c>
      <c r="B244" s="25">
        <v>46003.0</v>
      </c>
      <c r="C244" s="8">
        <v>653000.0</v>
      </c>
      <c r="D244" s="24">
        <v>45967.0</v>
      </c>
      <c r="E244" s="24">
        <v>45997.0</v>
      </c>
      <c r="F244" s="8" t="s">
        <v>1515</v>
      </c>
      <c r="G244" s="8" t="s">
        <v>4584</v>
      </c>
      <c r="H244" s="21"/>
      <c r="I244" s="25">
        <v>46014.0</v>
      </c>
      <c r="J244" s="25">
        <v>46008.0</v>
      </c>
      <c r="K244" s="8" t="b">
        <v>1</v>
      </c>
      <c r="L244" s="21"/>
      <c r="M244" s="21"/>
      <c r="N244" s="21"/>
      <c r="Q244" s="4"/>
      <c r="S244" s="7" t="s">
        <v>3984</v>
      </c>
      <c r="T244" s="4" t="s">
        <v>4586</v>
      </c>
      <c r="U244" s="4">
        <v>24.0</v>
      </c>
      <c r="V244" s="28">
        <v>46008.68717592592</v>
      </c>
      <c r="W244" s="4" t="s">
        <v>4609</v>
      </c>
      <c r="Y244" s="4" t="b">
        <v>1</v>
      </c>
      <c r="Z244" s="5" t="s">
        <v>4588</v>
      </c>
      <c r="AA244" s="4" t="s">
        <v>939</v>
      </c>
      <c r="AB244" s="17">
        <v>46016.0</v>
      </c>
    </row>
    <row r="245">
      <c r="A245" s="8" t="s">
        <v>3830</v>
      </c>
      <c r="B245" s="25">
        <v>46003.0</v>
      </c>
      <c r="C245" s="8">
        <v>1127000.0</v>
      </c>
      <c r="D245" s="24">
        <v>45970.0</v>
      </c>
      <c r="E245" s="25">
        <v>46001.0</v>
      </c>
      <c r="F245" s="8" t="s">
        <v>1419</v>
      </c>
      <c r="G245" s="8" t="s">
        <v>3981</v>
      </c>
      <c r="H245" s="8" t="s">
        <v>2478</v>
      </c>
      <c r="I245" s="25">
        <v>46038.0</v>
      </c>
      <c r="J245" s="25">
        <v>46028.0</v>
      </c>
      <c r="K245" s="8" t="b">
        <v>1</v>
      </c>
      <c r="L245" s="21"/>
      <c r="M245" s="21"/>
      <c r="N245" s="21"/>
      <c r="Q245" s="4"/>
      <c r="S245" s="4" t="s">
        <v>4485</v>
      </c>
      <c r="T245" s="4" t="s">
        <v>4553</v>
      </c>
      <c r="U245" s="4">
        <v>36.0</v>
      </c>
      <c r="V245" s="28">
        <v>46028.47666666667</v>
      </c>
      <c r="W245" s="4" t="s">
        <v>4554</v>
      </c>
      <c r="Y245" s="4" t="b">
        <v>1</v>
      </c>
      <c r="Z245" s="5" t="s">
        <v>4394</v>
      </c>
      <c r="AA245" s="4" t="s">
        <v>943</v>
      </c>
      <c r="AB245" s="17">
        <v>46042.0</v>
      </c>
    </row>
    <row r="246">
      <c r="A246" s="8" t="s">
        <v>3810</v>
      </c>
      <c r="B246" s="25">
        <v>46006.0</v>
      </c>
      <c r="C246" s="8">
        <v>683000.0</v>
      </c>
      <c r="D246" s="24">
        <v>45967.0</v>
      </c>
      <c r="E246" s="24">
        <v>45997.0</v>
      </c>
      <c r="F246" s="8" t="s">
        <v>1426</v>
      </c>
      <c r="G246" s="8" t="s">
        <v>2265</v>
      </c>
      <c r="H246" s="21"/>
      <c r="I246" s="25">
        <v>46017.0</v>
      </c>
      <c r="J246" s="25">
        <v>46008.0</v>
      </c>
      <c r="K246" s="8" t="b">
        <v>0</v>
      </c>
      <c r="L246" s="8" t="s">
        <v>946</v>
      </c>
      <c r="M246" s="19" t="s">
        <v>4041</v>
      </c>
      <c r="N246" s="21"/>
      <c r="Q246" s="4"/>
      <c r="S246" s="7" t="s">
        <v>4047</v>
      </c>
      <c r="T246" s="4" t="s">
        <v>4458</v>
      </c>
      <c r="U246" s="4">
        <v>30.0</v>
      </c>
      <c r="V246" s="28">
        <v>46008.61931712963</v>
      </c>
      <c r="W246" s="4" t="s">
        <v>4459</v>
      </c>
      <c r="Y246" s="4" t="b">
        <v>0</v>
      </c>
      <c r="Z246" s="5" t="s">
        <v>4291</v>
      </c>
      <c r="AA246" s="4" t="s">
        <v>948</v>
      </c>
      <c r="AB246" s="17">
        <v>46021.0</v>
      </c>
    </row>
    <row r="247">
      <c r="A247" s="8" t="s">
        <v>3826</v>
      </c>
      <c r="B247" s="25">
        <v>46006.0</v>
      </c>
      <c r="C247" s="8">
        <v>476800.0</v>
      </c>
      <c r="D247" s="25">
        <v>45975.0</v>
      </c>
      <c r="E247" s="25">
        <v>46005.0</v>
      </c>
      <c r="F247" s="8" t="s">
        <v>1491</v>
      </c>
      <c r="G247" s="19" t="s">
        <v>2425</v>
      </c>
      <c r="H247" s="21"/>
      <c r="I247" s="25">
        <v>46027.0</v>
      </c>
      <c r="J247" s="25">
        <v>46020.0</v>
      </c>
      <c r="K247" s="8" t="b">
        <v>0</v>
      </c>
      <c r="L247" s="8" t="s">
        <v>952</v>
      </c>
      <c r="M247" s="19" t="s">
        <v>4610</v>
      </c>
      <c r="N247" s="21"/>
      <c r="Q247" s="4"/>
      <c r="R247" s="4" t="s">
        <v>4611</v>
      </c>
      <c r="S247" s="7" t="s">
        <v>4047</v>
      </c>
      <c r="T247" s="4" t="s">
        <v>4521</v>
      </c>
      <c r="U247" s="4">
        <v>16.0</v>
      </c>
      <c r="V247" s="28">
        <v>46020.39975694445</v>
      </c>
      <c r="W247" s="4" t="s">
        <v>4611</v>
      </c>
      <c r="Y247" s="4" t="b">
        <v>1</v>
      </c>
      <c r="Z247" s="5" t="s">
        <v>4277</v>
      </c>
      <c r="AA247" s="4" t="s">
        <v>4612</v>
      </c>
      <c r="AB247" s="17">
        <v>46029.0</v>
      </c>
    </row>
    <row r="248">
      <c r="A248" s="8" t="s">
        <v>3816</v>
      </c>
      <c r="B248" s="25">
        <v>46009.0</v>
      </c>
      <c r="C248" s="8">
        <v>236000.0</v>
      </c>
      <c r="D248" s="25">
        <v>46007.0</v>
      </c>
      <c r="E248" s="24">
        <v>46038.0</v>
      </c>
      <c r="F248" s="8" t="s">
        <v>1635</v>
      </c>
      <c r="G248" s="8" t="s">
        <v>4538</v>
      </c>
      <c r="H248" s="21"/>
      <c r="I248" s="25">
        <v>46016.0</v>
      </c>
      <c r="J248" s="25">
        <v>46011.0</v>
      </c>
      <c r="K248" s="8" t="b">
        <v>1</v>
      </c>
      <c r="L248" s="21"/>
      <c r="M248" s="21"/>
      <c r="N248" s="21"/>
      <c r="Q248" s="4"/>
      <c r="S248" s="7" t="s">
        <v>4047</v>
      </c>
      <c r="T248" s="4" t="s">
        <v>4539</v>
      </c>
      <c r="U248" s="4">
        <v>16.0</v>
      </c>
      <c r="V248" s="28">
        <v>46011.42223379629</v>
      </c>
      <c r="W248" s="4" t="s">
        <v>4613</v>
      </c>
      <c r="Y248" s="4" t="b">
        <v>1</v>
      </c>
      <c r="Z248" s="5" t="s">
        <v>4541</v>
      </c>
      <c r="AA248" s="4" t="s">
        <v>959</v>
      </c>
      <c r="AB248" s="17">
        <v>46020.0</v>
      </c>
    </row>
    <row r="249">
      <c r="A249" s="8" t="s">
        <v>3814</v>
      </c>
      <c r="B249" s="25">
        <v>46009.0</v>
      </c>
      <c r="C249" s="8">
        <v>1050000.0</v>
      </c>
      <c r="D249" s="25">
        <v>45977.0</v>
      </c>
      <c r="E249" s="25">
        <v>46008.0</v>
      </c>
      <c r="F249" s="8" t="s">
        <v>1610</v>
      </c>
      <c r="G249" s="8" t="s">
        <v>4492</v>
      </c>
      <c r="H249" s="8" t="s">
        <v>4493</v>
      </c>
      <c r="I249" s="25">
        <v>46016.0</v>
      </c>
      <c r="J249" s="25">
        <v>46010.0</v>
      </c>
      <c r="K249" s="8" t="b">
        <v>0</v>
      </c>
      <c r="L249" s="8" t="s">
        <v>962</v>
      </c>
      <c r="M249" s="19" t="s">
        <v>4614</v>
      </c>
      <c r="N249" s="21"/>
      <c r="Q249" s="4"/>
      <c r="S249" s="7" t="s">
        <v>3984</v>
      </c>
      <c r="T249" s="4" t="s">
        <v>82</v>
      </c>
      <c r="U249" s="4">
        <v>40.0</v>
      </c>
      <c r="V249" s="28">
        <v>46010.8272337963</v>
      </c>
      <c r="W249" s="4" t="s">
        <v>4598</v>
      </c>
      <c r="Y249" s="4" t="b">
        <v>1</v>
      </c>
      <c r="Z249" s="5" t="s">
        <v>4496</v>
      </c>
      <c r="AA249" s="4" t="s">
        <v>964</v>
      </c>
      <c r="AB249" s="17">
        <v>46020.0</v>
      </c>
    </row>
    <row r="250">
      <c r="A250" s="8" t="s">
        <v>3818</v>
      </c>
      <c r="B250" s="25">
        <v>46009.0</v>
      </c>
      <c r="C250" s="8">
        <v>527000.0</v>
      </c>
      <c r="D250" s="24">
        <v>45970.0</v>
      </c>
      <c r="E250" s="25">
        <v>46001.0</v>
      </c>
      <c r="F250" s="8" t="s">
        <v>1606</v>
      </c>
      <c r="G250" s="8" t="s">
        <v>4486</v>
      </c>
      <c r="H250" s="21"/>
      <c r="I250" s="25">
        <v>46017.0</v>
      </c>
      <c r="J250" s="25">
        <v>46013.0</v>
      </c>
      <c r="K250" s="8" t="b">
        <v>0</v>
      </c>
      <c r="L250" s="8" t="s">
        <v>968</v>
      </c>
      <c r="M250" s="19" t="s">
        <v>4615</v>
      </c>
      <c r="N250" s="21"/>
      <c r="Q250" s="4"/>
      <c r="S250" s="7" t="s">
        <v>4047</v>
      </c>
      <c r="T250" s="4" t="s">
        <v>4488</v>
      </c>
      <c r="U250" s="4">
        <v>18.0</v>
      </c>
      <c r="V250" s="28">
        <v>46013.66537037037</v>
      </c>
      <c r="W250" s="4" t="s">
        <v>4616</v>
      </c>
      <c r="Y250" s="4" t="b">
        <v>1</v>
      </c>
      <c r="Z250" s="5" t="s">
        <v>4490</v>
      </c>
      <c r="AA250" s="4" t="s">
        <v>970</v>
      </c>
      <c r="AB250" s="17">
        <v>46021.0</v>
      </c>
    </row>
    <row r="251">
      <c r="A251" s="8" t="s">
        <v>3838</v>
      </c>
      <c r="B251" s="25">
        <v>46009.0</v>
      </c>
      <c r="C251" s="8">
        <v>423.0</v>
      </c>
      <c r="D251" s="25">
        <v>45973.0</v>
      </c>
      <c r="E251" s="25">
        <v>46004.0</v>
      </c>
      <c r="F251" s="8" t="s">
        <v>1587</v>
      </c>
      <c r="G251" s="8" t="s">
        <v>4425</v>
      </c>
      <c r="H251" s="21"/>
      <c r="I251" s="25">
        <v>46041.0</v>
      </c>
      <c r="J251" s="25">
        <v>46035.0</v>
      </c>
      <c r="K251" s="8" t="b">
        <v>1</v>
      </c>
      <c r="L251" s="21"/>
      <c r="M251" s="21"/>
      <c r="N251" s="21"/>
      <c r="Q251" s="4"/>
      <c r="S251" s="4" t="s">
        <v>4594</v>
      </c>
      <c r="T251" s="4" t="s">
        <v>2225</v>
      </c>
      <c r="U251" s="4">
        <v>24.0</v>
      </c>
      <c r="V251" s="28">
        <v>46035.37873842593</v>
      </c>
      <c r="W251" s="4" t="s">
        <v>4617</v>
      </c>
      <c r="Y251" s="4" t="b">
        <v>1</v>
      </c>
      <c r="Z251" s="5" t="s">
        <v>4428</v>
      </c>
      <c r="AA251" s="4" t="s">
        <v>975</v>
      </c>
      <c r="AB251" s="17">
        <v>46043.0</v>
      </c>
    </row>
    <row r="252">
      <c r="A252" s="8" t="s">
        <v>3824</v>
      </c>
      <c r="B252" s="25">
        <v>46009.0</v>
      </c>
      <c r="C252" s="8">
        <v>158000.0</v>
      </c>
      <c r="D252" s="25">
        <v>45976.0</v>
      </c>
      <c r="E252" s="25">
        <v>46007.0</v>
      </c>
      <c r="F252" s="8" t="s">
        <v>1437</v>
      </c>
      <c r="G252" s="8" t="s">
        <v>4003</v>
      </c>
      <c r="H252" s="8" t="s">
        <v>2517</v>
      </c>
      <c r="I252" s="25">
        <v>46029.0</v>
      </c>
      <c r="J252" s="25">
        <v>46017.0</v>
      </c>
      <c r="K252" s="8" t="b">
        <v>0</v>
      </c>
      <c r="L252" s="8" t="s">
        <v>978</v>
      </c>
      <c r="M252" s="19" t="s">
        <v>4618</v>
      </c>
      <c r="N252" s="21"/>
      <c r="Q252" s="4"/>
      <c r="S252" s="7" t="s">
        <v>3984</v>
      </c>
      <c r="T252" s="4" t="s">
        <v>2156</v>
      </c>
      <c r="U252" s="4">
        <v>0.0</v>
      </c>
      <c r="V252" s="28">
        <v>46017.61002314815</v>
      </c>
      <c r="W252" s="4" t="s">
        <v>4529</v>
      </c>
      <c r="Y252" s="4" t="b">
        <v>1</v>
      </c>
      <c r="Z252" s="5" t="s">
        <v>4404</v>
      </c>
      <c r="AA252" s="4" t="s">
        <v>980</v>
      </c>
      <c r="AB252" s="6">
        <v>46031.0</v>
      </c>
    </row>
    <row r="253">
      <c r="A253" s="8" t="s">
        <v>3820</v>
      </c>
      <c r="B253" s="25">
        <v>46013.0</v>
      </c>
      <c r="C253" s="8">
        <v>700000.0</v>
      </c>
      <c r="D253" s="25">
        <v>45979.0</v>
      </c>
      <c r="E253" s="25">
        <v>46010.0</v>
      </c>
      <c r="F253" s="8" t="s">
        <v>1648</v>
      </c>
      <c r="G253" s="8" t="s">
        <v>4565</v>
      </c>
      <c r="H253" s="21"/>
      <c r="I253" s="25">
        <v>46052.0</v>
      </c>
      <c r="J253" s="25">
        <v>46048.0</v>
      </c>
      <c r="K253" s="8" t="b">
        <v>0</v>
      </c>
      <c r="L253" s="8" t="s">
        <v>984</v>
      </c>
      <c r="M253" s="19" t="s">
        <v>4619</v>
      </c>
      <c r="N253" s="21"/>
      <c r="Q253" s="4"/>
      <c r="S253" s="7" t="s">
        <v>3984</v>
      </c>
      <c r="T253" s="7" t="s">
        <v>4567</v>
      </c>
      <c r="U253" s="4">
        <v>24.0</v>
      </c>
      <c r="V253" s="28">
        <v>46048.798622685186</v>
      </c>
      <c r="W253" s="4" t="s">
        <v>4620</v>
      </c>
      <c r="Y253" s="4" t="b">
        <v>1</v>
      </c>
      <c r="Z253" s="5" t="s">
        <v>4569</v>
      </c>
      <c r="AA253" s="4" t="s">
        <v>986</v>
      </c>
      <c r="AB253" s="17">
        <v>46056.0</v>
      </c>
    </row>
    <row r="254">
      <c r="A254" s="8" t="s">
        <v>3843</v>
      </c>
      <c r="B254" s="25">
        <v>46014.0</v>
      </c>
      <c r="C254" s="8">
        <v>355000.0</v>
      </c>
      <c r="D254" s="25">
        <v>45982.0</v>
      </c>
      <c r="E254" s="25">
        <v>46013.0</v>
      </c>
      <c r="F254" s="8" t="s">
        <v>1437</v>
      </c>
      <c r="G254" s="8" t="s">
        <v>2589</v>
      </c>
      <c r="H254" s="21"/>
      <c r="I254" s="25">
        <v>46050.0</v>
      </c>
      <c r="J254" s="25">
        <v>46038.0</v>
      </c>
      <c r="K254" s="8" t="b">
        <v>0</v>
      </c>
      <c r="L254" s="8" t="s">
        <v>990</v>
      </c>
      <c r="M254" s="19" t="s">
        <v>4621</v>
      </c>
      <c r="N254" s="21"/>
      <c r="Q254" s="4"/>
      <c r="S254" s="7" t="s">
        <v>3984</v>
      </c>
      <c r="T254" s="4" t="s">
        <v>4500</v>
      </c>
      <c r="U254" s="4">
        <v>0.0</v>
      </c>
      <c r="V254" s="28">
        <v>46038.39923611111</v>
      </c>
      <c r="W254" s="4" t="s">
        <v>4501</v>
      </c>
      <c r="Y254" s="4" t="b">
        <v>1</v>
      </c>
      <c r="Z254" s="5" t="s">
        <v>4264</v>
      </c>
      <c r="AA254" s="4" t="s">
        <v>992</v>
      </c>
      <c r="AB254" s="6">
        <v>46052.0</v>
      </c>
    </row>
    <row r="255">
      <c r="A255" s="8" t="s">
        <v>3849</v>
      </c>
      <c r="B255" s="25">
        <v>46028.0</v>
      </c>
      <c r="C255" s="8">
        <v>970000.0</v>
      </c>
      <c r="D255" s="24">
        <v>45992.0</v>
      </c>
      <c r="E255" s="24">
        <v>46023.0</v>
      </c>
      <c r="F255" s="8" t="s">
        <v>1559</v>
      </c>
      <c r="G255" s="8" t="s">
        <v>4571</v>
      </c>
      <c r="H255" s="8" t="s">
        <v>4207</v>
      </c>
      <c r="I255" s="24">
        <v>46049.0</v>
      </c>
      <c r="J255" s="25">
        <v>46042.0</v>
      </c>
      <c r="K255" s="8" t="b">
        <v>0</v>
      </c>
      <c r="L255" s="8" t="s">
        <v>1013</v>
      </c>
      <c r="M255" s="19" t="s">
        <v>4622</v>
      </c>
      <c r="N255" s="21"/>
      <c r="Q255" s="4"/>
      <c r="S255" s="7" t="s">
        <v>3984</v>
      </c>
      <c r="T255" s="4" t="s">
        <v>4504</v>
      </c>
      <c r="U255" s="4">
        <v>32.0</v>
      </c>
      <c r="V255" s="28">
        <v>46042.491111111114</v>
      </c>
      <c r="W255" s="4" t="s">
        <v>4623</v>
      </c>
      <c r="Y255" s="4" t="b">
        <v>1</v>
      </c>
      <c r="Z255" s="5" t="s">
        <v>4574</v>
      </c>
      <c r="AA255" s="4" t="s">
        <v>4624</v>
      </c>
      <c r="AB255" s="6">
        <v>46051.0</v>
      </c>
      <c r="AD255" s="17"/>
    </row>
    <row r="256">
      <c r="A256" s="8" t="s">
        <v>3834</v>
      </c>
      <c r="B256" s="24">
        <v>46028.0</v>
      </c>
      <c r="C256" s="8">
        <v>700000.0</v>
      </c>
      <c r="D256" s="24">
        <v>45997.0</v>
      </c>
      <c r="E256" s="24">
        <v>46028.0</v>
      </c>
      <c r="F256" s="8" t="s">
        <v>1426</v>
      </c>
      <c r="G256" s="8" t="s">
        <v>2265</v>
      </c>
      <c r="H256" s="21"/>
      <c r="I256" s="24">
        <v>46042.0</v>
      </c>
      <c r="J256" s="24">
        <v>46031.0</v>
      </c>
      <c r="K256" s="8" t="b">
        <v>0</v>
      </c>
      <c r="L256" s="8" t="s">
        <v>1019</v>
      </c>
      <c r="M256" s="19" t="s">
        <v>4625</v>
      </c>
      <c r="N256" s="21"/>
      <c r="Q256" s="4"/>
      <c r="S256" s="7" t="s">
        <v>4047</v>
      </c>
      <c r="T256" s="4" t="s">
        <v>4458</v>
      </c>
      <c r="U256" s="4">
        <v>30.0</v>
      </c>
      <c r="V256" s="18">
        <v>46031.731145833335</v>
      </c>
      <c r="W256" s="4" t="s">
        <v>4459</v>
      </c>
      <c r="Y256" s="4" t="b">
        <v>0</v>
      </c>
      <c r="Z256" s="5" t="s">
        <v>4291</v>
      </c>
      <c r="AA256" s="4" t="s">
        <v>1021</v>
      </c>
      <c r="AB256" s="6">
        <v>46044.0</v>
      </c>
    </row>
    <row r="257">
      <c r="A257" s="8" t="s">
        <v>3836</v>
      </c>
      <c r="B257" s="24">
        <v>46028.0</v>
      </c>
      <c r="C257" s="8">
        <v>1450000.0</v>
      </c>
      <c r="D257" s="24">
        <v>45995.0</v>
      </c>
      <c r="E257" s="24">
        <v>46026.0</v>
      </c>
      <c r="F257" s="8" t="s">
        <v>1433</v>
      </c>
      <c r="G257" s="8" t="s">
        <v>2583</v>
      </c>
      <c r="H257" s="21"/>
      <c r="I257" s="24">
        <v>46052.0</v>
      </c>
      <c r="J257" s="24">
        <v>46045.0</v>
      </c>
      <c r="K257" s="8" t="b">
        <v>0</v>
      </c>
      <c r="L257" s="8" t="s">
        <v>1025</v>
      </c>
      <c r="M257" s="19" t="s">
        <v>4054</v>
      </c>
      <c r="N257" s="21"/>
      <c r="P257" s="4" t="s">
        <v>1026</v>
      </c>
      <c r="Q257" s="4"/>
      <c r="S257" s="7" t="s">
        <v>4047</v>
      </c>
      <c r="T257" s="4" t="s">
        <v>4626</v>
      </c>
      <c r="U257" s="4">
        <v>44.0</v>
      </c>
      <c r="V257" s="18">
        <v>46045.37694444445</v>
      </c>
      <c r="Y257" s="4" t="b">
        <v>1</v>
      </c>
      <c r="Z257" s="5" t="s">
        <v>4295</v>
      </c>
      <c r="AA257" s="4" t="s">
        <v>1027</v>
      </c>
      <c r="AB257" s="6">
        <v>46056.0</v>
      </c>
    </row>
    <row r="258">
      <c r="A258" s="8" t="s">
        <v>3858</v>
      </c>
      <c r="B258" s="24">
        <v>46028.0</v>
      </c>
      <c r="C258" s="8">
        <v>1010000.0</v>
      </c>
      <c r="D258" s="25">
        <v>45988.0</v>
      </c>
      <c r="E258" s="25">
        <v>46019.0</v>
      </c>
      <c r="F258" s="8" t="s">
        <v>1535</v>
      </c>
      <c r="G258" s="8" t="s">
        <v>2887</v>
      </c>
      <c r="H258" s="8" t="s">
        <v>4332</v>
      </c>
      <c r="I258" s="24">
        <v>46057.0</v>
      </c>
      <c r="J258" s="24">
        <v>46048.0</v>
      </c>
      <c r="K258" s="8" t="b">
        <v>0</v>
      </c>
      <c r="L258" s="8" t="s">
        <v>1031</v>
      </c>
      <c r="M258" s="19" t="s">
        <v>4627</v>
      </c>
      <c r="N258" s="21"/>
      <c r="Q258" s="4"/>
      <c r="S258" s="7" t="s">
        <v>3984</v>
      </c>
      <c r="T258" s="4" t="s">
        <v>4559</v>
      </c>
      <c r="U258" s="4">
        <v>30.0</v>
      </c>
      <c r="V258" s="18">
        <v>46048.58635416667</v>
      </c>
      <c r="W258" s="4" t="s">
        <v>4558</v>
      </c>
      <c r="Y258" s="4" t="b">
        <v>1</v>
      </c>
      <c r="Z258" s="5" t="s">
        <v>4371</v>
      </c>
      <c r="AA258" s="4" t="s">
        <v>4628</v>
      </c>
      <c r="AB258" s="6">
        <v>46059.0</v>
      </c>
    </row>
    <row r="259">
      <c r="A259" s="8" t="s">
        <v>3832</v>
      </c>
      <c r="B259" s="24">
        <v>46031.0</v>
      </c>
      <c r="C259" s="8">
        <v>1127000.0</v>
      </c>
      <c r="D259" s="25">
        <v>46001.0</v>
      </c>
      <c r="E259" s="24">
        <v>46033.0</v>
      </c>
      <c r="F259" s="8" t="s">
        <v>1419</v>
      </c>
      <c r="G259" s="8" t="s">
        <v>3981</v>
      </c>
      <c r="H259" s="8" t="s">
        <v>2478</v>
      </c>
      <c r="I259" s="24">
        <v>46043.0</v>
      </c>
      <c r="J259" s="24">
        <v>46031.0</v>
      </c>
      <c r="K259" s="8" t="b">
        <v>1</v>
      </c>
      <c r="L259" s="21"/>
      <c r="M259" s="21"/>
      <c r="N259" s="21"/>
      <c r="Q259" s="4"/>
      <c r="R259" s="4" t="s">
        <v>4629</v>
      </c>
      <c r="S259" s="4" t="s">
        <v>4485</v>
      </c>
      <c r="T259" s="4" t="s">
        <v>4553</v>
      </c>
      <c r="U259" s="4">
        <v>36.0</v>
      </c>
      <c r="V259" s="18">
        <v>46031.35884259259</v>
      </c>
      <c r="W259" s="4" t="s">
        <v>4554</v>
      </c>
      <c r="Y259" s="4" t="b">
        <v>1</v>
      </c>
      <c r="Z259" s="5" t="s">
        <v>4394</v>
      </c>
      <c r="AA259" s="4" t="s">
        <v>1038</v>
      </c>
      <c r="AB259" s="6">
        <v>46045.0</v>
      </c>
    </row>
    <row r="260">
      <c r="A260" s="8" t="s">
        <v>3866</v>
      </c>
      <c r="B260" s="24">
        <v>46034.0</v>
      </c>
      <c r="C260" s="8">
        <v>1342000.0</v>
      </c>
      <c r="D260" s="24">
        <v>45999.0</v>
      </c>
      <c r="E260" s="24">
        <v>46030.0</v>
      </c>
      <c r="F260" s="8" t="s">
        <v>1616</v>
      </c>
      <c r="G260" s="8" t="s">
        <v>4512</v>
      </c>
      <c r="H260" s="8" t="s">
        <v>4513</v>
      </c>
      <c r="I260" s="24">
        <v>46069.0</v>
      </c>
      <c r="J260" s="24">
        <v>46059.0</v>
      </c>
      <c r="K260" s="8" t="b">
        <v>0</v>
      </c>
      <c r="L260" s="8" t="s">
        <v>1042</v>
      </c>
      <c r="M260" s="19" t="s">
        <v>4630</v>
      </c>
      <c r="N260" s="21"/>
      <c r="Q260" s="4"/>
      <c r="S260" s="7" t="s">
        <v>3984</v>
      </c>
      <c r="T260" s="4" t="s">
        <v>4515</v>
      </c>
      <c r="U260" s="4">
        <v>40.0</v>
      </c>
      <c r="V260" s="18">
        <v>46059.458703703705</v>
      </c>
      <c r="W260" s="4" t="s">
        <v>4608</v>
      </c>
      <c r="Y260" s="4" t="b">
        <v>1</v>
      </c>
      <c r="Z260" s="5" t="s">
        <v>4517</v>
      </c>
      <c r="AA260" s="4" t="s">
        <v>1044</v>
      </c>
      <c r="AB260" s="6">
        <v>46071.0</v>
      </c>
    </row>
    <row r="261">
      <c r="A261" s="8" t="s">
        <v>3851</v>
      </c>
      <c r="B261" s="24">
        <v>46036.0</v>
      </c>
      <c r="C261" s="8">
        <v>610000.0</v>
      </c>
      <c r="D261" s="25">
        <v>46003.0</v>
      </c>
      <c r="E261" s="24">
        <v>46035.0</v>
      </c>
      <c r="F261" s="8" t="s">
        <v>1491</v>
      </c>
      <c r="G261" s="19" t="s">
        <v>2425</v>
      </c>
      <c r="H261" s="21"/>
      <c r="I261" s="24">
        <v>46065.0</v>
      </c>
      <c r="J261" s="24">
        <v>46058.0</v>
      </c>
      <c r="K261" s="8" t="b">
        <v>0</v>
      </c>
      <c r="L261" s="8" t="s">
        <v>1049</v>
      </c>
      <c r="M261" s="19" t="s">
        <v>4058</v>
      </c>
      <c r="N261" s="21"/>
      <c r="Q261" s="4"/>
      <c r="R261" s="4" t="s">
        <v>4631</v>
      </c>
      <c r="S261" s="7" t="s">
        <v>4047</v>
      </c>
      <c r="T261" s="4" t="s">
        <v>4521</v>
      </c>
      <c r="U261" s="4">
        <v>16.0</v>
      </c>
      <c r="V261" s="18">
        <v>46058.44516203704</v>
      </c>
      <c r="W261" s="4" t="s">
        <v>4632</v>
      </c>
      <c r="Y261" s="4" t="b">
        <v>1</v>
      </c>
      <c r="Z261" s="5" t="s">
        <v>4277</v>
      </c>
      <c r="AA261" s="4" t="s">
        <v>1051</v>
      </c>
      <c r="AB261" s="6">
        <v>46069.0</v>
      </c>
    </row>
    <row r="262">
      <c r="A262" s="8" t="s">
        <v>3847</v>
      </c>
      <c r="B262" s="24">
        <v>46036.0</v>
      </c>
      <c r="C262" s="8">
        <v>90000.0</v>
      </c>
      <c r="D262" s="24">
        <v>45998.0</v>
      </c>
      <c r="E262" s="24">
        <v>46029.0</v>
      </c>
      <c r="F262" s="8" t="s">
        <v>1539</v>
      </c>
      <c r="G262" s="8" t="s">
        <v>2782</v>
      </c>
      <c r="H262" s="21"/>
      <c r="I262" s="24">
        <v>46049.0</v>
      </c>
      <c r="J262" s="24">
        <v>46042.0</v>
      </c>
      <c r="K262" s="8" t="b">
        <v>0</v>
      </c>
      <c r="L262" s="8" t="s">
        <v>1055</v>
      </c>
      <c r="M262" s="19" t="s">
        <v>4633</v>
      </c>
      <c r="N262" s="21"/>
      <c r="Q262" s="4"/>
      <c r="S262" s="7" t="s">
        <v>4047</v>
      </c>
      <c r="T262" s="4" t="s">
        <v>4508</v>
      </c>
      <c r="U262" s="4">
        <v>16.0</v>
      </c>
      <c r="V262" s="18">
        <v>46042.45395833333</v>
      </c>
      <c r="W262" s="4" t="s">
        <v>4634</v>
      </c>
      <c r="Y262" s="4" t="b">
        <v>1</v>
      </c>
      <c r="Z262" s="5" t="s">
        <v>4309</v>
      </c>
      <c r="AA262" s="4" t="s">
        <v>1057</v>
      </c>
      <c r="AB262" s="6">
        <v>46051.0</v>
      </c>
    </row>
    <row r="263">
      <c r="A263" s="8" t="s">
        <v>3856</v>
      </c>
      <c r="B263" s="24">
        <v>46041.0</v>
      </c>
      <c r="C263" s="8">
        <v>1115000.0</v>
      </c>
      <c r="D263" s="25">
        <v>46008.0</v>
      </c>
      <c r="E263" s="24">
        <v>46040.0</v>
      </c>
      <c r="F263" s="8" t="s">
        <v>1610</v>
      </c>
      <c r="G263" s="8" t="s">
        <v>4492</v>
      </c>
      <c r="H263" s="8" t="s">
        <v>4493</v>
      </c>
      <c r="I263" s="24">
        <v>46051.0</v>
      </c>
      <c r="J263" s="24">
        <v>46045.0</v>
      </c>
      <c r="K263" s="8" t="b">
        <v>0</v>
      </c>
      <c r="L263" s="8" t="s">
        <v>1065</v>
      </c>
      <c r="M263" s="19" t="s">
        <v>4635</v>
      </c>
      <c r="N263" s="21"/>
      <c r="Q263" s="4"/>
      <c r="S263" s="7" t="s">
        <v>3984</v>
      </c>
      <c r="T263" s="4" t="s">
        <v>82</v>
      </c>
      <c r="U263" s="4">
        <v>40.0</v>
      </c>
      <c r="V263" s="18">
        <v>46045.79417824074</v>
      </c>
      <c r="W263" s="4" t="s">
        <v>4636</v>
      </c>
      <c r="Y263" s="4" t="b">
        <v>1</v>
      </c>
      <c r="Z263" s="5" t="s">
        <v>4496</v>
      </c>
      <c r="AA263" s="4" t="s">
        <v>4637</v>
      </c>
      <c r="AB263" s="6">
        <v>46055.0</v>
      </c>
    </row>
    <row r="264">
      <c r="A264" s="8"/>
      <c r="B264" s="24"/>
      <c r="C264" s="8"/>
      <c r="D264" s="25"/>
      <c r="E264" s="24"/>
      <c r="F264" s="8"/>
      <c r="G264" s="8"/>
      <c r="H264" s="8"/>
      <c r="I264" s="24"/>
      <c r="J264" s="24"/>
      <c r="K264" s="8"/>
      <c r="L264" s="8"/>
      <c r="M264" s="8"/>
      <c r="N264" s="21"/>
      <c r="Q264" s="4"/>
      <c r="S264" s="4"/>
      <c r="T264" s="4"/>
      <c r="U264" s="4"/>
      <c r="V264" s="18"/>
      <c r="W264" s="4"/>
      <c r="Y264" s="4"/>
      <c r="Z264" s="4"/>
      <c r="AA264" s="4"/>
      <c r="AB264" s="6"/>
    </row>
    <row r="265">
      <c r="A265" s="8" t="s">
        <v>3872</v>
      </c>
      <c r="B265" s="24">
        <v>46041.0</v>
      </c>
      <c r="C265" s="8">
        <v>423.0</v>
      </c>
      <c r="D265" s="25">
        <v>46004.0</v>
      </c>
      <c r="E265" s="24">
        <v>46036.0</v>
      </c>
      <c r="F265" s="8" t="s">
        <v>1587</v>
      </c>
      <c r="G265" s="8" t="s">
        <v>4425</v>
      </c>
      <c r="H265" s="21"/>
      <c r="I265" s="24">
        <v>46072.0</v>
      </c>
      <c r="J265" s="24">
        <v>46066.0</v>
      </c>
      <c r="K265" s="8" t="b">
        <v>1</v>
      </c>
      <c r="L265" s="21"/>
      <c r="M265" s="21"/>
      <c r="N265" s="21"/>
      <c r="Q265" s="4"/>
      <c r="S265" s="4" t="s">
        <v>4594</v>
      </c>
      <c r="T265" s="4" t="s">
        <v>2225</v>
      </c>
      <c r="U265" s="4">
        <v>24.0</v>
      </c>
      <c r="V265" s="18">
        <v>46066.83005787037</v>
      </c>
      <c r="W265" s="4" t="s">
        <v>4638</v>
      </c>
      <c r="Y265" s="4" t="b">
        <v>1</v>
      </c>
      <c r="Z265" s="5" t="s">
        <v>4428</v>
      </c>
      <c r="AA265" s="4" t="s">
        <v>1078</v>
      </c>
      <c r="AB265" s="6">
        <v>46076.0</v>
      </c>
    </row>
    <row r="266">
      <c r="A266" s="8" t="s">
        <v>3845</v>
      </c>
      <c r="B266" s="24">
        <v>46041.0</v>
      </c>
      <c r="C266" s="8">
        <v>400000.0</v>
      </c>
      <c r="D266" s="25">
        <v>46009.0</v>
      </c>
      <c r="E266" s="24">
        <v>46041.0</v>
      </c>
      <c r="F266" s="8" t="s">
        <v>1486</v>
      </c>
      <c r="G266" s="8" t="s">
        <v>4593</v>
      </c>
      <c r="H266" s="21"/>
      <c r="I266" s="24">
        <v>46048.0</v>
      </c>
      <c r="J266" s="24">
        <v>46041.0</v>
      </c>
      <c r="K266" s="8" t="b">
        <v>1</v>
      </c>
      <c r="L266" s="4" t="s">
        <v>1246</v>
      </c>
      <c r="M266" s="21"/>
      <c r="N266" s="21"/>
      <c r="S266" s="7" t="s">
        <v>4639</v>
      </c>
      <c r="T266" s="4" t="s">
        <v>2216</v>
      </c>
      <c r="U266" s="4">
        <v>24.0</v>
      </c>
      <c r="V266" s="18">
        <v>46041.69993055556</v>
      </c>
      <c r="Y266" s="4" t="b">
        <v>1</v>
      </c>
      <c r="Z266" s="5" t="s">
        <v>4595</v>
      </c>
      <c r="AA266" s="4" t="s">
        <v>1082</v>
      </c>
      <c r="AB266" s="17"/>
    </row>
    <row r="267">
      <c r="A267" s="8" t="s">
        <v>3854</v>
      </c>
      <c r="B267" s="24">
        <v>46041.0</v>
      </c>
      <c r="C267" s="8">
        <v>527000.0</v>
      </c>
      <c r="D267" s="25">
        <v>46001.0</v>
      </c>
      <c r="E267" s="24">
        <v>46041.0</v>
      </c>
      <c r="F267" s="8" t="s">
        <v>1606</v>
      </c>
      <c r="G267" s="8" t="s">
        <v>4486</v>
      </c>
      <c r="H267" s="21"/>
      <c r="I267" s="24">
        <v>46051.0</v>
      </c>
      <c r="J267" s="24">
        <v>46045.0</v>
      </c>
      <c r="K267" s="8" t="b">
        <v>0</v>
      </c>
      <c r="L267" s="8" t="s">
        <v>1085</v>
      </c>
      <c r="M267" s="19" t="s">
        <v>4640</v>
      </c>
      <c r="N267" s="21"/>
      <c r="Q267" s="4"/>
      <c r="S267" s="7" t="s">
        <v>4047</v>
      </c>
      <c r="T267" s="4" t="s">
        <v>4488</v>
      </c>
      <c r="U267" s="4">
        <v>18.0</v>
      </c>
      <c r="V267" s="18">
        <v>46045.79331018519</v>
      </c>
      <c r="W267" s="4" t="s">
        <v>4641</v>
      </c>
      <c r="Y267" s="4" t="b">
        <v>1</v>
      </c>
      <c r="Z267" s="5" t="s">
        <v>4490</v>
      </c>
      <c r="AA267" s="4" t="s">
        <v>4642</v>
      </c>
      <c r="AB267" s="6">
        <v>46055.0</v>
      </c>
    </row>
    <row r="268">
      <c r="A268" s="8" t="s">
        <v>3861</v>
      </c>
      <c r="B268" s="24">
        <v>46042.0</v>
      </c>
      <c r="C268" s="8">
        <v>259000.0</v>
      </c>
      <c r="D268" s="25">
        <v>46007.0</v>
      </c>
      <c r="E268" s="24">
        <v>46039.0</v>
      </c>
      <c r="F268" s="8" t="s">
        <v>1437</v>
      </c>
      <c r="G268" s="8" t="s">
        <v>4003</v>
      </c>
      <c r="H268" s="8" t="s">
        <v>2517</v>
      </c>
      <c r="I268" s="24">
        <v>46066.0</v>
      </c>
      <c r="J268" s="24">
        <v>46056.0</v>
      </c>
      <c r="K268" s="8" t="b">
        <v>0</v>
      </c>
      <c r="L268" s="8" t="s">
        <v>1091</v>
      </c>
      <c r="M268" s="19" t="s">
        <v>4643</v>
      </c>
      <c r="N268" s="8" t="s">
        <v>1092</v>
      </c>
      <c r="Q268" s="4"/>
      <c r="R268" s="4" t="s">
        <v>4644</v>
      </c>
      <c r="S268" s="7" t="s">
        <v>3984</v>
      </c>
      <c r="T268" s="4" t="s">
        <v>2156</v>
      </c>
      <c r="U268" s="4">
        <v>0.0</v>
      </c>
      <c r="V268" s="18">
        <v>46056.62600694445</v>
      </c>
      <c r="W268" s="4" t="s">
        <v>4645</v>
      </c>
      <c r="Y268" s="4" t="b">
        <v>1</v>
      </c>
      <c r="Z268" s="5" t="s">
        <v>4404</v>
      </c>
      <c r="AA268" s="4" t="s">
        <v>1094</v>
      </c>
      <c r="AB268" s="6">
        <v>46070.0</v>
      </c>
    </row>
    <row r="269">
      <c r="A269" s="8" t="s">
        <v>3863</v>
      </c>
      <c r="B269" s="24">
        <v>46050.0</v>
      </c>
      <c r="C269" s="8">
        <v>355000.0</v>
      </c>
      <c r="D269" s="25">
        <v>46013.0</v>
      </c>
      <c r="E269" s="24">
        <v>46045.0</v>
      </c>
      <c r="F269" s="8" t="s">
        <v>1437</v>
      </c>
      <c r="G269" s="8" t="s">
        <v>2589</v>
      </c>
      <c r="H269" s="21"/>
      <c r="I269" s="24">
        <v>46069.0</v>
      </c>
      <c r="J269" s="24">
        <v>46057.0</v>
      </c>
      <c r="K269" s="8" t="b">
        <v>0</v>
      </c>
      <c r="L269" s="8" t="s">
        <v>1105</v>
      </c>
      <c r="M269" s="19" t="s">
        <v>4646</v>
      </c>
      <c r="N269" s="21"/>
      <c r="Q269" s="4"/>
      <c r="S269" s="7" t="s">
        <v>3984</v>
      </c>
      <c r="T269" s="4" t="s">
        <v>4500</v>
      </c>
      <c r="U269" s="4">
        <v>0.0</v>
      </c>
      <c r="V269" s="18">
        <v>46057.648622685185</v>
      </c>
      <c r="W269" s="4" t="s">
        <v>4501</v>
      </c>
      <c r="Y269" s="4" t="b">
        <v>1</v>
      </c>
      <c r="Z269" s="5" t="s">
        <v>4264</v>
      </c>
      <c r="AA269" s="4" t="s">
        <v>1107</v>
      </c>
      <c r="AB269" s="6">
        <v>46071.0</v>
      </c>
    </row>
    <row r="270">
      <c r="A270" s="8" t="s">
        <v>3875</v>
      </c>
      <c r="B270" s="24">
        <v>46056.0</v>
      </c>
      <c r="C270" s="8">
        <v>1010000.0</v>
      </c>
      <c r="D270" s="25">
        <v>46019.0</v>
      </c>
      <c r="E270" s="24">
        <v>46050.0</v>
      </c>
      <c r="F270" s="8" t="s">
        <v>1535</v>
      </c>
      <c r="G270" s="8" t="s">
        <v>2887</v>
      </c>
      <c r="H270" s="8" t="s">
        <v>4332</v>
      </c>
      <c r="I270" s="24">
        <v>46080.0</v>
      </c>
      <c r="J270" s="24">
        <v>46071.0</v>
      </c>
      <c r="K270" s="8" t="b">
        <v>0</v>
      </c>
      <c r="L270" s="8" t="s">
        <v>1115</v>
      </c>
      <c r="M270" s="19" t="s">
        <v>4647</v>
      </c>
      <c r="N270" s="21"/>
      <c r="Q270" s="4"/>
      <c r="S270" s="7" t="s">
        <v>3984</v>
      </c>
      <c r="T270" s="4" t="s">
        <v>4559</v>
      </c>
      <c r="U270" s="4">
        <v>30.0</v>
      </c>
      <c r="V270" s="18">
        <v>46071.406863425924</v>
      </c>
      <c r="W270" s="4" t="s">
        <v>4558</v>
      </c>
      <c r="Y270" s="4" t="b">
        <v>1</v>
      </c>
      <c r="Z270" s="5" t="s">
        <v>4371</v>
      </c>
      <c r="AA270" s="4" t="s">
        <v>1117</v>
      </c>
      <c r="AB270" s="6">
        <v>46084.0</v>
      </c>
    </row>
    <row r="271">
      <c r="A271" s="8" t="s">
        <v>3868</v>
      </c>
      <c r="B271" s="24">
        <v>46056.0</v>
      </c>
      <c r="C271" s="8">
        <v>1065000.0</v>
      </c>
      <c r="D271" s="24">
        <v>46023.0</v>
      </c>
      <c r="E271" s="24">
        <v>46054.0</v>
      </c>
      <c r="F271" s="8" t="s">
        <v>1559</v>
      </c>
      <c r="G271" s="8" t="s">
        <v>4571</v>
      </c>
      <c r="H271" s="8" t="s">
        <v>4207</v>
      </c>
      <c r="I271" s="24">
        <v>46069.0</v>
      </c>
      <c r="J271" s="24">
        <v>46062.0</v>
      </c>
      <c r="K271" s="8" t="b">
        <v>0</v>
      </c>
      <c r="L271" s="8" t="s">
        <v>1121</v>
      </c>
      <c r="M271" s="19" t="s">
        <v>4648</v>
      </c>
      <c r="N271" s="21"/>
      <c r="Q271" s="4"/>
      <c r="S271" s="7" t="s">
        <v>3984</v>
      </c>
      <c r="T271" s="4" t="s">
        <v>4504</v>
      </c>
      <c r="U271" s="4">
        <v>32.0</v>
      </c>
      <c r="V271" s="18">
        <v>46062.48619212963</v>
      </c>
      <c r="W271" s="4" t="s">
        <v>4649</v>
      </c>
      <c r="Y271" s="4" t="b">
        <v>1</v>
      </c>
      <c r="Z271" s="5" t="s">
        <v>4574</v>
      </c>
      <c r="AA271" s="4" t="s">
        <v>1123</v>
      </c>
      <c r="AB271" s="6">
        <v>46071.0</v>
      </c>
    </row>
    <row r="272">
      <c r="A272" s="8" t="s">
        <v>3870</v>
      </c>
      <c r="B272" s="24">
        <v>46065.0</v>
      </c>
      <c r="C272" s="8">
        <v>1450000.0</v>
      </c>
      <c r="D272" s="24">
        <v>46026.0</v>
      </c>
      <c r="E272" s="24">
        <v>46057.0</v>
      </c>
      <c r="F272" s="8" t="s">
        <v>1433</v>
      </c>
      <c r="G272" s="8" t="s">
        <v>2583</v>
      </c>
      <c r="H272" s="21"/>
      <c r="I272" s="24">
        <v>46079.0</v>
      </c>
      <c r="J272" s="24">
        <v>46072.0</v>
      </c>
      <c r="K272" s="8" t="b">
        <v>0</v>
      </c>
      <c r="L272" s="8" t="s">
        <v>1128</v>
      </c>
      <c r="M272" s="19" t="s">
        <v>4650</v>
      </c>
      <c r="N272" s="21"/>
      <c r="Q272" s="4"/>
      <c r="S272" s="7" t="s">
        <v>4047</v>
      </c>
      <c r="T272" s="4" t="s">
        <v>4626</v>
      </c>
      <c r="U272" s="4">
        <v>44.0</v>
      </c>
      <c r="V272" s="18">
        <v>46072.37427083333</v>
      </c>
      <c r="Y272" s="4" t="b">
        <v>1</v>
      </c>
      <c r="Z272" s="5" t="s">
        <v>4295</v>
      </c>
      <c r="AA272" s="4" t="s">
        <v>1130</v>
      </c>
      <c r="AB272" s="6">
        <v>46083.0</v>
      </c>
    </row>
    <row r="273">
      <c r="A273" s="8" t="s">
        <v>3884</v>
      </c>
      <c r="B273" s="24">
        <v>46065.0</v>
      </c>
      <c r="C273" s="8">
        <v>1342000.0</v>
      </c>
      <c r="D273" s="24">
        <v>46030.0</v>
      </c>
      <c r="E273" s="24">
        <v>46061.0</v>
      </c>
      <c r="F273" s="8" t="s">
        <v>1616</v>
      </c>
      <c r="G273" s="8" t="s">
        <v>4512</v>
      </c>
      <c r="H273" s="8" t="s">
        <v>4513</v>
      </c>
      <c r="I273" s="24">
        <v>46086.0</v>
      </c>
      <c r="J273" s="24">
        <v>46078.0</v>
      </c>
      <c r="K273" s="8" t="b">
        <v>0</v>
      </c>
      <c r="L273" s="8" t="s">
        <v>1134</v>
      </c>
      <c r="M273" s="19" t="s">
        <v>4651</v>
      </c>
      <c r="N273" s="21"/>
      <c r="Q273" s="4"/>
      <c r="S273" s="7" t="s">
        <v>3984</v>
      </c>
      <c r="T273" s="4" t="s">
        <v>4515</v>
      </c>
      <c r="U273" s="4">
        <v>40.0</v>
      </c>
      <c r="V273" s="18">
        <v>46078.662939814814</v>
      </c>
      <c r="W273" s="4" t="s">
        <v>4608</v>
      </c>
      <c r="Y273" s="4" t="b">
        <v>1</v>
      </c>
      <c r="Z273" s="5" t="s">
        <v>4517</v>
      </c>
      <c r="AA273" s="4" t="s">
        <v>1136</v>
      </c>
      <c r="AB273" s="6">
        <v>46090.0</v>
      </c>
    </row>
    <row r="274">
      <c r="A274" s="8" t="s">
        <v>3880</v>
      </c>
      <c r="B274" s="24">
        <v>46066.0</v>
      </c>
      <c r="C274" s="8">
        <v>719000.0</v>
      </c>
      <c r="D274" s="24">
        <v>46028.0</v>
      </c>
      <c r="E274" s="24">
        <v>46059.0</v>
      </c>
      <c r="F274" s="8" t="s">
        <v>1426</v>
      </c>
      <c r="G274" s="8" t="s">
        <v>2265</v>
      </c>
      <c r="H274" s="21"/>
      <c r="I274" s="24">
        <v>46083.0</v>
      </c>
      <c r="J274" s="24">
        <v>46072.0</v>
      </c>
      <c r="K274" s="8" t="b">
        <v>0</v>
      </c>
      <c r="L274" s="8" t="s">
        <v>1141</v>
      </c>
      <c r="M274" s="19" t="s">
        <v>4071</v>
      </c>
      <c r="N274" s="21"/>
      <c r="Q274" s="4"/>
      <c r="S274" s="7" t="s">
        <v>4047</v>
      </c>
      <c r="T274" s="4" t="s">
        <v>4458</v>
      </c>
      <c r="U274" s="4">
        <v>30.0</v>
      </c>
      <c r="V274" s="18">
        <v>46072.58269675926</v>
      </c>
      <c r="W274" s="4" t="s">
        <v>4459</v>
      </c>
      <c r="Y274" s="4" t="b">
        <v>0</v>
      </c>
      <c r="Z274" s="5" t="s">
        <v>4291</v>
      </c>
      <c r="AA274" s="4" t="s">
        <v>1143</v>
      </c>
      <c r="AB274" s="6">
        <v>46085.0</v>
      </c>
    </row>
    <row r="275">
      <c r="A275" s="8" t="s">
        <v>3892</v>
      </c>
      <c r="B275" s="24">
        <v>46072.0</v>
      </c>
      <c r="C275" s="8">
        <v>166000.0</v>
      </c>
      <c r="D275" s="24">
        <v>46039.0</v>
      </c>
      <c r="E275" s="24">
        <v>46070.0</v>
      </c>
      <c r="F275" s="8" t="s">
        <v>1437</v>
      </c>
      <c r="G275" s="8" t="s">
        <v>4003</v>
      </c>
      <c r="H275" s="8" t="s">
        <v>2517</v>
      </c>
      <c r="I275" s="24">
        <v>46099.0</v>
      </c>
      <c r="J275" s="24">
        <v>46087.0</v>
      </c>
      <c r="K275" s="8" t="b">
        <v>0</v>
      </c>
      <c r="L275" s="8" t="s">
        <v>1149</v>
      </c>
      <c r="M275" s="19" t="s">
        <v>4652</v>
      </c>
      <c r="N275" s="21"/>
      <c r="Q275" s="4"/>
      <c r="S275" s="7" t="s">
        <v>3984</v>
      </c>
      <c r="T275" s="4" t="s">
        <v>2156</v>
      </c>
      <c r="U275" s="4">
        <v>0.0</v>
      </c>
      <c r="V275" s="18">
        <v>46087.179618055554</v>
      </c>
      <c r="W275" s="4" t="s">
        <v>4529</v>
      </c>
      <c r="Y275" s="4" t="b">
        <v>1</v>
      </c>
      <c r="Z275" s="5" t="s">
        <v>4404</v>
      </c>
      <c r="AA275" s="4" t="s">
        <v>1151</v>
      </c>
      <c r="AB275" s="6">
        <v>46101.0</v>
      </c>
    </row>
    <row r="276">
      <c r="A276" s="8" t="s">
        <v>3921</v>
      </c>
      <c r="B276" s="24">
        <v>46072.0</v>
      </c>
      <c r="C276" s="8">
        <v>423.0</v>
      </c>
      <c r="D276" s="24">
        <v>46036.0</v>
      </c>
      <c r="E276" s="24">
        <v>46067.0</v>
      </c>
      <c r="F276" s="8" t="s">
        <v>1587</v>
      </c>
      <c r="G276" s="8" t="s">
        <v>4425</v>
      </c>
      <c r="H276" s="21"/>
      <c r="I276" s="24">
        <v>46114.0</v>
      </c>
      <c r="J276" s="24">
        <v>46108.0</v>
      </c>
      <c r="K276" s="8" t="b">
        <v>1</v>
      </c>
      <c r="L276" s="21"/>
      <c r="M276" s="21"/>
      <c r="N276" s="21"/>
      <c r="Q276" s="4"/>
      <c r="S276" s="4" t="s">
        <v>4594</v>
      </c>
      <c r="T276" s="4" t="s">
        <v>2225</v>
      </c>
      <c r="U276" s="4">
        <v>24.0</v>
      </c>
      <c r="V276" s="18">
        <v>46108.63935185185</v>
      </c>
      <c r="W276" s="4" t="s">
        <v>4638</v>
      </c>
      <c r="Y276" s="4" t="b">
        <v>1</v>
      </c>
      <c r="Z276" s="5" t="s">
        <v>4428</v>
      </c>
      <c r="AA276" s="4" t="s">
        <v>1156</v>
      </c>
      <c r="AB276" s="6">
        <v>46118.0</v>
      </c>
    </row>
    <row r="277">
      <c r="A277" s="8" t="s">
        <v>3882</v>
      </c>
      <c r="B277" s="24">
        <v>46072.0</v>
      </c>
      <c r="C277" s="8">
        <v>1115000.0</v>
      </c>
      <c r="D277" s="24">
        <v>46040.0</v>
      </c>
      <c r="E277" s="24">
        <v>46071.0</v>
      </c>
      <c r="F277" s="8" t="s">
        <v>1610</v>
      </c>
      <c r="G277" s="8" t="s">
        <v>4492</v>
      </c>
      <c r="H277" s="8" t="s">
        <v>4493</v>
      </c>
      <c r="I277" s="24">
        <v>46084.0</v>
      </c>
      <c r="J277" s="24">
        <v>46078.0</v>
      </c>
      <c r="K277" s="8" t="b">
        <v>0</v>
      </c>
      <c r="L277" s="8" t="s">
        <v>1159</v>
      </c>
      <c r="M277" s="19" t="s">
        <v>4653</v>
      </c>
      <c r="N277" s="21"/>
      <c r="Q277" s="4"/>
      <c r="S277" s="7" t="s">
        <v>3984</v>
      </c>
      <c r="T277" s="4" t="s">
        <v>82</v>
      </c>
      <c r="U277" s="4">
        <v>40.0</v>
      </c>
      <c r="V277" s="18">
        <v>46078.61587962963</v>
      </c>
      <c r="W277" s="4" t="s">
        <v>4636</v>
      </c>
      <c r="Y277" s="4" t="b">
        <v>1</v>
      </c>
      <c r="Z277" s="5" t="s">
        <v>4496</v>
      </c>
      <c r="AA277" s="4" t="s">
        <v>4654</v>
      </c>
      <c r="AB277" s="6">
        <v>46086.0</v>
      </c>
    </row>
    <row r="278">
      <c r="A278" s="8" t="s">
        <v>3890</v>
      </c>
      <c r="B278" s="24">
        <v>46072.0</v>
      </c>
      <c r="C278" s="8">
        <v>610000.0</v>
      </c>
      <c r="D278" s="24">
        <v>46035.0</v>
      </c>
      <c r="E278" s="24">
        <v>46066.0</v>
      </c>
      <c r="F278" s="8" t="s">
        <v>1491</v>
      </c>
      <c r="G278" s="19" t="s">
        <v>2425</v>
      </c>
      <c r="H278" s="21"/>
      <c r="I278" s="24">
        <v>46093.0</v>
      </c>
      <c r="J278" s="24">
        <v>46086.0</v>
      </c>
      <c r="K278" s="8" t="b">
        <v>0</v>
      </c>
      <c r="L278" s="8" t="s">
        <v>1165</v>
      </c>
      <c r="M278" s="19" t="s">
        <v>4075</v>
      </c>
      <c r="N278" s="8" t="s">
        <v>1166</v>
      </c>
      <c r="Q278" s="4"/>
      <c r="R278" s="4" t="s">
        <v>4655</v>
      </c>
      <c r="S278" s="7" t="s">
        <v>4047</v>
      </c>
      <c r="T278" s="4" t="s">
        <v>4521</v>
      </c>
      <c r="U278" s="4">
        <v>20.0</v>
      </c>
      <c r="V278" s="18">
        <v>46086.550844907404</v>
      </c>
      <c r="W278" s="4" t="s">
        <v>4655</v>
      </c>
      <c r="Y278" s="4" t="b">
        <v>1</v>
      </c>
      <c r="Z278" s="5" t="s">
        <v>4277</v>
      </c>
      <c r="AA278" s="4" t="s">
        <v>4656</v>
      </c>
      <c r="AB278" s="6">
        <v>46097.0</v>
      </c>
    </row>
    <row r="279">
      <c r="A279" s="8" t="s">
        <v>3894</v>
      </c>
      <c r="B279" s="24">
        <v>46072.0</v>
      </c>
      <c r="C279" s="8">
        <v>1198000.0</v>
      </c>
      <c r="D279" s="24">
        <v>46033.0</v>
      </c>
      <c r="E279" s="24">
        <v>46064.0</v>
      </c>
      <c r="F279" s="8" t="s">
        <v>1419</v>
      </c>
      <c r="G279" s="8" t="s">
        <v>3981</v>
      </c>
      <c r="H279" s="8" t="s">
        <v>2478</v>
      </c>
      <c r="I279" s="24">
        <v>46101.0</v>
      </c>
      <c r="J279" s="24">
        <v>46091.0</v>
      </c>
      <c r="K279" s="8" t="b">
        <v>1</v>
      </c>
      <c r="L279" s="21"/>
      <c r="M279" s="21"/>
      <c r="N279" s="21"/>
      <c r="Q279" s="4"/>
      <c r="S279" s="4" t="s">
        <v>4485</v>
      </c>
      <c r="T279" s="4" t="s">
        <v>4553</v>
      </c>
      <c r="U279" s="4">
        <v>36.0</v>
      </c>
      <c r="V279" s="18">
        <v>46091.542708333334</v>
      </c>
      <c r="W279" s="4" t="s">
        <v>4554</v>
      </c>
      <c r="Y279" s="4" t="b">
        <v>1</v>
      </c>
      <c r="Z279" s="5" t="s">
        <v>4394</v>
      </c>
      <c r="AA279" s="4" t="s">
        <v>1174</v>
      </c>
      <c r="AB279" s="6">
        <v>46105.0</v>
      </c>
    </row>
    <row r="280">
      <c r="A280" s="8" t="s">
        <v>3886</v>
      </c>
      <c r="B280" s="24">
        <v>46077.0</v>
      </c>
      <c r="C280" s="8">
        <v>579000.0</v>
      </c>
      <c r="D280" s="24">
        <v>46042.0</v>
      </c>
      <c r="E280" s="24">
        <v>46077.0</v>
      </c>
      <c r="F280" s="8" t="s">
        <v>1606</v>
      </c>
      <c r="G280" s="8" t="s">
        <v>4486</v>
      </c>
      <c r="H280" s="21"/>
      <c r="I280" s="24">
        <v>46085.0</v>
      </c>
      <c r="J280" s="24">
        <v>46079.0</v>
      </c>
      <c r="K280" s="8" t="b">
        <v>0</v>
      </c>
      <c r="L280" s="8" t="s">
        <v>1179</v>
      </c>
      <c r="M280" s="19" t="s">
        <v>4077</v>
      </c>
      <c r="N280" s="8" t="s">
        <v>1180</v>
      </c>
      <c r="P280" s="4" t="s">
        <v>1181</v>
      </c>
      <c r="Q280" s="4"/>
      <c r="R280" s="4" t="s">
        <v>4657</v>
      </c>
      <c r="S280" s="7" t="s">
        <v>4047</v>
      </c>
      <c r="T280" s="4" t="s">
        <v>4488</v>
      </c>
      <c r="U280" s="4">
        <v>18.0</v>
      </c>
      <c r="V280" s="18">
        <v>46079.452731481484</v>
      </c>
      <c r="W280" s="4" t="s">
        <v>4658</v>
      </c>
      <c r="Y280" s="4" t="b">
        <v>1</v>
      </c>
      <c r="Z280" s="5" t="s">
        <v>4490</v>
      </c>
      <c r="AA280" s="4" t="s">
        <v>1182</v>
      </c>
      <c r="AB280" s="6">
        <v>46087.0</v>
      </c>
    </row>
    <row r="281">
      <c r="A281" s="8" t="s">
        <v>3896</v>
      </c>
      <c r="B281" s="24">
        <v>46077.0</v>
      </c>
      <c r="C281" s="8">
        <v>750000.0</v>
      </c>
      <c r="D281" s="24">
        <v>46045.0</v>
      </c>
      <c r="E281" s="24">
        <v>46076.0</v>
      </c>
      <c r="F281" s="8" t="s">
        <v>1648</v>
      </c>
      <c r="G281" s="8" t="s">
        <v>4565</v>
      </c>
      <c r="H281" s="21"/>
      <c r="I281" s="24">
        <v>46098.0</v>
      </c>
      <c r="J281" s="24">
        <v>46092.0</v>
      </c>
      <c r="K281" s="8" t="b">
        <v>0</v>
      </c>
      <c r="L281" s="8" t="s">
        <v>1187</v>
      </c>
      <c r="M281" s="21"/>
      <c r="N281" s="21"/>
      <c r="P281" s="4" t="s">
        <v>1188</v>
      </c>
      <c r="Q281" s="4"/>
      <c r="S281" s="7" t="s">
        <v>3984</v>
      </c>
      <c r="T281" s="4" t="s">
        <v>4659</v>
      </c>
      <c r="U281" s="4">
        <v>24.0</v>
      </c>
      <c r="V281" s="18">
        <v>46092.44668981482</v>
      </c>
      <c r="W281" s="4" t="s">
        <v>4660</v>
      </c>
      <c r="Y281" s="4" t="b">
        <v>1</v>
      </c>
      <c r="Z281" s="5" t="s">
        <v>4569</v>
      </c>
      <c r="AA281" s="4" t="s">
        <v>1189</v>
      </c>
      <c r="AB281" s="6"/>
    </row>
    <row r="282">
      <c r="A282" s="8" t="s">
        <v>3905</v>
      </c>
      <c r="B282" s="24">
        <v>46078.0</v>
      </c>
      <c r="C282" s="8">
        <v>355000.0</v>
      </c>
      <c r="D282" s="24">
        <v>46045.0</v>
      </c>
      <c r="E282" s="24">
        <v>46076.0</v>
      </c>
      <c r="F282" s="8" t="s">
        <v>1437</v>
      </c>
      <c r="G282" s="8" t="s">
        <v>2589</v>
      </c>
      <c r="H282" s="21"/>
      <c r="I282" s="24">
        <v>46113.0</v>
      </c>
      <c r="J282" s="24">
        <v>46101.0</v>
      </c>
      <c r="K282" s="8" t="b">
        <v>0</v>
      </c>
      <c r="L282" s="8" t="s">
        <v>1193</v>
      </c>
      <c r="M282" s="19" t="s">
        <v>4661</v>
      </c>
      <c r="N282" s="21"/>
      <c r="Q282" s="4"/>
      <c r="S282" s="7" t="s">
        <v>3984</v>
      </c>
      <c r="T282" s="4" t="s">
        <v>4500</v>
      </c>
      <c r="U282" s="4">
        <v>0.0</v>
      </c>
      <c r="V282" s="18">
        <v>46101.534155092595</v>
      </c>
      <c r="W282" s="4" t="s">
        <v>4501</v>
      </c>
      <c r="Y282" s="4" t="b">
        <v>1</v>
      </c>
      <c r="Z282" s="5" t="s">
        <v>4264</v>
      </c>
      <c r="AA282" s="4" t="s">
        <v>1195</v>
      </c>
      <c r="AB282" s="6">
        <v>46127.0</v>
      </c>
      <c r="AD282" s="6">
        <v>46099.0</v>
      </c>
    </row>
    <row r="283">
      <c r="A283" s="8" t="s">
        <v>3900</v>
      </c>
      <c r="B283" s="24">
        <v>46080.0</v>
      </c>
      <c r="C283" s="8">
        <v>780000.0</v>
      </c>
      <c r="D283" s="24">
        <v>46042.0</v>
      </c>
      <c r="E283" s="24">
        <v>46073.0</v>
      </c>
      <c r="F283" s="8" t="s">
        <v>1656</v>
      </c>
      <c r="G283" s="8" t="s">
        <v>4662</v>
      </c>
      <c r="H283" s="21"/>
      <c r="I283" s="24">
        <v>46100.0</v>
      </c>
      <c r="J283" s="24">
        <v>46094.0</v>
      </c>
      <c r="K283" s="8" t="b">
        <v>0</v>
      </c>
      <c r="L283" s="8" t="s">
        <v>1202</v>
      </c>
      <c r="M283" s="19" t="s">
        <v>4663</v>
      </c>
      <c r="N283" s="21"/>
      <c r="Q283" s="4"/>
      <c r="S283" s="7" t="s">
        <v>3984</v>
      </c>
      <c r="T283" s="4" t="s">
        <v>4664</v>
      </c>
      <c r="U283" s="4">
        <v>24.0</v>
      </c>
      <c r="V283" s="18">
        <v>46094.83185185185</v>
      </c>
      <c r="W283" s="4" t="s">
        <v>4665</v>
      </c>
      <c r="Y283" s="4" t="b">
        <v>1</v>
      </c>
      <c r="Z283" s="5" t="s">
        <v>4666</v>
      </c>
      <c r="AA283" s="4" t="s">
        <v>1204</v>
      </c>
      <c r="AB283" s="6">
        <v>46104.0</v>
      </c>
    </row>
    <row r="284">
      <c r="A284" s="8" t="s">
        <v>3888</v>
      </c>
      <c r="B284" s="24">
        <v>46083.0</v>
      </c>
      <c r="C284" s="8">
        <v>653000.0</v>
      </c>
      <c r="D284" s="24">
        <v>45999.0</v>
      </c>
      <c r="E284" s="24">
        <v>46087.0</v>
      </c>
      <c r="F284" s="8" t="s">
        <v>1515</v>
      </c>
      <c r="G284" s="8" t="s">
        <v>4584</v>
      </c>
      <c r="H284" s="21"/>
      <c r="I284" s="24">
        <v>46087.0</v>
      </c>
      <c r="J284" s="24">
        <v>46083.0</v>
      </c>
      <c r="K284" s="8" t="b">
        <v>1</v>
      </c>
      <c r="L284" s="21"/>
      <c r="M284" s="21"/>
      <c r="N284" s="21"/>
      <c r="P284" s="4" t="s">
        <v>1210</v>
      </c>
      <c r="Q284" s="4"/>
      <c r="R284" s="4" t="s">
        <v>4667</v>
      </c>
      <c r="S284" s="7" t="s">
        <v>3984</v>
      </c>
      <c r="T284" s="4" t="s">
        <v>4586</v>
      </c>
      <c r="U284" s="4">
        <v>24.0</v>
      </c>
      <c r="V284" s="18">
        <v>46083.50875</v>
      </c>
      <c r="W284" s="4" t="s">
        <v>4668</v>
      </c>
      <c r="Y284" s="4" t="b">
        <v>1</v>
      </c>
      <c r="Z284" s="5" t="s">
        <v>4588</v>
      </c>
      <c r="AA284" s="4" t="s">
        <v>4669</v>
      </c>
      <c r="AB284" s="6">
        <v>46091.0</v>
      </c>
    </row>
    <row r="285">
      <c r="A285" s="8" t="s">
        <v>3907</v>
      </c>
      <c r="B285" s="24">
        <v>46090.0</v>
      </c>
      <c r="C285" s="8">
        <v>1065000.0</v>
      </c>
      <c r="D285" s="24">
        <v>46054.0</v>
      </c>
      <c r="E285" s="24">
        <v>46082.0</v>
      </c>
      <c r="F285" s="8" t="s">
        <v>1559</v>
      </c>
      <c r="G285" s="8" t="s">
        <v>4571</v>
      </c>
      <c r="H285" s="8" t="s">
        <v>4207</v>
      </c>
      <c r="I285" s="24">
        <v>46108.0</v>
      </c>
      <c r="J285" s="24">
        <v>46101.0</v>
      </c>
      <c r="K285" s="8" t="b">
        <v>0</v>
      </c>
      <c r="L285" s="8" t="s">
        <v>1221</v>
      </c>
      <c r="M285" s="19" t="s">
        <v>4670</v>
      </c>
      <c r="N285" s="21"/>
      <c r="Q285" s="4"/>
      <c r="S285" s="7" t="s">
        <v>3984</v>
      </c>
      <c r="T285" s="4" t="s">
        <v>4504</v>
      </c>
      <c r="U285" s="4">
        <v>32.0</v>
      </c>
      <c r="V285" s="18">
        <v>46101.53435185185</v>
      </c>
      <c r="W285" s="4" t="s">
        <v>4671</v>
      </c>
      <c r="Y285" s="4" t="b">
        <v>1</v>
      </c>
      <c r="Z285" s="5" t="s">
        <v>4574</v>
      </c>
      <c r="AA285" s="4" t="s">
        <v>1223</v>
      </c>
      <c r="AB285" s="6">
        <v>46119.0</v>
      </c>
    </row>
    <row r="286">
      <c r="A286" s="8" t="s">
        <v>3918</v>
      </c>
      <c r="B286" s="24">
        <v>46090.0</v>
      </c>
      <c r="C286" s="8">
        <v>1010000.0</v>
      </c>
      <c r="D286" s="24">
        <v>46050.0</v>
      </c>
      <c r="E286" s="24">
        <v>46081.0</v>
      </c>
      <c r="F286" s="8" t="s">
        <v>1535</v>
      </c>
      <c r="G286" s="8" t="s">
        <v>2887</v>
      </c>
      <c r="H286" s="8" t="s">
        <v>4332</v>
      </c>
      <c r="I286" s="24">
        <v>46118.0</v>
      </c>
      <c r="J286" s="24">
        <v>46107.0</v>
      </c>
      <c r="K286" s="8" t="b">
        <v>0</v>
      </c>
      <c r="L286" s="8" t="s">
        <v>1227</v>
      </c>
      <c r="M286" s="19" t="s">
        <v>4672</v>
      </c>
      <c r="N286" s="21"/>
      <c r="Q286" s="4"/>
      <c r="S286" s="7" t="s">
        <v>3984</v>
      </c>
      <c r="T286" s="4" t="s">
        <v>4559</v>
      </c>
      <c r="U286" s="4">
        <v>30.0</v>
      </c>
      <c r="V286" s="18">
        <v>46107.77478009259</v>
      </c>
      <c r="W286" s="4" t="s">
        <v>4558</v>
      </c>
      <c r="Y286" s="4" t="b">
        <v>1</v>
      </c>
      <c r="Z286" s="5" t="s">
        <v>4371</v>
      </c>
      <c r="AA286" s="4" t="s">
        <v>1229</v>
      </c>
      <c r="AB286" s="6">
        <v>46120.0</v>
      </c>
    </row>
    <row r="287">
      <c r="A287" s="8" t="s">
        <v>3909</v>
      </c>
      <c r="B287" s="24">
        <v>46091.0</v>
      </c>
      <c r="C287" s="8">
        <v>1470000.0</v>
      </c>
      <c r="D287" s="24">
        <v>46061.0</v>
      </c>
      <c r="E287" s="24">
        <v>46089.0</v>
      </c>
      <c r="F287" s="8" t="s">
        <v>1616</v>
      </c>
      <c r="G287" s="8" t="s">
        <v>4512</v>
      </c>
      <c r="H287" s="8" t="s">
        <v>4513</v>
      </c>
      <c r="I287" s="24">
        <v>46111.0</v>
      </c>
      <c r="J287" s="24">
        <v>46101.0</v>
      </c>
      <c r="K287" s="8" t="b">
        <v>0</v>
      </c>
      <c r="L287" s="8" t="s">
        <v>1233</v>
      </c>
      <c r="M287" s="19" t="s">
        <v>4673</v>
      </c>
      <c r="N287" s="21"/>
      <c r="P287" s="4" t="s">
        <v>1234</v>
      </c>
      <c r="Q287" s="4"/>
      <c r="S287" s="7" t="s">
        <v>3984</v>
      </c>
      <c r="T287" s="4" t="s">
        <v>4515</v>
      </c>
      <c r="U287" s="4">
        <v>40.0</v>
      </c>
      <c r="V287" s="18">
        <v>46101.534467592595</v>
      </c>
      <c r="W287" s="4" t="s">
        <v>4674</v>
      </c>
      <c r="Y287" s="4" t="b">
        <v>1</v>
      </c>
      <c r="Z287" s="5" t="s">
        <v>4517</v>
      </c>
      <c r="AA287" s="4" t="s">
        <v>1235</v>
      </c>
      <c r="AB287" s="6">
        <v>46113.0</v>
      </c>
    </row>
    <row r="288">
      <c r="A288" s="8" t="s">
        <v>3911</v>
      </c>
      <c r="B288" s="24">
        <v>46091.0</v>
      </c>
      <c r="C288" s="8">
        <v>739000.0</v>
      </c>
      <c r="D288" s="24">
        <v>46059.0</v>
      </c>
      <c r="E288" s="24">
        <v>46087.0</v>
      </c>
      <c r="F288" s="8" t="s">
        <v>1426</v>
      </c>
      <c r="G288" s="8" t="s">
        <v>2265</v>
      </c>
      <c r="H288" s="21"/>
      <c r="I288" s="24">
        <v>46112.0</v>
      </c>
      <c r="J288" s="24">
        <v>46101.0</v>
      </c>
      <c r="K288" s="8" t="b">
        <v>0</v>
      </c>
      <c r="L288" s="8" t="s">
        <v>1239</v>
      </c>
      <c r="M288" s="19" t="s">
        <v>4675</v>
      </c>
      <c r="N288" s="21"/>
      <c r="Q288" s="4"/>
      <c r="S288" s="7" t="s">
        <v>4047</v>
      </c>
      <c r="T288" s="4" t="s">
        <v>4458</v>
      </c>
      <c r="U288" s="4">
        <v>30.0</v>
      </c>
      <c r="V288" s="18">
        <v>46101.536203703705</v>
      </c>
      <c r="W288" s="4" t="s">
        <v>4459</v>
      </c>
      <c r="Y288" s="4" t="b">
        <v>0</v>
      </c>
      <c r="Z288" s="5" t="s">
        <v>4291</v>
      </c>
      <c r="AA288" s="4" t="s">
        <v>1241</v>
      </c>
      <c r="AB288" s="6">
        <v>46114.0</v>
      </c>
    </row>
    <row r="289">
      <c r="A289" s="8"/>
      <c r="B289" s="24"/>
      <c r="C289" s="8"/>
      <c r="D289" s="24"/>
      <c r="E289" s="24"/>
      <c r="F289" s="8"/>
      <c r="G289" s="8"/>
      <c r="H289" s="21"/>
      <c r="I289" s="24"/>
      <c r="J289" s="24"/>
      <c r="K289" s="8"/>
      <c r="L289" s="8"/>
      <c r="M289" s="8"/>
      <c r="N289" s="21"/>
      <c r="Q289" s="4"/>
      <c r="S289" s="4"/>
      <c r="T289" s="4"/>
      <c r="U289" s="4"/>
      <c r="V289" s="18"/>
      <c r="W289" s="4"/>
      <c r="Y289" s="4"/>
      <c r="Z289" s="4"/>
      <c r="AA289" s="4"/>
      <c r="AB289" s="6"/>
    </row>
    <row r="290">
      <c r="A290" s="8" t="s">
        <v>3898</v>
      </c>
      <c r="B290" s="24">
        <v>46091.0</v>
      </c>
      <c r="C290" s="8">
        <v>1450000.0</v>
      </c>
      <c r="D290" s="24">
        <v>46057.0</v>
      </c>
      <c r="E290" s="24">
        <v>46085.0</v>
      </c>
      <c r="F290" s="8" t="s">
        <v>1433</v>
      </c>
      <c r="G290" s="8" t="s">
        <v>2583</v>
      </c>
      <c r="H290" s="21"/>
      <c r="I290" s="24">
        <v>46115.0</v>
      </c>
      <c r="J290" s="24">
        <v>46108.0</v>
      </c>
      <c r="K290" s="8" t="b">
        <v>0</v>
      </c>
      <c r="L290" s="8" t="s">
        <v>1252</v>
      </c>
      <c r="M290" s="19" t="s">
        <v>4676</v>
      </c>
      <c r="N290" s="21"/>
      <c r="Q290" s="4"/>
      <c r="S290" s="7" t="s">
        <v>4047</v>
      </c>
      <c r="T290" s="4" t="s">
        <v>4626</v>
      </c>
      <c r="U290" s="4">
        <v>44.0</v>
      </c>
      <c r="V290" s="18">
        <v>46108.758125</v>
      </c>
      <c r="Y290" s="4" t="b">
        <v>1</v>
      </c>
      <c r="Z290" s="5" t="s">
        <v>4295</v>
      </c>
      <c r="AA290" s="4" t="s">
        <v>4677</v>
      </c>
      <c r="AB290" s="6">
        <v>46119.0</v>
      </c>
    </row>
    <row r="291">
      <c r="A291" s="8" t="s">
        <v>3928</v>
      </c>
      <c r="B291" s="24">
        <v>46099.0</v>
      </c>
      <c r="C291" s="8">
        <v>1198000.0</v>
      </c>
      <c r="D291" s="24">
        <v>46064.0</v>
      </c>
      <c r="E291" s="24">
        <v>46092.0</v>
      </c>
      <c r="F291" s="8" t="s">
        <v>1419</v>
      </c>
      <c r="G291" s="8" t="s">
        <v>4678</v>
      </c>
      <c r="H291" s="8" t="s">
        <v>2478</v>
      </c>
      <c r="I291" s="24">
        <v>46134.0</v>
      </c>
      <c r="J291" s="24">
        <v>46122.0</v>
      </c>
      <c r="K291" s="8" t="b">
        <v>1</v>
      </c>
      <c r="L291" s="21"/>
      <c r="M291" s="21"/>
      <c r="N291" s="21"/>
      <c r="Q291" s="4"/>
      <c r="S291" s="4" t="s">
        <v>4485</v>
      </c>
      <c r="T291" s="4" t="s">
        <v>4553</v>
      </c>
      <c r="U291" s="4">
        <v>36.0</v>
      </c>
      <c r="V291" s="18">
        <v>46122.6015625</v>
      </c>
      <c r="W291" s="4" t="s">
        <v>4554</v>
      </c>
      <c r="Y291" s="4" t="b">
        <v>1</v>
      </c>
      <c r="Z291" s="5" t="s">
        <v>4679</v>
      </c>
      <c r="AA291" s="4" t="s">
        <v>1266</v>
      </c>
      <c r="AB291" s="6">
        <v>46136.0</v>
      </c>
    </row>
    <row r="292">
      <c r="A292" s="8" t="s">
        <v>3940</v>
      </c>
      <c r="B292" s="24">
        <v>46099.0</v>
      </c>
      <c r="C292" s="8">
        <v>282.0</v>
      </c>
      <c r="D292" s="24">
        <v>46067.0</v>
      </c>
      <c r="E292" s="24">
        <v>46087.0</v>
      </c>
      <c r="F292" s="8" t="s">
        <v>1587</v>
      </c>
      <c r="G292" s="8" t="s">
        <v>4425</v>
      </c>
      <c r="H292" s="21"/>
      <c r="I292" s="24">
        <v>46133.0</v>
      </c>
      <c r="J292" s="24">
        <v>46127.0</v>
      </c>
      <c r="K292" s="8" t="b">
        <v>1</v>
      </c>
      <c r="L292" s="21"/>
      <c r="M292" s="21"/>
      <c r="N292" s="21"/>
      <c r="Q292" s="4"/>
      <c r="R292" s="4" t="s">
        <v>4680</v>
      </c>
      <c r="S292" s="4" t="s">
        <v>4594</v>
      </c>
      <c r="T292" s="4" t="s">
        <v>2225</v>
      </c>
      <c r="U292" s="4">
        <v>24.0</v>
      </c>
      <c r="V292" s="18">
        <v>46127.58729166666</v>
      </c>
      <c r="W292" s="4" t="s">
        <v>4681</v>
      </c>
      <c r="Y292" s="4" t="b">
        <v>1</v>
      </c>
      <c r="Z292" s="5" t="s">
        <v>4428</v>
      </c>
      <c r="AA292" s="4" t="s">
        <v>1270</v>
      </c>
      <c r="AB292" s="6">
        <v>46135.0</v>
      </c>
    </row>
    <row r="293">
      <c r="A293" s="8" t="s">
        <v>3902</v>
      </c>
      <c r="B293" s="24">
        <v>46100.0</v>
      </c>
      <c r="C293" s="8">
        <v>780000.0</v>
      </c>
      <c r="D293" s="24">
        <v>46057.0</v>
      </c>
      <c r="E293" s="24">
        <v>46085.0</v>
      </c>
      <c r="F293" s="8" t="s">
        <v>1676</v>
      </c>
      <c r="G293" s="8" t="s">
        <v>4682</v>
      </c>
      <c r="H293" s="21"/>
      <c r="I293" s="24">
        <v>46106.0</v>
      </c>
      <c r="J293" s="24">
        <v>46100.0</v>
      </c>
      <c r="K293" s="8" t="b">
        <v>0</v>
      </c>
      <c r="L293" s="8" t="s">
        <v>1276</v>
      </c>
      <c r="M293" s="19" t="s">
        <v>4089</v>
      </c>
      <c r="N293" s="21"/>
      <c r="Q293" s="4"/>
      <c r="S293" s="7" t="s">
        <v>4047</v>
      </c>
      <c r="T293" s="4" t="s">
        <v>4683</v>
      </c>
      <c r="U293" s="4">
        <v>24.0</v>
      </c>
      <c r="V293" s="18">
        <v>46100.45197916667</v>
      </c>
      <c r="Y293" s="4" t="b">
        <v>1</v>
      </c>
      <c r="Z293" s="5" t="s">
        <v>4684</v>
      </c>
      <c r="AA293" s="4" t="s">
        <v>4685</v>
      </c>
      <c r="AB293" s="6">
        <v>46114.0</v>
      </c>
    </row>
    <row r="294">
      <c r="A294" s="19" t="s">
        <v>3924</v>
      </c>
      <c r="B294" s="24">
        <v>46100.0</v>
      </c>
      <c r="C294" s="8">
        <v>172000.0</v>
      </c>
      <c r="D294" s="24">
        <v>46070.0</v>
      </c>
      <c r="E294" s="24">
        <v>46098.0</v>
      </c>
      <c r="F294" s="8" t="s">
        <v>1437</v>
      </c>
      <c r="G294" s="8" t="s">
        <v>4003</v>
      </c>
      <c r="H294" s="8" t="s">
        <v>2517</v>
      </c>
      <c r="I294" s="24">
        <v>46122.0</v>
      </c>
      <c r="J294" s="24">
        <v>46112.0</v>
      </c>
      <c r="K294" s="8" t="b">
        <v>0</v>
      </c>
      <c r="L294" s="8" t="s">
        <v>1282</v>
      </c>
      <c r="M294" s="19" t="s">
        <v>4686</v>
      </c>
      <c r="N294" s="21"/>
      <c r="Q294" s="4"/>
      <c r="S294" s="7" t="s">
        <v>3984</v>
      </c>
      <c r="T294" s="4" t="s">
        <v>2156</v>
      </c>
      <c r="U294" s="4">
        <v>0.0</v>
      </c>
      <c r="V294" s="18">
        <v>46112.64096064815</v>
      </c>
      <c r="W294" s="4" t="s">
        <v>4529</v>
      </c>
      <c r="Y294" s="4" t="b">
        <v>1</v>
      </c>
      <c r="Z294" s="5" t="s">
        <v>4404</v>
      </c>
      <c r="AA294" s="4" t="s">
        <v>4687</v>
      </c>
      <c r="AB294" s="6">
        <v>46126.0</v>
      </c>
    </row>
    <row r="295">
      <c r="A295" s="8" t="s">
        <v>3932</v>
      </c>
      <c r="B295" s="24">
        <v>46101.0</v>
      </c>
      <c r="C295" s="8">
        <v>780000.0</v>
      </c>
      <c r="D295" s="24">
        <v>46064.0</v>
      </c>
      <c r="E295" s="24">
        <v>46092.0</v>
      </c>
      <c r="F295" s="8" t="s">
        <v>1535</v>
      </c>
      <c r="G295" s="8" t="s">
        <v>2887</v>
      </c>
      <c r="H295" s="8" t="s">
        <v>4332</v>
      </c>
      <c r="I295" s="24">
        <v>46133.0</v>
      </c>
      <c r="J295" s="24">
        <v>46122.0</v>
      </c>
      <c r="K295" s="8" t="b">
        <v>0</v>
      </c>
      <c r="L295" s="8" t="s">
        <v>1288</v>
      </c>
      <c r="M295" s="19" t="s">
        <v>4688</v>
      </c>
      <c r="N295" s="21"/>
      <c r="Q295" s="4"/>
      <c r="R295" s="4" t="s">
        <v>4689</v>
      </c>
      <c r="S295" s="7" t="s">
        <v>3984</v>
      </c>
      <c r="T295" s="4" t="s">
        <v>4690</v>
      </c>
      <c r="U295" s="4">
        <v>20.0</v>
      </c>
      <c r="V295" s="18">
        <v>46122.64108796296</v>
      </c>
      <c r="W295" s="4" t="s">
        <v>4689</v>
      </c>
      <c r="Y295" s="4" t="b">
        <v>0</v>
      </c>
      <c r="Z295" s="5" t="s">
        <v>4371</v>
      </c>
      <c r="AA295" s="4" t="s">
        <v>1290</v>
      </c>
      <c r="AB295" s="6">
        <v>46135.0</v>
      </c>
    </row>
    <row r="296">
      <c r="A296" s="8" t="s">
        <v>3926</v>
      </c>
      <c r="B296" s="24">
        <v>46101.0</v>
      </c>
      <c r="C296" s="8">
        <v>431000.0</v>
      </c>
      <c r="D296" s="24">
        <v>46066.0</v>
      </c>
      <c r="E296" s="24">
        <v>46094.0</v>
      </c>
      <c r="F296" s="8" t="s">
        <v>1491</v>
      </c>
      <c r="G296" s="19" t="s">
        <v>2425</v>
      </c>
      <c r="H296" s="21"/>
      <c r="I296" s="24">
        <v>46122.0</v>
      </c>
      <c r="J296" s="24">
        <v>46117.0</v>
      </c>
      <c r="K296" s="8" t="b">
        <v>0</v>
      </c>
      <c r="L296" s="8" t="s">
        <v>1293</v>
      </c>
      <c r="M296" s="19" t="s">
        <v>4095</v>
      </c>
      <c r="N296" s="21"/>
      <c r="Q296" s="4"/>
      <c r="R296" s="4" t="s">
        <v>4691</v>
      </c>
      <c r="S296" s="7" t="s">
        <v>4047</v>
      </c>
      <c r="T296" s="4" t="s">
        <v>4521</v>
      </c>
      <c r="U296" s="4">
        <v>13.0</v>
      </c>
      <c r="V296" s="18">
        <v>46117.80403935185</v>
      </c>
      <c r="W296" s="4" t="s">
        <v>4691</v>
      </c>
      <c r="Y296" s="4" t="b">
        <v>1</v>
      </c>
      <c r="Z296" s="5" t="s">
        <v>4277</v>
      </c>
      <c r="AA296" s="4" t="s">
        <v>4692</v>
      </c>
      <c r="AB296" s="6">
        <v>46126.0</v>
      </c>
    </row>
    <row r="297">
      <c r="A297" s="8" t="s">
        <v>3916</v>
      </c>
      <c r="B297" s="24">
        <v>46101.0</v>
      </c>
      <c r="C297" s="8">
        <v>1115000.0</v>
      </c>
      <c r="D297" s="24">
        <v>46071.0</v>
      </c>
      <c r="E297" s="24">
        <v>46099.0</v>
      </c>
      <c r="F297" s="8" t="s">
        <v>1610</v>
      </c>
      <c r="G297" s="8" t="s">
        <v>4492</v>
      </c>
      <c r="H297" s="8" t="s">
        <v>4493</v>
      </c>
      <c r="I297" s="24">
        <v>46115.0</v>
      </c>
      <c r="J297" s="24">
        <v>46107.0</v>
      </c>
      <c r="K297" s="8" t="b">
        <v>0</v>
      </c>
      <c r="L297" s="8" t="s">
        <v>1299</v>
      </c>
      <c r="M297" s="19" t="s">
        <v>4693</v>
      </c>
      <c r="N297" s="21"/>
      <c r="Q297" s="4"/>
      <c r="S297" s="7" t="s">
        <v>3984</v>
      </c>
      <c r="T297" s="4" t="s">
        <v>82</v>
      </c>
      <c r="U297" s="4">
        <v>40.0</v>
      </c>
      <c r="V297" s="18">
        <v>46107.77462962963</v>
      </c>
      <c r="W297" s="4" t="s">
        <v>4636</v>
      </c>
      <c r="Y297" s="4" t="b">
        <v>1</v>
      </c>
      <c r="Z297" s="5" t="s">
        <v>4496</v>
      </c>
      <c r="AA297" s="4" t="s">
        <v>4694</v>
      </c>
      <c r="AB297" s="6">
        <v>46119.0</v>
      </c>
    </row>
    <row r="298">
      <c r="A298" s="8" t="s">
        <v>3934</v>
      </c>
      <c r="B298" s="24">
        <v>46106.0</v>
      </c>
      <c r="C298" s="8">
        <v>750000.0</v>
      </c>
      <c r="D298" s="24">
        <v>46076.0</v>
      </c>
      <c r="E298" s="24">
        <v>46104.0</v>
      </c>
      <c r="F298" s="8" t="s">
        <v>1648</v>
      </c>
      <c r="G298" s="8" t="s">
        <v>4565</v>
      </c>
      <c r="H298" s="21"/>
      <c r="I298" s="24">
        <v>46142.0</v>
      </c>
      <c r="J298" s="24">
        <v>46136.0</v>
      </c>
      <c r="K298" s="8" t="b">
        <v>0</v>
      </c>
      <c r="L298" s="8" t="s">
        <v>1305</v>
      </c>
      <c r="M298" s="19" t="s">
        <v>4695</v>
      </c>
      <c r="N298" s="21"/>
      <c r="Q298" s="4"/>
      <c r="S298" s="7" t="s">
        <v>3984</v>
      </c>
      <c r="T298" s="4" t="s">
        <v>4659</v>
      </c>
      <c r="U298" s="4">
        <v>24.0</v>
      </c>
      <c r="V298" s="18">
        <v>46125.78297453704</v>
      </c>
      <c r="W298" s="4" t="s">
        <v>4660</v>
      </c>
      <c r="Y298" s="4" t="b">
        <v>1</v>
      </c>
      <c r="Z298" s="5" t="s">
        <v>4569</v>
      </c>
      <c r="AA298" s="4" t="s">
        <v>1307</v>
      </c>
      <c r="AB298" s="6">
        <v>46133.0</v>
      </c>
    </row>
    <row r="299">
      <c r="A299" s="8" t="s">
        <v>3914</v>
      </c>
      <c r="B299" s="24">
        <v>46106.0</v>
      </c>
      <c r="C299" s="8">
        <v>128000.0</v>
      </c>
      <c r="D299" s="24">
        <v>46077.0</v>
      </c>
      <c r="E299" s="24">
        <v>46105.0</v>
      </c>
      <c r="F299" s="8" t="s">
        <v>1606</v>
      </c>
      <c r="G299" s="8" t="s">
        <v>4486</v>
      </c>
      <c r="H299" s="21"/>
      <c r="I299" s="24">
        <v>46113.0</v>
      </c>
      <c r="J299" s="24">
        <v>46107.0</v>
      </c>
      <c r="K299" s="8" t="b">
        <v>0</v>
      </c>
      <c r="L299" s="8" t="s">
        <v>1311</v>
      </c>
      <c r="M299" s="19" t="s">
        <v>4696</v>
      </c>
      <c r="N299" s="21"/>
      <c r="P299" s="4" t="s">
        <v>1312</v>
      </c>
      <c r="Q299" s="4"/>
      <c r="R299" s="4" t="s">
        <v>4697</v>
      </c>
      <c r="S299" s="7" t="s">
        <v>4047</v>
      </c>
      <c r="T299" s="4" t="s">
        <v>4698</v>
      </c>
      <c r="U299" s="4">
        <v>0.0</v>
      </c>
      <c r="V299" s="18">
        <v>46107.57083333333</v>
      </c>
      <c r="W299" s="4" t="s">
        <v>4697</v>
      </c>
      <c r="Y299" s="4" t="b">
        <v>1</v>
      </c>
      <c r="Z299" s="5" t="s">
        <v>4490</v>
      </c>
      <c r="AA299" s="4" t="s">
        <v>1313</v>
      </c>
      <c r="AB299" s="6">
        <v>46121.0</v>
      </c>
    </row>
    <row r="300">
      <c r="A300" s="8" t="s">
        <v>3930</v>
      </c>
      <c r="B300" s="24">
        <v>46111.0</v>
      </c>
      <c r="C300" s="8">
        <v>780000.0</v>
      </c>
      <c r="D300" s="24">
        <v>46073.0</v>
      </c>
      <c r="E300" s="24">
        <v>46101.0</v>
      </c>
      <c r="F300" s="8" t="s">
        <v>1656</v>
      </c>
      <c r="G300" s="8" t="s">
        <v>4662</v>
      </c>
      <c r="H300" s="21"/>
      <c r="I300" s="24">
        <v>46128.0</v>
      </c>
      <c r="J300" s="24">
        <v>46122.0</v>
      </c>
      <c r="K300" s="8" t="b">
        <v>0</v>
      </c>
      <c r="L300" s="8" t="s">
        <v>1317</v>
      </c>
      <c r="M300" s="19" t="s">
        <v>4699</v>
      </c>
      <c r="N300" s="21"/>
      <c r="Q300" s="4"/>
      <c r="S300" s="7" t="s">
        <v>3984</v>
      </c>
      <c r="T300" s="4" t="s">
        <v>4664</v>
      </c>
      <c r="U300" s="4">
        <v>24.0</v>
      </c>
      <c r="V300" s="18">
        <v>46122.6403125</v>
      </c>
      <c r="W300" s="4" t="s">
        <v>4700</v>
      </c>
      <c r="Y300" s="4" t="b">
        <v>1</v>
      </c>
      <c r="Z300" s="5" t="s">
        <v>4666</v>
      </c>
      <c r="AA300" s="4" t="s">
        <v>1319</v>
      </c>
      <c r="AB300" s="6">
        <v>46132.0</v>
      </c>
    </row>
    <row r="301">
      <c r="A301" s="8" t="s">
        <v>3950</v>
      </c>
      <c r="B301" s="24">
        <v>46118.0</v>
      </c>
      <c r="C301" s="8">
        <v>1065000.0</v>
      </c>
      <c r="D301" s="24">
        <v>46082.0</v>
      </c>
      <c r="E301" s="24">
        <v>46113.0</v>
      </c>
      <c r="F301" s="8" t="s">
        <v>1559</v>
      </c>
      <c r="G301" s="8" t="s">
        <v>4571</v>
      </c>
      <c r="H301" s="8" t="s">
        <v>4207</v>
      </c>
      <c r="I301" s="24">
        <v>46142.0</v>
      </c>
      <c r="J301" s="24">
        <v>46135.0</v>
      </c>
      <c r="K301" s="8" t="b">
        <v>0</v>
      </c>
      <c r="L301" s="8" t="s">
        <v>1327</v>
      </c>
      <c r="M301" s="19" t="s">
        <v>4701</v>
      </c>
      <c r="N301" s="8"/>
      <c r="O301" s="8"/>
      <c r="P301" s="8"/>
      <c r="Q301" s="4"/>
      <c r="S301" s="7" t="s">
        <v>3984</v>
      </c>
      <c r="T301" s="4" t="s">
        <v>4504</v>
      </c>
      <c r="U301" s="4">
        <v>32.0</v>
      </c>
      <c r="V301" s="18">
        <v>46135.3806712963</v>
      </c>
      <c r="W301" s="4" t="s">
        <v>4671</v>
      </c>
      <c r="Y301" s="4" t="b">
        <v>1</v>
      </c>
      <c r="Z301" s="5" t="s">
        <v>4574</v>
      </c>
      <c r="AA301" s="4" t="s">
        <v>1329</v>
      </c>
      <c r="AB301" s="6">
        <v>46146.0</v>
      </c>
    </row>
    <row r="302">
      <c r="A302" s="8" t="s">
        <v>3936</v>
      </c>
      <c r="B302" s="24">
        <v>46118.0</v>
      </c>
      <c r="C302" s="8">
        <v>780000.0</v>
      </c>
      <c r="D302" s="24">
        <v>46085.0</v>
      </c>
      <c r="E302" s="24">
        <v>46116.0</v>
      </c>
      <c r="F302" s="8" t="s">
        <v>1676</v>
      </c>
      <c r="G302" s="8" t="s">
        <v>4682</v>
      </c>
      <c r="H302" s="21"/>
      <c r="I302" s="24">
        <v>46132.0</v>
      </c>
      <c r="J302" s="24">
        <v>46126.0</v>
      </c>
      <c r="K302" s="8" t="b">
        <v>0</v>
      </c>
      <c r="L302" s="8" t="s">
        <v>1333</v>
      </c>
      <c r="M302" s="19" t="s">
        <v>4702</v>
      </c>
      <c r="N302" s="21"/>
      <c r="Q302" s="4"/>
      <c r="S302" s="7" t="s">
        <v>3984</v>
      </c>
      <c r="T302" s="4" t="s">
        <v>4683</v>
      </c>
      <c r="U302" s="4">
        <v>24.0</v>
      </c>
      <c r="V302" s="18">
        <v>46126.436736111114</v>
      </c>
      <c r="Y302" s="4" t="b">
        <v>1</v>
      </c>
      <c r="Z302" s="5" t="s">
        <v>4684</v>
      </c>
      <c r="AA302" s="4" t="s">
        <v>1335</v>
      </c>
      <c r="AB302" s="6">
        <v>46134.0</v>
      </c>
    </row>
    <row r="303">
      <c r="A303" s="8" t="s">
        <v>4703</v>
      </c>
      <c r="B303" s="24">
        <v>46119.0</v>
      </c>
      <c r="C303" s="8">
        <v>1120000.0</v>
      </c>
      <c r="D303" s="24">
        <v>46109.0</v>
      </c>
      <c r="E303" s="24">
        <v>46140.0</v>
      </c>
      <c r="F303" s="8" t="s">
        <v>1535</v>
      </c>
      <c r="G303" s="8" t="s">
        <v>2887</v>
      </c>
      <c r="H303" s="8" t="s">
        <v>4332</v>
      </c>
      <c r="I303" s="24">
        <v>46139.0</v>
      </c>
      <c r="J303" s="24">
        <v>46128.0</v>
      </c>
      <c r="K303" s="8" t="b">
        <v>0</v>
      </c>
      <c r="L303" s="8" t="s">
        <v>1339</v>
      </c>
      <c r="M303" s="19" t="s">
        <v>4704</v>
      </c>
      <c r="N303" s="21"/>
      <c r="Q303" s="4"/>
      <c r="S303" s="7" t="s">
        <v>3984</v>
      </c>
      <c r="T303" s="4" t="s">
        <v>4559</v>
      </c>
      <c r="U303" s="4">
        <v>30.0</v>
      </c>
      <c r="V303" s="18">
        <v>46119.708865740744</v>
      </c>
      <c r="W303" s="4" t="s">
        <v>4558</v>
      </c>
      <c r="Y303" s="4" t="b">
        <v>1</v>
      </c>
      <c r="Z303" s="5" t="s">
        <v>4371</v>
      </c>
      <c r="AA303" s="4" t="s">
        <v>1341</v>
      </c>
      <c r="AB303" s="6">
        <v>46141.0</v>
      </c>
    </row>
    <row r="304">
      <c r="A304" s="8" t="s">
        <v>3938</v>
      </c>
      <c r="B304" s="24">
        <v>46122.0</v>
      </c>
      <c r="C304" s="8">
        <v>761000.0</v>
      </c>
      <c r="D304" s="24">
        <v>46087.0</v>
      </c>
      <c r="E304" s="24">
        <v>46118.0</v>
      </c>
      <c r="F304" s="8" t="s">
        <v>1426</v>
      </c>
      <c r="G304" s="8" t="s">
        <v>2265</v>
      </c>
      <c r="H304" s="21"/>
      <c r="I304" s="24">
        <v>46136.0</v>
      </c>
      <c r="J304" s="24">
        <v>46127.0</v>
      </c>
      <c r="K304" s="8" t="b">
        <v>0</v>
      </c>
      <c r="L304" s="8" t="s">
        <v>1345</v>
      </c>
      <c r="M304" s="19" t="s">
        <v>4705</v>
      </c>
      <c r="N304" s="21"/>
      <c r="Q304" s="4"/>
      <c r="S304" s="7" t="s">
        <v>3984</v>
      </c>
      <c r="T304" s="4" t="s">
        <v>4458</v>
      </c>
      <c r="U304" s="4">
        <v>30.0</v>
      </c>
      <c r="V304" s="18">
        <v>46127.42853009259</v>
      </c>
      <c r="W304" s="4" t="s">
        <v>4459</v>
      </c>
      <c r="Y304" s="4" t="b">
        <v>0</v>
      </c>
      <c r="Z304" s="5" t="s">
        <v>4291</v>
      </c>
      <c r="AA304" s="4" t="s">
        <v>1347</v>
      </c>
      <c r="AB304" s="6">
        <v>46140.0</v>
      </c>
    </row>
    <row r="305">
      <c r="A305" s="8" t="s">
        <v>3942</v>
      </c>
      <c r="B305" s="24">
        <v>46122.0</v>
      </c>
      <c r="C305" s="8">
        <v>1520000.0</v>
      </c>
      <c r="D305" s="24">
        <v>46085.0</v>
      </c>
      <c r="E305" s="24">
        <v>46116.0</v>
      </c>
      <c r="F305" s="8" t="s">
        <v>1433</v>
      </c>
      <c r="G305" s="8" t="s">
        <v>2583</v>
      </c>
      <c r="H305" s="21"/>
      <c r="I305" s="24">
        <v>46139.0</v>
      </c>
      <c r="J305" s="24">
        <v>46132.0</v>
      </c>
      <c r="K305" s="8" t="b">
        <v>1</v>
      </c>
      <c r="L305" s="21"/>
      <c r="M305" s="21"/>
      <c r="N305" s="21"/>
      <c r="P305" s="4" t="s">
        <v>1351</v>
      </c>
      <c r="Q305" s="4"/>
      <c r="S305" s="7" t="s">
        <v>4047</v>
      </c>
      <c r="T305" s="4" t="s">
        <v>4626</v>
      </c>
      <c r="U305" s="4">
        <v>44.0</v>
      </c>
      <c r="V305" s="18">
        <v>46132.36766203704</v>
      </c>
      <c r="W305" s="4" t="s">
        <v>4706</v>
      </c>
      <c r="Y305" s="4" t="b">
        <v>1</v>
      </c>
      <c r="Z305" s="5" t="s">
        <v>4295</v>
      </c>
      <c r="AA305" s="4" t="s">
        <v>1352</v>
      </c>
      <c r="AB305" s="6">
        <v>46141.0</v>
      </c>
    </row>
    <row r="306">
      <c r="A306" s="8" t="s">
        <v>3952</v>
      </c>
      <c r="B306" s="24">
        <v>46122.0</v>
      </c>
      <c r="C306" s="8">
        <v>676000.0</v>
      </c>
      <c r="D306" s="24">
        <v>46076.0</v>
      </c>
      <c r="E306" s="24">
        <v>46104.0</v>
      </c>
      <c r="F306" s="8" t="s">
        <v>1437</v>
      </c>
      <c r="G306" s="8" t="s">
        <v>2589</v>
      </c>
      <c r="H306" s="21"/>
      <c r="I306" s="24">
        <v>46148.0</v>
      </c>
      <c r="J306" s="24">
        <v>46136.0</v>
      </c>
      <c r="K306" s="8" t="b">
        <v>0</v>
      </c>
      <c r="L306" s="8" t="s">
        <v>1355</v>
      </c>
      <c r="M306" s="19" t="s">
        <v>4707</v>
      </c>
      <c r="N306" s="21"/>
      <c r="P306" s="4" t="s">
        <v>1356</v>
      </c>
      <c r="Q306" s="4"/>
      <c r="S306" s="7" t="s">
        <v>3984</v>
      </c>
      <c r="T306" s="4" t="s">
        <v>4500</v>
      </c>
      <c r="U306" s="4">
        <v>0.0</v>
      </c>
      <c r="V306" s="18">
        <v>46136.59097222222</v>
      </c>
      <c r="W306" s="4" t="s">
        <v>4708</v>
      </c>
      <c r="Y306" s="4" t="b">
        <v>1</v>
      </c>
      <c r="Z306" s="5" t="s">
        <v>4264</v>
      </c>
      <c r="AA306" s="4" t="s">
        <v>1357</v>
      </c>
      <c r="AB306" s="6">
        <v>46150.0</v>
      </c>
    </row>
    <row r="307">
      <c r="A307" s="8" t="s">
        <v>3948</v>
      </c>
      <c r="B307" s="24">
        <v>46127.0</v>
      </c>
      <c r="C307" s="8">
        <v>150000.0</v>
      </c>
      <c r="D307" s="24">
        <v>46088.0</v>
      </c>
      <c r="E307" s="24">
        <v>46119.0</v>
      </c>
      <c r="F307" s="8" t="s">
        <v>1539</v>
      </c>
      <c r="G307" s="8" t="s">
        <v>2782</v>
      </c>
      <c r="H307" s="21"/>
      <c r="I307" s="24">
        <v>46139.0</v>
      </c>
      <c r="J307" s="24">
        <v>46132.0</v>
      </c>
      <c r="K307" s="8" t="b">
        <v>0</v>
      </c>
      <c r="L307" s="8" t="s">
        <v>1361</v>
      </c>
      <c r="M307" s="19" t="s">
        <v>4709</v>
      </c>
      <c r="N307" s="21"/>
      <c r="Q307" s="4"/>
      <c r="S307" s="7" t="s">
        <v>3984</v>
      </c>
      <c r="T307" s="4" t="s">
        <v>4710</v>
      </c>
      <c r="U307" s="4">
        <v>0.0</v>
      </c>
      <c r="V307" s="18">
        <v>46132.72928240741</v>
      </c>
      <c r="W307" s="4" t="s">
        <v>4711</v>
      </c>
      <c r="Y307" s="4" t="b">
        <v>1</v>
      </c>
      <c r="Z307" s="5" t="s">
        <v>4309</v>
      </c>
      <c r="AA307" s="4" t="s">
        <v>1363</v>
      </c>
      <c r="AB307" s="6">
        <v>46141.0</v>
      </c>
    </row>
    <row r="308">
      <c r="A308" s="8" t="s">
        <v>4712</v>
      </c>
      <c r="B308" s="24">
        <v>46127.0</v>
      </c>
      <c r="C308" s="8">
        <v>1470000.0</v>
      </c>
      <c r="D308" s="24">
        <v>46089.0</v>
      </c>
      <c r="E308" s="24">
        <v>46120.0</v>
      </c>
      <c r="F308" s="8" t="s">
        <v>1616</v>
      </c>
      <c r="G308" s="8" t="s">
        <v>4512</v>
      </c>
      <c r="H308" s="8" t="s">
        <v>4513</v>
      </c>
      <c r="I308" s="24">
        <v>46143.0</v>
      </c>
      <c r="J308" s="24">
        <v>46135.0</v>
      </c>
      <c r="K308" s="8" t="b">
        <v>0</v>
      </c>
      <c r="L308" s="8" t="s">
        <v>1367</v>
      </c>
      <c r="M308" s="19" t="s">
        <v>4713</v>
      </c>
      <c r="N308" s="21"/>
      <c r="Q308" s="4"/>
      <c r="S308" s="7" t="s">
        <v>3984</v>
      </c>
      <c r="T308" s="4" t="s">
        <v>4515</v>
      </c>
      <c r="U308" s="4">
        <v>40.0</v>
      </c>
      <c r="V308" s="18">
        <v>46127.76</v>
      </c>
      <c r="W308" s="4" t="s">
        <v>4674</v>
      </c>
      <c r="Y308" s="4" t="b">
        <v>1</v>
      </c>
      <c r="Z308" s="5" t="s">
        <v>4517</v>
      </c>
      <c r="AA308" s="4" t="s">
        <v>1369</v>
      </c>
      <c r="AB308" s="6">
        <v>46139.0</v>
      </c>
    </row>
    <row r="309">
      <c r="A309" s="8" t="s">
        <v>4714</v>
      </c>
      <c r="B309" s="24">
        <v>46127.0</v>
      </c>
      <c r="C309" s="8">
        <v>780000.0</v>
      </c>
      <c r="D309" s="24">
        <v>46092.0</v>
      </c>
      <c r="E309" s="24">
        <v>46123.0</v>
      </c>
      <c r="F309" s="8" t="s">
        <v>1535</v>
      </c>
      <c r="G309" s="8" t="s">
        <v>2887</v>
      </c>
      <c r="H309" s="8" t="s">
        <v>4332</v>
      </c>
      <c r="I309" s="24">
        <v>46147.0</v>
      </c>
      <c r="J309" s="24">
        <v>46136.0</v>
      </c>
      <c r="K309" s="8" t="b">
        <v>0</v>
      </c>
      <c r="L309" s="8" t="s">
        <v>1373</v>
      </c>
      <c r="M309" s="19" t="s">
        <v>4715</v>
      </c>
      <c r="N309" s="21"/>
      <c r="Q309" s="4"/>
      <c r="S309" s="7" t="s">
        <v>3984</v>
      </c>
      <c r="T309" s="4" t="s">
        <v>4690</v>
      </c>
      <c r="U309" s="4">
        <v>20.0</v>
      </c>
      <c r="V309" s="18">
        <v>46127.7628125</v>
      </c>
      <c r="W309" s="4" t="s">
        <v>4689</v>
      </c>
      <c r="Y309" s="4" t="b">
        <v>0</v>
      </c>
      <c r="Z309" s="5" t="s">
        <v>4371</v>
      </c>
      <c r="AA309" s="4" t="s">
        <v>1375</v>
      </c>
      <c r="AB309" s="6">
        <v>46140.0</v>
      </c>
    </row>
    <row r="310">
      <c r="A310" s="8" t="s">
        <v>4716</v>
      </c>
      <c r="B310" s="24">
        <v>46127.0</v>
      </c>
      <c r="C310" s="8">
        <v>1198000.0</v>
      </c>
      <c r="D310" s="24">
        <v>46092.0</v>
      </c>
      <c r="E310" s="24">
        <v>46123.0</v>
      </c>
      <c r="F310" s="8" t="s">
        <v>1419</v>
      </c>
      <c r="G310" s="8" t="s">
        <v>4678</v>
      </c>
      <c r="H310" s="8" t="s">
        <v>2478</v>
      </c>
      <c r="I310" s="24">
        <v>46139.0</v>
      </c>
      <c r="J310" s="24">
        <v>46127.0</v>
      </c>
      <c r="K310" s="8" t="b">
        <v>1</v>
      </c>
      <c r="L310" s="21"/>
      <c r="M310" s="21"/>
      <c r="N310" s="21"/>
      <c r="Q310" s="4"/>
      <c r="S310" s="4" t="s">
        <v>4485</v>
      </c>
      <c r="T310" s="4" t="s">
        <v>4553</v>
      </c>
      <c r="U310" s="4">
        <v>36.0</v>
      </c>
      <c r="V310" s="18">
        <v>46127.76619212963</v>
      </c>
      <c r="W310" s="4" t="s">
        <v>4554</v>
      </c>
      <c r="Y310" s="4" t="b">
        <v>1</v>
      </c>
      <c r="Z310" s="5" t="s">
        <v>4679</v>
      </c>
      <c r="AA310" s="4" t="s">
        <v>1380</v>
      </c>
      <c r="AB310" s="6">
        <v>46141.0</v>
      </c>
    </row>
    <row r="311">
      <c r="A311" s="8" t="s">
        <v>4717</v>
      </c>
      <c r="B311" s="24">
        <v>46137.0</v>
      </c>
      <c r="C311" s="8">
        <v>1210000.0</v>
      </c>
      <c r="D311" s="24">
        <v>46099.0</v>
      </c>
      <c r="E311" s="24">
        <v>46130.0</v>
      </c>
      <c r="F311" s="8" t="s">
        <v>1610</v>
      </c>
      <c r="G311" s="8" t="s">
        <v>4492</v>
      </c>
      <c r="H311" s="8" t="s">
        <v>4493</v>
      </c>
      <c r="I311" s="24">
        <v>46146.0</v>
      </c>
      <c r="J311" s="24">
        <v>46137.0</v>
      </c>
      <c r="K311" s="8" t="b">
        <v>0</v>
      </c>
      <c r="L311" s="8" t="s">
        <v>1383</v>
      </c>
      <c r="M311" s="19" t="s">
        <v>4718</v>
      </c>
      <c r="N311" s="21"/>
      <c r="P311" s="4" t="s">
        <v>1384</v>
      </c>
      <c r="Q311" s="4"/>
      <c r="S311" s="7" t="s">
        <v>3984</v>
      </c>
      <c r="T311" s="4" t="s">
        <v>82</v>
      </c>
      <c r="U311" s="4">
        <v>40.0</v>
      </c>
      <c r="V311" s="18">
        <v>46137.4640625</v>
      </c>
      <c r="W311" s="4" t="s">
        <v>4719</v>
      </c>
      <c r="Y311" s="4" t="b">
        <v>1</v>
      </c>
      <c r="Z311" s="5" t="s">
        <v>4496</v>
      </c>
      <c r="AA311" s="4" t="s">
        <v>1385</v>
      </c>
      <c r="AB311" s="6">
        <v>46148.0</v>
      </c>
    </row>
    <row r="312">
      <c r="A312" s="8" t="s">
        <v>4720</v>
      </c>
      <c r="B312" s="24">
        <v>46137.0</v>
      </c>
      <c r="C312" s="8">
        <v>177000.0</v>
      </c>
      <c r="D312" s="24">
        <v>46098.0</v>
      </c>
      <c r="E312" s="24">
        <v>46129.0</v>
      </c>
      <c r="F312" s="8" t="s">
        <v>1437</v>
      </c>
      <c r="G312" s="8" t="s">
        <v>4003</v>
      </c>
      <c r="H312" s="8" t="s">
        <v>2517</v>
      </c>
      <c r="I312" s="24">
        <v>46148.0</v>
      </c>
      <c r="J312" s="24">
        <v>46137.0</v>
      </c>
      <c r="K312" s="8" t="b">
        <v>0</v>
      </c>
      <c r="L312" s="8" t="s">
        <v>1389</v>
      </c>
      <c r="M312" s="19" t="s">
        <v>4721</v>
      </c>
      <c r="N312" s="21"/>
      <c r="Q312" s="4"/>
      <c r="S312" s="7" t="s">
        <v>3984</v>
      </c>
      <c r="T312" s="4" t="s">
        <v>2156</v>
      </c>
      <c r="U312" s="4">
        <v>0.0</v>
      </c>
      <c r="V312" s="18">
        <v>46137.46675925926</v>
      </c>
      <c r="W312" s="4" t="s">
        <v>4529</v>
      </c>
      <c r="Y312" s="4" t="b">
        <v>1</v>
      </c>
      <c r="Z312" s="5" t="s">
        <v>4404</v>
      </c>
      <c r="AA312" s="4" t="s">
        <v>1391</v>
      </c>
      <c r="AB312" s="6">
        <v>46150.0</v>
      </c>
    </row>
    <row r="313">
      <c r="A313" s="8" t="s">
        <v>4722</v>
      </c>
      <c r="B313" s="24">
        <v>46137.0</v>
      </c>
      <c r="C313" s="8">
        <v>134000.0</v>
      </c>
      <c r="D313" s="24">
        <v>46105.0</v>
      </c>
      <c r="E313" s="24">
        <v>46136.0</v>
      </c>
      <c r="F313" s="8" t="s">
        <v>1606</v>
      </c>
      <c r="G313" s="8" t="s">
        <v>4486</v>
      </c>
      <c r="H313" s="21"/>
      <c r="I313" s="24">
        <v>46142.0</v>
      </c>
      <c r="J313" s="24">
        <v>46137.0</v>
      </c>
      <c r="K313" s="8" t="b">
        <v>0</v>
      </c>
      <c r="L313" s="8" t="s">
        <v>1395</v>
      </c>
      <c r="M313" s="19" t="s">
        <v>4723</v>
      </c>
      <c r="N313" s="21"/>
      <c r="Q313" s="4"/>
      <c r="S313" s="7" t="s">
        <v>4047</v>
      </c>
      <c r="T313" s="4" t="s">
        <v>4698</v>
      </c>
      <c r="U313" s="4">
        <v>0.0</v>
      </c>
      <c r="V313" s="18">
        <v>46137.47693287037</v>
      </c>
      <c r="W313" s="4" t="s">
        <v>4724</v>
      </c>
      <c r="Y313" s="4" t="b">
        <v>1</v>
      </c>
      <c r="Z313" s="5" t="s">
        <v>4490</v>
      </c>
      <c r="AA313" s="4" t="s">
        <v>1397</v>
      </c>
      <c r="AB313" s="6">
        <v>46146.0</v>
      </c>
    </row>
    <row r="314">
      <c r="A314" s="8" t="s">
        <v>4725</v>
      </c>
      <c r="B314" s="24">
        <v>46137.0</v>
      </c>
      <c r="C314" s="8">
        <v>370000.0</v>
      </c>
      <c r="D314" s="24">
        <v>46094.0</v>
      </c>
      <c r="E314" s="24">
        <v>46125.0</v>
      </c>
      <c r="F314" s="8" t="s">
        <v>1491</v>
      </c>
      <c r="G314" s="19" t="s">
        <v>2425</v>
      </c>
      <c r="H314" s="21"/>
      <c r="I314" s="24">
        <v>46143.0</v>
      </c>
      <c r="J314" s="24">
        <v>46137.0</v>
      </c>
      <c r="K314" s="8" t="b">
        <v>0</v>
      </c>
      <c r="L314" s="8" t="s">
        <v>1401</v>
      </c>
      <c r="M314" s="19" t="s">
        <v>4726</v>
      </c>
      <c r="N314" s="21"/>
      <c r="P314" s="4" t="s">
        <v>1402</v>
      </c>
      <c r="Q314" s="4"/>
      <c r="S314" s="7" t="s">
        <v>3984</v>
      </c>
      <c r="T314" s="4" t="s">
        <v>4521</v>
      </c>
      <c r="U314" s="4">
        <v>13.0</v>
      </c>
      <c r="V314" s="18">
        <v>46137.51081018519</v>
      </c>
      <c r="W314" s="4" t="s">
        <v>4727</v>
      </c>
      <c r="Y314" s="4" t="b">
        <v>1</v>
      </c>
      <c r="Z314" s="5" t="s">
        <v>4277</v>
      </c>
      <c r="AA314" s="4" t="s">
        <v>1403</v>
      </c>
      <c r="AB314" s="6">
        <v>46147.0</v>
      </c>
    </row>
    <row r="315">
      <c r="A315" s="21"/>
      <c r="B315" s="21"/>
      <c r="C315" s="21"/>
      <c r="D315" s="21"/>
      <c r="E315" s="21"/>
      <c r="F315" s="21"/>
      <c r="G315" s="21"/>
      <c r="H315" s="21"/>
      <c r="I315" s="21"/>
      <c r="J315" s="21"/>
      <c r="K315" s="21"/>
      <c r="L315" s="21"/>
      <c r="M315" s="21"/>
      <c r="N315" s="21"/>
    </row>
    <row r="316">
      <c r="A316" s="21"/>
      <c r="B316" s="21"/>
      <c r="C316" s="21"/>
      <c r="D316" s="21"/>
      <c r="E316" s="21"/>
      <c r="F316" s="21"/>
      <c r="G316" s="21"/>
      <c r="H316" s="21"/>
      <c r="I316" s="21"/>
      <c r="J316" s="21"/>
      <c r="K316" s="21"/>
      <c r="L316" s="21"/>
      <c r="M316" s="21"/>
      <c r="N316" s="21"/>
    </row>
    <row r="317">
      <c r="A317" s="21"/>
      <c r="B317" s="21"/>
      <c r="C317" s="21"/>
      <c r="D317" s="21"/>
      <c r="E317" s="21"/>
      <c r="F317" s="21"/>
      <c r="G317" s="21"/>
      <c r="H317" s="21"/>
      <c r="I317" s="21"/>
      <c r="J317" s="21"/>
      <c r="K317" s="21"/>
      <c r="L317" s="21"/>
      <c r="M317" s="21"/>
      <c r="N317" s="21"/>
    </row>
    <row r="318">
      <c r="A318" s="21"/>
      <c r="B318" s="21"/>
      <c r="C318" s="21"/>
      <c r="D318" s="21"/>
      <c r="E318" s="21"/>
      <c r="F318" s="21"/>
      <c r="G318" s="21"/>
      <c r="H318" s="21"/>
      <c r="I318" s="21"/>
      <c r="J318" s="21"/>
      <c r="K318" s="21"/>
      <c r="L318" s="21"/>
      <c r="M318" s="21"/>
      <c r="N318" s="21"/>
    </row>
    <row r="319">
      <c r="A319" s="21"/>
      <c r="B319" s="21"/>
      <c r="C319" s="21"/>
      <c r="D319" s="21"/>
      <c r="E319" s="21"/>
      <c r="F319" s="21"/>
      <c r="G319" s="21"/>
      <c r="H319" s="21"/>
      <c r="I319" s="21"/>
      <c r="J319" s="21"/>
      <c r="K319" s="21"/>
      <c r="L319" s="21"/>
      <c r="M319" s="21"/>
      <c r="N319" s="21"/>
    </row>
    <row r="320">
      <c r="A320" s="21"/>
      <c r="B320" s="21"/>
      <c r="C320" s="21"/>
      <c r="D320" s="21"/>
      <c r="E320" s="21"/>
      <c r="F320" s="21"/>
      <c r="G320" s="21"/>
      <c r="H320" s="21"/>
      <c r="I320" s="21"/>
      <c r="J320" s="21"/>
      <c r="K320" s="21"/>
      <c r="L320" s="21"/>
      <c r="M320" s="21"/>
      <c r="N320" s="21"/>
    </row>
    <row r="321">
      <c r="A321" s="21"/>
      <c r="B321" s="21"/>
      <c r="C321" s="21"/>
      <c r="D321" s="21"/>
      <c r="E321" s="21"/>
      <c r="F321" s="21"/>
      <c r="G321" s="21"/>
      <c r="H321" s="21"/>
      <c r="I321" s="21"/>
      <c r="J321" s="21"/>
      <c r="K321" s="21"/>
      <c r="L321" s="21"/>
      <c r="M321" s="21"/>
      <c r="N321" s="21"/>
    </row>
    <row r="322">
      <c r="A322" s="21"/>
      <c r="B322" s="21"/>
      <c r="C322" s="21"/>
      <c r="D322" s="21"/>
      <c r="E322" s="21"/>
      <c r="F322" s="21"/>
      <c r="G322" s="21"/>
      <c r="H322" s="21"/>
      <c r="I322" s="21"/>
      <c r="J322" s="21"/>
      <c r="K322" s="21"/>
      <c r="L322" s="21"/>
      <c r="M322" s="21"/>
      <c r="N322" s="21"/>
    </row>
    <row r="323">
      <c r="A323" s="21"/>
      <c r="B323" s="21"/>
      <c r="C323" s="21"/>
      <c r="D323" s="21"/>
      <c r="E323" s="21"/>
      <c r="F323" s="21"/>
      <c r="G323" s="21"/>
      <c r="H323" s="21"/>
      <c r="I323" s="21"/>
      <c r="J323" s="21"/>
      <c r="K323" s="21"/>
      <c r="L323" s="21"/>
      <c r="M323" s="21"/>
      <c r="N323" s="21"/>
    </row>
    <row r="324">
      <c r="A324" s="21"/>
      <c r="B324" s="21"/>
      <c r="C324" s="21"/>
      <c r="D324" s="21"/>
      <c r="E324" s="21"/>
      <c r="F324" s="21"/>
      <c r="G324" s="21"/>
      <c r="H324" s="21"/>
      <c r="I324" s="21"/>
      <c r="J324" s="21"/>
      <c r="K324" s="21"/>
      <c r="L324" s="21"/>
      <c r="M324" s="21"/>
      <c r="N324" s="21"/>
    </row>
    <row r="325">
      <c r="A325" s="21"/>
      <c r="B325" s="21"/>
      <c r="C325" s="21"/>
      <c r="D325" s="21"/>
      <c r="E325" s="21"/>
      <c r="F325" s="21"/>
      <c r="G325" s="21"/>
      <c r="H325" s="21"/>
      <c r="I325" s="21"/>
      <c r="J325" s="21"/>
      <c r="K325" s="21"/>
      <c r="L325" s="21"/>
      <c r="M325" s="21"/>
      <c r="N325" s="21"/>
    </row>
    <row r="326">
      <c r="A326" s="21"/>
      <c r="B326" s="21"/>
      <c r="C326" s="21"/>
      <c r="D326" s="21"/>
      <c r="E326" s="21"/>
      <c r="F326" s="21"/>
      <c r="G326" s="21"/>
      <c r="H326" s="21"/>
      <c r="I326" s="21"/>
      <c r="J326" s="21"/>
      <c r="K326" s="21"/>
      <c r="L326" s="21"/>
      <c r="M326" s="21"/>
      <c r="N326" s="21"/>
    </row>
    <row r="327">
      <c r="A327" s="21"/>
      <c r="B327" s="21"/>
      <c r="C327" s="21"/>
      <c r="D327" s="21"/>
      <c r="E327" s="21"/>
      <c r="F327" s="21"/>
      <c r="G327" s="21"/>
      <c r="H327" s="21"/>
      <c r="I327" s="21"/>
      <c r="J327" s="21"/>
      <c r="K327" s="21"/>
      <c r="L327" s="21"/>
      <c r="M327" s="21"/>
      <c r="N327" s="21"/>
    </row>
    <row r="328">
      <c r="A328" s="21"/>
      <c r="B328" s="21"/>
      <c r="C328" s="21"/>
      <c r="D328" s="21"/>
      <c r="E328" s="21"/>
      <c r="F328" s="21"/>
      <c r="G328" s="21"/>
      <c r="H328" s="21"/>
      <c r="I328" s="21"/>
      <c r="J328" s="21"/>
      <c r="K328" s="21"/>
      <c r="L328" s="21"/>
      <c r="M328" s="21"/>
      <c r="N328" s="21"/>
    </row>
    <row r="329">
      <c r="A329" s="21"/>
      <c r="B329" s="21"/>
      <c r="C329" s="21"/>
      <c r="D329" s="21"/>
      <c r="E329" s="21"/>
      <c r="F329" s="21"/>
      <c r="G329" s="21"/>
      <c r="H329" s="21"/>
      <c r="I329" s="21"/>
      <c r="J329" s="21"/>
      <c r="K329" s="21"/>
      <c r="L329" s="21"/>
      <c r="M329" s="21"/>
      <c r="N329" s="21"/>
    </row>
    <row r="330">
      <c r="A330" s="21"/>
      <c r="B330" s="21"/>
      <c r="C330" s="21"/>
      <c r="D330" s="21"/>
      <c r="E330" s="21"/>
      <c r="F330" s="21"/>
      <c r="G330" s="21"/>
      <c r="H330" s="21"/>
      <c r="I330" s="21"/>
      <c r="J330" s="21"/>
      <c r="K330" s="21"/>
      <c r="L330" s="21"/>
      <c r="M330" s="21"/>
      <c r="N330" s="21"/>
    </row>
    <row r="331">
      <c r="A331" s="21"/>
      <c r="B331" s="21"/>
      <c r="C331" s="21"/>
      <c r="D331" s="21"/>
      <c r="E331" s="21"/>
      <c r="F331" s="21"/>
      <c r="G331" s="21"/>
      <c r="H331" s="21"/>
      <c r="I331" s="21"/>
      <c r="J331" s="21"/>
      <c r="K331" s="21"/>
      <c r="L331" s="21"/>
      <c r="M331" s="21"/>
      <c r="N331" s="21"/>
    </row>
    <row r="332">
      <c r="A332" s="21"/>
      <c r="B332" s="21"/>
      <c r="C332" s="21"/>
      <c r="D332" s="21"/>
      <c r="E332" s="21"/>
      <c r="F332" s="21"/>
      <c r="G332" s="21"/>
      <c r="H332" s="21"/>
      <c r="I332" s="21"/>
      <c r="J332" s="21"/>
      <c r="K332" s="21"/>
      <c r="L332" s="21"/>
      <c r="M332" s="21"/>
      <c r="N332" s="21"/>
    </row>
    <row r="333">
      <c r="A333" s="21"/>
      <c r="B333" s="21"/>
      <c r="C333" s="21"/>
      <c r="D333" s="21"/>
      <c r="E333" s="21"/>
      <c r="F333" s="21"/>
      <c r="G333" s="21"/>
      <c r="H333" s="21"/>
      <c r="I333" s="21"/>
      <c r="J333" s="21"/>
      <c r="K333" s="21"/>
      <c r="L333" s="21"/>
      <c r="M333" s="21"/>
      <c r="N333" s="21"/>
    </row>
    <row r="334">
      <c r="A334" s="21"/>
      <c r="B334" s="21"/>
      <c r="C334" s="21"/>
      <c r="D334" s="21"/>
      <c r="E334" s="21"/>
      <c r="F334" s="21"/>
      <c r="G334" s="21"/>
      <c r="H334" s="21"/>
      <c r="I334" s="21"/>
      <c r="J334" s="21"/>
      <c r="K334" s="21"/>
      <c r="L334" s="21"/>
      <c r="M334" s="21"/>
      <c r="N334" s="21"/>
    </row>
    <row r="335">
      <c r="A335" s="21"/>
      <c r="B335" s="21"/>
      <c r="C335" s="21"/>
      <c r="D335" s="21"/>
      <c r="E335" s="21"/>
      <c r="F335" s="21"/>
      <c r="G335" s="21"/>
      <c r="H335" s="21"/>
      <c r="I335" s="21"/>
      <c r="J335" s="21"/>
      <c r="K335" s="21"/>
      <c r="L335" s="21"/>
      <c r="M335" s="21"/>
      <c r="N335" s="21"/>
    </row>
    <row r="336">
      <c r="A336" s="21"/>
      <c r="B336" s="21"/>
      <c r="C336" s="21"/>
      <c r="D336" s="21"/>
      <c r="E336" s="21"/>
      <c r="F336" s="21"/>
      <c r="G336" s="21"/>
      <c r="H336" s="21"/>
      <c r="I336" s="21"/>
      <c r="J336" s="21"/>
      <c r="K336" s="21"/>
      <c r="L336" s="21"/>
      <c r="M336" s="21"/>
      <c r="N336" s="21"/>
    </row>
    <row r="337">
      <c r="A337" s="21"/>
      <c r="B337" s="21"/>
      <c r="C337" s="21"/>
      <c r="D337" s="21"/>
      <c r="E337" s="21"/>
      <c r="F337" s="21"/>
      <c r="G337" s="21"/>
      <c r="H337" s="21"/>
      <c r="I337" s="21"/>
      <c r="J337" s="21"/>
      <c r="K337" s="21"/>
      <c r="L337" s="21"/>
      <c r="M337" s="21"/>
      <c r="N337" s="21"/>
    </row>
    <row r="338">
      <c r="A338" s="21"/>
      <c r="B338" s="21"/>
      <c r="C338" s="21"/>
      <c r="D338" s="21"/>
      <c r="E338" s="21"/>
      <c r="F338" s="21"/>
      <c r="G338" s="21"/>
      <c r="H338" s="21"/>
      <c r="I338" s="21"/>
      <c r="J338" s="21"/>
      <c r="K338" s="21"/>
      <c r="L338" s="21"/>
      <c r="M338" s="21"/>
      <c r="N338" s="21"/>
    </row>
    <row r="339">
      <c r="A339" s="21"/>
      <c r="B339" s="21"/>
      <c r="C339" s="21"/>
      <c r="D339" s="21"/>
      <c r="E339" s="21"/>
      <c r="F339" s="21"/>
      <c r="G339" s="21"/>
      <c r="H339" s="21"/>
      <c r="I339" s="21"/>
      <c r="J339" s="21"/>
      <c r="K339" s="21"/>
      <c r="L339" s="21"/>
      <c r="M339" s="21"/>
      <c r="N339" s="21"/>
    </row>
    <row r="340">
      <c r="A340" s="21"/>
      <c r="B340" s="21"/>
      <c r="C340" s="21"/>
      <c r="D340" s="21"/>
      <c r="E340" s="21"/>
      <c r="F340" s="21"/>
      <c r="G340" s="21"/>
      <c r="H340" s="21"/>
      <c r="I340" s="21"/>
      <c r="J340" s="21"/>
      <c r="K340" s="21"/>
      <c r="L340" s="21"/>
      <c r="M340" s="21"/>
      <c r="N340" s="21"/>
    </row>
    <row r="341">
      <c r="A341" s="21"/>
      <c r="B341" s="21"/>
      <c r="C341" s="21"/>
      <c r="D341" s="21"/>
      <c r="E341" s="21"/>
      <c r="F341" s="21"/>
      <c r="G341" s="21"/>
      <c r="H341" s="21"/>
      <c r="I341" s="21"/>
      <c r="J341" s="21"/>
      <c r="K341" s="21"/>
      <c r="L341" s="21"/>
      <c r="M341" s="21"/>
      <c r="N341" s="21"/>
    </row>
    <row r="342">
      <c r="A342" s="21"/>
      <c r="B342" s="21"/>
      <c r="C342" s="21"/>
      <c r="D342" s="21"/>
      <c r="E342" s="21"/>
      <c r="F342" s="21"/>
      <c r="G342" s="21"/>
      <c r="H342" s="21"/>
      <c r="I342" s="21"/>
      <c r="J342" s="21"/>
      <c r="K342" s="21"/>
      <c r="L342" s="21"/>
      <c r="M342" s="21"/>
      <c r="N342" s="21"/>
    </row>
    <row r="343">
      <c r="A343" s="21"/>
      <c r="B343" s="21"/>
      <c r="C343" s="21"/>
      <c r="D343" s="21"/>
      <c r="E343" s="21"/>
      <c r="F343" s="21"/>
      <c r="G343" s="21"/>
      <c r="H343" s="21"/>
      <c r="I343" s="21"/>
      <c r="J343" s="21"/>
      <c r="K343" s="21"/>
      <c r="L343" s="21"/>
      <c r="M343" s="21"/>
      <c r="N343" s="21"/>
    </row>
    <row r="344">
      <c r="A344" s="21"/>
      <c r="B344" s="21"/>
      <c r="C344" s="21"/>
      <c r="D344" s="21"/>
      <c r="E344" s="21"/>
      <c r="F344" s="21"/>
      <c r="G344" s="21"/>
      <c r="H344" s="21"/>
      <c r="I344" s="21"/>
      <c r="J344" s="21"/>
      <c r="K344" s="21"/>
      <c r="L344" s="21"/>
      <c r="M344" s="21"/>
      <c r="N344" s="21"/>
    </row>
    <row r="345">
      <c r="A345" s="21"/>
      <c r="B345" s="21"/>
      <c r="C345" s="21"/>
      <c r="D345" s="21"/>
      <c r="E345" s="21"/>
      <c r="F345" s="21"/>
      <c r="G345" s="21"/>
      <c r="H345" s="21"/>
      <c r="I345" s="21"/>
      <c r="J345" s="21"/>
      <c r="K345" s="21"/>
      <c r="L345" s="21"/>
      <c r="M345" s="21"/>
      <c r="N345" s="21"/>
    </row>
    <row r="346">
      <c r="A346" s="21"/>
      <c r="B346" s="21"/>
      <c r="C346" s="21"/>
      <c r="D346" s="21"/>
      <c r="E346" s="21"/>
      <c r="F346" s="21"/>
      <c r="G346" s="21"/>
      <c r="H346" s="21"/>
      <c r="I346" s="21"/>
      <c r="J346" s="21"/>
      <c r="K346" s="21"/>
      <c r="L346" s="21"/>
      <c r="M346" s="21"/>
      <c r="N346" s="21"/>
    </row>
    <row r="347">
      <c r="A347" s="21"/>
      <c r="B347" s="21"/>
      <c r="C347" s="21"/>
      <c r="D347" s="21"/>
      <c r="E347" s="21"/>
      <c r="F347" s="21"/>
      <c r="G347" s="21"/>
      <c r="H347" s="21"/>
      <c r="I347" s="21"/>
      <c r="J347" s="21"/>
      <c r="K347" s="21"/>
      <c r="L347" s="21"/>
      <c r="M347" s="21"/>
      <c r="N347" s="21"/>
    </row>
    <row r="348">
      <c r="A348" s="21"/>
      <c r="B348" s="21"/>
      <c r="C348" s="21"/>
      <c r="D348" s="21"/>
      <c r="E348" s="21"/>
      <c r="F348" s="21"/>
      <c r="G348" s="21"/>
      <c r="H348" s="21"/>
      <c r="I348" s="21"/>
      <c r="J348" s="21"/>
      <c r="K348" s="21"/>
      <c r="L348" s="21"/>
      <c r="M348" s="21"/>
      <c r="N348" s="21"/>
    </row>
    <row r="349">
      <c r="A349" s="21"/>
      <c r="B349" s="21"/>
      <c r="C349" s="21"/>
      <c r="D349" s="21"/>
      <c r="E349" s="21"/>
      <c r="F349" s="21"/>
      <c r="G349" s="21"/>
      <c r="H349" s="21"/>
      <c r="I349" s="21"/>
      <c r="J349" s="21"/>
      <c r="K349" s="21"/>
      <c r="L349" s="21"/>
      <c r="M349" s="21"/>
      <c r="N349" s="21"/>
    </row>
    <row r="350">
      <c r="A350" s="21"/>
      <c r="B350" s="21"/>
      <c r="C350" s="21"/>
      <c r="D350" s="21"/>
      <c r="E350" s="21"/>
      <c r="F350" s="21"/>
      <c r="G350" s="21"/>
      <c r="H350" s="21"/>
      <c r="I350" s="21"/>
      <c r="J350" s="21"/>
      <c r="K350" s="21"/>
      <c r="L350" s="21"/>
      <c r="M350" s="21"/>
      <c r="N350" s="21"/>
    </row>
    <row r="351">
      <c r="A351" s="21"/>
      <c r="B351" s="21"/>
      <c r="C351" s="21"/>
      <c r="D351" s="21"/>
      <c r="E351" s="21"/>
      <c r="F351" s="21"/>
      <c r="G351" s="21"/>
      <c r="H351" s="21"/>
      <c r="I351" s="21"/>
      <c r="J351" s="21"/>
      <c r="K351" s="21"/>
      <c r="L351" s="21"/>
      <c r="M351" s="21"/>
      <c r="N351" s="21"/>
    </row>
    <row r="352">
      <c r="A352" s="21"/>
      <c r="B352" s="21"/>
      <c r="C352" s="21"/>
      <c r="D352" s="21"/>
      <c r="E352" s="21"/>
      <c r="F352" s="21"/>
      <c r="G352" s="21"/>
      <c r="H352" s="21"/>
      <c r="I352" s="21"/>
      <c r="J352" s="21"/>
      <c r="K352" s="21"/>
      <c r="L352" s="21"/>
      <c r="M352" s="21"/>
      <c r="N352" s="21"/>
    </row>
    <row r="353">
      <c r="A353" s="21"/>
      <c r="B353" s="21"/>
      <c r="C353" s="21"/>
      <c r="D353" s="21"/>
      <c r="E353" s="21"/>
      <c r="F353" s="21"/>
      <c r="G353" s="21"/>
      <c r="H353" s="21"/>
      <c r="I353" s="21"/>
      <c r="J353" s="21"/>
      <c r="K353" s="21"/>
      <c r="L353" s="21"/>
      <c r="M353" s="21"/>
      <c r="N353" s="21"/>
    </row>
    <row r="354">
      <c r="A354" s="21"/>
      <c r="B354" s="21"/>
      <c r="C354" s="21"/>
      <c r="D354" s="21"/>
      <c r="E354" s="21"/>
      <c r="F354" s="21"/>
      <c r="G354" s="21"/>
      <c r="H354" s="21"/>
      <c r="I354" s="21"/>
      <c r="J354" s="21"/>
      <c r="K354" s="21"/>
      <c r="L354" s="21"/>
      <c r="M354" s="21"/>
      <c r="N354" s="21"/>
    </row>
    <row r="355">
      <c r="A355" s="21"/>
      <c r="B355" s="21"/>
      <c r="C355" s="21"/>
      <c r="D355" s="21"/>
      <c r="E355" s="21"/>
      <c r="F355" s="21"/>
      <c r="G355" s="21"/>
      <c r="H355" s="21"/>
      <c r="I355" s="21"/>
      <c r="J355" s="21"/>
      <c r="K355" s="21"/>
      <c r="L355" s="21"/>
      <c r="M355" s="21"/>
      <c r="N355" s="21"/>
    </row>
    <row r="356">
      <c r="A356" s="21"/>
      <c r="B356" s="21"/>
      <c r="C356" s="21"/>
      <c r="D356" s="21"/>
      <c r="E356" s="21"/>
      <c r="F356" s="21"/>
      <c r="G356" s="21"/>
      <c r="H356" s="21"/>
      <c r="I356" s="21"/>
      <c r="J356" s="21"/>
      <c r="K356" s="21"/>
      <c r="L356" s="21"/>
      <c r="M356" s="21"/>
      <c r="N356" s="21"/>
    </row>
    <row r="357">
      <c r="A357" s="21"/>
      <c r="B357" s="21"/>
      <c r="C357" s="21"/>
      <c r="D357" s="21"/>
      <c r="E357" s="21"/>
      <c r="F357" s="21"/>
      <c r="G357" s="21"/>
      <c r="H357" s="21"/>
      <c r="I357" s="21"/>
      <c r="J357" s="21"/>
      <c r="K357" s="21"/>
      <c r="L357" s="21"/>
      <c r="M357" s="21"/>
      <c r="N357" s="21"/>
    </row>
    <row r="358">
      <c r="A358" s="21"/>
      <c r="B358" s="21"/>
      <c r="C358" s="21"/>
      <c r="D358" s="21"/>
      <c r="E358" s="21"/>
      <c r="F358" s="21"/>
      <c r="G358" s="21"/>
      <c r="H358" s="21"/>
      <c r="I358" s="21"/>
      <c r="J358" s="21"/>
      <c r="K358" s="21"/>
      <c r="L358" s="21"/>
      <c r="M358" s="21"/>
      <c r="N358" s="21"/>
    </row>
    <row r="359">
      <c r="A359" s="21"/>
      <c r="B359" s="21"/>
      <c r="C359" s="21"/>
      <c r="D359" s="21"/>
      <c r="E359" s="21"/>
      <c r="F359" s="21"/>
      <c r="G359" s="21"/>
      <c r="H359" s="21"/>
      <c r="I359" s="21"/>
      <c r="J359" s="21"/>
      <c r="K359" s="21"/>
      <c r="L359" s="21"/>
      <c r="M359" s="21"/>
      <c r="N359" s="21"/>
    </row>
    <row r="360">
      <c r="A360" s="21"/>
      <c r="B360" s="21"/>
      <c r="C360" s="21"/>
      <c r="D360" s="21"/>
      <c r="E360" s="21"/>
      <c r="F360" s="21"/>
      <c r="G360" s="21"/>
      <c r="H360" s="21"/>
      <c r="I360" s="21"/>
      <c r="J360" s="21"/>
      <c r="K360" s="21"/>
      <c r="L360" s="21"/>
      <c r="M360" s="21"/>
      <c r="N360" s="21"/>
    </row>
    <row r="361">
      <c r="A361" s="21"/>
      <c r="B361" s="21"/>
      <c r="C361" s="21"/>
      <c r="D361" s="21"/>
      <c r="E361" s="21"/>
      <c r="F361" s="21"/>
      <c r="G361" s="21"/>
      <c r="H361" s="21"/>
      <c r="I361" s="21"/>
      <c r="J361" s="21"/>
      <c r="K361" s="21"/>
      <c r="L361" s="21"/>
      <c r="M361" s="21"/>
      <c r="N361" s="21"/>
    </row>
    <row r="362">
      <c r="A362" s="21"/>
      <c r="B362" s="21"/>
      <c r="C362" s="21"/>
      <c r="D362" s="21"/>
      <c r="E362" s="21"/>
      <c r="F362" s="21"/>
      <c r="G362" s="21"/>
      <c r="H362" s="21"/>
      <c r="I362" s="21"/>
      <c r="J362" s="21"/>
      <c r="K362" s="21"/>
      <c r="L362" s="21"/>
      <c r="M362" s="21"/>
      <c r="N362" s="21"/>
    </row>
    <row r="363">
      <c r="A363" s="21"/>
      <c r="B363" s="21"/>
      <c r="C363" s="21"/>
      <c r="D363" s="21"/>
      <c r="E363" s="21"/>
      <c r="F363" s="21"/>
      <c r="G363" s="21"/>
      <c r="H363" s="21"/>
      <c r="I363" s="21"/>
      <c r="J363" s="21"/>
      <c r="K363" s="21"/>
      <c r="L363" s="21"/>
      <c r="M363" s="21"/>
      <c r="N363" s="21"/>
    </row>
    <row r="364">
      <c r="A364" s="21"/>
      <c r="B364" s="21"/>
      <c r="C364" s="21"/>
      <c r="D364" s="21"/>
      <c r="E364" s="21"/>
      <c r="F364" s="21"/>
      <c r="G364" s="21"/>
      <c r="H364" s="21"/>
      <c r="I364" s="21"/>
      <c r="J364" s="21"/>
      <c r="K364" s="21"/>
      <c r="L364" s="21"/>
      <c r="M364" s="21"/>
      <c r="N364" s="21"/>
    </row>
    <row r="365">
      <c r="A365" s="21"/>
      <c r="B365" s="21"/>
      <c r="C365" s="21"/>
      <c r="D365" s="21"/>
      <c r="E365" s="21"/>
      <c r="F365" s="21"/>
      <c r="G365" s="21"/>
      <c r="H365" s="21"/>
      <c r="I365" s="21"/>
      <c r="J365" s="21"/>
      <c r="K365" s="21"/>
      <c r="L365" s="21"/>
      <c r="M365" s="21"/>
      <c r="N365" s="21"/>
    </row>
    <row r="366">
      <c r="A366" s="21"/>
      <c r="B366" s="21"/>
      <c r="C366" s="21"/>
      <c r="D366" s="21"/>
      <c r="E366" s="21"/>
      <c r="F366" s="21"/>
      <c r="G366" s="21"/>
      <c r="H366" s="21"/>
      <c r="I366" s="21"/>
      <c r="J366" s="21"/>
      <c r="K366" s="21"/>
      <c r="L366" s="21"/>
      <c r="M366" s="21"/>
      <c r="N366" s="21"/>
    </row>
    <row r="367">
      <c r="A367" s="21"/>
      <c r="B367" s="21"/>
      <c r="C367" s="21"/>
      <c r="D367" s="21"/>
      <c r="E367" s="21"/>
      <c r="F367" s="21"/>
      <c r="G367" s="21"/>
      <c r="H367" s="21"/>
      <c r="I367" s="21"/>
      <c r="J367" s="21"/>
      <c r="K367" s="21"/>
      <c r="L367" s="21"/>
      <c r="M367" s="21"/>
      <c r="N367" s="21"/>
    </row>
    <row r="368">
      <c r="A368" s="21"/>
      <c r="B368" s="21"/>
      <c r="C368" s="21"/>
      <c r="D368" s="21"/>
      <c r="E368" s="21"/>
      <c r="F368" s="21"/>
      <c r="G368" s="21"/>
      <c r="H368" s="21"/>
      <c r="I368" s="21"/>
      <c r="J368" s="21"/>
      <c r="K368" s="21"/>
      <c r="L368" s="21"/>
      <c r="M368" s="21"/>
      <c r="N368" s="21"/>
    </row>
    <row r="369">
      <c r="A369" s="21"/>
      <c r="B369" s="21"/>
      <c r="C369" s="21"/>
      <c r="D369" s="21"/>
      <c r="E369" s="21"/>
      <c r="F369" s="21"/>
      <c r="G369" s="21"/>
      <c r="H369" s="21"/>
      <c r="I369" s="21"/>
      <c r="J369" s="21"/>
      <c r="K369" s="21"/>
      <c r="L369" s="21"/>
      <c r="M369" s="21"/>
      <c r="N369" s="21"/>
    </row>
    <row r="370">
      <c r="A370" s="21"/>
      <c r="B370" s="21"/>
      <c r="C370" s="21"/>
      <c r="D370" s="21"/>
      <c r="E370" s="21"/>
      <c r="F370" s="21"/>
      <c r="G370" s="21"/>
      <c r="H370" s="21"/>
      <c r="I370" s="21"/>
      <c r="J370" s="21"/>
      <c r="K370" s="21"/>
      <c r="L370" s="21"/>
      <c r="M370" s="21"/>
      <c r="N370" s="21"/>
    </row>
    <row r="371">
      <c r="A371" s="21"/>
      <c r="B371" s="21"/>
      <c r="C371" s="21"/>
      <c r="D371" s="21"/>
      <c r="E371" s="21"/>
      <c r="F371" s="21"/>
      <c r="G371" s="21"/>
      <c r="H371" s="21"/>
      <c r="I371" s="21"/>
      <c r="J371" s="21"/>
      <c r="K371" s="21"/>
      <c r="L371" s="21"/>
      <c r="M371" s="21"/>
      <c r="N371" s="21"/>
    </row>
    <row r="372">
      <c r="A372" s="21"/>
      <c r="B372" s="21"/>
      <c r="C372" s="21"/>
      <c r="D372" s="21"/>
      <c r="E372" s="21"/>
      <c r="F372" s="21"/>
      <c r="G372" s="21"/>
      <c r="H372" s="21"/>
      <c r="I372" s="21"/>
      <c r="J372" s="21"/>
      <c r="K372" s="21"/>
      <c r="L372" s="21"/>
      <c r="M372" s="21"/>
      <c r="N372" s="21"/>
    </row>
    <row r="373">
      <c r="A373" s="21"/>
      <c r="B373" s="21"/>
      <c r="C373" s="21"/>
      <c r="D373" s="21"/>
      <c r="E373" s="21"/>
      <c r="F373" s="21"/>
      <c r="G373" s="21"/>
      <c r="H373" s="21"/>
      <c r="I373" s="21"/>
      <c r="J373" s="21"/>
      <c r="K373" s="21"/>
      <c r="L373" s="21"/>
      <c r="M373" s="21"/>
      <c r="N373" s="21"/>
    </row>
    <row r="374">
      <c r="A374" s="21"/>
      <c r="B374" s="21"/>
      <c r="C374" s="21"/>
      <c r="D374" s="21"/>
      <c r="E374" s="21"/>
      <c r="F374" s="21"/>
      <c r="G374" s="21"/>
      <c r="H374" s="21"/>
      <c r="I374" s="21"/>
      <c r="J374" s="21"/>
      <c r="K374" s="21"/>
      <c r="L374" s="21"/>
      <c r="M374" s="21"/>
      <c r="N374" s="21"/>
    </row>
    <row r="375">
      <c r="A375" s="21"/>
      <c r="B375" s="21"/>
      <c r="C375" s="21"/>
      <c r="D375" s="21"/>
      <c r="E375" s="21"/>
      <c r="F375" s="21"/>
      <c r="G375" s="21"/>
      <c r="H375" s="21"/>
      <c r="I375" s="21"/>
      <c r="J375" s="21"/>
      <c r="K375" s="21"/>
      <c r="L375" s="21"/>
      <c r="M375" s="21"/>
      <c r="N375" s="21"/>
    </row>
    <row r="376">
      <c r="A376" s="21"/>
      <c r="B376" s="21"/>
      <c r="C376" s="21"/>
      <c r="D376" s="21"/>
      <c r="E376" s="21"/>
      <c r="F376" s="21"/>
      <c r="G376" s="21"/>
      <c r="H376" s="21"/>
      <c r="I376" s="21"/>
      <c r="J376" s="21"/>
      <c r="K376" s="21"/>
      <c r="L376" s="21"/>
      <c r="M376" s="21"/>
      <c r="N376" s="21"/>
    </row>
    <row r="377">
      <c r="A377" s="21"/>
      <c r="B377" s="21"/>
      <c r="C377" s="21"/>
      <c r="D377" s="21"/>
      <c r="E377" s="21"/>
      <c r="F377" s="21"/>
      <c r="G377" s="21"/>
      <c r="H377" s="21"/>
      <c r="I377" s="21"/>
      <c r="J377" s="21"/>
      <c r="K377" s="21"/>
      <c r="L377" s="21"/>
      <c r="M377" s="21"/>
      <c r="N377" s="21"/>
    </row>
    <row r="378">
      <c r="A378" s="21"/>
      <c r="B378" s="21"/>
      <c r="C378" s="21"/>
      <c r="D378" s="21"/>
      <c r="E378" s="21"/>
      <c r="F378" s="21"/>
      <c r="G378" s="21"/>
      <c r="H378" s="21"/>
      <c r="I378" s="21"/>
      <c r="J378" s="21"/>
      <c r="K378" s="21"/>
      <c r="L378" s="21"/>
      <c r="M378" s="21"/>
      <c r="N378" s="21"/>
    </row>
    <row r="379">
      <c r="A379" s="21"/>
      <c r="B379" s="21"/>
      <c r="C379" s="21"/>
      <c r="D379" s="21"/>
      <c r="E379" s="21"/>
      <c r="F379" s="21"/>
      <c r="G379" s="21"/>
      <c r="H379" s="21"/>
      <c r="I379" s="21"/>
      <c r="J379" s="21"/>
      <c r="K379" s="21"/>
      <c r="L379" s="21"/>
      <c r="M379" s="21"/>
      <c r="N379" s="21"/>
    </row>
    <row r="380">
      <c r="A380" s="21"/>
      <c r="B380" s="21"/>
      <c r="C380" s="21"/>
      <c r="D380" s="21"/>
      <c r="E380" s="21"/>
      <c r="F380" s="21"/>
      <c r="G380" s="21"/>
      <c r="H380" s="21"/>
      <c r="I380" s="21"/>
      <c r="J380" s="21"/>
      <c r="K380" s="21"/>
      <c r="L380" s="21"/>
      <c r="M380" s="21"/>
      <c r="N380" s="21"/>
    </row>
    <row r="381">
      <c r="A381" s="21"/>
      <c r="B381" s="21"/>
      <c r="C381" s="21"/>
      <c r="D381" s="21"/>
      <c r="E381" s="21"/>
      <c r="F381" s="21"/>
      <c r="G381" s="21"/>
      <c r="H381" s="21"/>
      <c r="I381" s="21"/>
      <c r="J381" s="21"/>
      <c r="K381" s="21"/>
      <c r="L381" s="21"/>
      <c r="M381" s="21"/>
      <c r="N381" s="21"/>
    </row>
    <row r="382">
      <c r="A382" s="21"/>
      <c r="B382" s="21"/>
      <c r="C382" s="21"/>
      <c r="D382" s="21"/>
      <c r="E382" s="21"/>
      <c r="F382" s="21"/>
      <c r="G382" s="21"/>
      <c r="H382" s="21"/>
      <c r="I382" s="21"/>
      <c r="J382" s="21"/>
      <c r="K382" s="21"/>
      <c r="L382" s="21"/>
      <c r="M382" s="21"/>
      <c r="N382" s="21"/>
    </row>
    <row r="383">
      <c r="A383" s="21"/>
      <c r="B383" s="21"/>
      <c r="C383" s="21"/>
      <c r="D383" s="21"/>
      <c r="E383" s="21"/>
      <c r="F383" s="21"/>
      <c r="G383" s="21"/>
      <c r="H383" s="21"/>
      <c r="I383" s="21"/>
      <c r="J383" s="21"/>
      <c r="K383" s="21"/>
      <c r="L383" s="21"/>
      <c r="M383" s="21"/>
      <c r="N383" s="21"/>
    </row>
    <row r="384">
      <c r="A384" s="21"/>
      <c r="B384" s="21"/>
      <c r="C384" s="21"/>
      <c r="D384" s="21"/>
      <c r="E384" s="21"/>
      <c r="F384" s="21"/>
      <c r="G384" s="21"/>
      <c r="H384" s="21"/>
      <c r="I384" s="21"/>
      <c r="J384" s="21"/>
      <c r="K384" s="21"/>
      <c r="L384" s="21"/>
      <c r="M384" s="21"/>
      <c r="N384" s="21"/>
    </row>
    <row r="385">
      <c r="A385" s="21"/>
      <c r="B385" s="21"/>
      <c r="C385" s="21"/>
      <c r="D385" s="21"/>
      <c r="E385" s="21"/>
      <c r="F385" s="21"/>
      <c r="G385" s="21"/>
      <c r="H385" s="21"/>
      <c r="I385" s="21"/>
      <c r="J385" s="21"/>
      <c r="K385" s="21"/>
      <c r="L385" s="21"/>
      <c r="M385" s="21"/>
      <c r="N385" s="21"/>
    </row>
    <row r="386">
      <c r="A386" s="21"/>
      <c r="B386" s="21"/>
      <c r="C386" s="21"/>
      <c r="D386" s="21"/>
      <c r="E386" s="21"/>
      <c r="F386" s="21"/>
      <c r="G386" s="21"/>
      <c r="H386" s="21"/>
      <c r="I386" s="21"/>
      <c r="J386" s="21"/>
      <c r="K386" s="21"/>
      <c r="L386" s="21"/>
      <c r="M386" s="21"/>
      <c r="N386" s="21"/>
    </row>
    <row r="387">
      <c r="A387" s="21"/>
      <c r="B387" s="21"/>
      <c r="C387" s="21"/>
      <c r="D387" s="21"/>
      <c r="E387" s="21"/>
      <c r="F387" s="21"/>
      <c r="G387" s="21"/>
      <c r="H387" s="21"/>
      <c r="I387" s="21"/>
      <c r="J387" s="21"/>
      <c r="K387" s="21"/>
      <c r="L387" s="21"/>
      <c r="M387" s="21"/>
      <c r="N387" s="21"/>
    </row>
    <row r="388">
      <c r="A388" s="21"/>
      <c r="B388" s="21"/>
      <c r="C388" s="21"/>
      <c r="D388" s="21"/>
      <c r="E388" s="21"/>
      <c r="F388" s="21"/>
      <c r="G388" s="21"/>
      <c r="H388" s="21"/>
      <c r="I388" s="21"/>
      <c r="J388" s="21"/>
      <c r="K388" s="21"/>
      <c r="L388" s="21"/>
      <c r="M388" s="21"/>
      <c r="N388" s="21"/>
    </row>
    <row r="389">
      <c r="A389" s="21"/>
      <c r="B389" s="21"/>
      <c r="C389" s="21"/>
      <c r="D389" s="21"/>
      <c r="E389" s="21"/>
      <c r="F389" s="21"/>
      <c r="G389" s="21"/>
      <c r="H389" s="21"/>
      <c r="I389" s="21"/>
      <c r="J389" s="21"/>
      <c r="K389" s="21"/>
      <c r="L389" s="21"/>
      <c r="M389" s="21"/>
      <c r="N389" s="21"/>
    </row>
    <row r="390">
      <c r="A390" s="21"/>
      <c r="B390" s="21"/>
      <c r="C390" s="21"/>
      <c r="D390" s="21"/>
      <c r="E390" s="21"/>
      <c r="F390" s="21"/>
      <c r="G390" s="21"/>
      <c r="H390" s="21"/>
      <c r="I390" s="21"/>
      <c r="J390" s="21"/>
      <c r="K390" s="21"/>
      <c r="L390" s="21"/>
      <c r="M390" s="21"/>
      <c r="N390" s="21"/>
    </row>
    <row r="391">
      <c r="A391" s="21"/>
      <c r="B391" s="21"/>
      <c r="C391" s="21"/>
      <c r="D391" s="21"/>
      <c r="E391" s="21"/>
      <c r="F391" s="21"/>
      <c r="G391" s="21"/>
      <c r="H391" s="21"/>
      <c r="I391" s="21"/>
      <c r="J391" s="21"/>
      <c r="K391" s="21"/>
      <c r="L391" s="21"/>
      <c r="M391" s="21"/>
      <c r="N391" s="21"/>
    </row>
    <row r="392">
      <c r="A392" s="21"/>
      <c r="B392" s="21"/>
      <c r="C392" s="21"/>
      <c r="D392" s="21"/>
      <c r="E392" s="21"/>
      <c r="F392" s="21"/>
      <c r="G392" s="21"/>
      <c r="H392" s="21"/>
      <c r="I392" s="21"/>
      <c r="J392" s="21"/>
      <c r="K392" s="21"/>
      <c r="L392" s="21"/>
      <c r="M392" s="21"/>
      <c r="N392" s="21"/>
    </row>
    <row r="393">
      <c r="A393" s="21"/>
      <c r="B393" s="21"/>
      <c r="C393" s="21"/>
      <c r="D393" s="21"/>
      <c r="E393" s="21"/>
      <c r="F393" s="21"/>
      <c r="G393" s="21"/>
      <c r="H393" s="21"/>
      <c r="I393" s="21"/>
      <c r="J393" s="21"/>
      <c r="K393" s="21"/>
      <c r="L393" s="21"/>
      <c r="M393" s="21"/>
      <c r="N393" s="21"/>
    </row>
    <row r="394">
      <c r="A394" s="21"/>
      <c r="B394" s="21"/>
      <c r="C394" s="21"/>
      <c r="D394" s="21"/>
      <c r="E394" s="21"/>
      <c r="F394" s="21"/>
      <c r="G394" s="21"/>
      <c r="H394" s="21"/>
      <c r="I394" s="21"/>
      <c r="J394" s="21"/>
      <c r="K394" s="21"/>
      <c r="L394" s="21"/>
      <c r="M394" s="21"/>
      <c r="N394" s="21"/>
    </row>
    <row r="395">
      <c r="A395" s="21"/>
      <c r="B395" s="21"/>
      <c r="C395" s="21"/>
      <c r="D395" s="21"/>
      <c r="E395" s="21"/>
      <c r="F395" s="21"/>
      <c r="G395" s="21"/>
      <c r="H395" s="21"/>
      <c r="I395" s="21"/>
      <c r="J395" s="21"/>
      <c r="K395" s="21"/>
      <c r="L395" s="21"/>
      <c r="M395" s="21"/>
      <c r="N395" s="21"/>
    </row>
    <row r="396">
      <c r="A396" s="21"/>
      <c r="B396" s="21"/>
      <c r="C396" s="21"/>
      <c r="D396" s="21"/>
      <c r="E396" s="21"/>
      <c r="F396" s="21"/>
      <c r="G396" s="21"/>
      <c r="H396" s="21"/>
      <c r="I396" s="21"/>
      <c r="J396" s="21"/>
      <c r="K396" s="21"/>
      <c r="L396" s="21"/>
      <c r="M396" s="21"/>
      <c r="N396" s="21"/>
    </row>
    <row r="397">
      <c r="A397" s="21"/>
      <c r="B397" s="21"/>
      <c r="C397" s="21"/>
      <c r="D397" s="21"/>
      <c r="E397" s="21"/>
      <c r="F397" s="21"/>
      <c r="G397" s="21"/>
      <c r="H397" s="21"/>
      <c r="I397" s="21"/>
      <c r="J397" s="21"/>
      <c r="K397" s="21"/>
      <c r="L397" s="21"/>
      <c r="M397" s="21"/>
      <c r="N397" s="21"/>
    </row>
    <row r="398">
      <c r="A398" s="21"/>
      <c r="B398" s="21"/>
      <c r="C398" s="21"/>
      <c r="D398" s="21"/>
      <c r="E398" s="21"/>
      <c r="F398" s="21"/>
      <c r="G398" s="21"/>
      <c r="H398" s="21"/>
      <c r="I398" s="21"/>
      <c r="J398" s="21"/>
      <c r="K398" s="21"/>
      <c r="L398" s="21"/>
      <c r="M398" s="21"/>
      <c r="N398" s="21"/>
    </row>
    <row r="399">
      <c r="A399" s="21"/>
      <c r="B399" s="21"/>
      <c r="C399" s="21"/>
      <c r="D399" s="21"/>
      <c r="E399" s="21"/>
      <c r="F399" s="21"/>
      <c r="G399" s="21"/>
      <c r="H399" s="21"/>
      <c r="I399" s="21"/>
      <c r="J399" s="21"/>
      <c r="K399" s="21"/>
      <c r="L399" s="21"/>
      <c r="M399" s="21"/>
      <c r="N399" s="21"/>
    </row>
    <row r="400">
      <c r="A400" s="21"/>
      <c r="B400" s="21"/>
      <c r="C400" s="21"/>
      <c r="D400" s="21"/>
      <c r="E400" s="21"/>
      <c r="F400" s="21"/>
      <c r="G400" s="21"/>
      <c r="H400" s="21"/>
      <c r="I400" s="21"/>
      <c r="J400" s="21"/>
      <c r="K400" s="21"/>
      <c r="L400" s="21"/>
      <c r="M400" s="21"/>
      <c r="N400" s="21"/>
    </row>
    <row r="401">
      <c r="A401" s="21"/>
      <c r="B401" s="21"/>
      <c r="C401" s="21"/>
      <c r="D401" s="21"/>
      <c r="E401" s="21"/>
      <c r="F401" s="21"/>
      <c r="G401" s="21"/>
      <c r="H401" s="21"/>
      <c r="I401" s="21"/>
      <c r="J401" s="21"/>
      <c r="K401" s="21"/>
      <c r="L401" s="21"/>
      <c r="M401" s="21"/>
      <c r="N401" s="21"/>
    </row>
    <row r="402">
      <c r="A402" s="21"/>
      <c r="B402" s="21"/>
      <c r="C402" s="21"/>
      <c r="D402" s="21"/>
      <c r="E402" s="21"/>
      <c r="F402" s="21"/>
      <c r="G402" s="21"/>
      <c r="H402" s="21"/>
      <c r="I402" s="21"/>
      <c r="J402" s="21"/>
      <c r="K402" s="21"/>
      <c r="L402" s="21"/>
      <c r="M402" s="21"/>
      <c r="N402" s="21"/>
    </row>
    <row r="403">
      <c r="A403" s="21"/>
      <c r="B403" s="21"/>
      <c r="C403" s="21"/>
      <c r="D403" s="21"/>
      <c r="E403" s="21"/>
      <c r="F403" s="21"/>
      <c r="G403" s="21"/>
      <c r="H403" s="21"/>
      <c r="I403" s="21"/>
      <c r="J403" s="21"/>
      <c r="K403" s="21"/>
      <c r="L403" s="21"/>
      <c r="M403" s="21"/>
      <c r="N403" s="21"/>
    </row>
    <row r="404">
      <c r="A404" s="21"/>
      <c r="B404" s="21"/>
      <c r="C404" s="21"/>
      <c r="D404" s="21"/>
      <c r="E404" s="21"/>
      <c r="F404" s="21"/>
      <c r="G404" s="21"/>
      <c r="H404" s="21"/>
      <c r="I404" s="21"/>
      <c r="J404" s="21"/>
      <c r="K404" s="21"/>
      <c r="L404" s="21"/>
      <c r="M404" s="21"/>
      <c r="N404" s="21"/>
    </row>
    <row r="405">
      <c r="A405" s="21"/>
      <c r="B405" s="21"/>
      <c r="C405" s="21"/>
      <c r="D405" s="21"/>
      <c r="E405" s="21"/>
      <c r="F405" s="21"/>
      <c r="G405" s="21"/>
      <c r="H405" s="21"/>
      <c r="I405" s="21"/>
      <c r="J405" s="21"/>
      <c r="K405" s="21"/>
      <c r="L405" s="21"/>
      <c r="M405" s="21"/>
      <c r="N405" s="21"/>
    </row>
    <row r="406">
      <c r="A406" s="21"/>
      <c r="B406" s="21"/>
      <c r="C406" s="21"/>
      <c r="D406" s="21"/>
      <c r="E406" s="21"/>
      <c r="F406" s="21"/>
      <c r="G406" s="21"/>
      <c r="H406" s="21"/>
      <c r="I406" s="21"/>
      <c r="J406" s="21"/>
      <c r="K406" s="21"/>
      <c r="L406" s="21"/>
      <c r="M406" s="21"/>
      <c r="N406" s="21"/>
    </row>
    <row r="407">
      <c r="A407" s="21"/>
      <c r="B407" s="21"/>
      <c r="C407" s="21"/>
      <c r="D407" s="21"/>
      <c r="E407" s="21"/>
      <c r="F407" s="21"/>
      <c r="G407" s="21"/>
      <c r="H407" s="21"/>
      <c r="I407" s="21"/>
      <c r="J407" s="21"/>
      <c r="K407" s="21"/>
      <c r="L407" s="21"/>
      <c r="M407" s="21"/>
      <c r="N407" s="21"/>
    </row>
    <row r="408">
      <c r="A408" s="21"/>
      <c r="B408" s="21"/>
      <c r="C408" s="21"/>
      <c r="D408" s="21"/>
      <c r="E408" s="21"/>
      <c r="F408" s="21"/>
      <c r="G408" s="21"/>
      <c r="H408" s="21"/>
      <c r="I408" s="21"/>
      <c r="J408" s="21"/>
      <c r="K408" s="21"/>
      <c r="L408" s="21"/>
      <c r="M408" s="21"/>
      <c r="N408" s="21"/>
    </row>
    <row r="409">
      <c r="A409" s="21"/>
      <c r="B409" s="21"/>
      <c r="C409" s="21"/>
      <c r="D409" s="21"/>
      <c r="E409" s="21"/>
      <c r="F409" s="21"/>
      <c r="G409" s="21"/>
      <c r="H409" s="21"/>
      <c r="I409" s="21"/>
      <c r="J409" s="21"/>
      <c r="K409" s="21"/>
      <c r="L409" s="21"/>
      <c r="M409" s="21"/>
      <c r="N409" s="21"/>
    </row>
    <row r="410">
      <c r="A410" s="21"/>
      <c r="B410" s="21"/>
      <c r="C410" s="21"/>
      <c r="D410" s="21"/>
      <c r="E410" s="21"/>
      <c r="F410" s="21"/>
      <c r="G410" s="21"/>
      <c r="H410" s="21"/>
      <c r="I410" s="21"/>
      <c r="J410" s="21"/>
      <c r="K410" s="21"/>
      <c r="L410" s="21"/>
      <c r="M410" s="21"/>
      <c r="N410" s="21"/>
    </row>
    <row r="411">
      <c r="A411" s="21"/>
      <c r="B411" s="21"/>
      <c r="C411" s="21"/>
      <c r="D411" s="21"/>
      <c r="E411" s="21"/>
      <c r="F411" s="21"/>
      <c r="G411" s="21"/>
      <c r="H411" s="21"/>
      <c r="I411" s="21"/>
      <c r="J411" s="21"/>
      <c r="K411" s="21"/>
      <c r="L411" s="21"/>
      <c r="M411" s="21"/>
      <c r="N411" s="21"/>
    </row>
    <row r="412">
      <c r="A412" s="21"/>
      <c r="B412" s="21"/>
      <c r="C412" s="21"/>
      <c r="D412" s="21"/>
      <c r="E412" s="21"/>
      <c r="F412" s="21"/>
      <c r="G412" s="21"/>
      <c r="H412" s="21"/>
      <c r="I412" s="21"/>
      <c r="J412" s="21"/>
      <c r="K412" s="21"/>
      <c r="L412" s="21"/>
      <c r="M412" s="21"/>
      <c r="N412" s="21"/>
    </row>
    <row r="413">
      <c r="A413" s="21"/>
      <c r="B413" s="21"/>
      <c r="C413" s="21"/>
      <c r="D413" s="21"/>
      <c r="E413" s="21"/>
      <c r="F413" s="21"/>
      <c r="G413" s="21"/>
      <c r="H413" s="21"/>
      <c r="I413" s="21"/>
      <c r="J413" s="21"/>
      <c r="K413" s="21"/>
      <c r="L413" s="21"/>
      <c r="M413" s="21"/>
      <c r="N413" s="21"/>
    </row>
    <row r="414">
      <c r="A414" s="21"/>
      <c r="B414" s="21"/>
      <c r="C414" s="21"/>
      <c r="D414" s="21"/>
      <c r="E414" s="21"/>
      <c r="F414" s="21"/>
      <c r="G414" s="21"/>
      <c r="H414" s="21"/>
      <c r="I414" s="21"/>
      <c r="J414" s="21"/>
      <c r="K414" s="21"/>
      <c r="L414" s="21"/>
      <c r="M414" s="21"/>
      <c r="N414" s="21"/>
    </row>
    <row r="415">
      <c r="A415" s="21"/>
      <c r="B415" s="21"/>
      <c r="C415" s="21"/>
      <c r="D415" s="21"/>
      <c r="E415" s="21"/>
      <c r="F415" s="21"/>
      <c r="G415" s="21"/>
      <c r="H415" s="21"/>
      <c r="I415" s="21"/>
      <c r="J415" s="21"/>
      <c r="K415" s="21"/>
      <c r="L415" s="21"/>
      <c r="M415" s="21"/>
      <c r="N415" s="21"/>
    </row>
    <row r="416">
      <c r="A416" s="21"/>
      <c r="B416" s="21"/>
      <c r="C416" s="21"/>
      <c r="D416" s="21"/>
      <c r="E416" s="21"/>
      <c r="F416" s="21"/>
      <c r="G416" s="21"/>
      <c r="H416" s="21"/>
      <c r="I416" s="21"/>
      <c r="J416" s="21"/>
      <c r="K416" s="21"/>
      <c r="L416" s="21"/>
      <c r="M416" s="21"/>
      <c r="N416" s="21"/>
    </row>
    <row r="417">
      <c r="A417" s="21"/>
      <c r="B417" s="21"/>
      <c r="C417" s="21"/>
      <c r="D417" s="21"/>
      <c r="E417" s="21"/>
      <c r="F417" s="21"/>
      <c r="G417" s="21"/>
      <c r="H417" s="21"/>
      <c r="I417" s="21"/>
      <c r="J417" s="21"/>
      <c r="K417" s="21"/>
      <c r="L417" s="21"/>
      <c r="M417" s="21"/>
      <c r="N417" s="21"/>
    </row>
    <row r="418">
      <c r="A418" s="21"/>
      <c r="B418" s="21"/>
      <c r="C418" s="21"/>
      <c r="D418" s="21"/>
      <c r="E418" s="21"/>
      <c r="F418" s="21"/>
      <c r="G418" s="21"/>
      <c r="H418" s="21"/>
      <c r="I418" s="21"/>
      <c r="J418" s="21"/>
      <c r="K418" s="21"/>
      <c r="L418" s="21"/>
      <c r="M418" s="21"/>
      <c r="N418" s="21"/>
    </row>
    <row r="419">
      <c r="A419" s="21"/>
      <c r="B419" s="21"/>
      <c r="C419" s="21"/>
      <c r="D419" s="21"/>
      <c r="E419" s="21"/>
      <c r="F419" s="21"/>
      <c r="G419" s="21"/>
      <c r="H419" s="21"/>
      <c r="I419" s="21"/>
      <c r="J419" s="21"/>
      <c r="K419" s="21"/>
      <c r="L419" s="21"/>
      <c r="M419" s="21"/>
      <c r="N419" s="21"/>
    </row>
    <row r="420">
      <c r="A420" s="21"/>
      <c r="B420" s="21"/>
      <c r="C420" s="21"/>
      <c r="D420" s="21"/>
      <c r="E420" s="21"/>
      <c r="F420" s="21"/>
      <c r="G420" s="21"/>
      <c r="H420" s="21"/>
      <c r="I420" s="21"/>
      <c r="J420" s="21"/>
      <c r="K420" s="21"/>
      <c r="L420" s="21"/>
      <c r="M420" s="21"/>
      <c r="N420" s="21"/>
    </row>
    <row r="421">
      <c r="A421" s="21"/>
      <c r="B421" s="21"/>
      <c r="C421" s="21"/>
      <c r="D421" s="21"/>
      <c r="E421" s="21"/>
      <c r="F421" s="21"/>
      <c r="G421" s="21"/>
      <c r="H421" s="21"/>
      <c r="I421" s="21"/>
      <c r="J421" s="21"/>
      <c r="K421" s="21"/>
      <c r="L421" s="21"/>
      <c r="M421" s="21"/>
      <c r="N421" s="21"/>
    </row>
    <row r="422">
      <c r="A422" s="21"/>
      <c r="B422" s="21"/>
      <c r="C422" s="21"/>
      <c r="D422" s="21"/>
      <c r="E422" s="21"/>
      <c r="F422" s="21"/>
      <c r="G422" s="21"/>
      <c r="H422" s="21"/>
      <c r="I422" s="21"/>
      <c r="J422" s="21"/>
      <c r="K422" s="21"/>
      <c r="L422" s="21"/>
      <c r="M422" s="21"/>
      <c r="N422" s="21"/>
    </row>
    <row r="423">
      <c r="A423" s="21"/>
      <c r="B423" s="21"/>
      <c r="C423" s="21"/>
      <c r="D423" s="21"/>
      <c r="E423" s="21"/>
      <c r="F423" s="21"/>
      <c r="G423" s="21"/>
      <c r="H423" s="21"/>
      <c r="I423" s="21"/>
      <c r="J423" s="21"/>
      <c r="K423" s="21"/>
      <c r="L423" s="21"/>
      <c r="M423" s="21"/>
      <c r="N423" s="21"/>
    </row>
    <row r="424">
      <c r="A424" s="21"/>
      <c r="B424" s="21"/>
      <c r="C424" s="21"/>
      <c r="D424" s="21"/>
      <c r="E424" s="21"/>
      <c r="F424" s="21"/>
      <c r="G424" s="21"/>
      <c r="H424" s="21"/>
      <c r="I424" s="21"/>
      <c r="J424" s="21"/>
      <c r="K424" s="21"/>
      <c r="L424" s="21"/>
      <c r="M424" s="21"/>
      <c r="N424" s="21"/>
    </row>
    <row r="425">
      <c r="A425" s="21"/>
      <c r="B425" s="21"/>
      <c r="C425" s="21"/>
      <c r="D425" s="21"/>
      <c r="E425" s="21"/>
      <c r="F425" s="21"/>
      <c r="G425" s="21"/>
      <c r="H425" s="21"/>
      <c r="I425" s="21"/>
      <c r="J425" s="21"/>
      <c r="K425" s="21"/>
      <c r="L425" s="21"/>
      <c r="M425" s="21"/>
      <c r="N425" s="21"/>
    </row>
    <row r="426">
      <c r="A426" s="21"/>
      <c r="B426" s="21"/>
      <c r="C426" s="21"/>
      <c r="D426" s="21"/>
      <c r="E426" s="21"/>
      <c r="F426" s="21"/>
      <c r="G426" s="21"/>
      <c r="H426" s="21"/>
      <c r="I426" s="21"/>
      <c r="J426" s="21"/>
      <c r="K426" s="21"/>
      <c r="L426" s="21"/>
      <c r="M426" s="21"/>
      <c r="N426" s="21"/>
    </row>
    <row r="427">
      <c r="A427" s="21"/>
      <c r="B427" s="21"/>
      <c r="C427" s="21"/>
      <c r="D427" s="21"/>
      <c r="E427" s="21"/>
      <c r="F427" s="21"/>
      <c r="G427" s="21"/>
      <c r="H427" s="21"/>
      <c r="I427" s="21"/>
      <c r="J427" s="21"/>
      <c r="K427" s="21"/>
      <c r="L427" s="21"/>
      <c r="M427" s="21"/>
      <c r="N427" s="21"/>
    </row>
    <row r="428">
      <c r="A428" s="21"/>
      <c r="B428" s="21"/>
      <c r="C428" s="21"/>
      <c r="D428" s="21"/>
      <c r="E428" s="21"/>
      <c r="F428" s="21"/>
      <c r="G428" s="21"/>
      <c r="H428" s="21"/>
      <c r="I428" s="21"/>
      <c r="J428" s="21"/>
      <c r="K428" s="21"/>
      <c r="L428" s="21"/>
      <c r="M428" s="21"/>
      <c r="N428" s="21"/>
    </row>
    <row r="429">
      <c r="A429" s="21"/>
      <c r="B429" s="21"/>
      <c r="C429" s="21"/>
      <c r="D429" s="21"/>
      <c r="E429" s="21"/>
      <c r="F429" s="21"/>
      <c r="G429" s="21"/>
      <c r="H429" s="21"/>
      <c r="I429" s="21"/>
      <c r="J429" s="21"/>
      <c r="K429" s="21"/>
      <c r="L429" s="21"/>
      <c r="M429" s="21"/>
      <c r="N429" s="21"/>
    </row>
    <row r="430">
      <c r="A430" s="21"/>
      <c r="B430" s="21"/>
      <c r="C430" s="21"/>
      <c r="D430" s="21"/>
      <c r="E430" s="21"/>
      <c r="F430" s="21"/>
      <c r="G430" s="21"/>
      <c r="H430" s="21"/>
      <c r="I430" s="21"/>
      <c r="J430" s="21"/>
      <c r="K430" s="21"/>
      <c r="L430" s="21"/>
      <c r="M430" s="21"/>
      <c r="N430" s="21"/>
    </row>
    <row r="431">
      <c r="A431" s="21"/>
      <c r="B431" s="21"/>
      <c r="C431" s="21"/>
      <c r="D431" s="21"/>
      <c r="E431" s="21"/>
      <c r="F431" s="21"/>
      <c r="G431" s="21"/>
      <c r="H431" s="21"/>
      <c r="I431" s="21"/>
      <c r="J431" s="21"/>
      <c r="K431" s="21"/>
      <c r="L431" s="21"/>
      <c r="M431" s="21"/>
      <c r="N431" s="21"/>
    </row>
    <row r="432">
      <c r="A432" s="21"/>
      <c r="B432" s="21"/>
      <c r="C432" s="21"/>
      <c r="D432" s="21"/>
      <c r="E432" s="21"/>
      <c r="F432" s="21"/>
      <c r="G432" s="21"/>
      <c r="H432" s="21"/>
      <c r="I432" s="21"/>
      <c r="J432" s="21"/>
      <c r="K432" s="21"/>
      <c r="L432" s="21"/>
      <c r="M432" s="21"/>
      <c r="N432" s="21"/>
    </row>
    <row r="433">
      <c r="A433" s="21"/>
      <c r="B433" s="21"/>
      <c r="C433" s="21"/>
      <c r="D433" s="21"/>
      <c r="E433" s="21"/>
      <c r="F433" s="21"/>
      <c r="G433" s="21"/>
      <c r="H433" s="21"/>
      <c r="I433" s="21"/>
      <c r="J433" s="21"/>
      <c r="K433" s="21"/>
      <c r="L433" s="21"/>
      <c r="M433" s="21"/>
      <c r="N433" s="21"/>
    </row>
    <row r="434">
      <c r="A434" s="21"/>
      <c r="B434" s="21"/>
      <c r="C434" s="21"/>
      <c r="D434" s="21"/>
      <c r="E434" s="21"/>
      <c r="F434" s="21"/>
      <c r="G434" s="21"/>
      <c r="H434" s="21"/>
      <c r="I434" s="21"/>
      <c r="J434" s="21"/>
      <c r="K434" s="21"/>
      <c r="L434" s="21"/>
      <c r="M434" s="21"/>
      <c r="N434" s="21"/>
    </row>
    <row r="435">
      <c r="A435" s="21"/>
      <c r="B435" s="21"/>
      <c r="C435" s="21"/>
      <c r="D435" s="21"/>
      <c r="E435" s="21"/>
      <c r="F435" s="21"/>
      <c r="G435" s="21"/>
      <c r="H435" s="21"/>
      <c r="I435" s="21"/>
      <c r="J435" s="21"/>
      <c r="K435" s="21"/>
      <c r="L435" s="21"/>
      <c r="M435" s="21"/>
      <c r="N435" s="21"/>
    </row>
    <row r="436">
      <c r="A436" s="21"/>
      <c r="B436" s="21"/>
      <c r="C436" s="21"/>
      <c r="D436" s="21"/>
      <c r="E436" s="21"/>
      <c r="F436" s="21"/>
      <c r="G436" s="21"/>
      <c r="H436" s="21"/>
      <c r="I436" s="21"/>
      <c r="J436" s="21"/>
      <c r="K436" s="21"/>
      <c r="L436" s="21"/>
      <c r="M436" s="21"/>
      <c r="N436" s="21"/>
    </row>
    <row r="437">
      <c r="A437" s="21"/>
      <c r="B437" s="21"/>
      <c r="C437" s="21"/>
      <c r="D437" s="21"/>
      <c r="E437" s="21"/>
      <c r="F437" s="21"/>
      <c r="G437" s="21"/>
      <c r="H437" s="21"/>
      <c r="I437" s="21"/>
      <c r="J437" s="21"/>
      <c r="K437" s="21"/>
      <c r="L437" s="21"/>
      <c r="M437" s="21"/>
      <c r="N437" s="21"/>
    </row>
    <row r="438">
      <c r="A438" s="21"/>
      <c r="B438" s="21"/>
      <c r="C438" s="21"/>
      <c r="D438" s="21"/>
      <c r="E438" s="21"/>
      <c r="F438" s="21"/>
      <c r="G438" s="21"/>
      <c r="H438" s="21"/>
      <c r="I438" s="21"/>
      <c r="J438" s="21"/>
      <c r="K438" s="21"/>
      <c r="L438" s="21"/>
      <c r="M438" s="21"/>
      <c r="N438" s="21"/>
    </row>
    <row r="439">
      <c r="A439" s="21"/>
      <c r="B439" s="21"/>
      <c r="C439" s="21"/>
      <c r="D439" s="21"/>
      <c r="E439" s="21"/>
      <c r="F439" s="21"/>
      <c r="G439" s="21"/>
      <c r="H439" s="21"/>
      <c r="I439" s="21"/>
      <c r="J439" s="21"/>
      <c r="K439" s="21"/>
      <c r="L439" s="21"/>
      <c r="M439" s="21"/>
      <c r="N439" s="21"/>
    </row>
    <row r="440">
      <c r="A440" s="21"/>
      <c r="B440" s="21"/>
      <c r="C440" s="21"/>
      <c r="D440" s="21"/>
      <c r="E440" s="21"/>
      <c r="F440" s="21"/>
      <c r="G440" s="21"/>
      <c r="H440" s="21"/>
      <c r="I440" s="21"/>
      <c r="J440" s="21"/>
      <c r="K440" s="21"/>
      <c r="L440" s="21"/>
      <c r="M440" s="21"/>
      <c r="N440" s="21"/>
    </row>
    <row r="441">
      <c r="A441" s="21"/>
      <c r="B441" s="21"/>
      <c r="C441" s="21"/>
      <c r="D441" s="21"/>
      <c r="E441" s="21"/>
      <c r="F441" s="21"/>
      <c r="G441" s="21"/>
      <c r="H441" s="21"/>
      <c r="I441" s="21"/>
      <c r="J441" s="21"/>
      <c r="K441" s="21"/>
      <c r="L441" s="21"/>
      <c r="M441" s="21"/>
      <c r="N441" s="21"/>
    </row>
    <row r="442">
      <c r="A442" s="21"/>
      <c r="B442" s="21"/>
      <c r="C442" s="21"/>
      <c r="D442" s="21"/>
      <c r="E442" s="21"/>
      <c r="F442" s="21"/>
      <c r="G442" s="21"/>
      <c r="H442" s="21"/>
      <c r="I442" s="21"/>
      <c r="J442" s="21"/>
      <c r="K442" s="21"/>
      <c r="L442" s="21"/>
      <c r="M442" s="21"/>
      <c r="N442" s="21"/>
    </row>
    <row r="443">
      <c r="A443" s="21"/>
      <c r="B443" s="21"/>
      <c r="C443" s="21"/>
      <c r="D443" s="21"/>
      <c r="E443" s="21"/>
      <c r="F443" s="21"/>
      <c r="G443" s="21"/>
      <c r="H443" s="21"/>
      <c r="I443" s="21"/>
      <c r="J443" s="21"/>
      <c r="K443" s="21"/>
      <c r="L443" s="21"/>
      <c r="M443" s="21"/>
      <c r="N443" s="21"/>
    </row>
    <row r="444">
      <c r="A444" s="21"/>
      <c r="B444" s="21"/>
      <c r="C444" s="21"/>
      <c r="D444" s="21"/>
      <c r="E444" s="21"/>
      <c r="F444" s="21"/>
      <c r="G444" s="21"/>
      <c r="H444" s="21"/>
      <c r="I444" s="21"/>
      <c r="J444" s="21"/>
      <c r="K444" s="21"/>
      <c r="L444" s="21"/>
      <c r="M444" s="21"/>
      <c r="N444" s="21"/>
    </row>
    <row r="445">
      <c r="A445" s="21"/>
      <c r="B445" s="21"/>
      <c r="C445" s="21"/>
      <c r="D445" s="21"/>
      <c r="E445" s="21"/>
      <c r="F445" s="21"/>
      <c r="G445" s="21"/>
      <c r="H445" s="21"/>
      <c r="I445" s="21"/>
      <c r="J445" s="21"/>
      <c r="K445" s="21"/>
      <c r="L445" s="21"/>
      <c r="M445" s="21"/>
      <c r="N445" s="21"/>
    </row>
    <row r="446">
      <c r="A446" s="21"/>
      <c r="B446" s="21"/>
      <c r="C446" s="21"/>
      <c r="D446" s="21"/>
      <c r="E446" s="21"/>
      <c r="F446" s="21"/>
      <c r="G446" s="21"/>
      <c r="H446" s="21"/>
      <c r="I446" s="21"/>
      <c r="J446" s="21"/>
      <c r="K446" s="21"/>
      <c r="L446" s="21"/>
      <c r="M446" s="21"/>
      <c r="N446" s="21"/>
    </row>
    <row r="447">
      <c r="A447" s="21"/>
      <c r="B447" s="21"/>
      <c r="C447" s="21"/>
      <c r="D447" s="21"/>
      <c r="E447" s="21"/>
      <c r="F447" s="21"/>
      <c r="G447" s="21"/>
      <c r="H447" s="21"/>
      <c r="I447" s="21"/>
      <c r="J447" s="21"/>
      <c r="K447" s="21"/>
      <c r="L447" s="21"/>
      <c r="M447" s="21"/>
      <c r="N447" s="21"/>
    </row>
    <row r="448">
      <c r="A448" s="21"/>
      <c r="B448" s="21"/>
      <c r="C448" s="21"/>
      <c r="D448" s="21"/>
      <c r="E448" s="21"/>
      <c r="F448" s="21"/>
      <c r="G448" s="21"/>
      <c r="H448" s="21"/>
      <c r="I448" s="21"/>
      <c r="J448" s="21"/>
      <c r="K448" s="21"/>
      <c r="L448" s="21"/>
      <c r="M448" s="21"/>
      <c r="N448" s="21"/>
    </row>
    <row r="449">
      <c r="A449" s="21"/>
      <c r="B449" s="21"/>
      <c r="C449" s="21"/>
      <c r="D449" s="21"/>
      <c r="E449" s="21"/>
      <c r="F449" s="21"/>
      <c r="G449" s="21"/>
      <c r="H449" s="21"/>
      <c r="I449" s="21"/>
      <c r="J449" s="21"/>
      <c r="K449" s="21"/>
      <c r="L449" s="21"/>
      <c r="M449" s="21"/>
      <c r="N449" s="21"/>
    </row>
    <row r="450">
      <c r="A450" s="21"/>
      <c r="B450" s="21"/>
      <c r="C450" s="21"/>
      <c r="D450" s="21"/>
      <c r="E450" s="21"/>
      <c r="F450" s="21"/>
      <c r="G450" s="21"/>
      <c r="H450" s="21"/>
      <c r="I450" s="21"/>
      <c r="J450" s="21"/>
      <c r="K450" s="21"/>
      <c r="L450" s="21"/>
      <c r="M450" s="21"/>
      <c r="N450" s="21"/>
    </row>
    <row r="451">
      <c r="A451" s="21"/>
      <c r="B451" s="21"/>
      <c r="C451" s="21"/>
      <c r="D451" s="21"/>
      <c r="E451" s="21"/>
      <c r="F451" s="21"/>
      <c r="G451" s="21"/>
      <c r="H451" s="21"/>
      <c r="I451" s="21"/>
      <c r="J451" s="21"/>
      <c r="K451" s="21"/>
      <c r="L451" s="21"/>
      <c r="M451" s="21"/>
      <c r="N451" s="21"/>
    </row>
    <row r="452">
      <c r="A452" s="21"/>
      <c r="B452" s="21"/>
      <c r="C452" s="21"/>
      <c r="D452" s="21"/>
      <c r="E452" s="21"/>
      <c r="F452" s="21"/>
      <c r="G452" s="21"/>
      <c r="H452" s="21"/>
      <c r="I452" s="21"/>
      <c r="J452" s="21"/>
      <c r="K452" s="21"/>
      <c r="L452" s="21"/>
      <c r="M452" s="21"/>
      <c r="N452" s="21"/>
    </row>
    <row r="453">
      <c r="A453" s="21"/>
      <c r="B453" s="21"/>
      <c r="C453" s="21"/>
      <c r="D453" s="21"/>
      <c r="E453" s="21"/>
      <c r="F453" s="21"/>
      <c r="G453" s="21"/>
      <c r="H453" s="21"/>
      <c r="I453" s="21"/>
      <c r="J453" s="21"/>
      <c r="K453" s="21"/>
      <c r="L453" s="21"/>
      <c r="M453" s="21"/>
      <c r="N453" s="21"/>
    </row>
    <row r="454">
      <c r="A454" s="21"/>
      <c r="B454" s="21"/>
      <c r="C454" s="21"/>
      <c r="D454" s="21"/>
      <c r="E454" s="21"/>
      <c r="F454" s="21"/>
      <c r="G454" s="21"/>
      <c r="H454" s="21"/>
      <c r="I454" s="21"/>
      <c r="J454" s="21"/>
      <c r="K454" s="21"/>
      <c r="L454" s="21"/>
      <c r="M454" s="21"/>
      <c r="N454" s="21"/>
    </row>
    <row r="455">
      <c r="A455" s="21"/>
      <c r="B455" s="21"/>
      <c r="C455" s="21"/>
      <c r="D455" s="21"/>
      <c r="E455" s="21"/>
      <c r="F455" s="21"/>
      <c r="G455" s="21"/>
      <c r="H455" s="21"/>
      <c r="I455" s="21"/>
      <c r="J455" s="21"/>
      <c r="K455" s="21"/>
      <c r="L455" s="21"/>
      <c r="M455" s="21"/>
      <c r="N455" s="21"/>
    </row>
    <row r="456">
      <c r="A456" s="21"/>
      <c r="B456" s="21"/>
      <c r="C456" s="21"/>
      <c r="D456" s="21"/>
      <c r="E456" s="21"/>
      <c r="F456" s="21"/>
      <c r="G456" s="21"/>
      <c r="H456" s="21"/>
      <c r="I456" s="21"/>
      <c r="J456" s="21"/>
      <c r="K456" s="21"/>
      <c r="L456" s="21"/>
      <c r="M456" s="21"/>
      <c r="N456" s="21"/>
    </row>
    <row r="457">
      <c r="A457" s="21"/>
      <c r="B457" s="21"/>
      <c r="C457" s="21"/>
      <c r="D457" s="21"/>
      <c r="E457" s="21"/>
      <c r="F457" s="21"/>
      <c r="G457" s="21"/>
      <c r="H457" s="21"/>
      <c r="I457" s="21"/>
      <c r="J457" s="21"/>
      <c r="K457" s="21"/>
      <c r="L457" s="21"/>
      <c r="M457" s="21"/>
      <c r="N457" s="21"/>
    </row>
    <row r="458">
      <c r="A458" s="21"/>
      <c r="B458" s="21"/>
      <c r="C458" s="21"/>
      <c r="D458" s="21"/>
      <c r="E458" s="21"/>
      <c r="F458" s="21"/>
      <c r="G458" s="21"/>
      <c r="H458" s="21"/>
      <c r="I458" s="21"/>
      <c r="J458" s="21"/>
      <c r="K458" s="21"/>
      <c r="L458" s="21"/>
      <c r="M458" s="21"/>
      <c r="N458" s="21"/>
    </row>
    <row r="459">
      <c r="A459" s="21"/>
      <c r="B459" s="21"/>
      <c r="C459" s="21"/>
      <c r="D459" s="21"/>
      <c r="E459" s="21"/>
      <c r="F459" s="21"/>
      <c r="G459" s="21"/>
      <c r="H459" s="21"/>
      <c r="I459" s="21"/>
      <c r="J459" s="21"/>
      <c r="K459" s="21"/>
      <c r="L459" s="21"/>
      <c r="M459" s="21"/>
      <c r="N459" s="21"/>
    </row>
    <row r="460">
      <c r="A460" s="21"/>
      <c r="B460" s="21"/>
      <c r="C460" s="21"/>
      <c r="D460" s="21"/>
      <c r="E460" s="21"/>
      <c r="F460" s="21"/>
      <c r="G460" s="21"/>
      <c r="H460" s="21"/>
      <c r="I460" s="21"/>
      <c r="J460" s="21"/>
      <c r="K460" s="21"/>
      <c r="L460" s="21"/>
      <c r="M460" s="21"/>
      <c r="N460" s="21"/>
    </row>
    <row r="461">
      <c r="A461" s="21"/>
      <c r="B461" s="21"/>
      <c r="C461" s="21"/>
      <c r="D461" s="21"/>
      <c r="E461" s="21"/>
      <c r="F461" s="21"/>
      <c r="G461" s="21"/>
      <c r="H461" s="21"/>
      <c r="I461" s="21"/>
      <c r="J461" s="21"/>
      <c r="K461" s="21"/>
      <c r="L461" s="21"/>
      <c r="M461" s="21"/>
      <c r="N461" s="21"/>
    </row>
    <row r="462">
      <c r="A462" s="21"/>
      <c r="B462" s="21"/>
      <c r="C462" s="21"/>
      <c r="D462" s="21"/>
      <c r="E462" s="21"/>
      <c r="F462" s="21"/>
      <c r="G462" s="21"/>
      <c r="H462" s="21"/>
      <c r="I462" s="21"/>
      <c r="J462" s="21"/>
      <c r="K462" s="21"/>
      <c r="L462" s="21"/>
      <c r="M462" s="21"/>
      <c r="N462" s="21"/>
    </row>
    <row r="463">
      <c r="A463" s="21"/>
      <c r="B463" s="21"/>
      <c r="C463" s="21"/>
      <c r="D463" s="21"/>
      <c r="E463" s="21"/>
      <c r="F463" s="21"/>
      <c r="G463" s="21"/>
      <c r="H463" s="21"/>
      <c r="I463" s="21"/>
      <c r="J463" s="21"/>
      <c r="K463" s="21"/>
      <c r="L463" s="21"/>
      <c r="M463" s="21"/>
      <c r="N463" s="21"/>
    </row>
    <row r="464">
      <c r="A464" s="21"/>
      <c r="B464" s="21"/>
      <c r="C464" s="21"/>
      <c r="D464" s="21"/>
      <c r="E464" s="21"/>
      <c r="F464" s="21"/>
      <c r="G464" s="21"/>
      <c r="H464" s="21"/>
      <c r="I464" s="21"/>
      <c r="J464" s="21"/>
      <c r="K464" s="21"/>
      <c r="L464" s="21"/>
      <c r="M464" s="21"/>
      <c r="N464" s="21"/>
    </row>
    <row r="465">
      <c r="A465" s="21"/>
      <c r="B465" s="21"/>
      <c r="C465" s="21"/>
      <c r="D465" s="21"/>
      <c r="E465" s="21"/>
      <c r="F465" s="21"/>
      <c r="G465" s="21"/>
      <c r="H465" s="21"/>
      <c r="I465" s="21"/>
      <c r="J465" s="21"/>
      <c r="K465" s="21"/>
      <c r="L465" s="21"/>
      <c r="M465" s="21"/>
      <c r="N465" s="21"/>
    </row>
    <row r="466">
      <c r="A466" s="21"/>
      <c r="B466" s="21"/>
      <c r="C466" s="21"/>
      <c r="D466" s="21"/>
      <c r="E466" s="21"/>
      <c r="F466" s="21"/>
      <c r="G466" s="21"/>
      <c r="H466" s="21"/>
      <c r="I466" s="21"/>
      <c r="J466" s="21"/>
      <c r="K466" s="21"/>
      <c r="L466" s="21"/>
      <c r="M466" s="21"/>
      <c r="N466" s="21"/>
    </row>
    <row r="467">
      <c r="A467" s="21"/>
      <c r="B467" s="21"/>
      <c r="C467" s="21"/>
      <c r="D467" s="21"/>
      <c r="E467" s="21"/>
      <c r="F467" s="21"/>
      <c r="G467" s="21"/>
      <c r="H467" s="21"/>
      <c r="I467" s="21"/>
      <c r="J467" s="21"/>
      <c r="K467" s="21"/>
      <c r="L467" s="21"/>
      <c r="M467" s="21"/>
      <c r="N467" s="21"/>
    </row>
    <row r="468">
      <c r="A468" s="21"/>
      <c r="B468" s="21"/>
      <c r="C468" s="21"/>
      <c r="D468" s="21"/>
      <c r="E468" s="21"/>
      <c r="F468" s="21"/>
      <c r="G468" s="21"/>
      <c r="H468" s="21"/>
      <c r="I468" s="21"/>
      <c r="J468" s="21"/>
      <c r="K468" s="21"/>
      <c r="L468" s="21"/>
      <c r="M468" s="21"/>
      <c r="N468" s="21"/>
    </row>
    <row r="469">
      <c r="A469" s="21"/>
      <c r="B469" s="21"/>
      <c r="C469" s="21"/>
      <c r="D469" s="21"/>
      <c r="E469" s="21"/>
      <c r="F469" s="21"/>
      <c r="G469" s="21"/>
      <c r="H469" s="21"/>
      <c r="I469" s="21"/>
      <c r="J469" s="21"/>
      <c r="K469" s="21"/>
      <c r="L469" s="21"/>
      <c r="M469" s="21"/>
      <c r="N469" s="21"/>
    </row>
    <row r="470">
      <c r="A470" s="21"/>
      <c r="B470" s="21"/>
      <c r="C470" s="21"/>
      <c r="D470" s="21"/>
      <c r="E470" s="21"/>
      <c r="F470" s="21"/>
      <c r="G470" s="21"/>
      <c r="H470" s="21"/>
      <c r="I470" s="21"/>
      <c r="J470" s="21"/>
      <c r="K470" s="21"/>
      <c r="L470" s="21"/>
      <c r="M470" s="21"/>
      <c r="N470" s="21"/>
    </row>
    <row r="471">
      <c r="A471" s="21"/>
      <c r="B471" s="21"/>
      <c r="C471" s="21"/>
      <c r="D471" s="21"/>
      <c r="E471" s="21"/>
      <c r="F471" s="21"/>
      <c r="G471" s="21"/>
      <c r="H471" s="21"/>
      <c r="I471" s="21"/>
      <c r="J471" s="21"/>
      <c r="K471" s="21"/>
      <c r="L471" s="21"/>
      <c r="M471" s="21"/>
      <c r="N471" s="21"/>
    </row>
    <row r="472">
      <c r="A472" s="21"/>
      <c r="B472" s="21"/>
      <c r="C472" s="21"/>
      <c r="D472" s="21"/>
      <c r="E472" s="21"/>
      <c r="F472" s="21"/>
      <c r="G472" s="21"/>
      <c r="H472" s="21"/>
      <c r="I472" s="21"/>
      <c r="J472" s="21"/>
      <c r="K472" s="21"/>
      <c r="L472" s="21"/>
      <c r="M472" s="21"/>
      <c r="N472" s="21"/>
    </row>
    <row r="473">
      <c r="A473" s="21"/>
      <c r="B473" s="21"/>
      <c r="C473" s="21"/>
      <c r="D473" s="21"/>
      <c r="E473" s="21"/>
      <c r="F473" s="21"/>
      <c r="G473" s="21"/>
      <c r="H473" s="21"/>
      <c r="I473" s="21"/>
      <c r="J473" s="21"/>
      <c r="K473" s="21"/>
      <c r="L473" s="21"/>
      <c r="M473" s="21"/>
      <c r="N473" s="21"/>
    </row>
    <row r="474">
      <c r="A474" s="21"/>
      <c r="B474" s="21"/>
      <c r="C474" s="21"/>
      <c r="D474" s="21"/>
      <c r="E474" s="21"/>
      <c r="F474" s="21"/>
      <c r="G474" s="21"/>
      <c r="H474" s="21"/>
      <c r="I474" s="21"/>
      <c r="J474" s="21"/>
      <c r="K474" s="21"/>
      <c r="L474" s="21"/>
      <c r="M474" s="21"/>
      <c r="N474" s="21"/>
    </row>
    <row r="475">
      <c r="A475" s="21"/>
      <c r="B475" s="21"/>
      <c r="C475" s="21"/>
      <c r="D475" s="21"/>
      <c r="E475" s="21"/>
      <c r="F475" s="21"/>
      <c r="G475" s="21"/>
      <c r="H475" s="21"/>
      <c r="I475" s="21"/>
      <c r="J475" s="21"/>
      <c r="K475" s="21"/>
      <c r="L475" s="21"/>
      <c r="M475" s="21"/>
      <c r="N475" s="21"/>
    </row>
    <row r="476">
      <c r="A476" s="21"/>
      <c r="B476" s="21"/>
      <c r="C476" s="21"/>
      <c r="D476" s="21"/>
      <c r="E476" s="21"/>
      <c r="F476" s="21"/>
      <c r="G476" s="21"/>
      <c r="H476" s="21"/>
      <c r="I476" s="21"/>
      <c r="J476" s="21"/>
      <c r="K476" s="21"/>
      <c r="L476" s="21"/>
      <c r="M476" s="21"/>
      <c r="N476" s="21"/>
    </row>
    <row r="477">
      <c r="A477" s="21"/>
      <c r="B477" s="21"/>
      <c r="C477" s="21"/>
      <c r="D477" s="21"/>
      <c r="E477" s="21"/>
      <c r="F477" s="21"/>
      <c r="G477" s="21"/>
      <c r="H477" s="21"/>
      <c r="I477" s="21"/>
      <c r="J477" s="21"/>
      <c r="K477" s="21"/>
      <c r="L477" s="21"/>
      <c r="M477" s="21"/>
      <c r="N477" s="21"/>
    </row>
    <row r="478">
      <c r="A478" s="21"/>
      <c r="B478" s="21"/>
      <c r="C478" s="21"/>
      <c r="D478" s="21"/>
      <c r="E478" s="21"/>
      <c r="F478" s="21"/>
      <c r="G478" s="21"/>
      <c r="H478" s="21"/>
      <c r="I478" s="21"/>
      <c r="J478" s="21"/>
      <c r="K478" s="21"/>
      <c r="L478" s="21"/>
      <c r="M478" s="21"/>
      <c r="N478" s="21"/>
    </row>
    <row r="479">
      <c r="A479" s="21"/>
      <c r="B479" s="21"/>
      <c r="C479" s="21"/>
      <c r="D479" s="21"/>
      <c r="E479" s="21"/>
      <c r="F479" s="21"/>
      <c r="G479" s="21"/>
      <c r="H479" s="21"/>
      <c r="I479" s="21"/>
      <c r="J479" s="21"/>
      <c r="K479" s="21"/>
      <c r="L479" s="21"/>
      <c r="M479" s="21"/>
      <c r="N479" s="21"/>
    </row>
    <row r="480">
      <c r="A480" s="21"/>
      <c r="B480" s="21"/>
      <c r="C480" s="21"/>
      <c r="D480" s="21"/>
      <c r="E480" s="21"/>
      <c r="F480" s="21"/>
      <c r="G480" s="21"/>
      <c r="H480" s="21"/>
      <c r="I480" s="21"/>
      <c r="J480" s="21"/>
      <c r="K480" s="21"/>
      <c r="L480" s="21"/>
      <c r="M480" s="21"/>
      <c r="N480" s="21"/>
    </row>
    <row r="481">
      <c r="A481" s="21"/>
      <c r="B481" s="21"/>
      <c r="C481" s="21"/>
      <c r="D481" s="21"/>
      <c r="E481" s="21"/>
      <c r="F481" s="21"/>
      <c r="G481" s="21"/>
      <c r="H481" s="21"/>
      <c r="I481" s="21"/>
      <c r="J481" s="21"/>
      <c r="K481" s="21"/>
      <c r="L481" s="21"/>
      <c r="M481" s="21"/>
      <c r="N481" s="21"/>
    </row>
    <row r="482">
      <c r="A482" s="21"/>
      <c r="B482" s="21"/>
      <c r="C482" s="21"/>
      <c r="D482" s="21"/>
      <c r="E482" s="21"/>
      <c r="F482" s="21"/>
      <c r="G482" s="21"/>
      <c r="H482" s="21"/>
      <c r="I482" s="21"/>
      <c r="J482" s="21"/>
      <c r="K482" s="21"/>
      <c r="L482" s="21"/>
      <c r="M482" s="21"/>
      <c r="N482" s="21"/>
    </row>
    <row r="483">
      <c r="A483" s="21"/>
      <c r="B483" s="21"/>
      <c r="C483" s="21"/>
      <c r="D483" s="21"/>
      <c r="E483" s="21"/>
      <c r="F483" s="21"/>
      <c r="G483" s="21"/>
      <c r="H483" s="21"/>
      <c r="I483" s="21"/>
      <c r="J483" s="21"/>
      <c r="K483" s="21"/>
      <c r="L483" s="21"/>
      <c r="M483" s="21"/>
      <c r="N483" s="21"/>
    </row>
    <row r="484">
      <c r="A484" s="21"/>
      <c r="B484" s="21"/>
      <c r="C484" s="21"/>
      <c r="D484" s="21"/>
      <c r="E484" s="21"/>
      <c r="F484" s="21"/>
      <c r="G484" s="21"/>
      <c r="H484" s="21"/>
      <c r="I484" s="21"/>
      <c r="J484" s="21"/>
      <c r="K484" s="21"/>
      <c r="L484" s="21"/>
      <c r="M484" s="21"/>
      <c r="N484" s="21"/>
    </row>
    <row r="485">
      <c r="A485" s="21"/>
      <c r="B485" s="21"/>
      <c r="C485" s="21"/>
      <c r="D485" s="21"/>
      <c r="E485" s="21"/>
      <c r="F485" s="21"/>
      <c r="G485" s="21"/>
      <c r="H485" s="21"/>
      <c r="I485" s="21"/>
      <c r="J485" s="21"/>
      <c r="K485" s="21"/>
      <c r="L485" s="21"/>
      <c r="M485" s="21"/>
      <c r="N485" s="21"/>
    </row>
    <row r="486">
      <c r="A486" s="21"/>
      <c r="B486" s="21"/>
      <c r="C486" s="21"/>
      <c r="D486" s="21"/>
      <c r="E486" s="21"/>
      <c r="F486" s="21"/>
      <c r="G486" s="21"/>
      <c r="H486" s="21"/>
      <c r="I486" s="21"/>
      <c r="J486" s="21"/>
      <c r="K486" s="21"/>
      <c r="L486" s="21"/>
      <c r="M486" s="21"/>
      <c r="N486" s="21"/>
    </row>
    <row r="487">
      <c r="A487" s="21"/>
      <c r="B487" s="21"/>
      <c r="C487" s="21"/>
      <c r="D487" s="21"/>
      <c r="E487" s="21"/>
      <c r="F487" s="21"/>
      <c r="G487" s="21"/>
      <c r="H487" s="21"/>
      <c r="I487" s="21"/>
      <c r="J487" s="21"/>
      <c r="K487" s="21"/>
      <c r="L487" s="21"/>
      <c r="M487" s="21"/>
      <c r="N487" s="21"/>
    </row>
    <row r="488">
      <c r="A488" s="21"/>
      <c r="B488" s="21"/>
      <c r="C488" s="21"/>
      <c r="D488" s="21"/>
      <c r="E488" s="21"/>
      <c r="F488" s="21"/>
      <c r="G488" s="21"/>
      <c r="H488" s="21"/>
      <c r="I488" s="21"/>
      <c r="J488" s="21"/>
      <c r="K488" s="21"/>
      <c r="L488" s="21"/>
      <c r="M488" s="21"/>
      <c r="N488" s="21"/>
    </row>
    <row r="489">
      <c r="A489" s="21"/>
      <c r="B489" s="21"/>
      <c r="C489" s="21"/>
      <c r="D489" s="21"/>
      <c r="E489" s="21"/>
      <c r="F489" s="21"/>
      <c r="G489" s="21"/>
      <c r="H489" s="21"/>
      <c r="I489" s="21"/>
      <c r="J489" s="21"/>
      <c r="K489" s="21"/>
      <c r="L489" s="21"/>
      <c r="M489" s="21"/>
      <c r="N489" s="21"/>
    </row>
    <row r="490">
      <c r="A490" s="21"/>
      <c r="B490" s="21"/>
      <c r="C490" s="21"/>
      <c r="D490" s="21"/>
      <c r="E490" s="21"/>
      <c r="F490" s="21"/>
      <c r="G490" s="21"/>
      <c r="H490" s="21"/>
      <c r="I490" s="21"/>
      <c r="J490" s="21"/>
      <c r="K490" s="21"/>
      <c r="L490" s="21"/>
      <c r="M490" s="21"/>
      <c r="N490" s="21"/>
    </row>
    <row r="491">
      <c r="A491" s="21"/>
      <c r="B491" s="21"/>
      <c r="C491" s="21"/>
      <c r="D491" s="21"/>
      <c r="E491" s="21"/>
      <c r="F491" s="21"/>
      <c r="G491" s="21"/>
      <c r="H491" s="21"/>
      <c r="I491" s="21"/>
      <c r="J491" s="21"/>
      <c r="K491" s="21"/>
      <c r="L491" s="21"/>
      <c r="M491" s="21"/>
      <c r="N491" s="21"/>
    </row>
    <row r="492">
      <c r="A492" s="21"/>
      <c r="B492" s="21"/>
      <c r="C492" s="21"/>
      <c r="D492" s="21"/>
      <c r="E492" s="21"/>
      <c r="F492" s="21"/>
      <c r="G492" s="21"/>
      <c r="H492" s="21"/>
      <c r="I492" s="21"/>
      <c r="J492" s="21"/>
      <c r="K492" s="21"/>
      <c r="L492" s="21"/>
      <c r="M492" s="21"/>
      <c r="N492" s="21"/>
    </row>
    <row r="493">
      <c r="A493" s="21"/>
      <c r="B493" s="21"/>
      <c r="C493" s="21"/>
      <c r="D493" s="21"/>
      <c r="E493" s="21"/>
      <c r="F493" s="21"/>
      <c r="G493" s="21"/>
      <c r="H493" s="21"/>
      <c r="I493" s="21"/>
      <c r="J493" s="21"/>
      <c r="K493" s="21"/>
      <c r="L493" s="21"/>
      <c r="M493" s="21"/>
      <c r="N493" s="21"/>
    </row>
    <row r="494">
      <c r="A494" s="21"/>
      <c r="B494" s="21"/>
      <c r="C494" s="21"/>
      <c r="D494" s="21"/>
      <c r="E494" s="21"/>
      <c r="F494" s="21"/>
      <c r="G494" s="21"/>
      <c r="H494" s="21"/>
      <c r="I494" s="21"/>
      <c r="J494" s="21"/>
      <c r="K494" s="21"/>
      <c r="L494" s="21"/>
      <c r="M494" s="21"/>
      <c r="N494" s="21"/>
    </row>
    <row r="495">
      <c r="A495" s="21"/>
      <c r="B495" s="21"/>
      <c r="C495" s="21"/>
      <c r="D495" s="21"/>
      <c r="E495" s="21"/>
      <c r="F495" s="21"/>
      <c r="G495" s="21"/>
      <c r="H495" s="21"/>
      <c r="I495" s="21"/>
      <c r="J495" s="21"/>
      <c r="K495" s="21"/>
      <c r="L495" s="21"/>
      <c r="M495" s="21"/>
      <c r="N495" s="21"/>
    </row>
    <row r="496">
      <c r="A496" s="21"/>
      <c r="B496" s="21"/>
      <c r="C496" s="21"/>
      <c r="D496" s="21"/>
      <c r="E496" s="21"/>
      <c r="F496" s="21"/>
      <c r="G496" s="21"/>
      <c r="H496" s="21"/>
      <c r="I496" s="21"/>
      <c r="J496" s="21"/>
      <c r="K496" s="21"/>
      <c r="L496" s="21"/>
      <c r="M496" s="21"/>
      <c r="N496" s="21"/>
    </row>
    <row r="497">
      <c r="A497" s="21"/>
      <c r="B497" s="21"/>
      <c r="C497" s="21"/>
      <c r="D497" s="21"/>
      <c r="E497" s="21"/>
      <c r="F497" s="21"/>
      <c r="G497" s="21"/>
      <c r="H497" s="21"/>
      <c r="I497" s="21"/>
      <c r="J497" s="21"/>
      <c r="K497" s="21"/>
      <c r="L497" s="21"/>
      <c r="M497" s="21"/>
      <c r="N497" s="21"/>
    </row>
    <row r="498">
      <c r="A498" s="21"/>
      <c r="B498" s="21"/>
      <c r="C498" s="21"/>
      <c r="D498" s="21"/>
      <c r="E498" s="21"/>
      <c r="F498" s="21"/>
      <c r="G498" s="21"/>
      <c r="H498" s="21"/>
      <c r="I498" s="21"/>
      <c r="J498" s="21"/>
      <c r="K498" s="21"/>
      <c r="L498" s="21"/>
      <c r="M498" s="21"/>
      <c r="N498" s="21"/>
    </row>
    <row r="499">
      <c r="A499" s="21"/>
      <c r="B499" s="21"/>
      <c r="C499" s="21"/>
      <c r="D499" s="21"/>
      <c r="E499" s="21"/>
      <c r="F499" s="21"/>
      <c r="G499" s="21"/>
      <c r="H499" s="21"/>
      <c r="I499" s="21"/>
      <c r="J499" s="21"/>
      <c r="K499" s="21"/>
      <c r="L499" s="21"/>
      <c r="M499" s="21"/>
      <c r="N499" s="21"/>
    </row>
    <row r="500">
      <c r="A500" s="21"/>
      <c r="B500" s="21"/>
      <c r="C500" s="21"/>
      <c r="D500" s="21"/>
      <c r="E500" s="21"/>
      <c r="F500" s="21"/>
      <c r="G500" s="21"/>
      <c r="H500" s="21"/>
      <c r="I500" s="21"/>
      <c r="J500" s="21"/>
      <c r="K500" s="21"/>
      <c r="L500" s="21"/>
      <c r="M500" s="21"/>
      <c r="N500" s="21"/>
    </row>
    <row r="501">
      <c r="A501" s="21"/>
      <c r="B501" s="21"/>
      <c r="C501" s="21"/>
      <c r="D501" s="21"/>
      <c r="E501" s="21"/>
      <c r="F501" s="21"/>
      <c r="G501" s="21"/>
      <c r="H501" s="21"/>
      <c r="I501" s="21"/>
      <c r="J501" s="21"/>
      <c r="K501" s="21"/>
      <c r="L501" s="21"/>
      <c r="M501" s="21"/>
      <c r="N501" s="21"/>
    </row>
    <row r="502">
      <c r="A502" s="21"/>
      <c r="B502" s="21"/>
      <c r="C502" s="21"/>
      <c r="D502" s="21"/>
      <c r="E502" s="21"/>
      <c r="F502" s="21"/>
      <c r="G502" s="21"/>
      <c r="H502" s="21"/>
      <c r="I502" s="21"/>
      <c r="J502" s="21"/>
      <c r="K502" s="21"/>
      <c r="L502" s="21"/>
      <c r="M502" s="21"/>
      <c r="N502" s="21"/>
    </row>
    <row r="503">
      <c r="A503" s="21"/>
      <c r="B503" s="21"/>
      <c r="C503" s="21"/>
      <c r="D503" s="21"/>
      <c r="E503" s="21"/>
      <c r="F503" s="21"/>
      <c r="G503" s="21"/>
      <c r="H503" s="21"/>
      <c r="I503" s="21"/>
      <c r="J503" s="21"/>
      <c r="K503" s="21"/>
      <c r="L503" s="21"/>
      <c r="M503" s="21"/>
      <c r="N503" s="21"/>
    </row>
    <row r="504">
      <c r="A504" s="21"/>
      <c r="B504" s="21"/>
      <c r="C504" s="21"/>
      <c r="D504" s="21"/>
      <c r="E504" s="21"/>
      <c r="F504" s="21"/>
      <c r="G504" s="21"/>
      <c r="H504" s="21"/>
      <c r="I504" s="21"/>
      <c r="J504" s="21"/>
      <c r="K504" s="21"/>
      <c r="L504" s="21"/>
      <c r="M504" s="21"/>
      <c r="N504" s="21"/>
    </row>
    <row r="505">
      <c r="A505" s="21"/>
      <c r="B505" s="21"/>
      <c r="C505" s="21"/>
      <c r="D505" s="21"/>
      <c r="E505" s="21"/>
      <c r="F505" s="21"/>
      <c r="G505" s="21"/>
      <c r="H505" s="21"/>
      <c r="I505" s="21"/>
      <c r="J505" s="21"/>
      <c r="K505" s="21"/>
      <c r="L505" s="21"/>
      <c r="M505" s="21"/>
      <c r="N505" s="21"/>
    </row>
    <row r="506">
      <c r="A506" s="21"/>
      <c r="B506" s="21"/>
      <c r="C506" s="21"/>
      <c r="D506" s="21"/>
      <c r="E506" s="21"/>
      <c r="F506" s="21"/>
      <c r="G506" s="21"/>
      <c r="H506" s="21"/>
      <c r="I506" s="21"/>
      <c r="J506" s="21"/>
      <c r="K506" s="21"/>
      <c r="L506" s="21"/>
      <c r="M506" s="21"/>
      <c r="N506" s="21"/>
    </row>
    <row r="507">
      <c r="A507" s="21"/>
      <c r="B507" s="21"/>
      <c r="C507" s="21"/>
      <c r="D507" s="21"/>
      <c r="E507" s="21"/>
      <c r="F507" s="21"/>
      <c r="G507" s="21"/>
      <c r="H507" s="21"/>
      <c r="I507" s="21"/>
      <c r="J507" s="21"/>
      <c r="K507" s="21"/>
      <c r="L507" s="21"/>
      <c r="M507" s="21"/>
      <c r="N507" s="21"/>
    </row>
    <row r="508">
      <c r="A508" s="21"/>
      <c r="B508" s="21"/>
      <c r="C508" s="21"/>
      <c r="D508" s="21"/>
      <c r="E508" s="21"/>
      <c r="F508" s="21"/>
      <c r="G508" s="21"/>
      <c r="H508" s="21"/>
      <c r="I508" s="21"/>
      <c r="J508" s="21"/>
      <c r="K508" s="21"/>
      <c r="L508" s="21"/>
      <c r="M508" s="21"/>
      <c r="N508" s="21"/>
    </row>
    <row r="509">
      <c r="A509" s="21"/>
      <c r="B509" s="21"/>
      <c r="C509" s="21"/>
      <c r="D509" s="21"/>
      <c r="E509" s="21"/>
      <c r="F509" s="21"/>
      <c r="G509" s="21"/>
      <c r="H509" s="21"/>
      <c r="I509" s="21"/>
      <c r="J509" s="21"/>
      <c r="K509" s="21"/>
      <c r="L509" s="21"/>
      <c r="M509" s="21"/>
      <c r="N509" s="21"/>
    </row>
    <row r="510">
      <c r="A510" s="21"/>
      <c r="B510" s="21"/>
      <c r="C510" s="21"/>
      <c r="D510" s="21"/>
      <c r="E510" s="21"/>
      <c r="F510" s="21"/>
      <c r="G510" s="21"/>
      <c r="H510" s="21"/>
      <c r="I510" s="21"/>
      <c r="J510" s="21"/>
      <c r="K510" s="21"/>
      <c r="L510" s="21"/>
      <c r="M510" s="21"/>
      <c r="N510" s="21"/>
    </row>
    <row r="511">
      <c r="A511" s="21"/>
      <c r="B511" s="21"/>
      <c r="C511" s="21"/>
      <c r="D511" s="21"/>
      <c r="E511" s="21"/>
      <c r="F511" s="21"/>
      <c r="G511" s="21"/>
      <c r="H511" s="21"/>
      <c r="I511" s="21"/>
      <c r="J511" s="21"/>
      <c r="K511" s="21"/>
      <c r="L511" s="21"/>
      <c r="M511" s="21"/>
      <c r="N511" s="21"/>
    </row>
    <row r="512">
      <c r="A512" s="21"/>
      <c r="B512" s="21"/>
      <c r="C512" s="21"/>
      <c r="D512" s="21"/>
      <c r="E512" s="21"/>
      <c r="F512" s="21"/>
      <c r="G512" s="21"/>
      <c r="H512" s="21"/>
      <c r="I512" s="21"/>
      <c r="J512" s="21"/>
      <c r="K512" s="21"/>
      <c r="L512" s="21"/>
      <c r="M512" s="21"/>
      <c r="N512" s="21"/>
    </row>
    <row r="513">
      <c r="A513" s="21"/>
      <c r="B513" s="21"/>
      <c r="C513" s="21"/>
      <c r="D513" s="21"/>
      <c r="E513" s="21"/>
      <c r="F513" s="21"/>
      <c r="G513" s="21"/>
      <c r="H513" s="21"/>
      <c r="I513" s="21"/>
      <c r="J513" s="21"/>
      <c r="K513" s="21"/>
      <c r="L513" s="21"/>
      <c r="M513" s="21"/>
      <c r="N513" s="21"/>
    </row>
    <row r="514">
      <c r="A514" s="21"/>
      <c r="B514" s="21"/>
      <c r="C514" s="21"/>
      <c r="D514" s="21"/>
      <c r="E514" s="21"/>
      <c r="F514" s="21"/>
      <c r="G514" s="21"/>
      <c r="H514" s="21"/>
      <c r="I514" s="21"/>
      <c r="J514" s="21"/>
      <c r="K514" s="21"/>
      <c r="L514" s="21"/>
      <c r="M514" s="21"/>
      <c r="N514" s="21"/>
    </row>
    <row r="515">
      <c r="A515" s="21"/>
      <c r="B515" s="21"/>
      <c r="C515" s="21"/>
      <c r="D515" s="21"/>
      <c r="E515" s="21"/>
      <c r="F515" s="21"/>
      <c r="G515" s="21"/>
      <c r="H515" s="21"/>
      <c r="I515" s="21"/>
      <c r="J515" s="21"/>
      <c r="K515" s="21"/>
      <c r="L515" s="21"/>
      <c r="M515" s="21"/>
      <c r="N515" s="21"/>
    </row>
    <row r="516">
      <c r="A516" s="21"/>
      <c r="B516" s="21"/>
      <c r="C516" s="21"/>
      <c r="D516" s="21"/>
      <c r="E516" s="21"/>
      <c r="F516" s="21"/>
      <c r="G516" s="21"/>
      <c r="H516" s="21"/>
      <c r="I516" s="21"/>
      <c r="J516" s="21"/>
      <c r="K516" s="21"/>
      <c r="L516" s="21"/>
      <c r="M516" s="21"/>
      <c r="N516" s="21"/>
    </row>
    <row r="517">
      <c r="A517" s="21"/>
      <c r="B517" s="21"/>
      <c r="C517" s="21"/>
      <c r="D517" s="21"/>
      <c r="E517" s="21"/>
      <c r="F517" s="21"/>
      <c r="G517" s="21"/>
      <c r="H517" s="21"/>
      <c r="I517" s="21"/>
      <c r="J517" s="21"/>
      <c r="K517" s="21"/>
      <c r="L517" s="21"/>
      <c r="M517" s="21"/>
      <c r="N517" s="21"/>
    </row>
    <row r="518">
      <c r="A518" s="21"/>
      <c r="B518" s="21"/>
      <c r="C518" s="21"/>
      <c r="D518" s="21"/>
      <c r="E518" s="21"/>
      <c r="F518" s="21"/>
      <c r="G518" s="21"/>
      <c r="H518" s="21"/>
      <c r="I518" s="21"/>
      <c r="J518" s="21"/>
      <c r="K518" s="21"/>
      <c r="L518" s="21"/>
      <c r="M518" s="21"/>
      <c r="N518" s="21"/>
    </row>
    <row r="519">
      <c r="A519" s="21"/>
      <c r="B519" s="21"/>
      <c r="C519" s="21"/>
      <c r="D519" s="21"/>
      <c r="E519" s="21"/>
      <c r="F519" s="21"/>
      <c r="G519" s="21"/>
      <c r="H519" s="21"/>
      <c r="I519" s="21"/>
      <c r="J519" s="21"/>
      <c r="K519" s="21"/>
      <c r="L519" s="21"/>
      <c r="M519" s="21"/>
      <c r="N519" s="21"/>
    </row>
    <row r="520">
      <c r="A520" s="21"/>
      <c r="B520" s="21"/>
      <c r="C520" s="21"/>
      <c r="D520" s="21"/>
      <c r="E520" s="21"/>
      <c r="F520" s="21"/>
      <c r="G520" s="21"/>
      <c r="H520" s="21"/>
      <c r="I520" s="21"/>
      <c r="J520" s="21"/>
      <c r="K520" s="21"/>
      <c r="L520" s="21"/>
      <c r="M520" s="21"/>
      <c r="N520" s="21"/>
    </row>
    <row r="521">
      <c r="A521" s="21"/>
      <c r="B521" s="21"/>
      <c r="C521" s="21"/>
      <c r="D521" s="21"/>
      <c r="E521" s="21"/>
      <c r="F521" s="21"/>
      <c r="G521" s="21"/>
      <c r="H521" s="21"/>
      <c r="I521" s="21"/>
      <c r="J521" s="21"/>
      <c r="K521" s="21"/>
      <c r="L521" s="21"/>
      <c r="M521" s="21"/>
      <c r="N521" s="21"/>
    </row>
    <row r="522">
      <c r="A522" s="21"/>
      <c r="B522" s="21"/>
      <c r="C522" s="21"/>
      <c r="D522" s="21"/>
      <c r="E522" s="21"/>
      <c r="F522" s="21"/>
      <c r="G522" s="21"/>
      <c r="H522" s="21"/>
      <c r="I522" s="21"/>
      <c r="J522" s="21"/>
      <c r="K522" s="21"/>
      <c r="L522" s="21"/>
      <c r="M522" s="21"/>
      <c r="N522" s="21"/>
    </row>
    <row r="523">
      <c r="A523" s="21"/>
      <c r="B523" s="21"/>
      <c r="C523" s="21"/>
      <c r="D523" s="21"/>
      <c r="E523" s="21"/>
      <c r="F523" s="21"/>
      <c r="G523" s="21"/>
      <c r="H523" s="21"/>
      <c r="I523" s="21"/>
      <c r="J523" s="21"/>
      <c r="K523" s="21"/>
      <c r="L523" s="21"/>
      <c r="M523" s="21"/>
      <c r="N523" s="21"/>
    </row>
    <row r="524">
      <c r="A524" s="21"/>
      <c r="B524" s="21"/>
      <c r="C524" s="21"/>
      <c r="D524" s="21"/>
      <c r="E524" s="21"/>
      <c r="F524" s="21"/>
      <c r="G524" s="21"/>
      <c r="H524" s="21"/>
      <c r="I524" s="21"/>
      <c r="J524" s="21"/>
      <c r="K524" s="21"/>
      <c r="L524" s="21"/>
      <c r="M524" s="21"/>
      <c r="N524" s="21"/>
    </row>
    <row r="525">
      <c r="A525" s="21"/>
      <c r="B525" s="21"/>
      <c r="C525" s="21"/>
      <c r="D525" s="21"/>
      <c r="E525" s="21"/>
      <c r="F525" s="21"/>
      <c r="G525" s="21"/>
      <c r="H525" s="21"/>
      <c r="I525" s="21"/>
      <c r="J525" s="21"/>
      <c r="K525" s="21"/>
      <c r="L525" s="21"/>
      <c r="M525" s="21"/>
      <c r="N525" s="21"/>
    </row>
    <row r="526">
      <c r="A526" s="21"/>
      <c r="B526" s="21"/>
      <c r="C526" s="21"/>
      <c r="D526" s="21"/>
      <c r="E526" s="21"/>
      <c r="F526" s="21"/>
      <c r="G526" s="21"/>
      <c r="H526" s="21"/>
      <c r="I526" s="21"/>
      <c r="J526" s="21"/>
      <c r="K526" s="21"/>
      <c r="L526" s="21"/>
      <c r="M526" s="21"/>
      <c r="N526" s="21"/>
    </row>
    <row r="527">
      <c r="A527" s="21"/>
      <c r="B527" s="21"/>
      <c r="C527" s="21"/>
      <c r="D527" s="21"/>
      <c r="E527" s="21"/>
      <c r="F527" s="21"/>
      <c r="G527" s="21"/>
      <c r="H527" s="21"/>
      <c r="I527" s="21"/>
      <c r="J527" s="21"/>
      <c r="K527" s="21"/>
      <c r="L527" s="21"/>
      <c r="M527" s="21"/>
      <c r="N527" s="21"/>
    </row>
    <row r="528">
      <c r="A528" s="21"/>
      <c r="B528" s="21"/>
      <c r="C528" s="21"/>
      <c r="D528" s="21"/>
      <c r="E528" s="21"/>
      <c r="F528" s="21"/>
      <c r="G528" s="21"/>
      <c r="H528" s="21"/>
      <c r="I528" s="21"/>
      <c r="J528" s="21"/>
      <c r="K528" s="21"/>
      <c r="L528" s="21"/>
      <c r="M528" s="21"/>
      <c r="N528" s="21"/>
    </row>
    <row r="529">
      <c r="A529" s="21"/>
      <c r="B529" s="21"/>
      <c r="C529" s="21"/>
      <c r="D529" s="21"/>
      <c r="E529" s="21"/>
      <c r="F529" s="21"/>
      <c r="G529" s="21"/>
      <c r="H529" s="21"/>
      <c r="I529" s="21"/>
      <c r="J529" s="21"/>
      <c r="K529" s="21"/>
      <c r="L529" s="21"/>
      <c r="M529" s="21"/>
      <c r="N529" s="21"/>
    </row>
    <row r="530">
      <c r="A530" s="21"/>
      <c r="B530" s="21"/>
      <c r="C530" s="21"/>
      <c r="D530" s="21"/>
      <c r="E530" s="21"/>
      <c r="F530" s="21"/>
      <c r="G530" s="21"/>
      <c r="H530" s="21"/>
      <c r="I530" s="21"/>
      <c r="J530" s="21"/>
      <c r="K530" s="21"/>
      <c r="L530" s="21"/>
      <c r="M530" s="21"/>
      <c r="N530" s="21"/>
    </row>
    <row r="531">
      <c r="A531" s="21"/>
      <c r="B531" s="21"/>
      <c r="C531" s="21"/>
      <c r="D531" s="21"/>
      <c r="E531" s="21"/>
      <c r="F531" s="21"/>
      <c r="G531" s="21"/>
      <c r="H531" s="21"/>
      <c r="I531" s="21"/>
      <c r="J531" s="21"/>
      <c r="K531" s="21"/>
      <c r="L531" s="21"/>
      <c r="M531" s="21"/>
      <c r="N531" s="21"/>
    </row>
    <row r="532">
      <c r="A532" s="21"/>
      <c r="B532" s="21"/>
      <c r="C532" s="21"/>
      <c r="D532" s="21"/>
      <c r="E532" s="21"/>
      <c r="F532" s="21"/>
      <c r="G532" s="21"/>
      <c r="H532" s="21"/>
      <c r="I532" s="21"/>
      <c r="J532" s="21"/>
      <c r="K532" s="21"/>
      <c r="L532" s="21"/>
      <c r="M532" s="21"/>
      <c r="N532" s="21"/>
    </row>
    <row r="533">
      <c r="A533" s="21"/>
      <c r="B533" s="21"/>
      <c r="C533" s="21"/>
      <c r="D533" s="21"/>
      <c r="E533" s="21"/>
      <c r="F533" s="21"/>
      <c r="G533" s="21"/>
      <c r="H533" s="21"/>
      <c r="I533" s="21"/>
      <c r="J533" s="21"/>
      <c r="K533" s="21"/>
      <c r="L533" s="21"/>
      <c r="M533" s="21"/>
      <c r="N533" s="21"/>
    </row>
    <row r="534">
      <c r="A534" s="21"/>
      <c r="B534" s="21"/>
      <c r="C534" s="21"/>
      <c r="D534" s="21"/>
      <c r="E534" s="21"/>
      <c r="F534" s="21"/>
      <c r="G534" s="21"/>
      <c r="H534" s="21"/>
      <c r="I534" s="21"/>
      <c r="J534" s="21"/>
      <c r="K534" s="21"/>
      <c r="L534" s="21"/>
      <c r="M534" s="21"/>
      <c r="N534" s="21"/>
    </row>
    <row r="535">
      <c r="A535" s="21"/>
      <c r="B535" s="21"/>
      <c r="C535" s="21"/>
      <c r="D535" s="21"/>
      <c r="E535" s="21"/>
      <c r="F535" s="21"/>
      <c r="G535" s="21"/>
      <c r="H535" s="21"/>
      <c r="I535" s="21"/>
      <c r="J535" s="21"/>
      <c r="K535" s="21"/>
      <c r="L535" s="21"/>
      <c r="M535" s="21"/>
      <c r="N535" s="21"/>
    </row>
    <row r="536">
      <c r="A536" s="21"/>
      <c r="B536" s="21"/>
      <c r="C536" s="21"/>
      <c r="D536" s="21"/>
      <c r="E536" s="21"/>
      <c r="F536" s="21"/>
      <c r="G536" s="21"/>
      <c r="H536" s="21"/>
      <c r="I536" s="21"/>
      <c r="J536" s="21"/>
      <c r="K536" s="21"/>
      <c r="L536" s="21"/>
      <c r="M536" s="21"/>
      <c r="N536" s="21"/>
    </row>
    <row r="537">
      <c r="A537" s="21"/>
      <c r="B537" s="21"/>
      <c r="C537" s="21"/>
      <c r="D537" s="21"/>
      <c r="E537" s="21"/>
      <c r="F537" s="21"/>
      <c r="G537" s="21"/>
      <c r="H537" s="21"/>
      <c r="I537" s="21"/>
      <c r="J537" s="21"/>
      <c r="K537" s="21"/>
      <c r="L537" s="21"/>
      <c r="M537" s="21"/>
      <c r="N537" s="21"/>
    </row>
    <row r="538">
      <c r="A538" s="21"/>
      <c r="B538" s="21"/>
      <c r="C538" s="21"/>
      <c r="D538" s="21"/>
      <c r="E538" s="21"/>
      <c r="F538" s="21"/>
      <c r="G538" s="21"/>
      <c r="H538" s="21"/>
      <c r="I538" s="21"/>
      <c r="J538" s="21"/>
      <c r="K538" s="21"/>
      <c r="L538" s="21"/>
      <c r="M538" s="21"/>
      <c r="N538" s="21"/>
    </row>
    <row r="539">
      <c r="A539" s="21"/>
      <c r="B539" s="21"/>
      <c r="C539" s="21"/>
      <c r="D539" s="21"/>
      <c r="E539" s="21"/>
      <c r="F539" s="21"/>
      <c r="G539" s="21"/>
      <c r="H539" s="21"/>
      <c r="I539" s="21"/>
      <c r="J539" s="21"/>
      <c r="K539" s="21"/>
      <c r="L539" s="21"/>
      <c r="M539" s="21"/>
      <c r="N539" s="21"/>
    </row>
    <row r="540">
      <c r="A540" s="21"/>
      <c r="B540" s="21"/>
      <c r="C540" s="21"/>
      <c r="D540" s="21"/>
      <c r="E540" s="21"/>
      <c r="F540" s="21"/>
      <c r="G540" s="21"/>
      <c r="H540" s="21"/>
      <c r="I540" s="21"/>
      <c r="J540" s="21"/>
      <c r="K540" s="21"/>
      <c r="L540" s="21"/>
      <c r="M540" s="21"/>
      <c r="N540" s="21"/>
    </row>
    <row r="541">
      <c r="A541" s="21"/>
      <c r="B541" s="21"/>
      <c r="C541" s="21"/>
      <c r="D541" s="21"/>
      <c r="E541" s="21"/>
      <c r="F541" s="21"/>
      <c r="G541" s="21"/>
      <c r="H541" s="21"/>
      <c r="I541" s="21"/>
      <c r="J541" s="21"/>
      <c r="K541" s="21"/>
      <c r="L541" s="21"/>
      <c r="M541" s="21"/>
      <c r="N541" s="21"/>
    </row>
    <row r="542">
      <c r="A542" s="21"/>
      <c r="B542" s="21"/>
      <c r="C542" s="21"/>
      <c r="D542" s="21"/>
      <c r="E542" s="21"/>
      <c r="F542" s="21"/>
      <c r="G542" s="21"/>
      <c r="H542" s="21"/>
      <c r="I542" s="21"/>
      <c r="J542" s="21"/>
      <c r="K542" s="21"/>
      <c r="L542" s="21"/>
      <c r="M542" s="21"/>
      <c r="N542" s="21"/>
    </row>
    <row r="543">
      <c r="A543" s="21"/>
      <c r="B543" s="21"/>
      <c r="C543" s="21"/>
      <c r="D543" s="21"/>
      <c r="E543" s="21"/>
      <c r="F543" s="21"/>
      <c r="G543" s="21"/>
      <c r="H543" s="21"/>
      <c r="I543" s="21"/>
      <c r="J543" s="21"/>
      <c r="K543" s="21"/>
      <c r="L543" s="21"/>
      <c r="M543" s="21"/>
      <c r="N543" s="21"/>
    </row>
    <row r="544">
      <c r="A544" s="21"/>
      <c r="B544" s="21"/>
      <c r="C544" s="21"/>
      <c r="D544" s="21"/>
      <c r="E544" s="21"/>
      <c r="F544" s="21"/>
      <c r="G544" s="21"/>
      <c r="H544" s="21"/>
      <c r="I544" s="21"/>
      <c r="J544" s="21"/>
      <c r="K544" s="21"/>
      <c r="L544" s="21"/>
      <c r="M544" s="21"/>
      <c r="N544" s="21"/>
    </row>
    <row r="545">
      <c r="A545" s="21"/>
      <c r="B545" s="21"/>
      <c r="C545" s="21"/>
      <c r="D545" s="21"/>
      <c r="E545" s="21"/>
      <c r="F545" s="21"/>
      <c r="G545" s="21"/>
      <c r="H545" s="21"/>
      <c r="I545" s="21"/>
      <c r="J545" s="21"/>
      <c r="K545" s="21"/>
      <c r="L545" s="21"/>
      <c r="M545" s="21"/>
      <c r="N545" s="21"/>
    </row>
    <row r="546">
      <c r="A546" s="21"/>
      <c r="B546" s="21"/>
      <c r="C546" s="21"/>
      <c r="D546" s="21"/>
      <c r="E546" s="21"/>
      <c r="F546" s="21"/>
      <c r="G546" s="21"/>
      <c r="H546" s="21"/>
      <c r="I546" s="21"/>
      <c r="J546" s="21"/>
      <c r="K546" s="21"/>
      <c r="L546" s="21"/>
      <c r="M546" s="21"/>
      <c r="N546" s="21"/>
    </row>
    <row r="547">
      <c r="A547" s="21"/>
      <c r="B547" s="21"/>
      <c r="C547" s="21"/>
      <c r="D547" s="21"/>
      <c r="E547" s="21"/>
      <c r="F547" s="21"/>
      <c r="G547" s="21"/>
      <c r="H547" s="21"/>
      <c r="I547" s="21"/>
      <c r="J547" s="21"/>
      <c r="K547" s="21"/>
      <c r="L547" s="21"/>
      <c r="M547" s="21"/>
      <c r="N547" s="21"/>
    </row>
    <row r="548">
      <c r="A548" s="21"/>
      <c r="B548" s="21"/>
      <c r="C548" s="21"/>
      <c r="D548" s="21"/>
      <c r="E548" s="21"/>
      <c r="F548" s="21"/>
      <c r="G548" s="21"/>
      <c r="H548" s="21"/>
      <c r="I548" s="21"/>
      <c r="J548" s="21"/>
      <c r="K548" s="21"/>
      <c r="L548" s="21"/>
      <c r="M548" s="21"/>
      <c r="N548" s="21"/>
    </row>
    <row r="549">
      <c r="A549" s="21"/>
      <c r="B549" s="21"/>
      <c r="C549" s="21"/>
      <c r="D549" s="21"/>
      <c r="E549" s="21"/>
      <c r="F549" s="21"/>
      <c r="G549" s="21"/>
      <c r="H549" s="21"/>
      <c r="I549" s="21"/>
      <c r="J549" s="21"/>
      <c r="K549" s="21"/>
      <c r="L549" s="21"/>
      <c r="M549" s="21"/>
      <c r="N549" s="21"/>
    </row>
    <row r="550">
      <c r="A550" s="21"/>
      <c r="B550" s="21"/>
      <c r="C550" s="21"/>
      <c r="D550" s="21"/>
      <c r="E550" s="21"/>
      <c r="F550" s="21"/>
      <c r="G550" s="21"/>
      <c r="H550" s="21"/>
      <c r="I550" s="21"/>
      <c r="J550" s="21"/>
      <c r="K550" s="21"/>
      <c r="L550" s="21"/>
      <c r="M550" s="21"/>
      <c r="N550" s="21"/>
    </row>
    <row r="551">
      <c r="A551" s="21"/>
      <c r="B551" s="21"/>
      <c r="C551" s="21"/>
      <c r="D551" s="21"/>
      <c r="E551" s="21"/>
      <c r="F551" s="21"/>
      <c r="G551" s="21"/>
      <c r="H551" s="21"/>
      <c r="I551" s="21"/>
      <c r="J551" s="21"/>
      <c r="K551" s="21"/>
      <c r="L551" s="21"/>
      <c r="M551" s="21"/>
      <c r="N551" s="21"/>
    </row>
    <row r="552">
      <c r="A552" s="21"/>
      <c r="B552" s="21"/>
      <c r="C552" s="21"/>
      <c r="D552" s="21"/>
      <c r="E552" s="21"/>
      <c r="F552" s="21"/>
      <c r="G552" s="21"/>
      <c r="H552" s="21"/>
      <c r="I552" s="21"/>
      <c r="J552" s="21"/>
      <c r="K552" s="21"/>
      <c r="L552" s="21"/>
      <c r="M552" s="21"/>
      <c r="N552" s="21"/>
    </row>
    <row r="553">
      <c r="A553" s="21"/>
      <c r="B553" s="21"/>
      <c r="C553" s="21"/>
      <c r="D553" s="21"/>
      <c r="E553" s="21"/>
      <c r="F553" s="21"/>
      <c r="G553" s="21"/>
      <c r="H553" s="21"/>
      <c r="I553" s="21"/>
      <c r="J553" s="21"/>
      <c r="K553" s="21"/>
      <c r="L553" s="21"/>
      <c r="M553" s="21"/>
      <c r="N553" s="21"/>
    </row>
    <row r="554">
      <c r="A554" s="21"/>
      <c r="B554" s="21"/>
      <c r="C554" s="21"/>
      <c r="D554" s="21"/>
      <c r="E554" s="21"/>
      <c r="F554" s="21"/>
      <c r="G554" s="21"/>
      <c r="H554" s="21"/>
      <c r="I554" s="21"/>
      <c r="J554" s="21"/>
      <c r="K554" s="21"/>
      <c r="L554" s="21"/>
      <c r="M554" s="21"/>
      <c r="N554" s="21"/>
    </row>
    <row r="555">
      <c r="A555" s="21"/>
      <c r="B555" s="21"/>
      <c r="C555" s="21"/>
      <c r="D555" s="21"/>
      <c r="E555" s="21"/>
      <c r="F555" s="21"/>
      <c r="G555" s="21"/>
      <c r="H555" s="21"/>
      <c r="I555" s="21"/>
      <c r="J555" s="21"/>
      <c r="K555" s="21"/>
      <c r="L555" s="21"/>
      <c r="M555" s="21"/>
      <c r="N555" s="21"/>
    </row>
    <row r="556">
      <c r="A556" s="21"/>
      <c r="B556" s="21"/>
      <c r="C556" s="21"/>
      <c r="D556" s="21"/>
      <c r="E556" s="21"/>
      <c r="F556" s="21"/>
      <c r="G556" s="21"/>
      <c r="H556" s="21"/>
      <c r="I556" s="21"/>
      <c r="J556" s="21"/>
      <c r="K556" s="21"/>
      <c r="L556" s="21"/>
      <c r="M556" s="21"/>
      <c r="N556" s="21"/>
    </row>
    <row r="557">
      <c r="A557" s="21"/>
      <c r="B557" s="21"/>
      <c r="C557" s="21"/>
      <c r="D557" s="21"/>
      <c r="E557" s="21"/>
      <c r="F557" s="21"/>
      <c r="G557" s="21"/>
      <c r="H557" s="21"/>
      <c r="I557" s="21"/>
      <c r="J557" s="21"/>
      <c r="K557" s="21"/>
      <c r="L557" s="21"/>
      <c r="M557" s="21"/>
      <c r="N557" s="21"/>
    </row>
    <row r="558">
      <c r="A558" s="21"/>
      <c r="B558" s="21"/>
      <c r="C558" s="21"/>
      <c r="D558" s="21"/>
      <c r="E558" s="21"/>
      <c r="F558" s="21"/>
      <c r="G558" s="21"/>
      <c r="H558" s="21"/>
      <c r="I558" s="21"/>
      <c r="J558" s="21"/>
      <c r="K558" s="21"/>
      <c r="L558" s="21"/>
      <c r="M558" s="21"/>
      <c r="N558" s="21"/>
    </row>
    <row r="559">
      <c r="A559" s="21"/>
      <c r="B559" s="21"/>
      <c r="C559" s="21"/>
      <c r="D559" s="21"/>
      <c r="E559" s="21"/>
      <c r="F559" s="21"/>
      <c r="G559" s="21"/>
      <c r="H559" s="21"/>
      <c r="I559" s="21"/>
      <c r="J559" s="21"/>
      <c r="K559" s="21"/>
      <c r="L559" s="21"/>
      <c r="M559" s="21"/>
      <c r="N559" s="21"/>
    </row>
    <row r="560">
      <c r="A560" s="21"/>
      <c r="B560" s="21"/>
      <c r="C560" s="21"/>
      <c r="D560" s="21"/>
      <c r="E560" s="21"/>
      <c r="F560" s="21"/>
      <c r="G560" s="21"/>
      <c r="H560" s="21"/>
      <c r="I560" s="21"/>
      <c r="J560" s="21"/>
      <c r="K560" s="21"/>
      <c r="L560" s="21"/>
      <c r="M560" s="21"/>
      <c r="N560" s="21"/>
    </row>
    <row r="561">
      <c r="A561" s="21"/>
      <c r="B561" s="21"/>
      <c r="C561" s="21"/>
      <c r="D561" s="21"/>
      <c r="E561" s="21"/>
      <c r="F561" s="21"/>
      <c r="G561" s="21"/>
      <c r="H561" s="21"/>
      <c r="I561" s="21"/>
      <c r="J561" s="21"/>
      <c r="K561" s="21"/>
      <c r="L561" s="21"/>
      <c r="M561" s="21"/>
      <c r="N561" s="21"/>
    </row>
    <row r="562">
      <c r="A562" s="21"/>
      <c r="B562" s="21"/>
      <c r="C562" s="21"/>
      <c r="D562" s="21"/>
      <c r="E562" s="21"/>
      <c r="F562" s="21"/>
      <c r="G562" s="21"/>
      <c r="H562" s="21"/>
      <c r="I562" s="21"/>
      <c r="J562" s="21"/>
      <c r="K562" s="21"/>
      <c r="L562" s="21"/>
      <c r="M562" s="21"/>
      <c r="N562" s="21"/>
    </row>
    <row r="563">
      <c r="A563" s="21"/>
      <c r="B563" s="21"/>
      <c r="C563" s="21"/>
      <c r="D563" s="21"/>
      <c r="E563" s="21"/>
      <c r="F563" s="21"/>
      <c r="G563" s="21"/>
      <c r="H563" s="21"/>
      <c r="I563" s="21"/>
      <c r="J563" s="21"/>
      <c r="K563" s="21"/>
      <c r="L563" s="21"/>
      <c r="M563" s="21"/>
      <c r="N563" s="21"/>
    </row>
    <row r="564">
      <c r="A564" s="21"/>
      <c r="B564" s="21"/>
      <c r="C564" s="21"/>
      <c r="D564" s="21"/>
      <c r="E564" s="21"/>
      <c r="F564" s="21"/>
      <c r="G564" s="21"/>
      <c r="H564" s="21"/>
      <c r="I564" s="21"/>
      <c r="J564" s="21"/>
      <c r="K564" s="21"/>
      <c r="L564" s="21"/>
      <c r="M564" s="21"/>
      <c r="N564" s="21"/>
    </row>
    <row r="565">
      <c r="A565" s="21"/>
      <c r="B565" s="21"/>
      <c r="C565" s="21"/>
      <c r="D565" s="21"/>
      <c r="E565" s="21"/>
      <c r="F565" s="21"/>
      <c r="G565" s="21"/>
      <c r="H565" s="21"/>
      <c r="I565" s="21"/>
      <c r="J565" s="21"/>
      <c r="K565" s="21"/>
      <c r="L565" s="21"/>
      <c r="M565" s="21"/>
      <c r="N565" s="21"/>
    </row>
    <row r="566">
      <c r="A566" s="21"/>
      <c r="B566" s="21"/>
      <c r="C566" s="21"/>
      <c r="D566" s="21"/>
      <c r="E566" s="21"/>
      <c r="F566" s="21"/>
      <c r="G566" s="21"/>
      <c r="H566" s="21"/>
      <c r="I566" s="21"/>
      <c r="J566" s="21"/>
      <c r="K566" s="21"/>
      <c r="L566" s="21"/>
      <c r="M566" s="21"/>
      <c r="N566" s="21"/>
    </row>
    <row r="567">
      <c r="A567" s="21"/>
      <c r="B567" s="21"/>
      <c r="C567" s="21"/>
      <c r="D567" s="21"/>
      <c r="E567" s="21"/>
      <c r="F567" s="21"/>
      <c r="G567" s="21"/>
      <c r="H567" s="21"/>
      <c r="I567" s="21"/>
      <c r="J567" s="21"/>
      <c r="K567" s="21"/>
      <c r="L567" s="21"/>
      <c r="M567" s="21"/>
      <c r="N567" s="21"/>
    </row>
    <row r="568">
      <c r="A568" s="21"/>
      <c r="B568" s="21"/>
      <c r="C568" s="21"/>
      <c r="D568" s="21"/>
      <c r="E568" s="21"/>
      <c r="F568" s="21"/>
      <c r="G568" s="21"/>
      <c r="H568" s="21"/>
      <c r="I568" s="21"/>
      <c r="J568" s="21"/>
      <c r="K568" s="21"/>
      <c r="L568" s="21"/>
      <c r="M568" s="21"/>
      <c r="N568" s="21"/>
    </row>
    <row r="569">
      <c r="A569" s="21"/>
      <c r="B569" s="21"/>
      <c r="C569" s="21"/>
      <c r="D569" s="21"/>
      <c r="E569" s="21"/>
      <c r="F569" s="21"/>
      <c r="G569" s="21"/>
      <c r="H569" s="21"/>
      <c r="I569" s="21"/>
      <c r="J569" s="21"/>
      <c r="K569" s="21"/>
      <c r="L569" s="21"/>
      <c r="M569" s="21"/>
      <c r="N569" s="21"/>
    </row>
    <row r="570">
      <c r="A570" s="21"/>
      <c r="B570" s="21"/>
      <c r="C570" s="21"/>
      <c r="D570" s="21"/>
      <c r="E570" s="21"/>
      <c r="F570" s="21"/>
      <c r="G570" s="21"/>
      <c r="H570" s="21"/>
      <c r="I570" s="21"/>
      <c r="J570" s="21"/>
      <c r="K570" s="21"/>
      <c r="L570" s="21"/>
      <c r="M570" s="21"/>
      <c r="N570" s="21"/>
    </row>
    <row r="571">
      <c r="A571" s="21"/>
      <c r="B571" s="21"/>
      <c r="C571" s="21"/>
      <c r="D571" s="21"/>
      <c r="E571" s="21"/>
      <c r="F571" s="21"/>
      <c r="G571" s="21"/>
      <c r="H571" s="21"/>
      <c r="I571" s="21"/>
      <c r="J571" s="21"/>
      <c r="K571" s="21"/>
      <c r="L571" s="21"/>
      <c r="M571" s="21"/>
      <c r="N571" s="21"/>
    </row>
    <row r="572">
      <c r="A572" s="21"/>
      <c r="B572" s="21"/>
      <c r="C572" s="21"/>
      <c r="D572" s="21"/>
      <c r="E572" s="21"/>
      <c r="F572" s="21"/>
      <c r="G572" s="21"/>
      <c r="H572" s="21"/>
      <c r="I572" s="21"/>
      <c r="J572" s="21"/>
      <c r="K572" s="21"/>
      <c r="L572" s="21"/>
      <c r="M572" s="21"/>
      <c r="N572" s="21"/>
    </row>
    <row r="573">
      <c r="A573" s="21"/>
      <c r="B573" s="21"/>
      <c r="C573" s="21"/>
      <c r="D573" s="21"/>
      <c r="E573" s="21"/>
      <c r="F573" s="21"/>
      <c r="G573" s="21"/>
      <c r="H573" s="21"/>
      <c r="I573" s="21"/>
      <c r="J573" s="21"/>
      <c r="K573" s="21"/>
      <c r="L573" s="21"/>
      <c r="M573" s="21"/>
      <c r="N573" s="21"/>
    </row>
    <row r="574">
      <c r="A574" s="21"/>
      <c r="B574" s="21"/>
      <c r="C574" s="21"/>
      <c r="D574" s="21"/>
      <c r="E574" s="21"/>
      <c r="F574" s="21"/>
      <c r="G574" s="21"/>
      <c r="H574" s="21"/>
      <c r="I574" s="21"/>
      <c r="J574" s="21"/>
      <c r="K574" s="21"/>
      <c r="L574" s="21"/>
      <c r="M574" s="21"/>
      <c r="N574" s="21"/>
    </row>
    <row r="575">
      <c r="A575" s="21"/>
      <c r="B575" s="21"/>
      <c r="C575" s="21"/>
      <c r="D575" s="21"/>
      <c r="E575" s="21"/>
      <c r="F575" s="21"/>
      <c r="G575" s="21"/>
      <c r="H575" s="21"/>
      <c r="I575" s="21"/>
      <c r="J575" s="21"/>
      <c r="K575" s="21"/>
      <c r="L575" s="21"/>
      <c r="M575" s="21"/>
      <c r="N575" s="21"/>
    </row>
    <row r="576">
      <c r="A576" s="21"/>
      <c r="B576" s="21"/>
      <c r="C576" s="21"/>
      <c r="D576" s="21"/>
      <c r="E576" s="21"/>
      <c r="F576" s="21"/>
      <c r="G576" s="21"/>
      <c r="H576" s="21"/>
      <c r="I576" s="21"/>
      <c r="J576" s="21"/>
      <c r="K576" s="21"/>
      <c r="L576" s="21"/>
      <c r="M576" s="21"/>
      <c r="N576" s="21"/>
    </row>
    <row r="577">
      <c r="A577" s="21"/>
      <c r="B577" s="21"/>
      <c r="C577" s="21"/>
      <c r="D577" s="21"/>
      <c r="E577" s="21"/>
      <c r="F577" s="21"/>
      <c r="G577" s="21"/>
      <c r="H577" s="21"/>
      <c r="I577" s="21"/>
      <c r="J577" s="21"/>
      <c r="K577" s="21"/>
      <c r="L577" s="21"/>
      <c r="M577" s="21"/>
      <c r="N577" s="21"/>
    </row>
    <row r="578">
      <c r="A578" s="21"/>
      <c r="B578" s="21"/>
      <c r="C578" s="21"/>
      <c r="D578" s="21"/>
      <c r="E578" s="21"/>
      <c r="F578" s="21"/>
      <c r="G578" s="21"/>
      <c r="H578" s="21"/>
      <c r="I578" s="21"/>
      <c r="J578" s="21"/>
      <c r="K578" s="21"/>
      <c r="L578" s="21"/>
      <c r="M578" s="21"/>
      <c r="N578" s="21"/>
    </row>
    <row r="579">
      <c r="A579" s="21"/>
      <c r="B579" s="21"/>
      <c r="C579" s="21"/>
      <c r="D579" s="21"/>
      <c r="E579" s="21"/>
      <c r="F579" s="21"/>
      <c r="G579" s="21"/>
      <c r="H579" s="21"/>
      <c r="I579" s="21"/>
      <c r="J579" s="21"/>
      <c r="K579" s="21"/>
      <c r="L579" s="21"/>
      <c r="M579" s="21"/>
      <c r="N579" s="21"/>
    </row>
    <row r="580">
      <c r="A580" s="21"/>
      <c r="B580" s="21"/>
      <c r="C580" s="21"/>
      <c r="D580" s="21"/>
      <c r="E580" s="21"/>
      <c r="F580" s="21"/>
      <c r="G580" s="21"/>
      <c r="H580" s="21"/>
      <c r="I580" s="21"/>
      <c r="J580" s="21"/>
      <c r="K580" s="21"/>
      <c r="L580" s="21"/>
      <c r="M580" s="21"/>
      <c r="N580" s="21"/>
    </row>
    <row r="581">
      <c r="A581" s="21"/>
      <c r="B581" s="21"/>
      <c r="C581" s="21"/>
      <c r="D581" s="21"/>
      <c r="E581" s="21"/>
      <c r="F581" s="21"/>
      <c r="G581" s="21"/>
      <c r="H581" s="21"/>
      <c r="I581" s="21"/>
      <c r="J581" s="21"/>
      <c r="K581" s="21"/>
      <c r="L581" s="21"/>
      <c r="M581" s="21"/>
      <c r="N581" s="21"/>
    </row>
    <row r="582">
      <c r="A582" s="21"/>
      <c r="B582" s="21"/>
      <c r="C582" s="21"/>
      <c r="D582" s="21"/>
      <c r="E582" s="21"/>
      <c r="F582" s="21"/>
      <c r="G582" s="21"/>
      <c r="H582" s="21"/>
      <c r="I582" s="21"/>
      <c r="J582" s="21"/>
      <c r="K582" s="21"/>
      <c r="L582" s="21"/>
      <c r="M582" s="21"/>
      <c r="N582" s="21"/>
    </row>
    <row r="583">
      <c r="A583" s="21"/>
      <c r="B583" s="21"/>
      <c r="C583" s="21"/>
      <c r="D583" s="21"/>
      <c r="E583" s="21"/>
      <c r="F583" s="21"/>
      <c r="G583" s="21"/>
      <c r="H583" s="21"/>
      <c r="I583" s="21"/>
      <c r="J583" s="21"/>
      <c r="K583" s="21"/>
      <c r="L583" s="21"/>
      <c r="M583" s="21"/>
      <c r="N583" s="21"/>
    </row>
    <row r="584">
      <c r="A584" s="21"/>
      <c r="B584" s="21"/>
      <c r="C584" s="21"/>
      <c r="D584" s="21"/>
      <c r="E584" s="21"/>
      <c r="F584" s="21"/>
      <c r="G584" s="21"/>
      <c r="H584" s="21"/>
      <c r="I584" s="21"/>
      <c r="J584" s="21"/>
      <c r="K584" s="21"/>
      <c r="L584" s="21"/>
      <c r="M584" s="21"/>
      <c r="N584" s="21"/>
    </row>
    <row r="585">
      <c r="A585" s="21"/>
      <c r="B585" s="21"/>
      <c r="C585" s="21"/>
      <c r="D585" s="21"/>
      <c r="E585" s="21"/>
      <c r="F585" s="21"/>
      <c r="G585" s="21"/>
      <c r="H585" s="21"/>
      <c r="I585" s="21"/>
      <c r="J585" s="21"/>
      <c r="K585" s="21"/>
      <c r="L585" s="21"/>
      <c r="M585" s="21"/>
      <c r="N585" s="21"/>
    </row>
    <row r="586">
      <c r="A586" s="21"/>
      <c r="B586" s="21"/>
      <c r="C586" s="21"/>
      <c r="D586" s="21"/>
      <c r="E586" s="21"/>
      <c r="F586" s="21"/>
      <c r="G586" s="21"/>
      <c r="H586" s="21"/>
      <c r="I586" s="21"/>
      <c r="J586" s="21"/>
      <c r="K586" s="21"/>
      <c r="L586" s="21"/>
      <c r="M586" s="21"/>
      <c r="N586" s="21"/>
    </row>
    <row r="587">
      <c r="A587" s="21"/>
      <c r="B587" s="21"/>
      <c r="C587" s="21"/>
      <c r="D587" s="21"/>
      <c r="E587" s="21"/>
      <c r="F587" s="21"/>
      <c r="G587" s="21"/>
      <c r="H587" s="21"/>
      <c r="I587" s="21"/>
      <c r="J587" s="21"/>
      <c r="K587" s="21"/>
      <c r="L587" s="21"/>
      <c r="M587" s="21"/>
      <c r="N587" s="21"/>
    </row>
    <row r="588">
      <c r="A588" s="21"/>
      <c r="B588" s="21"/>
      <c r="C588" s="21"/>
      <c r="D588" s="21"/>
      <c r="E588" s="21"/>
      <c r="F588" s="21"/>
      <c r="G588" s="21"/>
      <c r="H588" s="21"/>
      <c r="I588" s="21"/>
      <c r="J588" s="21"/>
      <c r="K588" s="21"/>
      <c r="L588" s="21"/>
      <c r="M588" s="21"/>
      <c r="N588" s="21"/>
    </row>
    <row r="589">
      <c r="A589" s="21"/>
      <c r="B589" s="21"/>
      <c r="C589" s="21"/>
      <c r="D589" s="21"/>
      <c r="E589" s="21"/>
      <c r="F589" s="21"/>
      <c r="G589" s="21"/>
      <c r="H589" s="21"/>
      <c r="I589" s="21"/>
      <c r="J589" s="21"/>
      <c r="K589" s="21"/>
      <c r="L589" s="21"/>
      <c r="M589" s="21"/>
      <c r="N589" s="21"/>
    </row>
    <row r="590">
      <c r="A590" s="21"/>
      <c r="B590" s="21"/>
      <c r="C590" s="21"/>
      <c r="D590" s="21"/>
      <c r="E590" s="21"/>
      <c r="F590" s="21"/>
      <c r="G590" s="21"/>
      <c r="H590" s="21"/>
      <c r="I590" s="21"/>
      <c r="J590" s="21"/>
      <c r="K590" s="21"/>
      <c r="L590" s="21"/>
      <c r="M590" s="21"/>
      <c r="N590" s="21"/>
    </row>
    <row r="591">
      <c r="A591" s="21"/>
      <c r="B591" s="21"/>
      <c r="C591" s="21"/>
      <c r="D591" s="21"/>
      <c r="E591" s="21"/>
      <c r="F591" s="21"/>
      <c r="G591" s="21"/>
      <c r="H591" s="21"/>
      <c r="I591" s="21"/>
      <c r="J591" s="21"/>
      <c r="K591" s="21"/>
      <c r="L591" s="21"/>
      <c r="M591" s="21"/>
      <c r="N591" s="21"/>
    </row>
    <row r="592">
      <c r="A592" s="21"/>
      <c r="B592" s="21"/>
      <c r="C592" s="21"/>
      <c r="D592" s="21"/>
      <c r="E592" s="21"/>
      <c r="F592" s="21"/>
      <c r="G592" s="21"/>
      <c r="H592" s="21"/>
      <c r="I592" s="21"/>
      <c r="J592" s="21"/>
      <c r="K592" s="21"/>
      <c r="L592" s="21"/>
      <c r="M592" s="21"/>
      <c r="N592" s="21"/>
    </row>
    <row r="593">
      <c r="A593" s="21"/>
      <c r="B593" s="21"/>
      <c r="C593" s="21"/>
      <c r="D593" s="21"/>
      <c r="E593" s="21"/>
      <c r="F593" s="21"/>
      <c r="G593" s="21"/>
      <c r="H593" s="21"/>
      <c r="I593" s="21"/>
      <c r="J593" s="21"/>
      <c r="K593" s="21"/>
      <c r="L593" s="21"/>
      <c r="M593" s="21"/>
      <c r="N593" s="21"/>
    </row>
    <row r="594">
      <c r="A594" s="21"/>
      <c r="B594" s="21"/>
      <c r="C594" s="21"/>
      <c r="D594" s="21"/>
      <c r="E594" s="21"/>
      <c r="F594" s="21"/>
      <c r="G594" s="21"/>
      <c r="H594" s="21"/>
      <c r="I594" s="21"/>
      <c r="J594" s="21"/>
      <c r="K594" s="21"/>
      <c r="L594" s="21"/>
      <c r="M594" s="21"/>
      <c r="N594" s="21"/>
    </row>
    <row r="595">
      <c r="A595" s="21"/>
      <c r="B595" s="21"/>
      <c r="C595" s="21"/>
      <c r="D595" s="21"/>
      <c r="E595" s="21"/>
      <c r="F595" s="21"/>
      <c r="G595" s="21"/>
      <c r="H595" s="21"/>
      <c r="I595" s="21"/>
      <c r="J595" s="21"/>
      <c r="K595" s="21"/>
      <c r="L595" s="21"/>
      <c r="M595" s="21"/>
      <c r="N595" s="21"/>
    </row>
    <row r="596">
      <c r="A596" s="21"/>
      <c r="B596" s="21"/>
      <c r="C596" s="21"/>
      <c r="D596" s="21"/>
      <c r="E596" s="21"/>
      <c r="F596" s="21"/>
      <c r="G596" s="21"/>
      <c r="H596" s="21"/>
      <c r="I596" s="21"/>
      <c r="J596" s="21"/>
      <c r="K596" s="21"/>
      <c r="L596" s="21"/>
      <c r="M596" s="21"/>
      <c r="N596" s="21"/>
    </row>
    <row r="597">
      <c r="A597" s="21"/>
      <c r="B597" s="21"/>
      <c r="C597" s="21"/>
      <c r="D597" s="21"/>
      <c r="E597" s="21"/>
      <c r="F597" s="21"/>
      <c r="G597" s="21"/>
      <c r="H597" s="21"/>
      <c r="I597" s="21"/>
      <c r="J597" s="21"/>
      <c r="K597" s="21"/>
      <c r="L597" s="21"/>
      <c r="M597" s="21"/>
      <c r="N597" s="21"/>
    </row>
    <row r="598">
      <c r="A598" s="21"/>
      <c r="B598" s="21"/>
      <c r="C598" s="21"/>
      <c r="D598" s="21"/>
      <c r="E598" s="21"/>
      <c r="F598" s="21"/>
      <c r="G598" s="21"/>
      <c r="H598" s="21"/>
      <c r="I598" s="21"/>
      <c r="J598" s="21"/>
      <c r="K598" s="21"/>
      <c r="L598" s="21"/>
      <c r="M598" s="21"/>
      <c r="N598" s="21"/>
    </row>
    <row r="599">
      <c r="A599" s="21"/>
      <c r="B599" s="21"/>
      <c r="C599" s="21"/>
      <c r="D599" s="21"/>
      <c r="E599" s="21"/>
      <c r="F599" s="21"/>
      <c r="G599" s="21"/>
      <c r="H599" s="21"/>
      <c r="I599" s="21"/>
      <c r="J599" s="21"/>
      <c r="K599" s="21"/>
      <c r="L599" s="21"/>
      <c r="M599" s="21"/>
      <c r="N599" s="21"/>
    </row>
    <row r="600">
      <c r="A600" s="21"/>
      <c r="B600" s="21"/>
      <c r="C600" s="21"/>
      <c r="D600" s="21"/>
      <c r="E600" s="21"/>
      <c r="F600" s="21"/>
      <c r="G600" s="21"/>
      <c r="H600" s="21"/>
      <c r="I600" s="21"/>
      <c r="J600" s="21"/>
      <c r="K600" s="21"/>
      <c r="L600" s="21"/>
      <c r="M600" s="21"/>
      <c r="N600" s="21"/>
    </row>
    <row r="601">
      <c r="A601" s="21"/>
      <c r="B601" s="21"/>
      <c r="C601" s="21"/>
      <c r="D601" s="21"/>
      <c r="E601" s="21"/>
      <c r="F601" s="21"/>
      <c r="G601" s="21"/>
      <c r="H601" s="21"/>
      <c r="I601" s="21"/>
      <c r="J601" s="21"/>
      <c r="K601" s="21"/>
      <c r="L601" s="21"/>
      <c r="M601" s="21"/>
      <c r="N601" s="21"/>
    </row>
    <row r="602">
      <c r="A602" s="21"/>
      <c r="B602" s="21"/>
      <c r="C602" s="21"/>
      <c r="D602" s="21"/>
      <c r="E602" s="21"/>
      <c r="F602" s="21"/>
      <c r="G602" s="21"/>
      <c r="H602" s="21"/>
      <c r="I602" s="21"/>
      <c r="J602" s="21"/>
      <c r="K602" s="21"/>
      <c r="L602" s="21"/>
      <c r="M602" s="21"/>
      <c r="N602" s="21"/>
    </row>
    <row r="603">
      <c r="A603" s="21"/>
      <c r="B603" s="21"/>
      <c r="C603" s="21"/>
      <c r="D603" s="21"/>
      <c r="E603" s="21"/>
      <c r="F603" s="21"/>
      <c r="G603" s="21"/>
      <c r="H603" s="21"/>
      <c r="I603" s="21"/>
      <c r="J603" s="21"/>
      <c r="K603" s="21"/>
      <c r="L603" s="21"/>
      <c r="M603" s="21"/>
      <c r="N603" s="21"/>
    </row>
    <row r="604">
      <c r="A604" s="21"/>
      <c r="B604" s="21"/>
      <c r="C604" s="21"/>
      <c r="D604" s="21"/>
      <c r="E604" s="21"/>
      <c r="F604" s="21"/>
      <c r="G604" s="21"/>
      <c r="H604" s="21"/>
      <c r="I604" s="21"/>
      <c r="J604" s="21"/>
      <c r="K604" s="21"/>
      <c r="L604" s="21"/>
      <c r="M604" s="21"/>
      <c r="N604" s="21"/>
    </row>
    <row r="605">
      <c r="A605" s="21"/>
      <c r="B605" s="21"/>
      <c r="C605" s="21"/>
      <c r="D605" s="21"/>
      <c r="E605" s="21"/>
      <c r="F605" s="21"/>
      <c r="G605" s="21"/>
      <c r="H605" s="21"/>
      <c r="I605" s="21"/>
      <c r="J605" s="21"/>
      <c r="K605" s="21"/>
      <c r="L605" s="21"/>
      <c r="M605" s="21"/>
      <c r="N605" s="21"/>
    </row>
    <row r="606">
      <c r="A606" s="21"/>
      <c r="B606" s="21"/>
      <c r="C606" s="21"/>
      <c r="D606" s="21"/>
      <c r="E606" s="21"/>
      <c r="F606" s="21"/>
      <c r="G606" s="21"/>
      <c r="H606" s="21"/>
      <c r="I606" s="21"/>
      <c r="J606" s="21"/>
      <c r="K606" s="21"/>
      <c r="L606" s="21"/>
      <c r="M606" s="21"/>
      <c r="N606" s="21"/>
    </row>
    <row r="607">
      <c r="A607" s="21"/>
      <c r="B607" s="21"/>
      <c r="C607" s="21"/>
      <c r="D607" s="21"/>
      <c r="E607" s="21"/>
      <c r="F607" s="21"/>
      <c r="G607" s="21"/>
      <c r="H607" s="21"/>
      <c r="I607" s="21"/>
      <c r="J607" s="21"/>
      <c r="K607" s="21"/>
      <c r="L607" s="21"/>
      <c r="M607" s="21"/>
      <c r="N607" s="21"/>
    </row>
    <row r="608">
      <c r="A608" s="21"/>
      <c r="B608" s="21"/>
      <c r="C608" s="21"/>
      <c r="D608" s="21"/>
      <c r="E608" s="21"/>
      <c r="F608" s="21"/>
      <c r="G608" s="21"/>
      <c r="H608" s="21"/>
      <c r="I608" s="21"/>
      <c r="J608" s="21"/>
      <c r="K608" s="21"/>
      <c r="L608" s="21"/>
      <c r="M608" s="21"/>
      <c r="N608" s="21"/>
    </row>
    <row r="609">
      <c r="A609" s="21"/>
      <c r="B609" s="21"/>
      <c r="C609" s="21"/>
      <c r="D609" s="21"/>
      <c r="E609" s="21"/>
      <c r="F609" s="21"/>
      <c r="G609" s="21"/>
      <c r="H609" s="21"/>
      <c r="I609" s="21"/>
      <c r="J609" s="21"/>
      <c r="K609" s="21"/>
      <c r="L609" s="21"/>
      <c r="M609" s="21"/>
      <c r="N609" s="21"/>
    </row>
    <row r="610">
      <c r="A610" s="21"/>
      <c r="B610" s="21"/>
      <c r="C610" s="21"/>
      <c r="D610" s="21"/>
      <c r="E610" s="21"/>
      <c r="F610" s="21"/>
      <c r="G610" s="21"/>
      <c r="H610" s="21"/>
      <c r="I610" s="21"/>
      <c r="J610" s="21"/>
      <c r="K610" s="21"/>
      <c r="L610" s="21"/>
      <c r="M610" s="21"/>
      <c r="N610" s="21"/>
    </row>
    <row r="611">
      <c r="A611" s="21"/>
      <c r="B611" s="21"/>
      <c r="C611" s="21"/>
      <c r="D611" s="21"/>
      <c r="E611" s="21"/>
      <c r="F611" s="21"/>
      <c r="G611" s="21"/>
      <c r="H611" s="21"/>
      <c r="I611" s="21"/>
      <c r="J611" s="21"/>
      <c r="K611" s="21"/>
      <c r="L611" s="21"/>
      <c r="M611" s="21"/>
      <c r="N611" s="21"/>
    </row>
    <row r="612">
      <c r="A612" s="21"/>
      <c r="B612" s="21"/>
      <c r="C612" s="21"/>
      <c r="D612" s="21"/>
      <c r="E612" s="21"/>
      <c r="F612" s="21"/>
      <c r="G612" s="21"/>
      <c r="H612" s="21"/>
      <c r="I612" s="21"/>
      <c r="J612" s="21"/>
      <c r="K612" s="21"/>
      <c r="L612" s="21"/>
      <c r="M612" s="21"/>
      <c r="N612" s="21"/>
    </row>
    <row r="613">
      <c r="A613" s="21"/>
      <c r="B613" s="21"/>
      <c r="C613" s="21"/>
      <c r="D613" s="21"/>
      <c r="E613" s="21"/>
      <c r="F613" s="21"/>
      <c r="G613" s="21"/>
      <c r="H613" s="21"/>
      <c r="I613" s="21"/>
      <c r="J613" s="21"/>
      <c r="K613" s="21"/>
      <c r="L613" s="21"/>
      <c r="M613" s="21"/>
      <c r="N613" s="21"/>
    </row>
    <row r="614">
      <c r="A614" s="21"/>
      <c r="B614" s="21"/>
      <c r="C614" s="21"/>
      <c r="D614" s="21"/>
      <c r="E614" s="21"/>
      <c r="F614" s="21"/>
      <c r="G614" s="21"/>
      <c r="H614" s="21"/>
      <c r="I614" s="21"/>
      <c r="J614" s="21"/>
      <c r="K614" s="21"/>
      <c r="L614" s="21"/>
      <c r="M614" s="21"/>
      <c r="N614" s="21"/>
    </row>
    <row r="615">
      <c r="A615" s="21"/>
      <c r="B615" s="21"/>
      <c r="C615" s="21"/>
      <c r="D615" s="21"/>
      <c r="E615" s="21"/>
      <c r="F615" s="21"/>
      <c r="G615" s="21"/>
      <c r="H615" s="21"/>
      <c r="I615" s="21"/>
      <c r="J615" s="21"/>
      <c r="K615" s="21"/>
      <c r="L615" s="21"/>
      <c r="M615" s="21"/>
      <c r="N615" s="21"/>
    </row>
    <row r="616">
      <c r="A616" s="21"/>
      <c r="B616" s="21"/>
      <c r="C616" s="21"/>
      <c r="D616" s="21"/>
      <c r="E616" s="21"/>
      <c r="F616" s="21"/>
      <c r="G616" s="21"/>
      <c r="H616" s="21"/>
      <c r="I616" s="21"/>
      <c r="J616" s="21"/>
      <c r="K616" s="21"/>
      <c r="L616" s="21"/>
      <c r="M616" s="21"/>
      <c r="N616" s="21"/>
    </row>
    <row r="617">
      <c r="A617" s="21"/>
      <c r="B617" s="21"/>
      <c r="C617" s="21"/>
      <c r="D617" s="21"/>
      <c r="E617" s="21"/>
      <c r="F617" s="21"/>
      <c r="G617" s="21"/>
      <c r="H617" s="21"/>
      <c r="I617" s="21"/>
      <c r="J617" s="21"/>
      <c r="K617" s="21"/>
      <c r="L617" s="21"/>
      <c r="M617" s="21"/>
      <c r="N617" s="21"/>
    </row>
    <row r="618">
      <c r="A618" s="21"/>
      <c r="B618" s="21"/>
      <c r="C618" s="21"/>
      <c r="D618" s="21"/>
      <c r="E618" s="21"/>
      <c r="F618" s="21"/>
      <c r="G618" s="21"/>
      <c r="H618" s="21"/>
      <c r="I618" s="21"/>
      <c r="J618" s="21"/>
      <c r="K618" s="21"/>
      <c r="L618" s="21"/>
      <c r="M618" s="21"/>
      <c r="N618" s="21"/>
    </row>
    <row r="619">
      <c r="A619" s="21"/>
      <c r="B619" s="21"/>
      <c r="C619" s="21"/>
      <c r="D619" s="21"/>
      <c r="E619" s="21"/>
      <c r="F619" s="21"/>
      <c r="G619" s="21"/>
      <c r="H619" s="21"/>
      <c r="I619" s="21"/>
      <c r="J619" s="21"/>
      <c r="K619" s="21"/>
      <c r="L619" s="21"/>
      <c r="M619" s="21"/>
      <c r="N619" s="21"/>
    </row>
    <row r="620">
      <c r="A620" s="21"/>
      <c r="B620" s="21"/>
      <c r="C620" s="21"/>
      <c r="D620" s="21"/>
      <c r="E620" s="21"/>
      <c r="F620" s="21"/>
      <c r="G620" s="21"/>
      <c r="H620" s="21"/>
      <c r="I620" s="21"/>
      <c r="J620" s="21"/>
      <c r="K620" s="21"/>
      <c r="L620" s="21"/>
      <c r="M620" s="21"/>
      <c r="N620" s="21"/>
    </row>
    <row r="621">
      <c r="A621" s="21"/>
      <c r="B621" s="21"/>
      <c r="C621" s="21"/>
      <c r="D621" s="21"/>
      <c r="E621" s="21"/>
      <c r="F621" s="21"/>
      <c r="G621" s="21"/>
      <c r="H621" s="21"/>
      <c r="I621" s="21"/>
      <c r="J621" s="21"/>
      <c r="K621" s="21"/>
      <c r="L621" s="21"/>
      <c r="M621" s="21"/>
      <c r="N621" s="21"/>
    </row>
    <row r="622">
      <c r="A622" s="21"/>
      <c r="B622" s="21"/>
      <c r="C622" s="21"/>
      <c r="D622" s="21"/>
      <c r="E622" s="21"/>
      <c r="F622" s="21"/>
      <c r="G622" s="21"/>
      <c r="H622" s="21"/>
      <c r="I622" s="21"/>
      <c r="J622" s="21"/>
      <c r="K622" s="21"/>
      <c r="L622" s="21"/>
      <c r="M622" s="21"/>
      <c r="N622" s="21"/>
    </row>
    <row r="623">
      <c r="A623" s="21"/>
      <c r="B623" s="21"/>
      <c r="C623" s="21"/>
      <c r="D623" s="21"/>
      <c r="E623" s="21"/>
      <c r="F623" s="21"/>
      <c r="G623" s="21"/>
      <c r="H623" s="21"/>
      <c r="I623" s="21"/>
      <c r="J623" s="21"/>
      <c r="K623" s="21"/>
      <c r="L623" s="21"/>
      <c r="M623" s="21"/>
      <c r="N623" s="21"/>
    </row>
    <row r="624">
      <c r="A624" s="21"/>
      <c r="B624" s="21"/>
      <c r="C624" s="21"/>
      <c r="D624" s="21"/>
      <c r="E624" s="21"/>
      <c r="F624" s="21"/>
      <c r="G624" s="21"/>
      <c r="H624" s="21"/>
      <c r="I624" s="21"/>
      <c r="J624" s="21"/>
      <c r="K624" s="21"/>
      <c r="L624" s="21"/>
      <c r="M624" s="21"/>
      <c r="N624" s="21"/>
    </row>
    <row r="625">
      <c r="A625" s="21"/>
      <c r="B625" s="21"/>
      <c r="C625" s="21"/>
      <c r="D625" s="21"/>
      <c r="E625" s="21"/>
      <c r="F625" s="21"/>
      <c r="G625" s="21"/>
      <c r="H625" s="21"/>
      <c r="I625" s="21"/>
      <c r="J625" s="21"/>
      <c r="K625" s="21"/>
      <c r="L625" s="21"/>
      <c r="M625" s="21"/>
      <c r="N625" s="21"/>
    </row>
    <row r="626">
      <c r="A626" s="21"/>
      <c r="B626" s="21"/>
      <c r="C626" s="21"/>
      <c r="D626" s="21"/>
      <c r="E626" s="21"/>
      <c r="F626" s="21"/>
      <c r="G626" s="21"/>
      <c r="H626" s="21"/>
      <c r="I626" s="21"/>
      <c r="J626" s="21"/>
      <c r="K626" s="21"/>
      <c r="L626" s="21"/>
      <c r="M626" s="21"/>
      <c r="N626" s="21"/>
    </row>
    <row r="627">
      <c r="A627" s="21"/>
      <c r="B627" s="21"/>
      <c r="C627" s="21"/>
      <c r="D627" s="21"/>
      <c r="E627" s="21"/>
      <c r="F627" s="21"/>
      <c r="G627" s="21"/>
      <c r="H627" s="21"/>
      <c r="I627" s="21"/>
      <c r="J627" s="21"/>
      <c r="K627" s="21"/>
      <c r="L627" s="21"/>
      <c r="M627" s="21"/>
      <c r="N627" s="21"/>
    </row>
    <row r="628">
      <c r="A628" s="21"/>
      <c r="B628" s="21"/>
      <c r="C628" s="21"/>
      <c r="D628" s="21"/>
      <c r="E628" s="21"/>
      <c r="F628" s="21"/>
      <c r="G628" s="21"/>
      <c r="H628" s="21"/>
      <c r="I628" s="21"/>
      <c r="J628" s="21"/>
      <c r="K628" s="21"/>
      <c r="L628" s="21"/>
      <c r="M628" s="21"/>
      <c r="N628" s="21"/>
    </row>
    <row r="629">
      <c r="A629" s="21"/>
      <c r="B629" s="21"/>
      <c r="C629" s="21"/>
      <c r="D629" s="21"/>
      <c r="E629" s="21"/>
      <c r="F629" s="21"/>
      <c r="G629" s="21"/>
      <c r="H629" s="21"/>
      <c r="I629" s="21"/>
      <c r="J629" s="21"/>
      <c r="K629" s="21"/>
      <c r="L629" s="21"/>
      <c r="M629" s="21"/>
      <c r="N629" s="21"/>
    </row>
    <row r="630">
      <c r="A630" s="21"/>
      <c r="B630" s="21"/>
      <c r="C630" s="21"/>
      <c r="D630" s="21"/>
      <c r="E630" s="21"/>
      <c r="F630" s="21"/>
      <c r="G630" s="21"/>
      <c r="H630" s="21"/>
      <c r="I630" s="21"/>
      <c r="J630" s="21"/>
      <c r="K630" s="21"/>
      <c r="L630" s="21"/>
      <c r="M630" s="21"/>
      <c r="N630" s="21"/>
    </row>
    <row r="631">
      <c r="A631" s="21"/>
      <c r="B631" s="21"/>
      <c r="C631" s="21"/>
      <c r="D631" s="21"/>
      <c r="E631" s="21"/>
      <c r="F631" s="21"/>
      <c r="G631" s="21"/>
      <c r="H631" s="21"/>
      <c r="I631" s="21"/>
      <c r="J631" s="21"/>
      <c r="K631" s="21"/>
      <c r="L631" s="21"/>
      <c r="M631" s="21"/>
      <c r="N631" s="21"/>
    </row>
    <row r="632">
      <c r="A632" s="21"/>
      <c r="B632" s="21"/>
      <c r="C632" s="21"/>
      <c r="D632" s="21"/>
      <c r="E632" s="21"/>
      <c r="F632" s="21"/>
      <c r="G632" s="21"/>
      <c r="H632" s="21"/>
      <c r="I632" s="21"/>
      <c r="J632" s="21"/>
      <c r="K632" s="21"/>
      <c r="L632" s="21"/>
      <c r="M632" s="21"/>
      <c r="N632" s="21"/>
    </row>
    <row r="633">
      <c r="A633" s="21"/>
      <c r="B633" s="21"/>
      <c r="C633" s="21"/>
      <c r="D633" s="21"/>
      <c r="E633" s="21"/>
      <c r="F633" s="21"/>
      <c r="G633" s="21"/>
      <c r="H633" s="21"/>
      <c r="I633" s="21"/>
      <c r="J633" s="21"/>
      <c r="K633" s="21"/>
      <c r="L633" s="21"/>
      <c r="M633" s="21"/>
      <c r="N633" s="21"/>
    </row>
    <row r="634">
      <c r="A634" s="21"/>
      <c r="B634" s="21"/>
      <c r="C634" s="21"/>
      <c r="D634" s="21"/>
      <c r="E634" s="21"/>
      <c r="F634" s="21"/>
      <c r="G634" s="21"/>
      <c r="H634" s="21"/>
      <c r="I634" s="21"/>
      <c r="J634" s="21"/>
      <c r="K634" s="21"/>
      <c r="L634" s="21"/>
      <c r="M634" s="21"/>
      <c r="N634" s="21"/>
    </row>
    <row r="635">
      <c r="A635" s="21"/>
      <c r="B635" s="21"/>
      <c r="C635" s="21"/>
      <c r="D635" s="21"/>
      <c r="E635" s="21"/>
      <c r="F635" s="21"/>
      <c r="G635" s="21"/>
      <c r="H635" s="21"/>
      <c r="I635" s="21"/>
      <c r="J635" s="21"/>
      <c r="K635" s="21"/>
      <c r="L635" s="21"/>
      <c r="M635" s="21"/>
      <c r="N635" s="21"/>
    </row>
    <row r="636">
      <c r="A636" s="21"/>
      <c r="B636" s="21"/>
      <c r="C636" s="21"/>
      <c r="D636" s="21"/>
      <c r="E636" s="21"/>
      <c r="F636" s="21"/>
      <c r="G636" s="21"/>
      <c r="H636" s="21"/>
      <c r="I636" s="21"/>
      <c r="J636" s="21"/>
      <c r="K636" s="21"/>
      <c r="L636" s="21"/>
      <c r="M636" s="21"/>
      <c r="N636" s="21"/>
    </row>
    <row r="637">
      <c r="A637" s="21"/>
      <c r="B637" s="21"/>
      <c r="C637" s="21"/>
      <c r="D637" s="21"/>
      <c r="E637" s="21"/>
      <c r="F637" s="21"/>
      <c r="G637" s="21"/>
      <c r="H637" s="21"/>
      <c r="I637" s="21"/>
      <c r="J637" s="21"/>
      <c r="K637" s="21"/>
      <c r="L637" s="21"/>
      <c r="M637" s="21"/>
      <c r="N637" s="21"/>
    </row>
    <row r="638">
      <c r="A638" s="21"/>
      <c r="B638" s="21"/>
      <c r="C638" s="21"/>
      <c r="D638" s="21"/>
      <c r="E638" s="21"/>
      <c r="F638" s="21"/>
      <c r="G638" s="21"/>
      <c r="H638" s="21"/>
      <c r="I638" s="21"/>
      <c r="J638" s="21"/>
      <c r="K638" s="21"/>
      <c r="L638" s="21"/>
      <c r="M638" s="21"/>
      <c r="N638" s="21"/>
    </row>
    <row r="639">
      <c r="A639" s="21"/>
      <c r="B639" s="21"/>
      <c r="C639" s="21"/>
      <c r="D639" s="21"/>
      <c r="E639" s="21"/>
      <c r="F639" s="21"/>
      <c r="G639" s="21"/>
      <c r="H639" s="21"/>
      <c r="I639" s="21"/>
      <c r="J639" s="21"/>
      <c r="K639" s="21"/>
      <c r="L639" s="21"/>
      <c r="M639" s="21"/>
      <c r="N639" s="21"/>
    </row>
    <row r="640">
      <c r="A640" s="21"/>
      <c r="B640" s="21"/>
      <c r="C640" s="21"/>
      <c r="D640" s="21"/>
      <c r="E640" s="21"/>
      <c r="F640" s="21"/>
      <c r="G640" s="21"/>
      <c r="H640" s="21"/>
      <c r="I640" s="21"/>
      <c r="J640" s="21"/>
      <c r="K640" s="21"/>
      <c r="L640" s="21"/>
      <c r="M640" s="21"/>
      <c r="N640" s="21"/>
    </row>
    <row r="641">
      <c r="A641" s="21"/>
      <c r="B641" s="21"/>
      <c r="C641" s="21"/>
      <c r="D641" s="21"/>
      <c r="E641" s="21"/>
      <c r="F641" s="21"/>
      <c r="G641" s="21"/>
      <c r="H641" s="21"/>
      <c r="I641" s="21"/>
      <c r="J641" s="21"/>
      <c r="K641" s="21"/>
      <c r="L641" s="21"/>
      <c r="M641" s="21"/>
      <c r="N641" s="21"/>
    </row>
    <row r="642">
      <c r="A642" s="21"/>
      <c r="B642" s="21"/>
      <c r="C642" s="21"/>
      <c r="D642" s="21"/>
      <c r="E642" s="21"/>
      <c r="F642" s="21"/>
      <c r="G642" s="21"/>
      <c r="H642" s="21"/>
      <c r="I642" s="21"/>
      <c r="J642" s="21"/>
      <c r="K642" s="21"/>
      <c r="L642" s="21"/>
      <c r="M642" s="21"/>
      <c r="N642" s="21"/>
    </row>
    <row r="643">
      <c r="A643" s="21"/>
      <c r="B643" s="21"/>
      <c r="C643" s="21"/>
      <c r="D643" s="21"/>
      <c r="E643" s="21"/>
      <c r="F643" s="21"/>
      <c r="G643" s="21"/>
      <c r="H643" s="21"/>
      <c r="I643" s="21"/>
      <c r="J643" s="21"/>
      <c r="K643" s="21"/>
      <c r="L643" s="21"/>
      <c r="M643" s="21"/>
      <c r="N643" s="21"/>
    </row>
    <row r="644">
      <c r="A644" s="21"/>
      <c r="B644" s="21"/>
      <c r="C644" s="21"/>
      <c r="D644" s="21"/>
      <c r="E644" s="21"/>
      <c r="F644" s="21"/>
      <c r="G644" s="21"/>
      <c r="H644" s="21"/>
      <c r="I644" s="21"/>
      <c r="J644" s="21"/>
      <c r="K644" s="21"/>
      <c r="L644" s="21"/>
      <c r="M644" s="21"/>
      <c r="N644" s="21"/>
    </row>
    <row r="645">
      <c r="A645" s="21"/>
      <c r="B645" s="21"/>
      <c r="C645" s="21"/>
      <c r="D645" s="21"/>
      <c r="E645" s="21"/>
      <c r="F645" s="21"/>
      <c r="G645" s="21"/>
      <c r="H645" s="21"/>
      <c r="I645" s="21"/>
      <c r="J645" s="21"/>
      <c r="K645" s="21"/>
      <c r="L645" s="21"/>
      <c r="M645" s="21"/>
      <c r="N645" s="21"/>
    </row>
    <row r="646">
      <c r="A646" s="21"/>
      <c r="B646" s="21"/>
      <c r="C646" s="21"/>
      <c r="D646" s="21"/>
      <c r="E646" s="21"/>
      <c r="F646" s="21"/>
      <c r="G646" s="21"/>
      <c r="H646" s="21"/>
      <c r="I646" s="21"/>
      <c r="J646" s="21"/>
      <c r="K646" s="21"/>
      <c r="L646" s="21"/>
      <c r="M646" s="21"/>
      <c r="N646" s="21"/>
    </row>
    <row r="647">
      <c r="A647" s="21"/>
      <c r="B647" s="21"/>
      <c r="C647" s="21"/>
      <c r="D647" s="21"/>
      <c r="E647" s="21"/>
      <c r="F647" s="21"/>
      <c r="G647" s="21"/>
      <c r="H647" s="21"/>
      <c r="I647" s="21"/>
      <c r="J647" s="21"/>
      <c r="K647" s="21"/>
      <c r="L647" s="21"/>
      <c r="M647" s="21"/>
      <c r="N647" s="21"/>
    </row>
    <row r="648">
      <c r="A648" s="21"/>
      <c r="B648" s="21"/>
      <c r="C648" s="21"/>
      <c r="D648" s="21"/>
      <c r="E648" s="21"/>
      <c r="F648" s="21"/>
      <c r="G648" s="21"/>
      <c r="H648" s="21"/>
      <c r="I648" s="21"/>
      <c r="J648" s="21"/>
      <c r="K648" s="21"/>
      <c r="L648" s="21"/>
      <c r="M648" s="21"/>
      <c r="N648" s="21"/>
    </row>
    <row r="649">
      <c r="A649" s="21"/>
      <c r="B649" s="21"/>
      <c r="C649" s="21"/>
      <c r="D649" s="21"/>
      <c r="E649" s="21"/>
      <c r="F649" s="21"/>
      <c r="G649" s="21"/>
      <c r="H649" s="21"/>
      <c r="I649" s="21"/>
      <c r="J649" s="21"/>
      <c r="K649" s="21"/>
      <c r="L649" s="21"/>
      <c r="M649" s="21"/>
      <c r="N649" s="21"/>
    </row>
    <row r="650">
      <c r="A650" s="21"/>
      <c r="B650" s="21"/>
      <c r="C650" s="21"/>
      <c r="D650" s="21"/>
      <c r="E650" s="21"/>
      <c r="F650" s="21"/>
      <c r="G650" s="21"/>
      <c r="H650" s="21"/>
      <c r="I650" s="21"/>
      <c r="J650" s="21"/>
      <c r="K650" s="21"/>
      <c r="L650" s="21"/>
      <c r="M650" s="21"/>
      <c r="N650" s="21"/>
    </row>
    <row r="651">
      <c r="A651" s="21"/>
      <c r="B651" s="21"/>
      <c r="C651" s="21"/>
      <c r="D651" s="21"/>
      <c r="E651" s="21"/>
      <c r="F651" s="21"/>
      <c r="G651" s="21"/>
      <c r="H651" s="21"/>
      <c r="I651" s="21"/>
      <c r="J651" s="21"/>
      <c r="K651" s="21"/>
      <c r="L651" s="21"/>
      <c r="M651" s="21"/>
      <c r="N651" s="21"/>
    </row>
    <row r="652">
      <c r="A652" s="21"/>
      <c r="B652" s="21"/>
      <c r="C652" s="21"/>
      <c r="D652" s="21"/>
      <c r="E652" s="21"/>
      <c r="F652" s="21"/>
      <c r="G652" s="21"/>
      <c r="H652" s="21"/>
      <c r="I652" s="21"/>
      <c r="J652" s="21"/>
      <c r="K652" s="21"/>
      <c r="L652" s="21"/>
      <c r="M652" s="21"/>
      <c r="N652" s="21"/>
    </row>
    <row r="653">
      <c r="A653" s="21"/>
      <c r="B653" s="21"/>
      <c r="C653" s="21"/>
      <c r="D653" s="21"/>
      <c r="E653" s="21"/>
      <c r="F653" s="21"/>
      <c r="G653" s="21"/>
      <c r="H653" s="21"/>
      <c r="I653" s="21"/>
      <c r="J653" s="21"/>
      <c r="K653" s="21"/>
      <c r="L653" s="21"/>
      <c r="M653" s="21"/>
      <c r="N653" s="21"/>
    </row>
    <row r="654">
      <c r="A654" s="21"/>
      <c r="B654" s="21"/>
      <c r="C654" s="21"/>
      <c r="D654" s="21"/>
      <c r="E654" s="21"/>
      <c r="F654" s="21"/>
      <c r="G654" s="21"/>
      <c r="H654" s="21"/>
      <c r="I654" s="21"/>
      <c r="J654" s="21"/>
      <c r="K654" s="21"/>
      <c r="L654" s="21"/>
      <c r="M654" s="21"/>
      <c r="N654" s="21"/>
    </row>
    <row r="655">
      <c r="A655" s="21"/>
      <c r="B655" s="21"/>
      <c r="C655" s="21"/>
      <c r="D655" s="21"/>
      <c r="E655" s="21"/>
      <c r="F655" s="21"/>
      <c r="G655" s="21"/>
      <c r="H655" s="21"/>
      <c r="I655" s="21"/>
      <c r="J655" s="21"/>
      <c r="K655" s="21"/>
      <c r="L655" s="21"/>
      <c r="M655" s="21"/>
      <c r="N655" s="21"/>
    </row>
    <row r="656">
      <c r="A656" s="21"/>
      <c r="B656" s="21"/>
      <c r="C656" s="21"/>
      <c r="D656" s="21"/>
      <c r="E656" s="21"/>
      <c r="F656" s="21"/>
      <c r="G656" s="21"/>
      <c r="H656" s="21"/>
      <c r="I656" s="21"/>
      <c r="J656" s="21"/>
      <c r="K656" s="21"/>
      <c r="L656" s="21"/>
      <c r="M656" s="21"/>
      <c r="N656" s="21"/>
    </row>
    <row r="657">
      <c r="A657" s="21"/>
      <c r="B657" s="21"/>
      <c r="C657" s="21"/>
      <c r="D657" s="21"/>
      <c r="E657" s="21"/>
      <c r="F657" s="21"/>
      <c r="G657" s="21"/>
      <c r="H657" s="21"/>
      <c r="I657" s="21"/>
      <c r="J657" s="21"/>
      <c r="K657" s="21"/>
      <c r="L657" s="21"/>
      <c r="M657" s="21"/>
      <c r="N657" s="21"/>
    </row>
    <row r="658">
      <c r="A658" s="21"/>
      <c r="B658" s="21"/>
      <c r="C658" s="21"/>
      <c r="D658" s="21"/>
      <c r="E658" s="21"/>
      <c r="F658" s="21"/>
      <c r="G658" s="21"/>
      <c r="H658" s="21"/>
      <c r="I658" s="21"/>
      <c r="J658" s="21"/>
      <c r="K658" s="21"/>
      <c r="L658" s="21"/>
      <c r="M658" s="21"/>
      <c r="N658" s="21"/>
    </row>
    <row r="659">
      <c r="A659" s="21"/>
      <c r="B659" s="21"/>
      <c r="C659" s="21"/>
      <c r="D659" s="21"/>
      <c r="E659" s="21"/>
      <c r="F659" s="21"/>
      <c r="G659" s="21"/>
      <c r="H659" s="21"/>
      <c r="I659" s="21"/>
      <c r="J659" s="21"/>
      <c r="K659" s="21"/>
      <c r="L659" s="21"/>
      <c r="M659" s="21"/>
      <c r="N659" s="21"/>
    </row>
    <row r="660">
      <c r="A660" s="21"/>
      <c r="B660" s="21"/>
      <c r="C660" s="21"/>
      <c r="D660" s="21"/>
      <c r="E660" s="21"/>
      <c r="F660" s="21"/>
      <c r="G660" s="21"/>
      <c r="H660" s="21"/>
      <c r="I660" s="21"/>
      <c r="J660" s="21"/>
      <c r="K660" s="21"/>
      <c r="L660" s="21"/>
      <c r="M660" s="21"/>
      <c r="N660" s="21"/>
    </row>
    <row r="661">
      <c r="A661" s="21"/>
      <c r="B661" s="21"/>
      <c r="C661" s="21"/>
      <c r="D661" s="21"/>
      <c r="E661" s="21"/>
      <c r="F661" s="21"/>
      <c r="G661" s="21"/>
      <c r="H661" s="21"/>
      <c r="I661" s="21"/>
      <c r="J661" s="21"/>
      <c r="K661" s="21"/>
      <c r="L661" s="21"/>
      <c r="M661" s="21"/>
      <c r="N661" s="21"/>
    </row>
    <row r="662">
      <c r="A662" s="21"/>
      <c r="B662" s="21"/>
      <c r="C662" s="21"/>
      <c r="D662" s="21"/>
      <c r="E662" s="21"/>
      <c r="F662" s="21"/>
      <c r="G662" s="21"/>
      <c r="H662" s="21"/>
      <c r="I662" s="21"/>
      <c r="J662" s="21"/>
      <c r="K662" s="21"/>
      <c r="L662" s="21"/>
      <c r="M662" s="21"/>
      <c r="N662" s="21"/>
    </row>
    <row r="663">
      <c r="A663" s="21"/>
      <c r="B663" s="21"/>
      <c r="C663" s="21"/>
      <c r="D663" s="21"/>
      <c r="E663" s="21"/>
      <c r="F663" s="21"/>
      <c r="G663" s="21"/>
      <c r="H663" s="21"/>
      <c r="I663" s="21"/>
      <c r="J663" s="21"/>
      <c r="K663" s="21"/>
      <c r="L663" s="21"/>
      <c r="M663" s="21"/>
      <c r="N663" s="21"/>
    </row>
    <row r="664">
      <c r="A664" s="21"/>
      <c r="B664" s="21"/>
      <c r="C664" s="21"/>
      <c r="D664" s="21"/>
      <c r="E664" s="21"/>
      <c r="F664" s="21"/>
      <c r="G664" s="21"/>
      <c r="H664" s="21"/>
      <c r="I664" s="21"/>
      <c r="J664" s="21"/>
      <c r="K664" s="21"/>
      <c r="L664" s="21"/>
      <c r="M664" s="21"/>
      <c r="N664" s="21"/>
    </row>
    <row r="665">
      <c r="A665" s="21"/>
      <c r="B665" s="21"/>
      <c r="C665" s="21"/>
      <c r="D665" s="21"/>
      <c r="E665" s="21"/>
      <c r="F665" s="21"/>
      <c r="G665" s="21"/>
      <c r="H665" s="21"/>
      <c r="I665" s="21"/>
      <c r="J665" s="21"/>
      <c r="K665" s="21"/>
      <c r="L665" s="21"/>
      <c r="M665" s="21"/>
      <c r="N665" s="21"/>
    </row>
    <row r="666">
      <c r="A666" s="21"/>
      <c r="B666" s="21"/>
      <c r="C666" s="21"/>
      <c r="D666" s="21"/>
      <c r="E666" s="21"/>
      <c r="F666" s="21"/>
      <c r="G666" s="21"/>
      <c r="H666" s="21"/>
      <c r="I666" s="21"/>
      <c r="J666" s="21"/>
      <c r="K666" s="21"/>
      <c r="L666" s="21"/>
      <c r="M666" s="21"/>
      <c r="N666" s="21"/>
    </row>
    <row r="667">
      <c r="A667" s="21"/>
      <c r="B667" s="21"/>
      <c r="C667" s="21"/>
      <c r="D667" s="21"/>
      <c r="E667" s="21"/>
      <c r="F667" s="21"/>
      <c r="G667" s="21"/>
      <c r="H667" s="21"/>
      <c r="I667" s="21"/>
      <c r="J667" s="21"/>
      <c r="K667" s="21"/>
      <c r="L667" s="21"/>
      <c r="M667" s="21"/>
      <c r="N667" s="21"/>
    </row>
    <row r="668">
      <c r="A668" s="21"/>
      <c r="B668" s="21"/>
      <c r="C668" s="21"/>
      <c r="D668" s="21"/>
      <c r="E668" s="21"/>
      <c r="F668" s="21"/>
      <c r="G668" s="21"/>
      <c r="H668" s="21"/>
      <c r="I668" s="21"/>
      <c r="J668" s="21"/>
      <c r="K668" s="21"/>
      <c r="L668" s="21"/>
      <c r="M668" s="21"/>
      <c r="N668" s="21"/>
    </row>
    <row r="669">
      <c r="A669" s="21"/>
      <c r="B669" s="21"/>
      <c r="C669" s="21"/>
      <c r="D669" s="21"/>
      <c r="E669" s="21"/>
      <c r="F669" s="21"/>
      <c r="G669" s="21"/>
      <c r="H669" s="21"/>
      <c r="I669" s="21"/>
      <c r="J669" s="21"/>
      <c r="K669" s="21"/>
      <c r="L669" s="21"/>
      <c r="M669" s="21"/>
      <c r="N669" s="21"/>
    </row>
    <row r="670">
      <c r="A670" s="21"/>
      <c r="B670" s="21"/>
      <c r="C670" s="21"/>
      <c r="D670" s="21"/>
      <c r="E670" s="21"/>
      <c r="F670" s="21"/>
      <c r="G670" s="21"/>
      <c r="H670" s="21"/>
      <c r="I670" s="21"/>
      <c r="J670" s="21"/>
      <c r="K670" s="21"/>
      <c r="L670" s="21"/>
      <c r="M670" s="21"/>
      <c r="N670" s="21"/>
    </row>
    <row r="671">
      <c r="A671" s="21"/>
      <c r="B671" s="21"/>
      <c r="C671" s="21"/>
      <c r="D671" s="21"/>
      <c r="E671" s="21"/>
      <c r="F671" s="21"/>
      <c r="G671" s="21"/>
      <c r="H671" s="21"/>
      <c r="I671" s="21"/>
      <c r="J671" s="21"/>
      <c r="K671" s="21"/>
      <c r="L671" s="21"/>
      <c r="M671" s="21"/>
      <c r="N671" s="21"/>
    </row>
    <row r="672">
      <c r="A672" s="21"/>
      <c r="B672" s="21"/>
      <c r="C672" s="21"/>
      <c r="D672" s="21"/>
      <c r="E672" s="21"/>
      <c r="F672" s="21"/>
      <c r="G672" s="21"/>
      <c r="H672" s="21"/>
      <c r="I672" s="21"/>
      <c r="J672" s="21"/>
      <c r="K672" s="21"/>
      <c r="L672" s="21"/>
      <c r="M672" s="21"/>
      <c r="N672" s="21"/>
    </row>
    <row r="673">
      <c r="A673" s="21"/>
      <c r="B673" s="21"/>
      <c r="C673" s="21"/>
      <c r="D673" s="21"/>
      <c r="E673" s="21"/>
      <c r="F673" s="21"/>
      <c r="G673" s="21"/>
      <c r="H673" s="21"/>
      <c r="I673" s="21"/>
      <c r="J673" s="21"/>
      <c r="K673" s="21"/>
      <c r="L673" s="21"/>
      <c r="M673" s="21"/>
      <c r="N673" s="21"/>
    </row>
    <row r="674">
      <c r="A674" s="21"/>
      <c r="B674" s="21"/>
      <c r="C674" s="21"/>
      <c r="D674" s="21"/>
      <c r="E674" s="21"/>
      <c r="F674" s="21"/>
      <c r="G674" s="21"/>
      <c r="H674" s="21"/>
      <c r="I674" s="21"/>
      <c r="J674" s="21"/>
      <c r="K674" s="21"/>
      <c r="L674" s="21"/>
      <c r="M674" s="21"/>
      <c r="N674" s="21"/>
    </row>
    <row r="675">
      <c r="A675" s="21"/>
      <c r="B675" s="21"/>
      <c r="C675" s="21"/>
      <c r="D675" s="21"/>
      <c r="E675" s="21"/>
      <c r="F675" s="21"/>
      <c r="G675" s="21"/>
      <c r="H675" s="21"/>
      <c r="I675" s="21"/>
      <c r="J675" s="21"/>
      <c r="K675" s="21"/>
      <c r="L675" s="21"/>
      <c r="M675" s="21"/>
      <c r="N675" s="21"/>
    </row>
    <row r="676">
      <c r="A676" s="21"/>
      <c r="B676" s="21"/>
      <c r="C676" s="21"/>
      <c r="D676" s="21"/>
      <c r="E676" s="21"/>
      <c r="F676" s="21"/>
      <c r="G676" s="21"/>
      <c r="H676" s="21"/>
      <c r="I676" s="21"/>
      <c r="J676" s="21"/>
      <c r="K676" s="21"/>
      <c r="L676" s="21"/>
      <c r="M676" s="21"/>
      <c r="N676" s="21"/>
    </row>
    <row r="677">
      <c r="A677" s="21"/>
      <c r="B677" s="21"/>
      <c r="C677" s="21"/>
      <c r="D677" s="21"/>
      <c r="E677" s="21"/>
      <c r="F677" s="21"/>
      <c r="G677" s="21"/>
      <c r="H677" s="21"/>
      <c r="I677" s="21"/>
      <c r="J677" s="21"/>
      <c r="K677" s="21"/>
      <c r="L677" s="21"/>
      <c r="M677" s="21"/>
      <c r="N677" s="21"/>
    </row>
    <row r="678">
      <c r="A678" s="21"/>
      <c r="B678" s="21"/>
      <c r="C678" s="21"/>
      <c r="D678" s="21"/>
      <c r="E678" s="21"/>
      <c r="F678" s="21"/>
      <c r="G678" s="21"/>
      <c r="H678" s="21"/>
      <c r="I678" s="21"/>
      <c r="J678" s="21"/>
      <c r="K678" s="21"/>
      <c r="L678" s="21"/>
      <c r="M678" s="21"/>
      <c r="N678" s="21"/>
    </row>
    <row r="679">
      <c r="A679" s="21"/>
      <c r="B679" s="21"/>
      <c r="C679" s="21"/>
      <c r="D679" s="21"/>
      <c r="E679" s="21"/>
      <c r="F679" s="21"/>
      <c r="G679" s="21"/>
      <c r="H679" s="21"/>
      <c r="I679" s="21"/>
      <c r="J679" s="21"/>
      <c r="K679" s="21"/>
      <c r="L679" s="21"/>
      <c r="M679" s="21"/>
      <c r="N679" s="21"/>
    </row>
    <row r="680">
      <c r="A680" s="21"/>
      <c r="B680" s="21"/>
      <c r="C680" s="21"/>
      <c r="D680" s="21"/>
      <c r="E680" s="21"/>
      <c r="F680" s="21"/>
      <c r="G680" s="21"/>
      <c r="H680" s="21"/>
      <c r="I680" s="21"/>
      <c r="J680" s="21"/>
      <c r="K680" s="21"/>
      <c r="L680" s="21"/>
      <c r="M680" s="21"/>
      <c r="N680" s="21"/>
    </row>
    <row r="681">
      <c r="A681" s="21"/>
      <c r="B681" s="21"/>
      <c r="C681" s="21"/>
      <c r="D681" s="21"/>
      <c r="E681" s="21"/>
      <c r="F681" s="21"/>
      <c r="G681" s="21"/>
      <c r="H681" s="21"/>
      <c r="I681" s="21"/>
      <c r="J681" s="21"/>
      <c r="K681" s="21"/>
      <c r="L681" s="21"/>
      <c r="M681" s="21"/>
      <c r="N681" s="21"/>
    </row>
    <row r="682">
      <c r="A682" s="21"/>
      <c r="B682" s="21"/>
      <c r="C682" s="21"/>
      <c r="D682" s="21"/>
      <c r="E682" s="21"/>
      <c r="F682" s="21"/>
      <c r="G682" s="21"/>
      <c r="H682" s="21"/>
      <c r="I682" s="21"/>
      <c r="J682" s="21"/>
      <c r="K682" s="21"/>
      <c r="L682" s="21"/>
      <c r="M682" s="21"/>
      <c r="N682" s="21"/>
    </row>
    <row r="683">
      <c r="A683" s="21"/>
      <c r="B683" s="21"/>
      <c r="C683" s="21"/>
      <c r="D683" s="21"/>
      <c r="E683" s="21"/>
      <c r="F683" s="21"/>
      <c r="G683" s="21"/>
      <c r="H683" s="21"/>
      <c r="I683" s="21"/>
      <c r="J683" s="21"/>
      <c r="K683" s="21"/>
      <c r="L683" s="21"/>
      <c r="M683" s="21"/>
      <c r="N683" s="21"/>
    </row>
    <row r="684">
      <c r="A684" s="21"/>
      <c r="B684" s="21"/>
      <c r="C684" s="21"/>
      <c r="D684" s="21"/>
      <c r="E684" s="21"/>
      <c r="F684" s="21"/>
      <c r="G684" s="21"/>
      <c r="H684" s="21"/>
      <c r="I684" s="21"/>
      <c r="J684" s="21"/>
      <c r="K684" s="21"/>
      <c r="L684" s="21"/>
      <c r="M684" s="21"/>
      <c r="N684" s="21"/>
    </row>
    <row r="685">
      <c r="A685" s="21"/>
      <c r="B685" s="21"/>
      <c r="C685" s="21"/>
      <c r="D685" s="21"/>
      <c r="E685" s="21"/>
      <c r="F685" s="21"/>
      <c r="G685" s="21"/>
      <c r="H685" s="21"/>
      <c r="I685" s="21"/>
      <c r="J685" s="21"/>
      <c r="K685" s="21"/>
      <c r="L685" s="21"/>
      <c r="M685" s="21"/>
      <c r="N685" s="21"/>
    </row>
    <row r="686">
      <c r="A686" s="21"/>
      <c r="B686" s="21"/>
      <c r="C686" s="21"/>
      <c r="D686" s="21"/>
      <c r="E686" s="21"/>
      <c r="F686" s="21"/>
      <c r="G686" s="21"/>
      <c r="H686" s="21"/>
      <c r="I686" s="21"/>
      <c r="J686" s="21"/>
      <c r="K686" s="21"/>
      <c r="L686" s="21"/>
      <c r="M686" s="21"/>
      <c r="N686" s="21"/>
    </row>
    <row r="687">
      <c r="A687" s="21"/>
      <c r="B687" s="21"/>
      <c r="C687" s="21"/>
      <c r="D687" s="21"/>
      <c r="E687" s="21"/>
      <c r="F687" s="21"/>
      <c r="G687" s="21"/>
      <c r="H687" s="21"/>
      <c r="I687" s="21"/>
      <c r="J687" s="21"/>
      <c r="K687" s="21"/>
      <c r="L687" s="21"/>
      <c r="M687" s="21"/>
      <c r="N687" s="21"/>
    </row>
    <row r="688">
      <c r="A688" s="21"/>
      <c r="B688" s="21"/>
      <c r="C688" s="21"/>
      <c r="D688" s="21"/>
      <c r="E688" s="21"/>
      <c r="F688" s="21"/>
      <c r="G688" s="21"/>
      <c r="H688" s="21"/>
      <c r="I688" s="21"/>
      <c r="J688" s="21"/>
      <c r="K688" s="21"/>
      <c r="L688" s="21"/>
      <c r="M688" s="21"/>
      <c r="N688" s="21"/>
    </row>
    <row r="689">
      <c r="A689" s="21"/>
      <c r="B689" s="21"/>
      <c r="C689" s="21"/>
      <c r="D689" s="21"/>
      <c r="E689" s="21"/>
      <c r="F689" s="21"/>
      <c r="G689" s="21"/>
      <c r="H689" s="21"/>
      <c r="I689" s="21"/>
      <c r="J689" s="21"/>
      <c r="K689" s="21"/>
      <c r="L689" s="21"/>
      <c r="M689" s="21"/>
      <c r="N689" s="21"/>
    </row>
    <row r="690">
      <c r="A690" s="21"/>
      <c r="B690" s="21"/>
      <c r="C690" s="21"/>
      <c r="D690" s="21"/>
      <c r="E690" s="21"/>
      <c r="F690" s="21"/>
      <c r="G690" s="21"/>
      <c r="H690" s="21"/>
      <c r="I690" s="21"/>
      <c r="J690" s="21"/>
      <c r="K690" s="21"/>
      <c r="L690" s="21"/>
      <c r="M690" s="21"/>
      <c r="N690" s="21"/>
    </row>
    <row r="691">
      <c r="A691" s="21"/>
      <c r="B691" s="21"/>
      <c r="C691" s="21"/>
      <c r="D691" s="21"/>
      <c r="E691" s="21"/>
      <c r="F691" s="21"/>
      <c r="G691" s="21"/>
      <c r="H691" s="21"/>
      <c r="I691" s="21"/>
      <c r="J691" s="21"/>
      <c r="K691" s="21"/>
      <c r="L691" s="21"/>
      <c r="M691" s="21"/>
      <c r="N691" s="21"/>
    </row>
    <row r="692">
      <c r="A692" s="21"/>
      <c r="B692" s="21"/>
      <c r="C692" s="21"/>
      <c r="D692" s="21"/>
      <c r="E692" s="21"/>
      <c r="F692" s="21"/>
      <c r="G692" s="21"/>
      <c r="H692" s="21"/>
      <c r="I692" s="21"/>
      <c r="J692" s="21"/>
      <c r="K692" s="21"/>
      <c r="L692" s="21"/>
      <c r="M692" s="21"/>
      <c r="N692" s="21"/>
    </row>
    <row r="693">
      <c r="A693" s="21"/>
      <c r="B693" s="21"/>
      <c r="C693" s="21"/>
      <c r="D693" s="21"/>
      <c r="E693" s="21"/>
      <c r="F693" s="21"/>
      <c r="G693" s="21"/>
      <c r="H693" s="21"/>
      <c r="I693" s="21"/>
      <c r="J693" s="21"/>
      <c r="K693" s="21"/>
      <c r="L693" s="21"/>
      <c r="M693" s="21"/>
      <c r="N693" s="21"/>
    </row>
    <row r="694">
      <c r="A694" s="21"/>
      <c r="B694" s="21"/>
      <c r="C694" s="21"/>
      <c r="D694" s="21"/>
      <c r="E694" s="21"/>
      <c r="F694" s="21"/>
      <c r="G694" s="21"/>
      <c r="H694" s="21"/>
      <c r="I694" s="21"/>
      <c r="J694" s="21"/>
      <c r="K694" s="21"/>
      <c r="L694" s="21"/>
      <c r="M694" s="21"/>
      <c r="N694" s="21"/>
    </row>
    <row r="695">
      <c r="A695" s="21"/>
      <c r="B695" s="21"/>
      <c r="C695" s="21"/>
      <c r="D695" s="21"/>
      <c r="E695" s="21"/>
      <c r="F695" s="21"/>
      <c r="G695" s="21"/>
      <c r="H695" s="21"/>
      <c r="I695" s="21"/>
      <c r="J695" s="21"/>
      <c r="K695" s="21"/>
      <c r="L695" s="21"/>
      <c r="M695" s="21"/>
      <c r="N695" s="21"/>
    </row>
    <row r="696">
      <c r="A696" s="21"/>
      <c r="B696" s="21"/>
      <c r="C696" s="21"/>
      <c r="D696" s="21"/>
      <c r="E696" s="21"/>
      <c r="F696" s="21"/>
      <c r="G696" s="21"/>
      <c r="H696" s="21"/>
      <c r="I696" s="21"/>
      <c r="J696" s="21"/>
      <c r="K696" s="21"/>
      <c r="L696" s="21"/>
      <c r="M696" s="21"/>
      <c r="N696" s="21"/>
    </row>
    <row r="697">
      <c r="A697" s="21"/>
      <c r="B697" s="21"/>
      <c r="C697" s="21"/>
      <c r="D697" s="21"/>
      <c r="E697" s="21"/>
      <c r="F697" s="21"/>
      <c r="G697" s="21"/>
      <c r="H697" s="21"/>
      <c r="I697" s="21"/>
      <c r="J697" s="21"/>
      <c r="K697" s="21"/>
      <c r="L697" s="21"/>
      <c r="M697" s="21"/>
      <c r="N697" s="21"/>
    </row>
    <row r="698">
      <c r="A698" s="21"/>
      <c r="B698" s="21"/>
      <c r="C698" s="21"/>
      <c r="D698" s="21"/>
      <c r="E698" s="21"/>
      <c r="F698" s="21"/>
      <c r="G698" s="21"/>
      <c r="H698" s="21"/>
      <c r="I698" s="21"/>
      <c r="J698" s="21"/>
      <c r="K698" s="21"/>
      <c r="L698" s="21"/>
      <c r="M698" s="21"/>
      <c r="N698" s="21"/>
    </row>
    <row r="699">
      <c r="A699" s="21"/>
      <c r="B699" s="21"/>
      <c r="C699" s="21"/>
      <c r="D699" s="21"/>
      <c r="E699" s="21"/>
      <c r="F699" s="21"/>
      <c r="G699" s="21"/>
      <c r="H699" s="21"/>
      <c r="I699" s="21"/>
      <c r="J699" s="21"/>
      <c r="K699" s="21"/>
      <c r="L699" s="21"/>
      <c r="M699" s="21"/>
      <c r="N699" s="21"/>
    </row>
    <row r="700">
      <c r="A700" s="21"/>
      <c r="B700" s="21"/>
      <c r="C700" s="21"/>
      <c r="D700" s="21"/>
      <c r="E700" s="21"/>
      <c r="F700" s="21"/>
      <c r="G700" s="21"/>
      <c r="H700" s="21"/>
      <c r="I700" s="21"/>
      <c r="J700" s="21"/>
      <c r="K700" s="21"/>
      <c r="L700" s="21"/>
      <c r="M700" s="21"/>
      <c r="N700" s="21"/>
    </row>
    <row r="701">
      <c r="A701" s="21"/>
      <c r="B701" s="21"/>
      <c r="C701" s="21"/>
      <c r="D701" s="21"/>
      <c r="E701" s="21"/>
      <c r="F701" s="21"/>
      <c r="G701" s="21"/>
      <c r="H701" s="21"/>
      <c r="I701" s="21"/>
      <c r="J701" s="21"/>
      <c r="K701" s="21"/>
      <c r="L701" s="21"/>
      <c r="M701" s="21"/>
      <c r="N701" s="21"/>
    </row>
    <row r="702">
      <c r="A702" s="21"/>
      <c r="B702" s="21"/>
      <c r="C702" s="21"/>
      <c r="D702" s="21"/>
      <c r="E702" s="21"/>
      <c r="F702" s="21"/>
      <c r="G702" s="21"/>
      <c r="H702" s="21"/>
      <c r="I702" s="21"/>
      <c r="J702" s="21"/>
      <c r="K702" s="21"/>
      <c r="L702" s="21"/>
      <c r="M702" s="21"/>
      <c r="N702" s="21"/>
    </row>
    <row r="703">
      <c r="A703" s="21"/>
      <c r="B703" s="21"/>
      <c r="C703" s="21"/>
      <c r="D703" s="21"/>
      <c r="E703" s="21"/>
      <c r="F703" s="21"/>
      <c r="G703" s="21"/>
      <c r="H703" s="21"/>
      <c r="I703" s="21"/>
      <c r="J703" s="21"/>
      <c r="K703" s="21"/>
      <c r="L703" s="21"/>
      <c r="M703" s="21"/>
      <c r="N703" s="21"/>
    </row>
    <row r="704">
      <c r="A704" s="21"/>
      <c r="B704" s="21"/>
      <c r="C704" s="21"/>
      <c r="D704" s="21"/>
      <c r="E704" s="21"/>
      <c r="F704" s="21"/>
      <c r="G704" s="21"/>
      <c r="H704" s="21"/>
      <c r="I704" s="21"/>
      <c r="J704" s="21"/>
      <c r="K704" s="21"/>
      <c r="L704" s="21"/>
      <c r="M704" s="21"/>
      <c r="N704" s="21"/>
    </row>
    <row r="705">
      <c r="A705" s="21"/>
      <c r="B705" s="21"/>
      <c r="C705" s="21"/>
      <c r="D705" s="21"/>
      <c r="E705" s="21"/>
      <c r="F705" s="21"/>
      <c r="G705" s="21"/>
      <c r="H705" s="21"/>
      <c r="I705" s="21"/>
      <c r="J705" s="21"/>
      <c r="K705" s="21"/>
      <c r="L705" s="21"/>
      <c r="M705" s="21"/>
      <c r="N705" s="21"/>
    </row>
    <row r="706">
      <c r="A706" s="21"/>
      <c r="B706" s="21"/>
      <c r="C706" s="21"/>
      <c r="D706" s="21"/>
      <c r="E706" s="21"/>
      <c r="F706" s="21"/>
      <c r="G706" s="21"/>
      <c r="H706" s="21"/>
      <c r="I706" s="21"/>
      <c r="J706" s="21"/>
      <c r="K706" s="21"/>
      <c r="L706" s="21"/>
      <c r="M706" s="21"/>
      <c r="N706" s="21"/>
    </row>
    <row r="707">
      <c r="A707" s="21"/>
      <c r="B707" s="21"/>
      <c r="C707" s="21"/>
      <c r="D707" s="21"/>
      <c r="E707" s="21"/>
      <c r="F707" s="21"/>
      <c r="G707" s="21"/>
      <c r="H707" s="21"/>
      <c r="I707" s="21"/>
      <c r="J707" s="21"/>
      <c r="K707" s="21"/>
      <c r="L707" s="21"/>
      <c r="M707" s="21"/>
      <c r="N707" s="21"/>
    </row>
    <row r="708">
      <c r="A708" s="21"/>
      <c r="B708" s="21"/>
      <c r="C708" s="21"/>
      <c r="D708" s="21"/>
      <c r="E708" s="21"/>
      <c r="F708" s="21"/>
      <c r="G708" s="21"/>
      <c r="H708" s="21"/>
      <c r="I708" s="21"/>
      <c r="J708" s="21"/>
      <c r="K708" s="21"/>
      <c r="L708" s="21"/>
      <c r="M708" s="21"/>
      <c r="N708" s="21"/>
    </row>
    <row r="709">
      <c r="A709" s="21"/>
      <c r="B709" s="21"/>
      <c r="C709" s="21"/>
      <c r="D709" s="21"/>
      <c r="E709" s="21"/>
      <c r="F709" s="21"/>
      <c r="G709" s="21"/>
      <c r="H709" s="21"/>
      <c r="I709" s="21"/>
      <c r="J709" s="21"/>
      <c r="K709" s="21"/>
      <c r="L709" s="21"/>
      <c r="M709" s="21"/>
      <c r="N709" s="21"/>
    </row>
    <row r="710">
      <c r="A710" s="21"/>
      <c r="B710" s="21"/>
      <c r="C710" s="21"/>
      <c r="D710" s="21"/>
      <c r="E710" s="21"/>
      <c r="F710" s="21"/>
      <c r="G710" s="21"/>
      <c r="H710" s="21"/>
      <c r="I710" s="21"/>
      <c r="J710" s="21"/>
      <c r="K710" s="21"/>
      <c r="L710" s="21"/>
      <c r="M710" s="21"/>
      <c r="N710" s="21"/>
    </row>
    <row r="711">
      <c r="A711" s="21"/>
      <c r="B711" s="21"/>
      <c r="C711" s="21"/>
      <c r="D711" s="21"/>
      <c r="E711" s="21"/>
      <c r="F711" s="21"/>
      <c r="G711" s="21"/>
      <c r="H711" s="21"/>
      <c r="I711" s="21"/>
      <c r="J711" s="21"/>
      <c r="K711" s="21"/>
      <c r="L711" s="21"/>
      <c r="M711" s="21"/>
      <c r="N711" s="21"/>
    </row>
    <row r="712">
      <c r="A712" s="21"/>
      <c r="B712" s="21"/>
      <c r="C712" s="21"/>
      <c r="D712" s="21"/>
      <c r="E712" s="21"/>
      <c r="F712" s="21"/>
      <c r="G712" s="21"/>
      <c r="H712" s="21"/>
      <c r="I712" s="21"/>
      <c r="J712" s="21"/>
      <c r="K712" s="21"/>
      <c r="L712" s="21"/>
      <c r="M712" s="21"/>
      <c r="N712" s="21"/>
    </row>
    <row r="713">
      <c r="A713" s="21"/>
      <c r="B713" s="21"/>
      <c r="C713" s="21"/>
      <c r="D713" s="21"/>
      <c r="E713" s="21"/>
      <c r="F713" s="21"/>
      <c r="G713" s="21"/>
      <c r="H713" s="21"/>
      <c r="I713" s="21"/>
      <c r="J713" s="21"/>
      <c r="K713" s="21"/>
      <c r="L713" s="21"/>
      <c r="M713" s="21"/>
      <c r="N713" s="21"/>
    </row>
    <row r="714">
      <c r="A714" s="21"/>
      <c r="B714" s="21"/>
      <c r="C714" s="21"/>
      <c r="D714" s="21"/>
      <c r="E714" s="21"/>
      <c r="F714" s="21"/>
      <c r="G714" s="21"/>
      <c r="H714" s="21"/>
      <c r="I714" s="21"/>
      <c r="J714" s="21"/>
      <c r="K714" s="21"/>
      <c r="L714" s="21"/>
      <c r="M714" s="21"/>
      <c r="N714" s="21"/>
    </row>
    <row r="715">
      <c r="A715" s="21"/>
      <c r="B715" s="21"/>
      <c r="C715" s="21"/>
      <c r="D715" s="21"/>
      <c r="E715" s="21"/>
      <c r="F715" s="21"/>
      <c r="G715" s="21"/>
      <c r="H715" s="21"/>
      <c r="I715" s="21"/>
      <c r="J715" s="21"/>
      <c r="K715" s="21"/>
      <c r="L715" s="21"/>
      <c r="M715" s="21"/>
      <c r="N715" s="21"/>
    </row>
    <row r="716">
      <c r="A716" s="21"/>
      <c r="B716" s="21"/>
      <c r="C716" s="21"/>
      <c r="D716" s="21"/>
      <c r="E716" s="21"/>
      <c r="F716" s="21"/>
      <c r="G716" s="21"/>
      <c r="H716" s="21"/>
      <c r="I716" s="21"/>
      <c r="J716" s="21"/>
      <c r="K716" s="21"/>
      <c r="L716" s="21"/>
      <c r="M716" s="21"/>
      <c r="N716" s="21"/>
    </row>
    <row r="717">
      <c r="A717" s="21"/>
      <c r="B717" s="21"/>
      <c r="C717" s="21"/>
      <c r="D717" s="21"/>
      <c r="E717" s="21"/>
      <c r="F717" s="21"/>
      <c r="G717" s="21"/>
      <c r="H717" s="21"/>
      <c r="I717" s="21"/>
      <c r="J717" s="21"/>
      <c r="K717" s="21"/>
      <c r="L717" s="21"/>
      <c r="M717" s="21"/>
      <c r="N717" s="21"/>
    </row>
    <row r="718">
      <c r="A718" s="21"/>
      <c r="B718" s="21"/>
      <c r="C718" s="21"/>
      <c r="D718" s="21"/>
      <c r="E718" s="21"/>
      <c r="F718" s="21"/>
      <c r="G718" s="21"/>
      <c r="H718" s="21"/>
      <c r="I718" s="21"/>
      <c r="J718" s="21"/>
      <c r="K718" s="21"/>
      <c r="L718" s="21"/>
      <c r="M718" s="21"/>
      <c r="N718" s="21"/>
    </row>
    <row r="719">
      <c r="A719" s="21"/>
      <c r="B719" s="21"/>
      <c r="C719" s="21"/>
      <c r="D719" s="21"/>
      <c r="E719" s="21"/>
      <c r="F719" s="21"/>
      <c r="G719" s="21"/>
      <c r="H719" s="21"/>
      <c r="I719" s="21"/>
      <c r="J719" s="21"/>
      <c r="K719" s="21"/>
      <c r="L719" s="21"/>
      <c r="M719" s="21"/>
      <c r="N719" s="21"/>
    </row>
    <row r="720">
      <c r="A720" s="21"/>
      <c r="B720" s="21"/>
      <c r="C720" s="21"/>
      <c r="D720" s="21"/>
      <c r="E720" s="21"/>
      <c r="F720" s="21"/>
      <c r="G720" s="21"/>
      <c r="H720" s="21"/>
      <c r="I720" s="21"/>
      <c r="J720" s="21"/>
      <c r="K720" s="21"/>
      <c r="L720" s="21"/>
      <c r="M720" s="21"/>
      <c r="N720" s="21"/>
    </row>
    <row r="721">
      <c r="A721" s="21"/>
      <c r="B721" s="21"/>
      <c r="C721" s="21"/>
      <c r="D721" s="21"/>
      <c r="E721" s="21"/>
      <c r="F721" s="21"/>
      <c r="G721" s="21"/>
      <c r="H721" s="21"/>
      <c r="I721" s="21"/>
      <c r="J721" s="21"/>
      <c r="K721" s="21"/>
      <c r="L721" s="21"/>
      <c r="M721" s="21"/>
      <c r="N721" s="21"/>
    </row>
    <row r="722">
      <c r="A722" s="21"/>
      <c r="B722" s="21"/>
      <c r="C722" s="21"/>
      <c r="D722" s="21"/>
      <c r="E722" s="21"/>
      <c r="F722" s="21"/>
      <c r="G722" s="21"/>
      <c r="H722" s="21"/>
      <c r="I722" s="21"/>
      <c r="J722" s="21"/>
      <c r="K722" s="21"/>
      <c r="L722" s="21"/>
      <c r="M722" s="21"/>
      <c r="N722" s="21"/>
    </row>
    <row r="723">
      <c r="A723" s="21"/>
      <c r="B723" s="21"/>
      <c r="C723" s="21"/>
      <c r="D723" s="21"/>
      <c r="E723" s="21"/>
      <c r="F723" s="21"/>
      <c r="G723" s="21"/>
      <c r="H723" s="21"/>
      <c r="I723" s="21"/>
      <c r="J723" s="21"/>
      <c r="K723" s="21"/>
      <c r="L723" s="21"/>
      <c r="M723" s="21"/>
      <c r="N723" s="21"/>
    </row>
    <row r="724">
      <c r="A724" s="21"/>
      <c r="B724" s="21"/>
      <c r="C724" s="21"/>
      <c r="D724" s="21"/>
      <c r="E724" s="21"/>
      <c r="F724" s="21"/>
      <c r="G724" s="21"/>
      <c r="H724" s="21"/>
      <c r="I724" s="21"/>
      <c r="J724" s="21"/>
      <c r="K724" s="21"/>
      <c r="L724" s="21"/>
      <c r="M724" s="21"/>
      <c r="N724" s="21"/>
    </row>
    <row r="725">
      <c r="A725" s="21"/>
      <c r="B725" s="21"/>
      <c r="C725" s="21"/>
      <c r="D725" s="21"/>
      <c r="E725" s="21"/>
      <c r="F725" s="21"/>
      <c r="G725" s="21"/>
      <c r="H725" s="21"/>
      <c r="I725" s="21"/>
      <c r="J725" s="21"/>
      <c r="K725" s="21"/>
      <c r="L725" s="21"/>
      <c r="M725" s="21"/>
      <c r="N725" s="21"/>
    </row>
    <row r="726">
      <c r="A726" s="21"/>
      <c r="B726" s="21"/>
      <c r="C726" s="21"/>
      <c r="D726" s="21"/>
      <c r="E726" s="21"/>
      <c r="F726" s="21"/>
      <c r="G726" s="21"/>
      <c r="H726" s="21"/>
      <c r="I726" s="21"/>
      <c r="J726" s="21"/>
      <c r="K726" s="21"/>
      <c r="L726" s="21"/>
      <c r="M726" s="21"/>
      <c r="N726" s="21"/>
    </row>
    <row r="727">
      <c r="A727" s="21"/>
      <c r="B727" s="21"/>
      <c r="C727" s="21"/>
      <c r="D727" s="21"/>
      <c r="E727" s="21"/>
      <c r="F727" s="21"/>
      <c r="G727" s="21"/>
      <c r="H727" s="21"/>
      <c r="I727" s="21"/>
      <c r="J727" s="21"/>
      <c r="K727" s="21"/>
      <c r="L727" s="21"/>
      <c r="M727" s="21"/>
      <c r="N727" s="21"/>
    </row>
    <row r="728">
      <c r="A728" s="21"/>
      <c r="B728" s="21"/>
      <c r="C728" s="21"/>
      <c r="D728" s="21"/>
      <c r="E728" s="21"/>
      <c r="F728" s="21"/>
      <c r="G728" s="21"/>
      <c r="H728" s="21"/>
      <c r="I728" s="21"/>
      <c r="J728" s="21"/>
      <c r="K728" s="21"/>
      <c r="L728" s="21"/>
      <c r="M728" s="21"/>
      <c r="N728" s="21"/>
    </row>
    <row r="729">
      <c r="A729" s="21"/>
      <c r="B729" s="21"/>
      <c r="C729" s="21"/>
      <c r="D729" s="21"/>
      <c r="E729" s="21"/>
      <c r="F729" s="21"/>
      <c r="G729" s="21"/>
      <c r="H729" s="21"/>
      <c r="I729" s="21"/>
      <c r="J729" s="21"/>
      <c r="K729" s="21"/>
      <c r="L729" s="21"/>
      <c r="M729" s="21"/>
      <c r="N729" s="21"/>
    </row>
    <row r="730">
      <c r="A730" s="21"/>
      <c r="B730" s="21"/>
      <c r="C730" s="21"/>
      <c r="D730" s="21"/>
      <c r="E730" s="21"/>
      <c r="F730" s="21"/>
      <c r="G730" s="21"/>
      <c r="H730" s="21"/>
      <c r="I730" s="21"/>
      <c r="J730" s="21"/>
      <c r="K730" s="21"/>
      <c r="L730" s="21"/>
      <c r="M730" s="21"/>
      <c r="N730" s="21"/>
    </row>
    <row r="731">
      <c r="A731" s="21"/>
      <c r="B731" s="21"/>
      <c r="C731" s="21"/>
      <c r="D731" s="21"/>
      <c r="E731" s="21"/>
      <c r="F731" s="21"/>
      <c r="G731" s="21"/>
      <c r="H731" s="21"/>
      <c r="I731" s="21"/>
      <c r="J731" s="21"/>
      <c r="K731" s="21"/>
      <c r="L731" s="21"/>
      <c r="M731" s="21"/>
      <c r="N731" s="21"/>
    </row>
    <row r="732">
      <c r="A732" s="21"/>
      <c r="B732" s="21"/>
      <c r="C732" s="21"/>
      <c r="D732" s="21"/>
      <c r="E732" s="21"/>
      <c r="F732" s="21"/>
      <c r="G732" s="21"/>
      <c r="H732" s="21"/>
      <c r="I732" s="21"/>
      <c r="J732" s="21"/>
      <c r="K732" s="21"/>
      <c r="L732" s="21"/>
      <c r="M732" s="21"/>
      <c r="N732" s="21"/>
    </row>
    <row r="733">
      <c r="A733" s="21"/>
      <c r="B733" s="21"/>
      <c r="C733" s="21"/>
      <c r="D733" s="21"/>
      <c r="E733" s="21"/>
      <c r="F733" s="21"/>
      <c r="G733" s="21"/>
      <c r="H733" s="21"/>
      <c r="I733" s="21"/>
      <c r="J733" s="21"/>
      <c r="K733" s="21"/>
      <c r="L733" s="21"/>
      <c r="M733" s="21"/>
      <c r="N733" s="21"/>
    </row>
    <row r="734">
      <c r="A734" s="21"/>
      <c r="B734" s="21"/>
      <c r="C734" s="21"/>
      <c r="D734" s="21"/>
      <c r="E734" s="21"/>
      <c r="F734" s="21"/>
      <c r="G734" s="21"/>
      <c r="H734" s="21"/>
      <c r="I734" s="21"/>
      <c r="J734" s="21"/>
      <c r="K734" s="21"/>
      <c r="L734" s="21"/>
      <c r="M734" s="21"/>
      <c r="N734" s="21"/>
    </row>
    <row r="735">
      <c r="A735" s="21"/>
      <c r="B735" s="21"/>
      <c r="C735" s="21"/>
      <c r="D735" s="21"/>
      <c r="E735" s="21"/>
      <c r="F735" s="21"/>
      <c r="G735" s="21"/>
      <c r="H735" s="21"/>
      <c r="I735" s="21"/>
      <c r="J735" s="21"/>
      <c r="K735" s="21"/>
      <c r="L735" s="21"/>
      <c r="M735" s="21"/>
      <c r="N735" s="21"/>
    </row>
    <row r="736">
      <c r="A736" s="21"/>
      <c r="B736" s="21"/>
      <c r="C736" s="21"/>
      <c r="D736" s="21"/>
      <c r="E736" s="21"/>
      <c r="F736" s="21"/>
      <c r="G736" s="21"/>
      <c r="H736" s="21"/>
      <c r="I736" s="21"/>
      <c r="J736" s="21"/>
      <c r="K736" s="21"/>
      <c r="L736" s="21"/>
      <c r="M736" s="21"/>
      <c r="N736" s="21"/>
    </row>
    <row r="737">
      <c r="A737" s="21"/>
      <c r="B737" s="21"/>
      <c r="C737" s="21"/>
      <c r="D737" s="21"/>
      <c r="E737" s="21"/>
      <c r="F737" s="21"/>
      <c r="G737" s="21"/>
      <c r="H737" s="21"/>
      <c r="I737" s="21"/>
      <c r="J737" s="21"/>
      <c r="K737" s="21"/>
      <c r="L737" s="21"/>
      <c r="M737" s="21"/>
      <c r="N737" s="21"/>
    </row>
    <row r="738">
      <c r="A738" s="21"/>
      <c r="B738" s="21"/>
      <c r="C738" s="21"/>
      <c r="D738" s="21"/>
      <c r="E738" s="21"/>
      <c r="F738" s="21"/>
      <c r="G738" s="21"/>
      <c r="H738" s="21"/>
      <c r="I738" s="21"/>
      <c r="J738" s="21"/>
      <c r="K738" s="21"/>
      <c r="L738" s="21"/>
      <c r="M738" s="21"/>
      <c r="N738" s="21"/>
    </row>
    <row r="739">
      <c r="A739" s="21"/>
      <c r="B739" s="21"/>
      <c r="C739" s="21"/>
      <c r="D739" s="21"/>
      <c r="E739" s="21"/>
      <c r="F739" s="21"/>
      <c r="G739" s="21"/>
      <c r="H739" s="21"/>
      <c r="I739" s="21"/>
      <c r="J739" s="21"/>
      <c r="K739" s="21"/>
      <c r="L739" s="21"/>
      <c r="M739" s="21"/>
      <c r="N739" s="21"/>
    </row>
    <row r="740">
      <c r="A740" s="21"/>
      <c r="B740" s="21"/>
      <c r="C740" s="21"/>
      <c r="D740" s="21"/>
      <c r="E740" s="21"/>
      <c r="F740" s="21"/>
      <c r="G740" s="21"/>
      <c r="H740" s="21"/>
      <c r="I740" s="21"/>
      <c r="J740" s="21"/>
      <c r="K740" s="21"/>
      <c r="L740" s="21"/>
      <c r="M740" s="21"/>
      <c r="N740" s="21"/>
    </row>
    <row r="741">
      <c r="A741" s="21"/>
      <c r="B741" s="21"/>
      <c r="C741" s="21"/>
      <c r="D741" s="21"/>
      <c r="E741" s="21"/>
      <c r="F741" s="21"/>
      <c r="G741" s="21"/>
      <c r="H741" s="21"/>
      <c r="I741" s="21"/>
      <c r="J741" s="21"/>
      <c r="K741" s="21"/>
      <c r="L741" s="21"/>
      <c r="M741" s="21"/>
      <c r="N741" s="21"/>
    </row>
    <row r="742">
      <c r="A742" s="21"/>
      <c r="B742" s="21"/>
      <c r="C742" s="21"/>
      <c r="D742" s="21"/>
      <c r="E742" s="21"/>
      <c r="F742" s="21"/>
      <c r="G742" s="21"/>
      <c r="H742" s="21"/>
      <c r="I742" s="21"/>
      <c r="J742" s="21"/>
      <c r="K742" s="21"/>
      <c r="L742" s="21"/>
      <c r="M742" s="21"/>
      <c r="N742" s="21"/>
    </row>
    <row r="743">
      <c r="A743" s="21"/>
      <c r="B743" s="21"/>
      <c r="C743" s="21"/>
      <c r="D743" s="21"/>
      <c r="E743" s="21"/>
      <c r="F743" s="21"/>
      <c r="G743" s="21"/>
      <c r="H743" s="21"/>
      <c r="I743" s="21"/>
      <c r="J743" s="21"/>
      <c r="K743" s="21"/>
      <c r="L743" s="21"/>
      <c r="M743" s="21"/>
      <c r="N743" s="21"/>
    </row>
    <row r="744">
      <c r="A744" s="21"/>
      <c r="B744" s="21"/>
      <c r="C744" s="21"/>
      <c r="D744" s="21"/>
      <c r="E744" s="21"/>
      <c r="F744" s="21"/>
      <c r="G744" s="21"/>
      <c r="H744" s="21"/>
      <c r="I744" s="21"/>
      <c r="J744" s="21"/>
      <c r="K744" s="21"/>
      <c r="L744" s="21"/>
      <c r="M744" s="21"/>
      <c r="N744" s="21"/>
    </row>
    <row r="745">
      <c r="A745" s="21"/>
      <c r="B745" s="21"/>
      <c r="C745" s="21"/>
      <c r="D745" s="21"/>
      <c r="E745" s="21"/>
      <c r="F745" s="21"/>
      <c r="G745" s="21"/>
      <c r="H745" s="21"/>
      <c r="I745" s="21"/>
      <c r="J745" s="21"/>
      <c r="K745" s="21"/>
      <c r="L745" s="21"/>
      <c r="M745" s="21"/>
      <c r="N745" s="21"/>
    </row>
    <row r="746">
      <c r="A746" s="21"/>
      <c r="B746" s="21"/>
      <c r="C746" s="21"/>
      <c r="D746" s="21"/>
      <c r="E746" s="21"/>
      <c r="F746" s="21"/>
      <c r="G746" s="21"/>
      <c r="H746" s="21"/>
      <c r="I746" s="21"/>
      <c r="J746" s="21"/>
      <c r="K746" s="21"/>
      <c r="L746" s="21"/>
      <c r="M746" s="21"/>
      <c r="N746" s="21"/>
    </row>
    <row r="747">
      <c r="A747" s="21"/>
      <c r="B747" s="21"/>
      <c r="C747" s="21"/>
      <c r="D747" s="21"/>
      <c r="E747" s="21"/>
      <c r="F747" s="21"/>
      <c r="G747" s="21"/>
      <c r="H747" s="21"/>
      <c r="I747" s="21"/>
      <c r="J747" s="21"/>
      <c r="K747" s="21"/>
      <c r="L747" s="21"/>
      <c r="M747" s="21"/>
      <c r="N747" s="21"/>
    </row>
    <row r="748">
      <c r="A748" s="21"/>
      <c r="B748" s="21"/>
      <c r="C748" s="21"/>
      <c r="D748" s="21"/>
      <c r="E748" s="21"/>
      <c r="F748" s="21"/>
      <c r="G748" s="21"/>
      <c r="H748" s="21"/>
      <c r="I748" s="21"/>
      <c r="J748" s="21"/>
      <c r="K748" s="21"/>
      <c r="L748" s="21"/>
      <c r="M748" s="21"/>
      <c r="N748" s="21"/>
    </row>
    <row r="749">
      <c r="A749" s="21"/>
      <c r="B749" s="21"/>
      <c r="C749" s="21"/>
      <c r="D749" s="21"/>
      <c r="E749" s="21"/>
      <c r="F749" s="21"/>
      <c r="G749" s="21"/>
      <c r="H749" s="21"/>
      <c r="I749" s="21"/>
      <c r="J749" s="21"/>
      <c r="K749" s="21"/>
      <c r="L749" s="21"/>
      <c r="M749" s="21"/>
      <c r="N749" s="21"/>
    </row>
    <row r="750">
      <c r="A750" s="21"/>
      <c r="B750" s="21"/>
      <c r="C750" s="21"/>
      <c r="D750" s="21"/>
      <c r="E750" s="21"/>
      <c r="F750" s="21"/>
      <c r="G750" s="21"/>
      <c r="H750" s="21"/>
      <c r="I750" s="21"/>
      <c r="J750" s="21"/>
      <c r="K750" s="21"/>
      <c r="L750" s="21"/>
      <c r="M750" s="21"/>
      <c r="N750" s="21"/>
    </row>
    <row r="751">
      <c r="A751" s="21"/>
      <c r="B751" s="21"/>
      <c r="C751" s="21"/>
      <c r="D751" s="21"/>
      <c r="E751" s="21"/>
      <c r="F751" s="21"/>
      <c r="G751" s="21"/>
      <c r="H751" s="21"/>
      <c r="I751" s="21"/>
      <c r="J751" s="21"/>
      <c r="K751" s="21"/>
      <c r="L751" s="21"/>
      <c r="M751" s="21"/>
      <c r="N751" s="21"/>
    </row>
    <row r="752">
      <c r="A752" s="21"/>
      <c r="B752" s="21"/>
      <c r="C752" s="21"/>
      <c r="D752" s="21"/>
      <c r="E752" s="21"/>
      <c r="F752" s="21"/>
      <c r="G752" s="21"/>
      <c r="H752" s="21"/>
      <c r="I752" s="21"/>
      <c r="J752" s="21"/>
      <c r="K752" s="21"/>
      <c r="L752" s="21"/>
      <c r="M752" s="21"/>
      <c r="N752" s="21"/>
    </row>
    <row r="753">
      <c r="A753" s="21"/>
      <c r="B753" s="21"/>
      <c r="C753" s="21"/>
      <c r="D753" s="21"/>
      <c r="E753" s="21"/>
      <c r="F753" s="21"/>
      <c r="G753" s="21"/>
      <c r="H753" s="21"/>
      <c r="I753" s="21"/>
      <c r="J753" s="21"/>
      <c r="K753" s="21"/>
      <c r="L753" s="21"/>
      <c r="M753" s="21"/>
      <c r="N753" s="21"/>
    </row>
    <row r="754">
      <c r="A754" s="21"/>
      <c r="B754" s="21"/>
      <c r="C754" s="21"/>
      <c r="D754" s="21"/>
      <c r="E754" s="21"/>
      <c r="F754" s="21"/>
      <c r="G754" s="21"/>
      <c r="H754" s="21"/>
      <c r="I754" s="21"/>
      <c r="J754" s="21"/>
      <c r="K754" s="21"/>
      <c r="L754" s="21"/>
      <c r="M754" s="21"/>
      <c r="N754" s="21"/>
    </row>
    <row r="755">
      <c r="A755" s="21"/>
      <c r="B755" s="21"/>
      <c r="C755" s="21"/>
      <c r="D755" s="21"/>
      <c r="E755" s="21"/>
      <c r="F755" s="21"/>
      <c r="G755" s="21"/>
      <c r="H755" s="21"/>
      <c r="I755" s="21"/>
      <c r="J755" s="21"/>
      <c r="K755" s="21"/>
      <c r="L755" s="21"/>
      <c r="M755" s="21"/>
      <c r="N755" s="21"/>
    </row>
    <row r="756">
      <c r="A756" s="21"/>
      <c r="B756" s="21"/>
      <c r="C756" s="21"/>
      <c r="D756" s="21"/>
      <c r="E756" s="21"/>
      <c r="F756" s="21"/>
      <c r="G756" s="21"/>
      <c r="H756" s="21"/>
      <c r="I756" s="21"/>
      <c r="J756" s="21"/>
      <c r="K756" s="21"/>
      <c r="L756" s="21"/>
      <c r="M756" s="21"/>
      <c r="N756" s="21"/>
    </row>
    <row r="757">
      <c r="A757" s="21"/>
      <c r="B757" s="21"/>
      <c r="C757" s="21"/>
      <c r="D757" s="21"/>
      <c r="E757" s="21"/>
      <c r="F757" s="21"/>
      <c r="G757" s="21"/>
      <c r="H757" s="21"/>
      <c r="I757" s="21"/>
      <c r="J757" s="21"/>
      <c r="K757" s="21"/>
      <c r="L757" s="21"/>
      <c r="M757" s="21"/>
      <c r="N757" s="21"/>
    </row>
    <row r="758">
      <c r="A758" s="21"/>
      <c r="B758" s="21"/>
      <c r="C758" s="21"/>
      <c r="D758" s="21"/>
      <c r="E758" s="21"/>
      <c r="F758" s="21"/>
      <c r="G758" s="21"/>
      <c r="H758" s="21"/>
      <c r="I758" s="21"/>
      <c r="J758" s="21"/>
      <c r="K758" s="21"/>
      <c r="L758" s="21"/>
      <c r="M758" s="21"/>
      <c r="N758" s="21"/>
    </row>
    <row r="759">
      <c r="A759" s="21"/>
      <c r="B759" s="21"/>
      <c r="C759" s="21"/>
      <c r="D759" s="21"/>
      <c r="E759" s="21"/>
      <c r="F759" s="21"/>
      <c r="G759" s="21"/>
      <c r="H759" s="21"/>
      <c r="I759" s="21"/>
      <c r="J759" s="21"/>
      <c r="K759" s="21"/>
      <c r="L759" s="21"/>
      <c r="M759" s="21"/>
      <c r="N759" s="21"/>
    </row>
    <row r="760">
      <c r="A760" s="21"/>
      <c r="B760" s="21"/>
      <c r="C760" s="21"/>
      <c r="D760" s="21"/>
      <c r="E760" s="21"/>
      <c r="F760" s="21"/>
      <c r="G760" s="21"/>
      <c r="H760" s="21"/>
      <c r="I760" s="21"/>
      <c r="J760" s="21"/>
      <c r="K760" s="21"/>
      <c r="L760" s="21"/>
      <c r="M760" s="21"/>
      <c r="N760" s="21"/>
    </row>
    <row r="761">
      <c r="A761" s="21"/>
      <c r="B761" s="21"/>
      <c r="C761" s="21"/>
      <c r="D761" s="21"/>
      <c r="E761" s="21"/>
      <c r="F761" s="21"/>
      <c r="G761" s="21"/>
      <c r="H761" s="21"/>
      <c r="I761" s="21"/>
      <c r="J761" s="21"/>
      <c r="K761" s="21"/>
      <c r="L761" s="21"/>
      <c r="M761" s="21"/>
      <c r="N761" s="21"/>
    </row>
    <row r="762">
      <c r="A762" s="21"/>
      <c r="B762" s="21"/>
      <c r="C762" s="21"/>
      <c r="D762" s="21"/>
      <c r="E762" s="21"/>
      <c r="F762" s="21"/>
      <c r="G762" s="21"/>
      <c r="H762" s="21"/>
      <c r="I762" s="21"/>
      <c r="J762" s="21"/>
      <c r="K762" s="21"/>
      <c r="L762" s="21"/>
      <c r="M762" s="21"/>
      <c r="N762" s="21"/>
    </row>
    <row r="763">
      <c r="A763" s="21"/>
      <c r="B763" s="21"/>
      <c r="C763" s="21"/>
      <c r="D763" s="21"/>
      <c r="E763" s="21"/>
      <c r="F763" s="21"/>
      <c r="G763" s="21"/>
      <c r="H763" s="21"/>
      <c r="I763" s="21"/>
      <c r="J763" s="21"/>
      <c r="K763" s="21"/>
      <c r="L763" s="21"/>
      <c r="M763" s="21"/>
      <c r="N763" s="21"/>
    </row>
    <row r="764">
      <c r="A764" s="21"/>
      <c r="B764" s="21"/>
      <c r="C764" s="21"/>
      <c r="D764" s="21"/>
      <c r="E764" s="21"/>
      <c r="F764" s="21"/>
      <c r="G764" s="21"/>
      <c r="H764" s="21"/>
      <c r="I764" s="21"/>
      <c r="J764" s="21"/>
      <c r="K764" s="21"/>
      <c r="L764" s="21"/>
      <c r="M764" s="21"/>
      <c r="N764" s="21"/>
    </row>
    <row r="765">
      <c r="A765" s="21"/>
      <c r="B765" s="21"/>
      <c r="C765" s="21"/>
      <c r="D765" s="21"/>
      <c r="E765" s="21"/>
      <c r="F765" s="21"/>
      <c r="G765" s="21"/>
      <c r="H765" s="21"/>
      <c r="I765" s="21"/>
      <c r="J765" s="21"/>
      <c r="K765" s="21"/>
      <c r="L765" s="21"/>
      <c r="M765" s="21"/>
      <c r="N765" s="21"/>
    </row>
    <row r="766">
      <c r="A766" s="21"/>
      <c r="B766" s="21"/>
      <c r="C766" s="21"/>
      <c r="D766" s="21"/>
      <c r="E766" s="21"/>
      <c r="F766" s="21"/>
      <c r="G766" s="21"/>
      <c r="H766" s="21"/>
      <c r="I766" s="21"/>
      <c r="J766" s="21"/>
      <c r="K766" s="21"/>
      <c r="L766" s="21"/>
      <c r="M766" s="21"/>
      <c r="N766" s="21"/>
    </row>
    <row r="767">
      <c r="A767" s="21"/>
      <c r="B767" s="21"/>
      <c r="C767" s="21"/>
      <c r="D767" s="21"/>
      <c r="E767" s="21"/>
      <c r="F767" s="21"/>
      <c r="G767" s="21"/>
      <c r="H767" s="21"/>
      <c r="I767" s="21"/>
      <c r="J767" s="21"/>
      <c r="K767" s="21"/>
      <c r="L767" s="21"/>
      <c r="M767" s="21"/>
      <c r="N767" s="21"/>
    </row>
    <row r="768">
      <c r="A768" s="21"/>
      <c r="B768" s="21"/>
      <c r="C768" s="21"/>
      <c r="D768" s="21"/>
      <c r="E768" s="21"/>
      <c r="F768" s="21"/>
      <c r="G768" s="21"/>
      <c r="H768" s="21"/>
      <c r="I768" s="21"/>
      <c r="J768" s="21"/>
      <c r="K768" s="21"/>
      <c r="L768" s="21"/>
      <c r="M768" s="21"/>
      <c r="N768" s="21"/>
    </row>
    <row r="769">
      <c r="A769" s="21"/>
      <c r="B769" s="21"/>
      <c r="C769" s="21"/>
      <c r="D769" s="21"/>
      <c r="E769" s="21"/>
      <c r="F769" s="21"/>
      <c r="G769" s="21"/>
      <c r="H769" s="21"/>
      <c r="I769" s="21"/>
      <c r="J769" s="21"/>
      <c r="K769" s="21"/>
      <c r="L769" s="21"/>
      <c r="M769" s="21"/>
      <c r="N769" s="21"/>
    </row>
    <row r="770">
      <c r="A770" s="21"/>
      <c r="B770" s="21"/>
      <c r="C770" s="21"/>
      <c r="D770" s="21"/>
      <c r="E770" s="21"/>
      <c r="F770" s="21"/>
      <c r="G770" s="21"/>
      <c r="H770" s="21"/>
      <c r="I770" s="21"/>
      <c r="J770" s="21"/>
      <c r="K770" s="21"/>
      <c r="L770" s="21"/>
      <c r="M770" s="21"/>
      <c r="N770" s="21"/>
    </row>
    <row r="771">
      <c r="A771" s="21"/>
      <c r="B771" s="21"/>
      <c r="C771" s="21"/>
      <c r="D771" s="21"/>
      <c r="E771" s="21"/>
      <c r="F771" s="21"/>
      <c r="G771" s="21"/>
      <c r="H771" s="21"/>
      <c r="I771" s="21"/>
      <c r="J771" s="21"/>
      <c r="K771" s="21"/>
      <c r="L771" s="21"/>
      <c r="M771" s="21"/>
      <c r="N771" s="21"/>
    </row>
    <row r="772">
      <c r="A772" s="21"/>
      <c r="B772" s="21"/>
      <c r="C772" s="21"/>
      <c r="D772" s="21"/>
      <c r="E772" s="21"/>
      <c r="F772" s="21"/>
      <c r="G772" s="21"/>
      <c r="H772" s="21"/>
      <c r="I772" s="21"/>
      <c r="J772" s="21"/>
      <c r="K772" s="21"/>
      <c r="L772" s="21"/>
      <c r="M772" s="21"/>
      <c r="N772" s="21"/>
    </row>
    <row r="773">
      <c r="A773" s="21"/>
      <c r="B773" s="21"/>
      <c r="C773" s="21"/>
      <c r="D773" s="21"/>
      <c r="E773" s="21"/>
      <c r="F773" s="21"/>
      <c r="G773" s="21"/>
      <c r="H773" s="21"/>
      <c r="I773" s="21"/>
      <c r="J773" s="21"/>
      <c r="K773" s="21"/>
      <c r="L773" s="21"/>
      <c r="M773" s="21"/>
      <c r="N773" s="21"/>
    </row>
    <row r="774">
      <c r="A774" s="21"/>
      <c r="B774" s="21"/>
      <c r="C774" s="21"/>
      <c r="D774" s="21"/>
      <c r="E774" s="21"/>
      <c r="F774" s="21"/>
      <c r="G774" s="21"/>
      <c r="H774" s="21"/>
      <c r="I774" s="21"/>
      <c r="J774" s="21"/>
      <c r="K774" s="21"/>
      <c r="L774" s="21"/>
      <c r="M774" s="21"/>
      <c r="N774" s="21"/>
    </row>
    <row r="775">
      <c r="A775" s="21"/>
      <c r="B775" s="21"/>
      <c r="C775" s="21"/>
      <c r="D775" s="21"/>
      <c r="E775" s="21"/>
      <c r="F775" s="21"/>
      <c r="G775" s="21"/>
      <c r="H775" s="21"/>
      <c r="I775" s="21"/>
      <c r="J775" s="21"/>
      <c r="K775" s="21"/>
      <c r="L775" s="21"/>
      <c r="M775" s="21"/>
      <c r="N775" s="21"/>
    </row>
    <row r="776">
      <c r="A776" s="21"/>
      <c r="B776" s="21"/>
      <c r="C776" s="21"/>
      <c r="D776" s="21"/>
      <c r="E776" s="21"/>
      <c r="F776" s="21"/>
      <c r="G776" s="21"/>
      <c r="H776" s="21"/>
      <c r="I776" s="21"/>
      <c r="J776" s="21"/>
      <c r="K776" s="21"/>
      <c r="L776" s="21"/>
      <c r="M776" s="21"/>
      <c r="N776" s="21"/>
    </row>
    <row r="777">
      <c r="A777" s="21"/>
      <c r="B777" s="21"/>
      <c r="C777" s="21"/>
      <c r="D777" s="21"/>
      <c r="E777" s="21"/>
      <c r="F777" s="21"/>
      <c r="G777" s="21"/>
      <c r="H777" s="21"/>
      <c r="I777" s="21"/>
      <c r="J777" s="21"/>
      <c r="K777" s="21"/>
      <c r="L777" s="21"/>
      <c r="M777" s="21"/>
      <c r="N777" s="21"/>
    </row>
    <row r="778">
      <c r="A778" s="21"/>
      <c r="B778" s="21"/>
      <c r="C778" s="21"/>
      <c r="D778" s="21"/>
      <c r="E778" s="21"/>
      <c r="F778" s="21"/>
      <c r="G778" s="21"/>
      <c r="H778" s="21"/>
      <c r="I778" s="21"/>
      <c r="J778" s="21"/>
      <c r="K778" s="21"/>
      <c r="L778" s="21"/>
      <c r="M778" s="21"/>
      <c r="N778" s="21"/>
    </row>
    <row r="779">
      <c r="A779" s="21"/>
      <c r="B779" s="21"/>
      <c r="C779" s="21"/>
      <c r="D779" s="21"/>
      <c r="E779" s="21"/>
      <c r="F779" s="21"/>
      <c r="G779" s="21"/>
      <c r="H779" s="21"/>
      <c r="I779" s="21"/>
      <c r="J779" s="21"/>
      <c r="K779" s="21"/>
      <c r="L779" s="21"/>
      <c r="M779" s="21"/>
      <c r="N779" s="21"/>
    </row>
    <row r="780">
      <c r="A780" s="21"/>
      <c r="B780" s="21"/>
      <c r="C780" s="21"/>
      <c r="D780" s="21"/>
      <c r="E780" s="21"/>
      <c r="F780" s="21"/>
      <c r="G780" s="21"/>
      <c r="H780" s="21"/>
      <c r="I780" s="21"/>
      <c r="J780" s="21"/>
      <c r="K780" s="21"/>
      <c r="L780" s="21"/>
      <c r="M780" s="21"/>
      <c r="N780" s="21"/>
    </row>
    <row r="781">
      <c r="A781" s="21"/>
      <c r="B781" s="21"/>
      <c r="C781" s="21"/>
      <c r="D781" s="21"/>
      <c r="E781" s="21"/>
      <c r="F781" s="21"/>
      <c r="G781" s="21"/>
      <c r="H781" s="21"/>
      <c r="I781" s="21"/>
      <c r="J781" s="21"/>
      <c r="K781" s="21"/>
      <c r="L781" s="21"/>
      <c r="M781" s="21"/>
      <c r="N781" s="21"/>
    </row>
    <row r="782">
      <c r="A782" s="21"/>
      <c r="B782" s="21"/>
      <c r="C782" s="21"/>
      <c r="D782" s="21"/>
      <c r="E782" s="21"/>
      <c r="F782" s="21"/>
      <c r="G782" s="21"/>
      <c r="H782" s="21"/>
      <c r="I782" s="21"/>
      <c r="J782" s="21"/>
      <c r="K782" s="21"/>
      <c r="L782" s="21"/>
      <c r="M782" s="21"/>
      <c r="N782" s="21"/>
    </row>
    <row r="783">
      <c r="A783" s="21"/>
      <c r="B783" s="21"/>
      <c r="C783" s="21"/>
      <c r="D783" s="21"/>
      <c r="E783" s="21"/>
      <c r="F783" s="21"/>
      <c r="G783" s="21"/>
      <c r="H783" s="21"/>
      <c r="I783" s="21"/>
      <c r="J783" s="21"/>
      <c r="K783" s="21"/>
      <c r="L783" s="21"/>
      <c r="M783" s="21"/>
      <c r="N783" s="21"/>
    </row>
    <row r="784">
      <c r="A784" s="21"/>
      <c r="B784" s="21"/>
      <c r="C784" s="21"/>
      <c r="D784" s="21"/>
      <c r="E784" s="21"/>
      <c r="F784" s="21"/>
      <c r="G784" s="21"/>
      <c r="H784" s="21"/>
      <c r="I784" s="21"/>
      <c r="J784" s="21"/>
      <c r="K784" s="21"/>
      <c r="L784" s="21"/>
      <c r="M784" s="21"/>
      <c r="N784" s="21"/>
    </row>
    <row r="785">
      <c r="A785" s="21"/>
      <c r="B785" s="21"/>
      <c r="C785" s="21"/>
      <c r="D785" s="21"/>
      <c r="E785" s="21"/>
      <c r="F785" s="21"/>
      <c r="G785" s="21"/>
      <c r="H785" s="21"/>
      <c r="I785" s="21"/>
      <c r="J785" s="21"/>
      <c r="K785" s="21"/>
      <c r="L785" s="21"/>
      <c r="M785" s="21"/>
      <c r="N785" s="21"/>
    </row>
    <row r="786">
      <c r="A786" s="21"/>
      <c r="B786" s="21"/>
      <c r="C786" s="21"/>
      <c r="D786" s="21"/>
      <c r="E786" s="21"/>
      <c r="F786" s="21"/>
      <c r="G786" s="21"/>
      <c r="H786" s="21"/>
      <c r="I786" s="21"/>
      <c r="J786" s="21"/>
      <c r="K786" s="21"/>
      <c r="L786" s="21"/>
      <c r="M786" s="21"/>
      <c r="N786" s="21"/>
    </row>
    <row r="787">
      <c r="A787" s="21"/>
      <c r="B787" s="21"/>
      <c r="C787" s="21"/>
      <c r="D787" s="21"/>
      <c r="E787" s="21"/>
      <c r="F787" s="21"/>
      <c r="G787" s="21"/>
      <c r="H787" s="21"/>
      <c r="I787" s="21"/>
      <c r="J787" s="21"/>
      <c r="K787" s="21"/>
      <c r="L787" s="21"/>
      <c r="M787" s="21"/>
      <c r="N787" s="21"/>
    </row>
    <row r="788">
      <c r="A788" s="21"/>
      <c r="B788" s="21"/>
      <c r="C788" s="21"/>
      <c r="D788" s="21"/>
      <c r="E788" s="21"/>
      <c r="F788" s="21"/>
      <c r="G788" s="21"/>
      <c r="H788" s="21"/>
      <c r="I788" s="21"/>
      <c r="J788" s="21"/>
      <c r="K788" s="21"/>
      <c r="L788" s="21"/>
      <c r="M788" s="21"/>
      <c r="N788" s="21"/>
    </row>
    <row r="789">
      <c r="A789" s="21"/>
      <c r="B789" s="21"/>
      <c r="C789" s="21"/>
      <c r="D789" s="21"/>
      <c r="E789" s="21"/>
      <c r="F789" s="21"/>
      <c r="G789" s="21"/>
      <c r="H789" s="21"/>
      <c r="I789" s="21"/>
      <c r="J789" s="21"/>
      <c r="K789" s="21"/>
      <c r="L789" s="21"/>
      <c r="M789" s="21"/>
      <c r="N789" s="21"/>
    </row>
    <row r="790">
      <c r="A790" s="21"/>
      <c r="B790" s="21"/>
      <c r="C790" s="21"/>
      <c r="D790" s="21"/>
      <c r="E790" s="21"/>
      <c r="F790" s="21"/>
      <c r="G790" s="21"/>
      <c r="H790" s="21"/>
      <c r="I790" s="21"/>
      <c r="J790" s="21"/>
      <c r="K790" s="21"/>
      <c r="L790" s="21"/>
      <c r="M790" s="21"/>
      <c r="N790" s="21"/>
    </row>
    <row r="791">
      <c r="A791" s="21"/>
      <c r="B791" s="21"/>
      <c r="C791" s="21"/>
      <c r="D791" s="21"/>
      <c r="E791" s="21"/>
      <c r="F791" s="21"/>
      <c r="G791" s="21"/>
      <c r="H791" s="21"/>
      <c r="I791" s="21"/>
      <c r="J791" s="21"/>
      <c r="K791" s="21"/>
      <c r="L791" s="21"/>
      <c r="M791" s="21"/>
      <c r="N791" s="21"/>
    </row>
    <row r="792">
      <c r="A792" s="21"/>
      <c r="B792" s="21"/>
      <c r="C792" s="21"/>
      <c r="D792" s="21"/>
      <c r="E792" s="21"/>
      <c r="F792" s="21"/>
      <c r="G792" s="21"/>
      <c r="H792" s="21"/>
      <c r="I792" s="21"/>
      <c r="J792" s="21"/>
      <c r="K792" s="21"/>
      <c r="L792" s="21"/>
      <c r="M792" s="21"/>
      <c r="N792" s="21"/>
    </row>
    <row r="793">
      <c r="A793" s="21"/>
      <c r="B793" s="21"/>
      <c r="C793" s="21"/>
      <c r="D793" s="21"/>
      <c r="E793" s="21"/>
      <c r="F793" s="21"/>
      <c r="G793" s="21"/>
      <c r="H793" s="21"/>
      <c r="I793" s="21"/>
      <c r="J793" s="21"/>
      <c r="K793" s="21"/>
      <c r="L793" s="21"/>
      <c r="M793" s="21"/>
      <c r="N793" s="21"/>
    </row>
    <row r="794">
      <c r="A794" s="21"/>
      <c r="B794" s="21"/>
      <c r="C794" s="21"/>
      <c r="D794" s="21"/>
      <c r="E794" s="21"/>
      <c r="F794" s="21"/>
      <c r="G794" s="21"/>
      <c r="H794" s="21"/>
      <c r="I794" s="21"/>
      <c r="J794" s="21"/>
      <c r="K794" s="21"/>
      <c r="L794" s="21"/>
      <c r="M794" s="21"/>
      <c r="N794" s="21"/>
    </row>
    <row r="795">
      <c r="A795" s="21"/>
      <c r="B795" s="21"/>
      <c r="C795" s="21"/>
      <c r="D795" s="21"/>
      <c r="E795" s="21"/>
      <c r="F795" s="21"/>
      <c r="G795" s="21"/>
      <c r="H795" s="21"/>
      <c r="I795" s="21"/>
      <c r="J795" s="21"/>
      <c r="K795" s="21"/>
      <c r="L795" s="21"/>
      <c r="M795" s="21"/>
      <c r="N795" s="21"/>
    </row>
    <row r="796">
      <c r="A796" s="21"/>
      <c r="B796" s="21"/>
      <c r="C796" s="21"/>
      <c r="D796" s="21"/>
      <c r="E796" s="21"/>
      <c r="F796" s="21"/>
      <c r="G796" s="21"/>
      <c r="H796" s="21"/>
      <c r="I796" s="21"/>
      <c r="J796" s="21"/>
      <c r="K796" s="21"/>
      <c r="L796" s="21"/>
      <c r="M796" s="21"/>
      <c r="N796" s="21"/>
    </row>
    <row r="797">
      <c r="A797" s="21"/>
      <c r="B797" s="21"/>
      <c r="C797" s="21"/>
      <c r="D797" s="21"/>
      <c r="E797" s="21"/>
      <c r="F797" s="21"/>
      <c r="G797" s="21"/>
      <c r="H797" s="21"/>
      <c r="I797" s="21"/>
      <c r="J797" s="21"/>
      <c r="K797" s="21"/>
      <c r="L797" s="21"/>
      <c r="M797" s="21"/>
      <c r="N797" s="21"/>
    </row>
    <row r="798">
      <c r="A798" s="21"/>
      <c r="B798" s="21"/>
      <c r="C798" s="21"/>
      <c r="D798" s="21"/>
      <c r="E798" s="21"/>
      <c r="F798" s="21"/>
      <c r="G798" s="21"/>
      <c r="H798" s="21"/>
      <c r="I798" s="21"/>
      <c r="J798" s="21"/>
      <c r="K798" s="21"/>
      <c r="L798" s="21"/>
      <c r="M798" s="21"/>
      <c r="N798" s="21"/>
    </row>
    <row r="799">
      <c r="A799" s="21"/>
      <c r="B799" s="21"/>
      <c r="C799" s="21"/>
      <c r="D799" s="21"/>
      <c r="E799" s="21"/>
      <c r="F799" s="21"/>
      <c r="G799" s="21"/>
      <c r="H799" s="21"/>
      <c r="I799" s="21"/>
      <c r="J799" s="21"/>
      <c r="K799" s="21"/>
      <c r="L799" s="21"/>
      <c r="M799" s="21"/>
      <c r="N799" s="21"/>
    </row>
    <row r="800">
      <c r="A800" s="21"/>
      <c r="B800" s="21"/>
      <c r="C800" s="21"/>
      <c r="D800" s="21"/>
      <c r="E800" s="21"/>
      <c r="F800" s="21"/>
      <c r="G800" s="21"/>
      <c r="H800" s="21"/>
      <c r="I800" s="21"/>
      <c r="J800" s="21"/>
      <c r="K800" s="21"/>
      <c r="L800" s="21"/>
      <c r="M800" s="21"/>
      <c r="N800" s="21"/>
    </row>
    <row r="801">
      <c r="A801" s="21"/>
      <c r="B801" s="21"/>
      <c r="C801" s="21"/>
      <c r="D801" s="21"/>
      <c r="E801" s="21"/>
      <c r="F801" s="21"/>
      <c r="G801" s="21"/>
      <c r="H801" s="21"/>
      <c r="I801" s="21"/>
      <c r="J801" s="21"/>
      <c r="K801" s="21"/>
      <c r="L801" s="21"/>
      <c r="M801" s="21"/>
      <c r="N801" s="21"/>
    </row>
    <row r="802">
      <c r="A802" s="21"/>
      <c r="B802" s="21"/>
      <c r="C802" s="21"/>
      <c r="D802" s="21"/>
      <c r="E802" s="21"/>
      <c r="F802" s="21"/>
      <c r="G802" s="21"/>
      <c r="H802" s="21"/>
      <c r="I802" s="21"/>
      <c r="J802" s="21"/>
      <c r="K802" s="21"/>
      <c r="L802" s="21"/>
      <c r="M802" s="21"/>
      <c r="N802" s="21"/>
    </row>
    <row r="803">
      <c r="A803" s="21"/>
      <c r="B803" s="21"/>
      <c r="C803" s="21"/>
      <c r="D803" s="21"/>
      <c r="E803" s="21"/>
      <c r="F803" s="21"/>
      <c r="G803" s="21"/>
      <c r="H803" s="21"/>
      <c r="I803" s="21"/>
      <c r="J803" s="21"/>
      <c r="K803" s="21"/>
      <c r="L803" s="21"/>
      <c r="M803" s="21"/>
      <c r="N803" s="21"/>
    </row>
    <row r="804">
      <c r="A804" s="21"/>
      <c r="B804" s="21"/>
      <c r="C804" s="21"/>
      <c r="D804" s="21"/>
      <c r="E804" s="21"/>
      <c r="F804" s="21"/>
      <c r="G804" s="21"/>
      <c r="H804" s="21"/>
      <c r="I804" s="21"/>
      <c r="J804" s="21"/>
      <c r="K804" s="21"/>
      <c r="L804" s="21"/>
      <c r="M804" s="21"/>
      <c r="N804" s="21"/>
    </row>
    <row r="805">
      <c r="A805" s="21"/>
      <c r="B805" s="21"/>
      <c r="C805" s="21"/>
      <c r="D805" s="21"/>
      <c r="E805" s="21"/>
      <c r="F805" s="21"/>
      <c r="G805" s="21"/>
      <c r="H805" s="21"/>
      <c r="I805" s="21"/>
      <c r="J805" s="21"/>
      <c r="K805" s="21"/>
      <c r="L805" s="21"/>
      <c r="M805" s="21"/>
      <c r="N805" s="21"/>
    </row>
    <row r="806">
      <c r="A806" s="21"/>
      <c r="B806" s="21"/>
      <c r="C806" s="21"/>
      <c r="D806" s="21"/>
      <c r="E806" s="21"/>
      <c r="F806" s="21"/>
      <c r="G806" s="21"/>
      <c r="H806" s="21"/>
      <c r="I806" s="21"/>
      <c r="J806" s="21"/>
      <c r="K806" s="21"/>
      <c r="L806" s="21"/>
      <c r="M806" s="21"/>
      <c r="N806" s="21"/>
    </row>
    <row r="807">
      <c r="A807" s="21"/>
      <c r="B807" s="21"/>
      <c r="C807" s="21"/>
      <c r="D807" s="21"/>
      <c r="E807" s="21"/>
      <c r="F807" s="21"/>
      <c r="G807" s="21"/>
      <c r="H807" s="21"/>
      <c r="I807" s="21"/>
      <c r="J807" s="21"/>
      <c r="K807" s="21"/>
      <c r="L807" s="21"/>
      <c r="M807" s="21"/>
      <c r="N807" s="21"/>
    </row>
    <row r="808">
      <c r="A808" s="21"/>
      <c r="B808" s="21"/>
      <c r="C808" s="21"/>
      <c r="D808" s="21"/>
      <c r="E808" s="21"/>
      <c r="F808" s="21"/>
      <c r="G808" s="21"/>
      <c r="H808" s="21"/>
      <c r="I808" s="21"/>
      <c r="J808" s="21"/>
      <c r="K808" s="21"/>
      <c r="L808" s="21"/>
      <c r="M808" s="21"/>
      <c r="N808" s="21"/>
    </row>
    <row r="809">
      <c r="A809" s="21"/>
      <c r="B809" s="21"/>
      <c r="C809" s="21"/>
      <c r="D809" s="21"/>
      <c r="E809" s="21"/>
      <c r="F809" s="21"/>
      <c r="G809" s="21"/>
      <c r="H809" s="21"/>
      <c r="I809" s="21"/>
      <c r="J809" s="21"/>
      <c r="K809" s="21"/>
      <c r="L809" s="21"/>
      <c r="M809" s="21"/>
      <c r="N809" s="21"/>
    </row>
    <row r="810">
      <c r="A810" s="21"/>
      <c r="B810" s="21"/>
      <c r="C810" s="21"/>
      <c r="D810" s="21"/>
      <c r="E810" s="21"/>
      <c r="F810" s="21"/>
      <c r="G810" s="21"/>
      <c r="H810" s="21"/>
      <c r="I810" s="21"/>
      <c r="J810" s="21"/>
      <c r="K810" s="21"/>
      <c r="L810" s="21"/>
      <c r="M810" s="21"/>
      <c r="N810" s="21"/>
    </row>
    <row r="811">
      <c r="A811" s="21"/>
      <c r="B811" s="21"/>
      <c r="C811" s="21"/>
      <c r="D811" s="21"/>
      <c r="E811" s="21"/>
      <c r="F811" s="21"/>
      <c r="G811" s="21"/>
      <c r="H811" s="21"/>
      <c r="I811" s="21"/>
      <c r="J811" s="21"/>
      <c r="K811" s="21"/>
      <c r="L811" s="21"/>
      <c r="M811" s="21"/>
      <c r="N811" s="21"/>
    </row>
    <row r="812">
      <c r="A812" s="21"/>
      <c r="B812" s="21"/>
      <c r="C812" s="21"/>
      <c r="D812" s="21"/>
      <c r="E812" s="21"/>
      <c r="F812" s="21"/>
      <c r="G812" s="21"/>
      <c r="H812" s="21"/>
      <c r="I812" s="21"/>
      <c r="J812" s="21"/>
      <c r="K812" s="21"/>
      <c r="L812" s="21"/>
      <c r="M812" s="21"/>
      <c r="N812" s="21"/>
    </row>
    <row r="813">
      <c r="A813" s="21"/>
      <c r="B813" s="21"/>
      <c r="C813" s="21"/>
      <c r="D813" s="21"/>
      <c r="E813" s="21"/>
      <c r="F813" s="21"/>
      <c r="G813" s="21"/>
      <c r="H813" s="21"/>
      <c r="I813" s="21"/>
      <c r="J813" s="21"/>
      <c r="K813" s="21"/>
      <c r="L813" s="21"/>
      <c r="M813" s="21"/>
      <c r="N813" s="21"/>
    </row>
    <row r="814">
      <c r="A814" s="21"/>
      <c r="B814" s="21"/>
      <c r="C814" s="21"/>
      <c r="D814" s="21"/>
      <c r="E814" s="21"/>
      <c r="F814" s="21"/>
      <c r="G814" s="21"/>
      <c r="H814" s="21"/>
      <c r="I814" s="21"/>
      <c r="J814" s="21"/>
      <c r="K814" s="21"/>
      <c r="L814" s="21"/>
      <c r="M814" s="21"/>
      <c r="N814" s="21"/>
    </row>
    <row r="815">
      <c r="A815" s="21"/>
      <c r="B815" s="21"/>
      <c r="C815" s="21"/>
      <c r="D815" s="21"/>
      <c r="E815" s="21"/>
      <c r="F815" s="21"/>
      <c r="G815" s="21"/>
      <c r="H815" s="21"/>
      <c r="I815" s="21"/>
      <c r="J815" s="21"/>
      <c r="K815" s="21"/>
      <c r="L815" s="21"/>
      <c r="M815" s="21"/>
      <c r="N815" s="21"/>
    </row>
    <row r="816">
      <c r="A816" s="21"/>
      <c r="B816" s="21"/>
      <c r="C816" s="21"/>
      <c r="D816" s="21"/>
      <c r="E816" s="21"/>
      <c r="F816" s="21"/>
      <c r="G816" s="21"/>
      <c r="H816" s="21"/>
      <c r="I816" s="21"/>
      <c r="J816" s="21"/>
      <c r="K816" s="21"/>
      <c r="L816" s="21"/>
      <c r="M816" s="21"/>
      <c r="N816" s="21"/>
    </row>
    <row r="817">
      <c r="A817" s="21"/>
      <c r="B817" s="21"/>
      <c r="C817" s="21"/>
      <c r="D817" s="21"/>
      <c r="E817" s="21"/>
      <c r="F817" s="21"/>
      <c r="G817" s="21"/>
      <c r="H817" s="21"/>
      <c r="I817" s="21"/>
      <c r="J817" s="21"/>
      <c r="K817" s="21"/>
      <c r="L817" s="21"/>
      <c r="M817" s="21"/>
      <c r="N817" s="21"/>
    </row>
    <row r="818">
      <c r="A818" s="21"/>
      <c r="B818" s="21"/>
      <c r="C818" s="21"/>
      <c r="D818" s="21"/>
      <c r="E818" s="21"/>
      <c r="F818" s="21"/>
      <c r="G818" s="21"/>
      <c r="H818" s="21"/>
      <c r="I818" s="21"/>
      <c r="J818" s="21"/>
      <c r="K818" s="21"/>
      <c r="L818" s="21"/>
      <c r="M818" s="21"/>
      <c r="N818" s="21"/>
    </row>
    <row r="819">
      <c r="A819" s="21"/>
      <c r="B819" s="21"/>
      <c r="C819" s="21"/>
      <c r="D819" s="21"/>
      <c r="E819" s="21"/>
      <c r="F819" s="21"/>
      <c r="G819" s="21"/>
      <c r="H819" s="21"/>
      <c r="I819" s="21"/>
      <c r="J819" s="21"/>
      <c r="K819" s="21"/>
      <c r="L819" s="21"/>
      <c r="M819" s="21"/>
      <c r="N819" s="21"/>
    </row>
    <row r="820">
      <c r="A820" s="21"/>
      <c r="B820" s="21"/>
      <c r="C820" s="21"/>
      <c r="D820" s="21"/>
      <c r="E820" s="21"/>
      <c r="F820" s="21"/>
      <c r="G820" s="21"/>
      <c r="H820" s="21"/>
      <c r="I820" s="21"/>
      <c r="J820" s="21"/>
      <c r="K820" s="21"/>
      <c r="L820" s="21"/>
      <c r="M820" s="21"/>
      <c r="N820" s="21"/>
    </row>
    <row r="821">
      <c r="A821" s="21"/>
      <c r="B821" s="21"/>
      <c r="C821" s="21"/>
      <c r="D821" s="21"/>
      <c r="E821" s="21"/>
      <c r="F821" s="21"/>
      <c r="G821" s="21"/>
      <c r="H821" s="21"/>
      <c r="I821" s="21"/>
      <c r="J821" s="21"/>
      <c r="K821" s="21"/>
      <c r="L821" s="21"/>
      <c r="M821" s="21"/>
      <c r="N821" s="21"/>
    </row>
    <row r="822">
      <c r="A822" s="21"/>
      <c r="B822" s="21"/>
      <c r="C822" s="21"/>
      <c r="D822" s="21"/>
      <c r="E822" s="21"/>
      <c r="F822" s="21"/>
      <c r="G822" s="21"/>
      <c r="H822" s="21"/>
      <c r="I822" s="21"/>
      <c r="J822" s="21"/>
      <c r="K822" s="21"/>
      <c r="L822" s="21"/>
      <c r="M822" s="21"/>
      <c r="N822" s="21"/>
    </row>
    <row r="823">
      <c r="A823" s="21"/>
      <c r="B823" s="21"/>
      <c r="C823" s="21"/>
      <c r="D823" s="21"/>
      <c r="E823" s="21"/>
      <c r="F823" s="21"/>
      <c r="G823" s="21"/>
      <c r="H823" s="21"/>
      <c r="I823" s="21"/>
      <c r="J823" s="21"/>
      <c r="K823" s="21"/>
      <c r="L823" s="21"/>
      <c r="M823" s="21"/>
      <c r="N823" s="21"/>
    </row>
    <row r="824">
      <c r="A824" s="21"/>
      <c r="B824" s="21"/>
      <c r="C824" s="21"/>
      <c r="D824" s="21"/>
      <c r="E824" s="21"/>
      <c r="F824" s="21"/>
      <c r="G824" s="21"/>
      <c r="H824" s="21"/>
      <c r="I824" s="21"/>
      <c r="J824" s="21"/>
      <c r="K824" s="21"/>
      <c r="L824" s="21"/>
      <c r="M824" s="21"/>
      <c r="N824" s="21"/>
    </row>
    <row r="825">
      <c r="A825" s="21"/>
      <c r="B825" s="21"/>
      <c r="C825" s="21"/>
      <c r="D825" s="21"/>
      <c r="E825" s="21"/>
      <c r="F825" s="21"/>
      <c r="G825" s="21"/>
      <c r="H825" s="21"/>
      <c r="I825" s="21"/>
      <c r="J825" s="21"/>
      <c r="K825" s="21"/>
      <c r="L825" s="21"/>
      <c r="M825" s="21"/>
      <c r="N825" s="21"/>
    </row>
    <row r="826">
      <c r="A826" s="21"/>
      <c r="B826" s="21"/>
      <c r="C826" s="21"/>
      <c r="D826" s="21"/>
      <c r="E826" s="21"/>
      <c r="F826" s="21"/>
      <c r="G826" s="21"/>
      <c r="H826" s="21"/>
      <c r="I826" s="21"/>
      <c r="J826" s="21"/>
      <c r="K826" s="21"/>
      <c r="L826" s="21"/>
      <c r="M826" s="21"/>
      <c r="N826" s="21"/>
    </row>
    <row r="827">
      <c r="A827" s="21"/>
      <c r="B827" s="21"/>
      <c r="C827" s="21"/>
      <c r="D827" s="21"/>
      <c r="E827" s="21"/>
      <c r="F827" s="21"/>
      <c r="G827" s="21"/>
      <c r="H827" s="21"/>
      <c r="I827" s="21"/>
      <c r="J827" s="21"/>
      <c r="K827" s="21"/>
      <c r="L827" s="21"/>
      <c r="M827" s="21"/>
      <c r="N827" s="21"/>
    </row>
    <row r="828">
      <c r="A828" s="21"/>
      <c r="B828" s="21"/>
      <c r="C828" s="21"/>
      <c r="D828" s="21"/>
      <c r="E828" s="21"/>
      <c r="F828" s="21"/>
      <c r="G828" s="21"/>
      <c r="H828" s="21"/>
      <c r="I828" s="21"/>
      <c r="J828" s="21"/>
      <c r="K828" s="21"/>
      <c r="L828" s="21"/>
      <c r="M828" s="21"/>
      <c r="N828" s="21"/>
    </row>
    <row r="829">
      <c r="A829" s="21"/>
      <c r="B829" s="21"/>
      <c r="C829" s="21"/>
      <c r="D829" s="21"/>
      <c r="E829" s="21"/>
      <c r="F829" s="21"/>
      <c r="G829" s="21"/>
      <c r="H829" s="21"/>
      <c r="I829" s="21"/>
      <c r="J829" s="21"/>
      <c r="K829" s="21"/>
      <c r="L829" s="21"/>
      <c r="M829" s="21"/>
      <c r="N829" s="21"/>
    </row>
    <row r="830">
      <c r="A830" s="21"/>
      <c r="B830" s="21"/>
      <c r="C830" s="21"/>
      <c r="D830" s="21"/>
      <c r="E830" s="21"/>
      <c r="F830" s="21"/>
      <c r="G830" s="21"/>
      <c r="H830" s="21"/>
      <c r="I830" s="21"/>
      <c r="J830" s="21"/>
      <c r="K830" s="21"/>
      <c r="L830" s="21"/>
      <c r="M830" s="21"/>
      <c r="N830" s="21"/>
    </row>
    <row r="831">
      <c r="A831" s="21"/>
      <c r="B831" s="21"/>
      <c r="C831" s="21"/>
      <c r="D831" s="21"/>
      <c r="E831" s="21"/>
      <c r="F831" s="21"/>
      <c r="G831" s="21"/>
      <c r="H831" s="21"/>
      <c r="I831" s="21"/>
      <c r="J831" s="21"/>
      <c r="K831" s="21"/>
      <c r="L831" s="21"/>
      <c r="M831" s="21"/>
      <c r="N831" s="21"/>
    </row>
    <row r="832">
      <c r="A832" s="21"/>
      <c r="B832" s="21"/>
      <c r="C832" s="21"/>
      <c r="D832" s="21"/>
      <c r="E832" s="21"/>
      <c r="F832" s="21"/>
      <c r="G832" s="21"/>
      <c r="H832" s="21"/>
      <c r="I832" s="21"/>
      <c r="J832" s="21"/>
      <c r="K832" s="21"/>
      <c r="L832" s="21"/>
      <c r="M832" s="21"/>
      <c r="N832" s="21"/>
    </row>
    <row r="833">
      <c r="A833" s="21"/>
      <c r="B833" s="21"/>
      <c r="C833" s="21"/>
      <c r="D833" s="21"/>
      <c r="E833" s="21"/>
      <c r="F833" s="21"/>
      <c r="G833" s="21"/>
      <c r="H833" s="21"/>
      <c r="I833" s="21"/>
      <c r="J833" s="21"/>
      <c r="K833" s="21"/>
      <c r="L833" s="21"/>
      <c r="M833" s="21"/>
      <c r="N833" s="21"/>
    </row>
    <row r="834">
      <c r="A834" s="21"/>
      <c r="B834" s="21"/>
      <c r="C834" s="21"/>
      <c r="D834" s="21"/>
      <c r="E834" s="21"/>
      <c r="F834" s="21"/>
      <c r="G834" s="21"/>
      <c r="H834" s="21"/>
      <c r="I834" s="21"/>
      <c r="J834" s="21"/>
      <c r="K834" s="21"/>
      <c r="L834" s="21"/>
      <c r="M834" s="21"/>
      <c r="N834" s="21"/>
    </row>
    <row r="835">
      <c r="A835" s="21"/>
      <c r="B835" s="21"/>
      <c r="C835" s="21"/>
      <c r="D835" s="21"/>
      <c r="E835" s="21"/>
      <c r="F835" s="21"/>
      <c r="G835" s="21"/>
      <c r="H835" s="21"/>
      <c r="I835" s="21"/>
      <c r="J835" s="21"/>
      <c r="K835" s="21"/>
      <c r="L835" s="21"/>
      <c r="M835" s="21"/>
      <c r="N835" s="21"/>
    </row>
    <row r="836">
      <c r="A836" s="21"/>
      <c r="B836" s="21"/>
      <c r="C836" s="21"/>
      <c r="D836" s="21"/>
      <c r="E836" s="21"/>
      <c r="F836" s="21"/>
      <c r="G836" s="21"/>
      <c r="H836" s="21"/>
      <c r="I836" s="21"/>
      <c r="J836" s="21"/>
      <c r="K836" s="21"/>
      <c r="L836" s="21"/>
      <c r="M836" s="21"/>
      <c r="N836" s="21"/>
    </row>
    <row r="837">
      <c r="A837" s="21"/>
      <c r="B837" s="21"/>
      <c r="C837" s="21"/>
      <c r="D837" s="21"/>
      <c r="E837" s="21"/>
      <c r="F837" s="21"/>
      <c r="G837" s="21"/>
      <c r="H837" s="21"/>
      <c r="I837" s="21"/>
      <c r="J837" s="21"/>
      <c r="K837" s="21"/>
      <c r="L837" s="21"/>
      <c r="M837" s="21"/>
      <c r="N837" s="21"/>
    </row>
    <row r="838">
      <c r="A838" s="21"/>
      <c r="B838" s="21"/>
      <c r="C838" s="21"/>
      <c r="D838" s="21"/>
      <c r="E838" s="21"/>
      <c r="F838" s="21"/>
      <c r="G838" s="21"/>
      <c r="H838" s="21"/>
      <c r="I838" s="21"/>
      <c r="J838" s="21"/>
      <c r="K838" s="21"/>
      <c r="L838" s="21"/>
      <c r="M838" s="21"/>
      <c r="N838" s="21"/>
    </row>
    <row r="839">
      <c r="A839" s="21"/>
      <c r="B839" s="21"/>
      <c r="C839" s="21"/>
      <c r="D839" s="21"/>
      <c r="E839" s="21"/>
      <c r="F839" s="21"/>
      <c r="G839" s="21"/>
      <c r="H839" s="21"/>
      <c r="I839" s="21"/>
      <c r="J839" s="21"/>
      <c r="K839" s="21"/>
      <c r="L839" s="21"/>
      <c r="M839" s="21"/>
      <c r="N839" s="21"/>
    </row>
    <row r="840">
      <c r="A840" s="21"/>
      <c r="B840" s="21"/>
      <c r="C840" s="21"/>
      <c r="D840" s="21"/>
      <c r="E840" s="21"/>
      <c r="F840" s="21"/>
      <c r="G840" s="21"/>
      <c r="H840" s="21"/>
      <c r="I840" s="21"/>
      <c r="J840" s="21"/>
      <c r="K840" s="21"/>
      <c r="L840" s="21"/>
      <c r="M840" s="21"/>
      <c r="N840" s="21"/>
    </row>
    <row r="841">
      <c r="A841" s="21"/>
      <c r="B841" s="21"/>
      <c r="C841" s="21"/>
      <c r="D841" s="21"/>
      <c r="E841" s="21"/>
      <c r="F841" s="21"/>
      <c r="G841" s="21"/>
      <c r="H841" s="21"/>
      <c r="I841" s="21"/>
      <c r="J841" s="21"/>
      <c r="K841" s="21"/>
      <c r="L841" s="21"/>
      <c r="M841" s="21"/>
      <c r="N841" s="21"/>
    </row>
    <row r="842">
      <c r="A842" s="21"/>
      <c r="B842" s="21"/>
      <c r="C842" s="21"/>
      <c r="D842" s="21"/>
      <c r="E842" s="21"/>
      <c r="F842" s="21"/>
      <c r="G842" s="21"/>
      <c r="H842" s="21"/>
      <c r="I842" s="21"/>
      <c r="J842" s="21"/>
      <c r="K842" s="21"/>
      <c r="L842" s="21"/>
      <c r="M842" s="21"/>
      <c r="N842" s="21"/>
    </row>
    <row r="843">
      <c r="A843" s="21"/>
      <c r="B843" s="21"/>
      <c r="C843" s="21"/>
      <c r="D843" s="21"/>
      <c r="E843" s="21"/>
      <c r="F843" s="21"/>
      <c r="G843" s="21"/>
      <c r="H843" s="21"/>
      <c r="I843" s="21"/>
      <c r="J843" s="21"/>
      <c r="K843" s="21"/>
      <c r="L843" s="21"/>
      <c r="M843" s="21"/>
      <c r="N843" s="21"/>
    </row>
    <row r="844">
      <c r="A844" s="21"/>
      <c r="B844" s="21"/>
      <c r="C844" s="21"/>
      <c r="D844" s="21"/>
      <c r="E844" s="21"/>
      <c r="F844" s="21"/>
      <c r="G844" s="21"/>
      <c r="H844" s="21"/>
      <c r="I844" s="21"/>
      <c r="J844" s="21"/>
      <c r="K844" s="21"/>
      <c r="L844" s="21"/>
      <c r="M844" s="21"/>
      <c r="N844" s="21"/>
    </row>
    <row r="845">
      <c r="A845" s="21"/>
      <c r="B845" s="21"/>
      <c r="C845" s="21"/>
      <c r="D845" s="21"/>
      <c r="E845" s="21"/>
      <c r="F845" s="21"/>
      <c r="G845" s="21"/>
      <c r="H845" s="21"/>
      <c r="I845" s="21"/>
      <c r="J845" s="21"/>
      <c r="K845" s="21"/>
      <c r="L845" s="21"/>
      <c r="M845" s="21"/>
      <c r="N845" s="21"/>
    </row>
    <row r="846">
      <c r="A846" s="21"/>
      <c r="B846" s="21"/>
      <c r="C846" s="21"/>
      <c r="D846" s="21"/>
      <c r="E846" s="21"/>
      <c r="F846" s="21"/>
      <c r="G846" s="21"/>
      <c r="H846" s="21"/>
      <c r="I846" s="21"/>
      <c r="J846" s="21"/>
      <c r="K846" s="21"/>
      <c r="L846" s="21"/>
      <c r="M846" s="21"/>
      <c r="N846" s="21"/>
    </row>
    <row r="847">
      <c r="A847" s="21"/>
      <c r="B847" s="21"/>
      <c r="C847" s="21"/>
      <c r="D847" s="21"/>
      <c r="E847" s="21"/>
      <c r="F847" s="21"/>
      <c r="G847" s="21"/>
      <c r="H847" s="21"/>
      <c r="I847" s="21"/>
      <c r="J847" s="21"/>
      <c r="K847" s="21"/>
      <c r="L847" s="21"/>
      <c r="M847" s="21"/>
      <c r="N847" s="21"/>
    </row>
    <row r="848">
      <c r="A848" s="21"/>
      <c r="B848" s="21"/>
      <c r="C848" s="21"/>
      <c r="D848" s="21"/>
      <c r="E848" s="21"/>
      <c r="F848" s="21"/>
      <c r="G848" s="21"/>
      <c r="H848" s="21"/>
      <c r="I848" s="21"/>
      <c r="J848" s="21"/>
      <c r="K848" s="21"/>
      <c r="L848" s="21"/>
      <c r="M848" s="21"/>
      <c r="N848" s="21"/>
    </row>
    <row r="849">
      <c r="A849" s="21"/>
      <c r="B849" s="21"/>
      <c r="C849" s="21"/>
      <c r="D849" s="21"/>
      <c r="E849" s="21"/>
      <c r="F849" s="21"/>
      <c r="G849" s="21"/>
      <c r="H849" s="21"/>
      <c r="I849" s="21"/>
      <c r="J849" s="21"/>
      <c r="K849" s="21"/>
      <c r="L849" s="21"/>
      <c r="M849" s="21"/>
      <c r="N849" s="21"/>
    </row>
    <row r="850">
      <c r="A850" s="21"/>
      <c r="B850" s="21"/>
      <c r="C850" s="21"/>
      <c r="D850" s="21"/>
      <c r="E850" s="21"/>
      <c r="F850" s="21"/>
      <c r="G850" s="21"/>
      <c r="H850" s="21"/>
      <c r="I850" s="21"/>
      <c r="J850" s="21"/>
      <c r="K850" s="21"/>
      <c r="L850" s="21"/>
      <c r="M850" s="21"/>
      <c r="N850" s="21"/>
    </row>
    <row r="851">
      <c r="A851" s="21"/>
      <c r="B851" s="21"/>
      <c r="C851" s="21"/>
      <c r="D851" s="21"/>
      <c r="E851" s="21"/>
      <c r="F851" s="21"/>
      <c r="G851" s="21"/>
      <c r="H851" s="21"/>
      <c r="I851" s="21"/>
      <c r="J851" s="21"/>
      <c r="K851" s="21"/>
      <c r="L851" s="21"/>
      <c r="M851" s="21"/>
      <c r="N851" s="21"/>
    </row>
    <row r="852">
      <c r="A852" s="21"/>
      <c r="B852" s="21"/>
      <c r="C852" s="21"/>
      <c r="D852" s="21"/>
      <c r="E852" s="21"/>
      <c r="F852" s="21"/>
      <c r="G852" s="21"/>
      <c r="H852" s="21"/>
      <c r="I852" s="21"/>
      <c r="J852" s="21"/>
      <c r="K852" s="21"/>
      <c r="L852" s="21"/>
      <c r="M852" s="21"/>
      <c r="N852" s="21"/>
    </row>
    <row r="853">
      <c r="A853" s="21"/>
      <c r="B853" s="21"/>
      <c r="C853" s="21"/>
      <c r="D853" s="21"/>
      <c r="E853" s="21"/>
      <c r="F853" s="21"/>
      <c r="G853" s="21"/>
      <c r="H853" s="21"/>
      <c r="I853" s="21"/>
      <c r="J853" s="21"/>
      <c r="K853" s="21"/>
      <c r="L853" s="21"/>
      <c r="M853" s="21"/>
      <c r="N853" s="21"/>
    </row>
    <row r="854">
      <c r="A854" s="21"/>
      <c r="B854" s="21"/>
      <c r="C854" s="21"/>
      <c r="D854" s="21"/>
      <c r="E854" s="21"/>
      <c r="F854" s="21"/>
      <c r="G854" s="21"/>
      <c r="H854" s="21"/>
      <c r="I854" s="21"/>
      <c r="J854" s="21"/>
      <c r="K854" s="21"/>
      <c r="L854" s="21"/>
      <c r="M854" s="21"/>
      <c r="N854" s="21"/>
    </row>
    <row r="855">
      <c r="A855" s="21"/>
      <c r="B855" s="21"/>
      <c r="C855" s="21"/>
      <c r="D855" s="21"/>
      <c r="E855" s="21"/>
      <c r="F855" s="21"/>
      <c r="G855" s="21"/>
      <c r="H855" s="21"/>
      <c r="I855" s="21"/>
      <c r="J855" s="21"/>
      <c r="K855" s="21"/>
      <c r="L855" s="21"/>
      <c r="M855" s="21"/>
      <c r="N855" s="21"/>
    </row>
    <row r="856">
      <c r="A856" s="21"/>
      <c r="B856" s="21"/>
      <c r="C856" s="21"/>
      <c r="D856" s="21"/>
      <c r="E856" s="21"/>
      <c r="F856" s="21"/>
      <c r="G856" s="21"/>
      <c r="H856" s="21"/>
      <c r="I856" s="21"/>
      <c r="J856" s="21"/>
      <c r="K856" s="21"/>
      <c r="L856" s="21"/>
      <c r="M856" s="21"/>
      <c r="N856" s="21"/>
    </row>
    <row r="857">
      <c r="A857" s="21"/>
      <c r="B857" s="21"/>
      <c r="C857" s="21"/>
      <c r="D857" s="21"/>
      <c r="E857" s="21"/>
      <c r="F857" s="21"/>
      <c r="G857" s="21"/>
      <c r="H857" s="21"/>
      <c r="I857" s="21"/>
      <c r="J857" s="21"/>
      <c r="K857" s="21"/>
      <c r="L857" s="21"/>
      <c r="M857" s="21"/>
      <c r="N857" s="21"/>
    </row>
    <row r="858">
      <c r="A858" s="21"/>
      <c r="B858" s="21"/>
      <c r="C858" s="21"/>
      <c r="D858" s="21"/>
      <c r="E858" s="21"/>
      <c r="F858" s="21"/>
      <c r="G858" s="21"/>
      <c r="H858" s="21"/>
      <c r="I858" s="21"/>
      <c r="J858" s="21"/>
      <c r="K858" s="21"/>
      <c r="L858" s="21"/>
      <c r="M858" s="21"/>
      <c r="N858" s="21"/>
    </row>
    <row r="859">
      <c r="A859" s="21"/>
      <c r="B859" s="21"/>
      <c r="C859" s="21"/>
      <c r="D859" s="21"/>
      <c r="E859" s="21"/>
      <c r="F859" s="21"/>
      <c r="G859" s="21"/>
      <c r="H859" s="21"/>
      <c r="I859" s="21"/>
      <c r="J859" s="21"/>
      <c r="K859" s="21"/>
      <c r="L859" s="21"/>
      <c r="M859" s="21"/>
      <c r="N859" s="21"/>
    </row>
    <row r="860">
      <c r="A860" s="21"/>
      <c r="B860" s="21"/>
      <c r="C860" s="21"/>
      <c r="D860" s="21"/>
      <c r="E860" s="21"/>
      <c r="F860" s="21"/>
      <c r="G860" s="21"/>
      <c r="H860" s="21"/>
      <c r="I860" s="21"/>
      <c r="J860" s="21"/>
      <c r="K860" s="21"/>
      <c r="L860" s="21"/>
      <c r="M860" s="21"/>
      <c r="N860" s="21"/>
    </row>
    <row r="861">
      <c r="A861" s="21"/>
      <c r="B861" s="21"/>
      <c r="C861" s="21"/>
      <c r="D861" s="21"/>
      <c r="E861" s="21"/>
      <c r="F861" s="21"/>
      <c r="G861" s="21"/>
      <c r="H861" s="21"/>
      <c r="I861" s="21"/>
      <c r="J861" s="21"/>
      <c r="K861" s="21"/>
      <c r="L861" s="21"/>
      <c r="M861" s="21"/>
      <c r="N861" s="21"/>
    </row>
    <row r="862">
      <c r="A862" s="21"/>
      <c r="B862" s="21"/>
      <c r="C862" s="21"/>
      <c r="D862" s="21"/>
      <c r="E862" s="21"/>
      <c r="F862" s="21"/>
      <c r="G862" s="21"/>
      <c r="H862" s="21"/>
      <c r="I862" s="21"/>
      <c r="J862" s="21"/>
      <c r="K862" s="21"/>
      <c r="L862" s="21"/>
      <c r="M862" s="21"/>
      <c r="N862" s="21"/>
    </row>
    <row r="863">
      <c r="A863" s="21"/>
      <c r="B863" s="21"/>
      <c r="C863" s="21"/>
      <c r="D863" s="21"/>
      <c r="E863" s="21"/>
      <c r="F863" s="21"/>
      <c r="G863" s="21"/>
      <c r="H863" s="21"/>
      <c r="I863" s="21"/>
      <c r="J863" s="21"/>
      <c r="K863" s="21"/>
      <c r="L863" s="21"/>
      <c r="M863" s="21"/>
      <c r="N863" s="21"/>
    </row>
    <row r="864">
      <c r="A864" s="21"/>
      <c r="B864" s="21"/>
      <c r="C864" s="21"/>
      <c r="D864" s="21"/>
      <c r="E864" s="21"/>
      <c r="F864" s="21"/>
      <c r="G864" s="21"/>
      <c r="H864" s="21"/>
      <c r="I864" s="21"/>
      <c r="J864" s="21"/>
      <c r="K864" s="21"/>
      <c r="L864" s="21"/>
      <c r="M864" s="21"/>
      <c r="N864" s="21"/>
    </row>
    <row r="865">
      <c r="A865" s="21"/>
      <c r="B865" s="21"/>
      <c r="C865" s="21"/>
      <c r="D865" s="21"/>
      <c r="E865" s="21"/>
      <c r="F865" s="21"/>
      <c r="G865" s="21"/>
      <c r="H865" s="21"/>
      <c r="I865" s="21"/>
      <c r="J865" s="21"/>
      <c r="K865" s="21"/>
      <c r="L865" s="21"/>
      <c r="M865" s="21"/>
      <c r="N865" s="21"/>
    </row>
    <row r="866">
      <c r="A866" s="21"/>
      <c r="B866" s="21"/>
      <c r="C866" s="21"/>
      <c r="D866" s="21"/>
      <c r="E866" s="21"/>
      <c r="F866" s="21"/>
      <c r="G866" s="21"/>
      <c r="H866" s="21"/>
      <c r="I866" s="21"/>
      <c r="J866" s="21"/>
      <c r="K866" s="21"/>
      <c r="L866" s="21"/>
      <c r="M866" s="21"/>
      <c r="N866" s="21"/>
    </row>
    <row r="867">
      <c r="A867" s="21"/>
      <c r="B867" s="21"/>
      <c r="C867" s="21"/>
      <c r="D867" s="21"/>
      <c r="E867" s="21"/>
      <c r="F867" s="21"/>
      <c r="G867" s="21"/>
      <c r="H867" s="21"/>
      <c r="I867" s="21"/>
      <c r="J867" s="21"/>
      <c r="K867" s="21"/>
      <c r="L867" s="21"/>
      <c r="M867" s="21"/>
      <c r="N867" s="21"/>
    </row>
    <row r="868">
      <c r="A868" s="21"/>
      <c r="B868" s="21"/>
      <c r="C868" s="21"/>
      <c r="D868" s="21"/>
      <c r="E868" s="21"/>
      <c r="F868" s="21"/>
      <c r="G868" s="21"/>
      <c r="H868" s="21"/>
      <c r="I868" s="21"/>
      <c r="J868" s="21"/>
      <c r="K868" s="21"/>
      <c r="L868" s="21"/>
      <c r="M868" s="21"/>
      <c r="N868" s="21"/>
    </row>
    <row r="869">
      <c r="A869" s="21"/>
      <c r="B869" s="21"/>
      <c r="C869" s="21"/>
      <c r="D869" s="21"/>
      <c r="E869" s="21"/>
      <c r="F869" s="21"/>
      <c r="G869" s="21"/>
      <c r="H869" s="21"/>
      <c r="I869" s="21"/>
      <c r="J869" s="21"/>
      <c r="K869" s="21"/>
      <c r="L869" s="21"/>
      <c r="M869" s="21"/>
      <c r="N869" s="21"/>
    </row>
    <row r="870">
      <c r="A870" s="21"/>
      <c r="B870" s="21"/>
      <c r="C870" s="21"/>
      <c r="D870" s="21"/>
      <c r="E870" s="21"/>
      <c r="F870" s="21"/>
      <c r="G870" s="21"/>
      <c r="H870" s="21"/>
      <c r="I870" s="21"/>
      <c r="J870" s="21"/>
      <c r="K870" s="21"/>
      <c r="L870" s="21"/>
      <c r="M870" s="21"/>
      <c r="N870" s="21"/>
    </row>
    <row r="871">
      <c r="A871" s="21"/>
      <c r="B871" s="21"/>
      <c r="C871" s="21"/>
      <c r="D871" s="21"/>
      <c r="E871" s="21"/>
      <c r="F871" s="21"/>
      <c r="G871" s="21"/>
      <c r="H871" s="21"/>
      <c r="I871" s="21"/>
      <c r="J871" s="21"/>
      <c r="K871" s="21"/>
      <c r="L871" s="21"/>
      <c r="M871" s="21"/>
      <c r="N871" s="21"/>
    </row>
    <row r="872">
      <c r="A872" s="21"/>
      <c r="B872" s="21"/>
      <c r="C872" s="21"/>
      <c r="D872" s="21"/>
      <c r="E872" s="21"/>
      <c r="F872" s="21"/>
      <c r="G872" s="21"/>
      <c r="H872" s="21"/>
      <c r="I872" s="21"/>
      <c r="J872" s="21"/>
      <c r="K872" s="21"/>
      <c r="L872" s="21"/>
      <c r="M872" s="21"/>
      <c r="N872" s="21"/>
    </row>
    <row r="873">
      <c r="A873" s="21"/>
      <c r="B873" s="21"/>
      <c r="C873" s="21"/>
      <c r="D873" s="21"/>
      <c r="E873" s="21"/>
      <c r="F873" s="21"/>
      <c r="G873" s="21"/>
      <c r="H873" s="21"/>
      <c r="I873" s="21"/>
      <c r="J873" s="21"/>
      <c r="K873" s="21"/>
      <c r="L873" s="21"/>
      <c r="M873" s="21"/>
      <c r="N873" s="21"/>
    </row>
    <row r="874">
      <c r="A874" s="21"/>
      <c r="B874" s="21"/>
      <c r="C874" s="21"/>
      <c r="D874" s="21"/>
      <c r="E874" s="21"/>
      <c r="F874" s="21"/>
      <c r="G874" s="21"/>
      <c r="H874" s="21"/>
      <c r="I874" s="21"/>
      <c r="J874" s="21"/>
      <c r="K874" s="21"/>
      <c r="L874" s="21"/>
      <c r="M874" s="21"/>
      <c r="N874" s="21"/>
    </row>
    <row r="875">
      <c r="A875" s="21"/>
      <c r="B875" s="21"/>
      <c r="C875" s="21"/>
      <c r="D875" s="21"/>
      <c r="E875" s="21"/>
      <c r="F875" s="21"/>
      <c r="G875" s="21"/>
      <c r="H875" s="21"/>
      <c r="I875" s="21"/>
      <c r="J875" s="21"/>
      <c r="K875" s="21"/>
      <c r="L875" s="21"/>
      <c r="M875" s="21"/>
      <c r="N875" s="21"/>
    </row>
    <row r="876">
      <c r="A876" s="21"/>
      <c r="B876" s="21"/>
      <c r="C876" s="21"/>
      <c r="D876" s="21"/>
      <c r="E876" s="21"/>
      <c r="F876" s="21"/>
      <c r="G876" s="21"/>
      <c r="H876" s="21"/>
      <c r="I876" s="21"/>
      <c r="J876" s="21"/>
      <c r="K876" s="21"/>
      <c r="L876" s="21"/>
      <c r="M876" s="21"/>
      <c r="N876" s="21"/>
    </row>
    <row r="877">
      <c r="A877" s="21"/>
      <c r="B877" s="21"/>
      <c r="C877" s="21"/>
      <c r="D877" s="21"/>
      <c r="E877" s="21"/>
      <c r="F877" s="21"/>
      <c r="G877" s="21"/>
      <c r="H877" s="21"/>
      <c r="I877" s="21"/>
      <c r="J877" s="21"/>
      <c r="K877" s="21"/>
      <c r="L877" s="21"/>
      <c r="M877" s="21"/>
      <c r="N877" s="21"/>
    </row>
    <row r="878">
      <c r="A878" s="21"/>
      <c r="B878" s="21"/>
      <c r="C878" s="21"/>
      <c r="D878" s="21"/>
      <c r="E878" s="21"/>
      <c r="F878" s="21"/>
      <c r="G878" s="21"/>
      <c r="H878" s="21"/>
      <c r="I878" s="21"/>
      <c r="J878" s="21"/>
      <c r="K878" s="21"/>
      <c r="L878" s="21"/>
      <c r="M878" s="21"/>
      <c r="N878" s="21"/>
    </row>
    <row r="879">
      <c r="A879" s="21"/>
      <c r="B879" s="21"/>
      <c r="C879" s="21"/>
      <c r="D879" s="21"/>
      <c r="E879" s="21"/>
      <c r="F879" s="21"/>
      <c r="G879" s="21"/>
      <c r="H879" s="21"/>
      <c r="I879" s="21"/>
      <c r="J879" s="21"/>
      <c r="K879" s="21"/>
      <c r="L879" s="21"/>
      <c r="M879" s="21"/>
      <c r="N879" s="21"/>
    </row>
    <row r="880">
      <c r="A880" s="21"/>
      <c r="B880" s="21"/>
      <c r="C880" s="21"/>
      <c r="D880" s="21"/>
      <c r="E880" s="21"/>
      <c r="F880" s="21"/>
      <c r="G880" s="21"/>
      <c r="H880" s="21"/>
      <c r="I880" s="21"/>
      <c r="J880" s="21"/>
      <c r="K880" s="21"/>
      <c r="L880" s="21"/>
      <c r="M880" s="21"/>
      <c r="N880" s="21"/>
    </row>
    <row r="881">
      <c r="A881" s="21"/>
      <c r="B881" s="21"/>
      <c r="C881" s="21"/>
      <c r="D881" s="21"/>
      <c r="E881" s="21"/>
      <c r="F881" s="21"/>
      <c r="G881" s="21"/>
      <c r="H881" s="21"/>
      <c r="I881" s="21"/>
      <c r="J881" s="21"/>
      <c r="K881" s="21"/>
      <c r="L881" s="21"/>
      <c r="M881" s="21"/>
      <c r="N881" s="21"/>
    </row>
    <row r="882">
      <c r="A882" s="21"/>
      <c r="B882" s="21"/>
      <c r="C882" s="21"/>
      <c r="D882" s="21"/>
      <c r="E882" s="21"/>
      <c r="F882" s="21"/>
      <c r="G882" s="21"/>
      <c r="H882" s="21"/>
      <c r="I882" s="21"/>
      <c r="J882" s="21"/>
      <c r="K882" s="21"/>
      <c r="L882" s="21"/>
      <c r="M882" s="21"/>
      <c r="N882" s="21"/>
    </row>
    <row r="883">
      <c r="A883" s="21"/>
      <c r="B883" s="21"/>
      <c r="C883" s="21"/>
      <c r="D883" s="21"/>
      <c r="E883" s="21"/>
      <c r="F883" s="21"/>
      <c r="G883" s="21"/>
      <c r="H883" s="21"/>
      <c r="I883" s="21"/>
      <c r="J883" s="21"/>
      <c r="K883" s="21"/>
      <c r="L883" s="21"/>
      <c r="M883" s="21"/>
      <c r="N883" s="21"/>
    </row>
    <row r="884">
      <c r="A884" s="21"/>
      <c r="B884" s="21"/>
      <c r="C884" s="21"/>
      <c r="D884" s="21"/>
      <c r="E884" s="21"/>
      <c r="F884" s="21"/>
      <c r="G884" s="21"/>
      <c r="H884" s="21"/>
      <c r="I884" s="21"/>
      <c r="J884" s="21"/>
      <c r="K884" s="21"/>
      <c r="L884" s="21"/>
      <c r="M884" s="21"/>
      <c r="N884" s="21"/>
    </row>
    <row r="885">
      <c r="A885" s="21"/>
      <c r="B885" s="21"/>
      <c r="C885" s="21"/>
      <c r="D885" s="21"/>
      <c r="E885" s="21"/>
      <c r="F885" s="21"/>
      <c r="G885" s="21"/>
      <c r="H885" s="21"/>
      <c r="I885" s="21"/>
      <c r="J885" s="21"/>
      <c r="K885" s="21"/>
      <c r="L885" s="21"/>
      <c r="M885" s="21"/>
      <c r="N885" s="21"/>
    </row>
    <row r="886">
      <c r="A886" s="21"/>
      <c r="B886" s="21"/>
      <c r="C886" s="21"/>
      <c r="D886" s="21"/>
      <c r="E886" s="21"/>
      <c r="F886" s="21"/>
      <c r="G886" s="21"/>
      <c r="H886" s="21"/>
      <c r="I886" s="21"/>
      <c r="J886" s="21"/>
      <c r="K886" s="21"/>
      <c r="L886" s="21"/>
      <c r="M886" s="21"/>
      <c r="N886" s="21"/>
    </row>
    <row r="887">
      <c r="A887" s="21"/>
      <c r="B887" s="21"/>
      <c r="C887" s="21"/>
      <c r="D887" s="21"/>
      <c r="E887" s="21"/>
      <c r="F887" s="21"/>
      <c r="G887" s="21"/>
      <c r="H887" s="21"/>
      <c r="I887" s="21"/>
      <c r="J887" s="21"/>
      <c r="K887" s="21"/>
      <c r="L887" s="21"/>
      <c r="M887" s="21"/>
      <c r="N887" s="21"/>
    </row>
    <row r="888">
      <c r="A888" s="21"/>
      <c r="B888" s="21"/>
      <c r="C888" s="21"/>
      <c r="D888" s="21"/>
      <c r="E888" s="21"/>
      <c r="F888" s="21"/>
      <c r="G888" s="21"/>
      <c r="H888" s="21"/>
      <c r="I888" s="21"/>
      <c r="J888" s="21"/>
      <c r="K888" s="21"/>
      <c r="L888" s="21"/>
      <c r="M888" s="21"/>
      <c r="N888" s="21"/>
    </row>
    <row r="889">
      <c r="A889" s="21"/>
      <c r="B889" s="21"/>
      <c r="C889" s="21"/>
      <c r="D889" s="21"/>
      <c r="E889" s="21"/>
      <c r="F889" s="21"/>
      <c r="G889" s="21"/>
      <c r="H889" s="21"/>
      <c r="I889" s="21"/>
      <c r="J889" s="21"/>
      <c r="K889" s="21"/>
      <c r="L889" s="21"/>
      <c r="M889" s="21"/>
      <c r="N889" s="21"/>
    </row>
    <row r="890">
      <c r="A890" s="21"/>
      <c r="B890" s="21"/>
      <c r="C890" s="21"/>
      <c r="D890" s="21"/>
      <c r="E890" s="21"/>
      <c r="F890" s="21"/>
      <c r="G890" s="21"/>
      <c r="H890" s="21"/>
      <c r="I890" s="21"/>
      <c r="J890" s="21"/>
      <c r="K890" s="21"/>
      <c r="L890" s="21"/>
      <c r="M890" s="21"/>
      <c r="N890" s="21"/>
    </row>
    <row r="891">
      <c r="A891" s="21"/>
      <c r="B891" s="21"/>
      <c r="C891" s="21"/>
      <c r="D891" s="21"/>
      <c r="E891" s="21"/>
      <c r="F891" s="21"/>
      <c r="G891" s="21"/>
      <c r="H891" s="21"/>
      <c r="I891" s="21"/>
      <c r="J891" s="21"/>
      <c r="K891" s="21"/>
      <c r="L891" s="21"/>
      <c r="M891" s="21"/>
      <c r="N891" s="21"/>
    </row>
    <row r="892">
      <c r="A892" s="21"/>
      <c r="B892" s="21"/>
      <c r="C892" s="21"/>
      <c r="D892" s="21"/>
      <c r="E892" s="21"/>
      <c r="F892" s="21"/>
      <c r="G892" s="21"/>
      <c r="H892" s="21"/>
      <c r="I892" s="21"/>
      <c r="J892" s="21"/>
      <c r="K892" s="21"/>
      <c r="L892" s="21"/>
      <c r="M892" s="21"/>
      <c r="N892" s="21"/>
    </row>
    <row r="893">
      <c r="A893" s="21"/>
      <c r="B893" s="21"/>
      <c r="C893" s="21"/>
      <c r="D893" s="21"/>
      <c r="E893" s="21"/>
      <c r="F893" s="21"/>
      <c r="G893" s="21"/>
      <c r="H893" s="21"/>
      <c r="I893" s="21"/>
      <c r="J893" s="21"/>
      <c r="K893" s="21"/>
      <c r="L893" s="21"/>
      <c r="M893" s="21"/>
      <c r="N893" s="21"/>
    </row>
    <row r="894">
      <c r="A894" s="21"/>
      <c r="B894" s="21"/>
      <c r="C894" s="21"/>
      <c r="D894" s="21"/>
      <c r="E894" s="21"/>
      <c r="F894" s="21"/>
      <c r="G894" s="21"/>
      <c r="H894" s="21"/>
      <c r="I894" s="21"/>
      <c r="J894" s="21"/>
      <c r="K894" s="21"/>
      <c r="L894" s="21"/>
      <c r="M894" s="21"/>
      <c r="N894" s="21"/>
    </row>
    <row r="895">
      <c r="A895" s="21"/>
      <c r="B895" s="21"/>
      <c r="C895" s="21"/>
      <c r="D895" s="21"/>
      <c r="E895" s="21"/>
      <c r="F895" s="21"/>
      <c r="G895" s="21"/>
      <c r="H895" s="21"/>
      <c r="I895" s="21"/>
      <c r="J895" s="21"/>
      <c r="K895" s="21"/>
      <c r="L895" s="21"/>
      <c r="M895" s="21"/>
      <c r="N895" s="21"/>
    </row>
    <row r="896">
      <c r="A896" s="21"/>
      <c r="B896" s="21"/>
      <c r="C896" s="21"/>
      <c r="D896" s="21"/>
      <c r="E896" s="21"/>
      <c r="F896" s="21"/>
      <c r="G896" s="21"/>
      <c r="H896" s="21"/>
      <c r="I896" s="21"/>
      <c r="J896" s="21"/>
      <c r="K896" s="21"/>
      <c r="L896" s="21"/>
      <c r="M896" s="21"/>
      <c r="N896" s="21"/>
    </row>
    <row r="897">
      <c r="A897" s="21"/>
      <c r="B897" s="21"/>
      <c r="C897" s="21"/>
      <c r="D897" s="21"/>
      <c r="E897" s="21"/>
      <c r="F897" s="21"/>
      <c r="G897" s="21"/>
      <c r="H897" s="21"/>
      <c r="I897" s="21"/>
      <c r="J897" s="21"/>
      <c r="K897" s="21"/>
      <c r="L897" s="21"/>
      <c r="M897" s="21"/>
      <c r="N897" s="21"/>
    </row>
    <row r="898">
      <c r="A898" s="21"/>
      <c r="B898" s="21"/>
      <c r="C898" s="21"/>
      <c r="D898" s="21"/>
      <c r="E898" s="21"/>
      <c r="F898" s="21"/>
      <c r="G898" s="21"/>
      <c r="H898" s="21"/>
      <c r="I898" s="21"/>
      <c r="J898" s="21"/>
      <c r="K898" s="21"/>
      <c r="L898" s="21"/>
      <c r="M898" s="21"/>
      <c r="N898" s="21"/>
    </row>
    <row r="899">
      <c r="A899" s="21"/>
      <c r="B899" s="21"/>
      <c r="C899" s="21"/>
      <c r="D899" s="21"/>
      <c r="E899" s="21"/>
      <c r="F899" s="21"/>
      <c r="G899" s="21"/>
      <c r="H899" s="21"/>
      <c r="I899" s="21"/>
      <c r="J899" s="21"/>
      <c r="K899" s="21"/>
      <c r="L899" s="21"/>
      <c r="M899" s="21"/>
      <c r="N899" s="21"/>
    </row>
    <row r="900">
      <c r="A900" s="21"/>
      <c r="B900" s="21"/>
      <c r="C900" s="21"/>
      <c r="D900" s="21"/>
      <c r="E900" s="21"/>
      <c r="F900" s="21"/>
      <c r="G900" s="21"/>
      <c r="H900" s="21"/>
      <c r="I900" s="21"/>
      <c r="J900" s="21"/>
      <c r="K900" s="21"/>
      <c r="L900" s="21"/>
      <c r="M900" s="21"/>
      <c r="N900" s="21"/>
    </row>
    <row r="901">
      <c r="A901" s="21"/>
      <c r="B901" s="21"/>
      <c r="C901" s="21"/>
      <c r="D901" s="21"/>
      <c r="E901" s="21"/>
      <c r="F901" s="21"/>
      <c r="G901" s="21"/>
      <c r="H901" s="21"/>
      <c r="I901" s="21"/>
      <c r="J901" s="21"/>
      <c r="K901" s="21"/>
      <c r="L901" s="21"/>
      <c r="M901" s="21"/>
      <c r="N901" s="21"/>
    </row>
    <row r="902">
      <c r="A902" s="21"/>
      <c r="B902" s="21"/>
      <c r="C902" s="21"/>
      <c r="D902" s="21"/>
      <c r="E902" s="21"/>
      <c r="F902" s="21"/>
      <c r="G902" s="21"/>
      <c r="H902" s="21"/>
      <c r="I902" s="21"/>
      <c r="J902" s="21"/>
      <c r="K902" s="21"/>
      <c r="L902" s="21"/>
      <c r="M902" s="21"/>
      <c r="N902" s="21"/>
    </row>
    <row r="903">
      <c r="A903" s="21"/>
      <c r="B903" s="21"/>
      <c r="C903" s="21"/>
      <c r="D903" s="21"/>
      <c r="E903" s="21"/>
      <c r="F903" s="21"/>
      <c r="G903" s="21"/>
      <c r="H903" s="21"/>
      <c r="I903" s="21"/>
      <c r="J903" s="21"/>
      <c r="K903" s="21"/>
      <c r="L903" s="21"/>
      <c r="M903" s="21"/>
      <c r="N903" s="21"/>
    </row>
    <row r="904">
      <c r="A904" s="21"/>
      <c r="B904" s="21"/>
      <c r="C904" s="21"/>
      <c r="D904" s="21"/>
      <c r="E904" s="21"/>
      <c r="F904" s="21"/>
      <c r="G904" s="21"/>
      <c r="H904" s="21"/>
      <c r="I904" s="21"/>
      <c r="J904" s="21"/>
      <c r="K904" s="21"/>
      <c r="L904" s="21"/>
      <c r="M904" s="21"/>
      <c r="N904" s="21"/>
    </row>
    <row r="905">
      <c r="A905" s="21"/>
      <c r="B905" s="21"/>
      <c r="C905" s="21"/>
      <c r="D905" s="21"/>
      <c r="E905" s="21"/>
      <c r="F905" s="21"/>
      <c r="G905" s="21"/>
      <c r="H905" s="21"/>
      <c r="I905" s="21"/>
      <c r="J905" s="21"/>
      <c r="K905" s="21"/>
      <c r="L905" s="21"/>
      <c r="M905" s="21"/>
      <c r="N905" s="21"/>
    </row>
    <row r="906">
      <c r="A906" s="21"/>
      <c r="B906" s="21"/>
      <c r="C906" s="21"/>
      <c r="D906" s="21"/>
      <c r="E906" s="21"/>
      <c r="F906" s="21"/>
      <c r="G906" s="21"/>
      <c r="H906" s="21"/>
      <c r="I906" s="21"/>
      <c r="J906" s="21"/>
      <c r="K906" s="21"/>
      <c r="L906" s="21"/>
      <c r="M906" s="21"/>
      <c r="N906" s="21"/>
    </row>
    <row r="907">
      <c r="A907" s="21"/>
      <c r="B907" s="21"/>
      <c r="C907" s="21"/>
      <c r="D907" s="21"/>
      <c r="E907" s="21"/>
      <c r="F907" s="21"/>
      <c r="G907" s="21"/>
      <c r="H907" s="21"/>
      <c r="I907" s="21"/>
      <c r="J907" s="21"/>
      <c r="K907" s="21"/>
      <c r="L907" s="21"/>
      <c r="M907" s="21"/>
      <c r="N907" s="21"/>
    </row>
    <row r="908">
      <c r="A908" s="21"/>
      <c r="B908" s="21"/>
      <c r="C908" s="21"/>
      <c r="D908" s="21"/>
      <c r="E908" s="21"/>
      <c r="F908" s="21"/>
      <c r="G908" s="21"/>
      <c r="H908" s="21"/>
      <c r="I908" s="21"/>
      <c r="J908" s="21"/>
      <c r="K908" s="21"/>
      <c r="L908" s="21"/>
      <c r="M908" s="21"/>
      <c r="N908" s="21"/>
    </row>
    <row r="909">
      <c r="A909" s="21"/>
      <c r="B909" s="21"/>
      <c r="C909" s="21"/>
      <c r="D909" s="21"/>
      <c r="E909" s="21"/>
      <c r="F909" s="21"/>
      <c r="G909" s="21"/>
      <c r="H909" s="21"/>
      <c r="I909" s="21"/>
      <c r="J909" s="21"/>
      <c r="K909" s="21"/>
      <c r="L909" s="21"/>
      <c r="M909" s="21"/>
      <c r="N909" s="21"/>
    </row>
    <row r="910">
      <c r="A910" s="21"/>
      <c r="B910" s="21"/>
      <c r="C910" s="21"/>
      <c r="D910" s="21"/>
      <c r="E910" s="21"/>
      <c r="F910" s="21"/>
      <c r="G910" s="21"/>
      <c r="H910" s="21"/>
      <c r="I910" s="21"/>
      <c r="J910" s="21"/>
      <c r="K910" s="21"/>
      <c r="L910" s="21"/>
      <c r="M910" s="21"/>
      <c r="N910" s="21"/>
    </row>
    <row r="911">
      <c r="A911" s="21"/>
      <c r="B911" s="21"/>
      <c r="C911" s="21"/>
      <c r="D911" s="21"/>
      <c r="E911" s="21"/>
      <c r="F911" s="21"/>
      <c r="G911" s="21"/>
      <c r="H911" s="21"/>
      <c r="I911" s="21"/>
      <c r="J911" s="21"/>
      <c r="K911" s="21"/>
      <c r="L911" s="21"/>
      <c r="M911" s="21"/>
      <c r="N911" s="21"/>
    </row>
    <row r="912">
      <c r="A912" s="21"/>
      <c r="B912" s="21"/>
      <c r="C912" s="21"/>
      <c r="D912" s="21"/>
      <c r="E912" s="21"/>
      <c r="F912" s="21"/>
      <c r="G912" s="21"/>
      <c r="H912" s="21"/>
      <c r="I912" s="21"/>
      <c r="J912" s="21"/>
      <c r="K912" s="21"/>
      <c r="L912" s="21"/>
      <c r="M912" s="21"/>
      <c r="N912" s="21"/>
    </row>
    <row r="913">
      <c r="A913" s="21"/>
      <c r="B913" s="21"/>
      <c r="C913" s="21"/>
      <c r="D913" s="21"/>
      <c r="E913" s="21"/>
      <c r="F913" s="21"/>
      <c r="G913" s="21"/>
      <c r="H913" s="21"/>
      <c r="I913" s="21"/>
      <c r="J913" s="21"/>
      <c r="K913" s="21"/>
      <c r="L913" s="21"/>
      <c r="M913" s="21"/>
      <c r="N913" s="21"/>
    </row>
    <row r="914">
      <c r="A914" s="21"/>
      <c r="B914" s="21"/>
      <c r="C914" s="21"/>
      <c r="D914" s="21"/>
      <c r="E914" s="21"/>
      <c r="F914" s="21"/>
      <c r="G914" s="21"/>
      <c r="H914" s="21"/>
      <c r="I914" s="21"/>
      <c r="J914" s="21"/>
      <c r="K914" s="21"/>
      <c r="L914" s="21"/>
      <c r="M914" s="21"/>
      <c r="N914" s="21"/>
    </row>
    <row r="915">
      <c r="A915" s="21"/>
      <c r="B915" s="21"/>
      <c r="C915" s="21"/>
      <c r="D915" s="21"/>
      <c r="E915" s="21"/>
      <c r="F915" s="21"/>
      <c r="G915" s="21"/>
      <c r="H915" s="21"/>
      <c r="I915" s="21"/>
      <c r="J915" s="21"/>
      <c r="K915" s="21"/>
      <c r="L915" s="21"/>
      <c r="M915" s="21"/>
      <c r="N915" s="21"/>
    </row>
    <row r="916">
      <c r="A916" s="21"/>
      <c r="B916" s="21"/>
      <c r="C916" s="21"/>
      <c r="D916" s="21"/>
      <c r="E916" s="21"/>
      <c r="F916" s="21"/>
      <c r="G916" s="21"/>
      <c r="H916" s="21"/>
      <c r="I916" s="21"/>
      <c r="J916" s="21"/>
      <c r="K916" s="21"/>
      <c r="L916" s="21"/>
      <c r="M916" s="21"/>
      <c r="N916" s="21"/>
    </row>
    <row r="917">
      <c r="A917" s="21"/>
      <c r="B917" s="21"/>
      <c r="C917" s="21"/>
      <c r="D917" s="21"/>
      <c r="E917" s="21"/>
      <c r="F917" s="21"/>
      <c r="G917" s="21"/>
      <c r="H917" s="21"/>
      <c r="I917" s="21"/>
      <c r="J917" s="21"/>
      <c r="K917" s="21"/>
      <c r="L917" s="21"/>
      <c r="M917" s="21"/>
      <c r="N917" s="21"/>
    </row>
    <row r="918">
      <c r="A918" s="21"/>
      <c r="B918" s="21"/>
      <c r="C918" s="21"/>
      <c r="D918" s="21"/>
      <c r="E918" s="21"/>
      <c r="F918" s="21"/>
      <c r="G918" s="21"/>
      <c r="H918" s="21"/>
      <c r="I918" s="21"/>
      <c r="J918" s="21"/>
      <c r="K918" s="21"/>
      <c r="L918" s="21"/>
      <c r="M918" s="21"/>
      <c r="N918" s="21"/>
    </row>
    <row r="919">
      <c r="A919" s="21"/>
      <c r="B919" s="21"/>
      <c r="C919" s="21"/>
      <c r="D919" s="21"/>
      <c r="E919" s="21"/>
      <c r="F919" s="21"/>
      <c r="G919" s="21"/>
      <c r="H919" s="21"/>
      <c r="I919" s="21"/>
      <c r="J919" s="21"/>
      <c r="K919" s="21"/>
      <c r="L919" s="21"/>
      <c r="M919" s="21"/>
      <c r="N919" s="21"/>
    </row>
    <row r="920">
      <c r="A920" s="21"/>
      <c r="B920" s="21"/>
      <c r="C920" s="21"/>
      <c r="D920" s="21"/>
      <c r="E920" s="21"/>
      <c r="F920" s="21"/>
      <c r="G920" s="21"/>
      <c r="H920" s="21"/>
      <c r="I920" s="21"/>
      <c r="J920" s="21"/>
      <c r="K920" s="21"/>
      <c r="L920" s="21"/>
      <c r="M920" s="21"/>
      <c r="N920" s="21"/>
    </row>
    <row r="921">
      <c r="A921" s="21"/>
      <c r="B921" s="21"/>
      <c r="C921" s="21"/>
      <c r="D921" s="21"/>
      <c r="E921" s="21"/>
      <c r="F921" s="21"/>
      <c r="G921" s="21"/>
      <c r="H921" s="21"/>
      <c r="I921" s="21"/>
      <c r="J921" s="21"/>
      <c r="K921" s="21"/>
      <c r="L921" s="21"/>
      <c r="M921" s="21"/>
      <c r="N921" s="21"/>
    </row>
    <row r="922">
      <c r="A922" s="21"/>
      <c r="B922" s="21"/>
      <c r="C922" s="21"/>
      <c r="D922" s="21"/>
      <c r="E922" s="21"/>
      <c r="F922" s="21"/>
      <c r="G922" s="21"/>
      <c r="H922" s="21"/>
      <c r="I922" s="21"/>
      <c r="J922" s="21"/>
      <c r="K922" s="21"/>
      <c r="L922" s="21"/>
      <c r="M922" s="21"/>
      <c r="N922" s="21"/>
    </row>
    <row r="923">
      <c r="A923" s="21"/>
      <c r="B923" s="21"/>
      <c r="C923" s="21"/>
      <c r="D923" s="21"/>
      <c r="E923" s="21"/>
      <c r="F923" s="21"/>
      <c r="G923" s="21"/>
      <c r="H923" s="21"/>
      <c r="I923" s="21"/>
      <c r="J923" s="21"/>
      <c r="K923" s="21"/>
      <c r="L923" s="21"/>
      <c r="M923" s="21"/>
      <c r="N923" s="21"/>
    </row>
    <row r="924">
      <c r="A924" s="21"/>
      <c r="B924" s="21"/>
      <c r="C924" s="21"/>
      <c r="D924" s="21"/>
      <c r="E924" s="21"/>
      <c r="F924" s="21"/>
      <c r="G924" s="21"/>
      <c r="H924" s="21"/>
      <c r="I924" s="21"/>
      <c r="J924" s="21"/>
      <c r="K924" s="21"/>
      <c r="L924" s="21"/>
      <c r="M924" s="21"/>
      <c r="N924" s="21"/>
    </row>
    <row r="925">
      <c r="A925" s="21"/>
      <c r="B925" s="21"/>
      <c r="C925" s="21"/>
      <c r="D925" s="21"/>
      <c r="E925" s="21"/>
      <c r="F925" s="21"/>
      <c r="G925" s="21"/>
      <c r="H925" s="21"/>
      <c r="I925" s="21"/>
      <c r="J925" s="21"/>
      <c r="K925" s="21"/>
      <c r="L925" s="21"/>
      <c r="M925" s="21"/>
      <c r="N925" s="21"/>
    </row>
    <row r="926">
      <c r="A926" s="21"/>
      <c r="B926" s="21"/>
      <c r="C926" s="21"/>
      <c r="D926" s="21"/>
      <c r="E926" s="21"/>
      <c r="F926" s="21"/>
      <c r="G926" s="21"/>
      <c r="H926" s="21"/>
      <c r="I926" s="21"/>
      <c r="J926" s="21"/>
      <c r="K926" s="21"/>
      <c r="L926" s="21"/>
      <c r="M926" s="21"/>
      <c r="N926" s="21"/>
    </row>
    <row r="927">
      <c r="A927" s="21"/>
      <c r="B927" s="21"/>
      <c r="C927" s="21"/>
      <c r="D927" s="21"/>
      <c r="E927" s="21"/>
      <c r="F927" s="21"/>
      <c r="G927" s="21"/>
      <c r="H927" s="21"/>
      <c r="I927" s="21"/>
      <c r="J927" s="21"/>
      <c r="K927" s="21"/>
      <c r="L927" s="21"/>
      <c r="M927" s="21"/>
      <c r="N927" s="21"/>
    </row>
    <row r="928">
      <c r="A928" s="21"/>
      <c r="B928" s="21"/>
      <c r="C928" s="21"/>
      <c r="D928" s="21"/>
      <c r="E928" s="21"/>
      <c r="F928" s="21"/>
      <c r="G928" s="21"/>
      <c r="H928" s="21"/>
      <c r="I928" s="21"/>
      <c r="J928" s="21"/>
      <c r="K928" s="21"/>
      <c r="L928" s="21"/>
      <c r="M928" s="21"/>
      <c r="N928" s="21"/>
    </row>
    <row r="929">
      <c r="A929" s="21"/>
      <c r="B929" s="21"/>
      <c r="C929" s="21"/>
      <c r="D929" s="21"/>
      <c r="E929" s="21"/>
      <c r="F929" s="21"/>
      <c r="G929" s="21"/>
      <c r="H929" s="21"/>
      <c r="I929" s="21"/>
      <c r="J929" s="21"/>
      <c r="K929" s="21"/>
      <c r="L929" s="21"/>
      <c r="M929" s="21"/>
      <c r="N929" s="21"/>
    </row>
    <row r="930">
      <c r="A930" s="21"/>
      <c r="B930" s="21"/>
      <c r="C930" s="21"/>
      <c r="D930" s="21"/>
      <c r="E930" s="21"/>
      <c r="F930" s="21"/>
      <c r="G930" s="21"/>
      <c r="H930" s="21"/>
      <c r="I930" s="21"/>
      <c r="J930" s="21"/>
      <c r="K930" s="21"/>
      <c r="L930" s="21"/>
      <c r="M930" s="21"/>
      <c r="N930" s="21"/>
    </row>
    <row r="931">
      <c r="A931" s="21"/>
      <c r="B931" s="21"/>
      <c r="C931" s="21"/>
      <c r="D931" s="21"/>
      <c r="E931" s="21"/>
      <c r="F931" s="21"/>
      <c r="G931" s="21"/>
      <c r="H931" s="21"/>
      <c r="I931" s="21"/>
      <c r="J931" s="21"/>
      <c r="K931" s="21"/>
      <c r="L931" s="21"/>
      <c r="M931" s="21"/>
      <c r="N931" s="21"/>
    </row>
    <row r="932">
      <c r="A932" s="21"/>
      <c r="B932" s="21"/>
      <c r="C932" s="21"/>
      <c r="D932" s="21"/>
      <c r="E932" s="21"/>
      <c r="F932" s="21"/>
      <c r="G932" s="21"/>
      <c r="H932" s="21"/>
      <c r="I932" s="21"/>
      <c r="J932" s="21"/>
      <c r="K932" s="21"/>
      <c r="L932" s="21"/>
      <c r="M932" s="21"/>
      <c r="N932" s="21"/>
    </row>
    <row r="933">
      <c r="A933" s="21"/>
      <c r="B933" s="21"/>
      <c r="C933" s="21"/>
      <c r="D933" s="21"/>
      <c r="E933" s="21"/>
      <c r="F933" s="21"/>
      <c r="G933" s="21"/>
      <c r="H933" s="21"/>
      <c r="I933" s="21"/>
      <c r="J933" s="21"/>
      <c r="K933" s="21"/>
      <c r="L933" s="21"/>
      <c r="M933" s="21"/>
      <c r="N933" s="21"/>
    </row>
    <row r="934">
      <c r="A934" s="21"/>
      <c r="B934" s="21"/>
      <c r="C934" s="21"/>
      <c r="D934" s="21"/>
      <c r="E934" s="21"/>
      <c r="F934" s="21"/>
      <c r="G934" s="21"/>
      <c r="H934" s="21"/>
      <c r="I934" s="21"/>
      <c r="J934" s="21"/>
      <c r="K934" s="21"/>
      <c r="L934" s="21"/>
      <c r="M934" s="21"/>
      <c r="N934" s="21"/>
    </row>
    <row r="935">
      <c r="A935" s="21"/>
      <c r="B935" s="21"/>
      <c r="C935" s="21"/>
      <c r="D935" s="21"/>
      <c r="E935" s="21"/>
      <c r="F935" s="21"/>
      <c r="G935" s="21"/>
      <c r="H935" s="21"/>
      <c r="I935" s="21"/>
      <c r="J935" s="21"/>
      <c r="K935" s="21"/>
      <c r="L935" s="21"/>
      <c r="M935" s="21"/>
      <c r="N935" s="21"/>
    </row>
    <row r="936">
      <c r="A936" s="21"/>
      <c r="B936" s="21"/>
      <c r="C936" s="21"/>
      <c r="D936" s="21"/>
      <c r="E936" s="21"/>
      <c r="F936" s="21"/>
      <c r="G936" s="21"/>
      <c r="H936" s="21"/>
      <c r="I936" s="21"/>
      <c r="J936" s="21"/>
      <c r="K936" s="21"/>
      <c r="L936" s="21"/>
      <c r="M936" s="21"/>
      <c r="N936" s="21"/>
    </row>
    <row r="937">
      <c r="A937" s="21"/>
      <c r="B937" s="21"/>
      <c r="C937" s="21"/>
      <c r="D937" s="21"/>
      <c r="E937" s="21"/>
      <c r="F937" s="21"/>
      <c r="G937" s="21"/>
      <c r="H937" s="21"/>
      <c r="I937" s="21"/>
      <c r="J937" s="21"/>
      <c r="K937" s="21"/>
      <c r="L937" s="21"/>
      <c r="M937" s="21"/>
      <c r="N937" s="21"/>
    </row>
    <row r="938">
      <c r="A938" s="21"/>
      <c r="B938" s="21"/>
      <c r="C938" s="21"/>
      <c r="D938" s="21"/>
      <c r="E938" s="21"/>
      <c r="F938" s="21"/>
      <c r="G938" s="21"/>
      <c r="H938" s="21"/>
      <c r="I938" s="21"/>
      <c r="J938" s="21"/>
      <c r="K938" s="21"/>
      <c r="L938" s="21"/>
      <c r="M938" s="21"/>
      <c r="N938" s="21"/>
    </row>
    <row r="939">
      <c r="A939" s="21"/>
      <c r="B939" s="21"/>
      <c r="C939" s="21"/>
      <c r="D939" s="21"/>
      <c r="E939" s="21"/>
      <c r="F939" s="21"/>
      <c r="G939" s="21"/>
      <c r="H939" s="21"/>
      <c r="I939" s="21"/>
      <c r="J939" s="21"/>
      <c r="K939" s="21"/>
      <c r="L939" s="21"/>
      <c r="M939" s="21"/>
      <c r="N939" s="21"/>
    </row>
    <row r="940">
      <c r="A940" s="21"/>
      <c r="B940" s="21"/>
      <c r="C940" s="21"/>
      <c r="D940" s="21"/>
      <c r="E940" s="21"/>
      <c r="F940" s="21"/>
      <c r="G940" s="21"/>
      <c r="H940" s="21"/>
      <c r="I940" s="21"/>
      <c r="J940" s="21"/>
      <c r="K940" s="21"/>
      <c r="L940" s="21"/>
      <c r="M940" s="21"/>
      <c r="N940" s="21"/>
    </row>
    <row r="941">
      <c r="A941" s="21"/>
      <c r="B941" s="21"/>
      <c r="C941" s="21"/>
      <c r="D941" s="21"/>
      <c r="E941" s="21"/>
      <c r="F941" s="21"/>
      <c r="G941" s="21"/>
      <c r="H941" s="21"/>
      <c r="I941" s="21"/>
      <c r="J941" s="21"/>
      <c r="K941" s="21"/>
      <c r="L941" s="21"/>
      <c r="M941" s="21"/>
      <c r="N941" s="21"/>
    </row>
    <row r="942">
      <c r="A942" s="21"/>
      <c r="B942" s="21"/>
      <c r="C942" s="21"/>
      <c r="D942" s="21"/>
      <c r="E942" s="21"/>
      <c r="F942" s="21"/>
      <c r="G942" s="21"/>
      <c r="H942" s="21"/>
      <c r="I942" s="21"/>
      <c r="J942" s="21"/>
      <c r="K942" s="21"/>
      <c r="L942" s="21"/>
      <c r="M942" s="21"/>
      <c r="N942" s="21"/>
    </row>
    <row r="943">
      <c r="A943" s="21"/>
      <c r="B943" s="21"/>
      <c r="C943" s="21"/>
      <c r="D943" s="21"/>
      <c r="E943" s="21"/>
      <c r="F943" s="21"/>
      <c r="G943" s="21"/>
      <c r="H943" s="21"/>
      <c r="I943" s="21"/>
      <c r="J943" s="21"/>
      <c r="K943" s="21"/>
      <c r="L943" s="21"/>
      <c r="M943" s="21"/>
      <c r="N943" s="21"/>
    </row>
    <row r="944">
      <c r="A944" s="21"/>
      <c r="B944" s="21"/>
      <c r="C944" s="21"/>
      <c r="D944" s="21"/>
      <c r="E944" s="21"/>
      <c r="F944" s="21"/>
      <c r="G944" s="21"/>
      <c r="H944" s="21"/>
      <c r="I944" s="21"/>
      <c r="J944" s="21"/>
      <c r="K944" s="21"/>
      <c r="L944" s="21"/>
      <c r="M944" s="21"/>
      <c r="N944" s="21"/>
    </row>
    <row r="945">
      <c r="A945" s="21"/>
      <c r="B945" s="21"/>
      <c r="C945" s="21"/>
      <c r="D945" s="21"/>
      <c r="E945" s="21"/>
      <c r="F945" s="21"/>
      <c r="G945" s="21"/>
      <c r="H945" s="21"/>
      <c r="I945" s="21"/>
      <c r="J945" s="21"/>
      <c r="K945" s="21"/>
      <c r="L945" s="21"/>
      <c r="M945" s="21"/>
      <c r="N945" s="21"/>
    </row>
    <row r="946">
      <c r="A946" s="21"/>
      <c r="B946" s="21"/>
      <c r="C946" s="21"/>
      <c r="D946" s="21"/>
      <c r="E946" s="21"/>
      <c r="F946" s="21"/>
      <c r="G946" s="21"/>
      <c r="H946" s="21"/>
      <c r="I946" s="21"/>
      <c r="J946" s="21"/>
      <c r="K946" s="21"/>
      <c r="L946" s="21"/>
      <c r="M946" s="21"/>
      <c r="N946" s="21"/>
    </row>
    <row r="947">
      <c r="A947" s="21"/>
      <c r="B947" s="21"/>
      <c r="C947" s="21"/>
      <c r="D947" s="21"/>
      <c r="E947" s="21"/>
      <c r="F947" s="21"/>
      <c r="G947" s="21"/>
      <c r="H947" s="21"/>
      <c r="I947" s="21"/>
      <c r="J947" s="21"/>
      <c r="K947" s="21"/>
      <c r="L947" s="21"/>
      <c r="M947" s="21"/>
      <c r="N947" s="21"/>
    </row>
    <row r="948">
      <c r="A948" s="21"/>
      <c r="B948" s="21"/>
      <c r="C948" s="21"/>
      <c r="D948" s="21"/>
      <c r="E948" s="21"/>
      <c r="F948" s="21"/>
      <c r="G948" s="21"/>
      <c r="H948" s="21"/>
      <c r="I948" s="21"/>
      <c r="J948" s="21"/>
      <c r="K948" s="21"/>
      <c r="L948" s="21"/>
      <c r="M948" s="21"/>
      <c r="N948" s="21"/>
    </row>
    <row r="949">
      <c r="A949" s="21"/>
      <c r="B949" s="21"/>
      <c r="C949" s="21"/>
      <c r="D949" s="21"/>
      <c r="E949" s="21"/>
      <c r="F949" s="21"/>
      <c r="G949" s="21"/>
      <c r="H949" s="21"/>
      <c r="I949" s="21"/>
      <c r="J949" s="21"/>
      <c r="K949" s="21"/>
      <c r="L949" s="21"/>
      <c r="M949" s="21"/>
      <c r="N949" s="21"/>
    </row>
    <row r="950">
      <c r="A950" s="21"/>
      <c r="B950" s="21"/>
      <c r="C950" s="21"/>
      <c r="D950" s="21"/>
      <c r="E950" s="21"/>
      <c r="F950" s="21"/>
      <c r="G950" s="21"/>
      <c r="H950" s="21"/>
      <c r="I950" s="21"/>
      <c r="J950" s="21"/>
      <c r="K950" s="21"/>
      <c r="L950" s="21"/>
      <c r="M950" s="21"/>
      <c r="N950" s="21"/>
    </row>
    <row r="951">
      <c r="A951" s="21"/>
      <c r="B951" s="21"/>
      <c r="C951" s="21"/>
      <c r="D951" s="21"/>
      <c r="E951" s="21"/>
      <c r="F951" s="21"/>
      <c r="G951" s="21"/>
      <c r="H951" s="21"/>
      <c r="I951" s="21"/>
      <c r="J951" s="21"/>
      <c r="K951" s="21"/>
      <c r="L951" s="21"/>
      <c r="M951" s="21"/>
      <c r="N951" s="21"/>
    </row>
    <row r="952">
      <c r="A952" s="21"/>
      <c r="B952" s="21"/>
      <c r="C952" s="21"/>
      <c r="D952" s="21"/>
      <c r="E952" s="21"/>
      <c r="F952" s="21"/>
      <c r="G952" s="21"/>
      <c r="H952" s="21"/>
      <c r="I952" s="21"/>
      <c r="J952" s="21"/>
      <c r="K952" s="21"/>
      <c r="L952" s="21"/>
      <c r="M952" s="21"/>
      <c r="N952" s="21"/>
    </row>
    <row r="953">
      <c r="A953" s="21"/>
      <c r="B953" s="21"/>
      <c r="C953" s="21"/>
      <c r="D953" s="21"/>
      <c r="E953" s="21"/>
      <c r="F953" s="21"/>
      <c r="G953" s="21"/>
      <c r="H953" s="21"/>
      <c r="I953" s="21"/>
      <c r="J953" s="21"/>
      <c r="K953" s="21"/>
      <c r="L953" s="21"/>
      <c r="M953" s="21"/>
      <c r="N953" s="21"/>
    </row>
    <row r="954">
      <c r="A954" s="21"/>
      <c r="B954" s="21"/>
      <c r="C954" s="21"/>
      <c r="D954" s="21"/>
      <c r="E954" s="21"/>
      <c r="F954" s="21"/>
      <c r="G954" s="21"/>
      <c r="H954" s="21"/>
      <c r="I954" s="21"/>
      <c r="J954" s="21"/>
      <c r="K954" s="21"/>
      <c r="L954" s="21"/>
      <c r="M954" s="21"/>
      <c r="N954" s="21"/>
    </row>
    <row r="955">
      <c r="A955" s="21"/>
      <c r="B955" s="21"/>
      <c r="C955" s="21"/>
      <c r="D955" s="21"/>
      <c r="E955" s="21"/>
      <c r="F955" s="21"/>
      <c r="G955" s="21"/>
      <c r="H955" s="21"/>
      <c r="I955" s="21"/>
      <c r="J955" s="21"/>
      <c r="K955" s="21"/>
      <c r="L955" s="21"/>
      <c r="M955" s="21"/>
      <c r="N955" s="21"/>
    </row>
    <row r="956">
      <c r="A956" s="21"/>
      <c r="B956" s="21"/>
      <c r="C956" s="21"/>
      <c r="D956" s="21"/>
      <c r="E956" s="21"/>
      <c r="F956" s="21"/>
      <c r="G956" s="21"/>
      <c r="H956" s="21"/>
      <c r="I956" s="21"/>
      <c r="J956" s="21"/>
      <c r="K956" s="21"/>
      <c r="L956" s="21"/>
      <c r="M956" s="21"/>
      <c r="N956" s="21"/>
    </row>
    <row r="957">
      <c r="A957" s="21"/>
      <c r="B957" s="21"/>
      <c r="C957" s="21"/>
      <c r="D957" s="21"/>
      <c r="E957" s="21"/>
      <c r="F957" s="21"/>
      <c r="G957" s="21"/>
      <c r="H957" s="21"/>
      <c r="I957" s="21"/>
      <c r="J957" s="21"/>
      <c r="K957" s="21"/>
      <c r="L957" s="21"/>
      <c r="M957" s="21"/>
      <c r="N957" s="21"/>
    </row>
    <row r="958">
      <c r="A958" s="21"/>
      <c r="B958" s="21"/>
      <c r="C958" s="21"/>
      <c r="D958" s="21"/>
      <c r="E958" s="21"/>
      <c r="F958" s="21"/>
      <c r="G958" s="21"/>
      <c r="H958" s="21"/>
      <c r="I958" s="21"/>
      <c r="J958" s="21"/>
      <c r="K958" s="21"/>
      <c r="L958" s="21"/>
      <c r="M958" s="21"/>
      <c r="N958" s="21"/>
    </row>
    <row r="959">
      <c r="A959" s="21"/>
      <c r="B959" s="21"/>
      <c r="C959" s="21"/>
      <c r="D959" s="21"/>
      <c r="E959" s="21"/>
      <c r="F959" s="21"/>
      <c r="G959" s="21"/>
      <c r="H959" s="21"/>
      <c r="I959" s="21"/>
      <c r="J959" s="21"/>
      <c r="K959" s="21"/>
      <c r="L959" s="21"/>
      <c r="M959" s="21"/>
      <c r="N959" s="21"/>
    </row>
    <row r="960">
      <c r="A960" s="21"/>
      <c r="B960" s="21"/>
      <c r="C960" s="21"/>
      <c r="D960" s="21"/>
      <c r="E960" s="21"/>
      <c r="F960" s="21"/>
      <c r="G960" s="21"/>
      <c r="H960" s="21"/>
      <c r="I960" s="21"/>
      <c r="J960" s="21"/>
      <c r="K960" s="21"/>
      <c r="L960" s="21"/>
      <c r="M960" s="21"/>
      <c r="N960" s="21"/>
    </row>
    <row r="961">
      <c r="A961" s="21"/>
      <c r="B961" s="21"/>
      <c r="C961" s="21"/>
      <c r="D961" s="21"/>
      <c r="E961" s="21"/>
      <c r="F961" s="21"/>
      <c r="G961" s="21"/>
      <c r="H961" s="21"/>
      <c r="I961" s="21"/>
      <c r="J961" s="21"/>
      <c r="K961" s="21"/>
      <c r="L961" s="21"/>
      <c r="M961" s="21"/>
      <c r="N961" s="21"/>
    </row>
    <row r="962">
      <c r="A962" s="21"/>
      <c r="B962" s="21"/>
      <c r="C962" s="21"/>
      <c r="D962" s="21"/>
      <c r="E962" s="21"/>
      <c r="F962" s="21"/>
      <c r="G962" s="21"/>
      <c r="H962" s="21"/>
      <c r="I962" s="21"/>
      <c r="J962" s="21"/>
      <c r="K962" s="21"/>
      <c r="L962" s="21"/>
      <c r="M962" s="21"/>
      <c r="N962" s="21"/>
    </row>
    <row r="963">
      <c r="A963" s="21"/>
      <c r="B963" s="21"/>
      <c r="C963" s="21"/>
      <c r="D963" s="21"/>
      <c r="E963" s="21"/>
      <c r="F963" s="21"/>
      <c r="G963" s="21"/>
      <c r="H963" s="21"/>
      <c r="I963" s="21"/>
      <c r="J963" s="21"/>
      <c r="K963" s="21"/>
      <c r="L963" s="21"/>
      <c r="M963" s="21"/>
      <c r="N963" s="21"/>
    </row>
    <row r="964">
      <c r="A964" s="21"/>
      <c r="B964" s="21"/>
      <c r="C964" s="21"/>
      <c r="D964" s="21"/>
      <c r="E964" s="21"/>
      <c r="F964" s="21"/>
      <c r="G964" s="21"/>
      <c r="H964" s="21"/>
      <c r="I964" s="21"/>
      <c r="J964" s="21"/>
      <c r="K964" s="21"/>
      <c r="L964" s="21"/>
      <c r="M964" s="21"/>
      <c r="N964" s="21"/>
    </row>
    <row r="965">
      <c r="A965" s="21"/>
      <c r="B965" s="21"/>
      <c r="C965" s="21"/>
      <c r="D965" s="21"/>
      <c r="E965" s="21"/>
      <c r="F965" s="21"/>
      <c r="G965" s="21"/>
      <c r="H965" s="21"/>
      <c r="I965" s="21"/>
      <c r="J965" s="21"/>
      <c r="K965" s="21"/>
      <c r="L965" s="21"/>
      <c r="M965" s="21"/>
      <c r="N965" s="21"/>
    </row>
    <row r="966">
      <c r="A966" s="21"/>
      <c r="B966" s="21"/>
      <c r="C966" s="21"/>
      <c r="D966" s="21"/>
      <c r="E966" s="21"/>
      <c r="F966" s="21"/>
      <c r="G966" s="21"/>
      <c r="H966" s="21"/>
      <c r="I966" s="21"/>
      <c r="J966" s="21"/>
      <c r="K966" s="21"/>
      <c r="L966" s="21"/>
      <c r="M966" s="21"/>
      <c r="N966" s="21"/>
    </row>
    <row r="967">
      <c r="A967" s="21"/>
      <c r="B967" s="21"/>
      <c r="C967" s="21"/>
      <c r="D967" s="21"/>
      <c r="E967" s="21"/>
      <c r="F967" s="21"/>
      <c r="G967" s="21"/>
      <c r="H967" s="21"/>
      <c r="I967" s="21"/>
      <c r="J967" s="21"/>
      <c r="K967" s="21"/>
      <c r="L967" s="21"/>
      <c r="M967" s="21"/>
      <c r="N967" s="21"/>
    </row>
    <row r="968">
      <c r="A968" s="21"/>
      <c r="B968" s="21"/>
      <c r="C968" s="21"/>
      <c r="D968" s="21"/>
      <c r="E968" s="21"/>
      <c r="F968" s="21"/>
      <c r="G968" s="21"/>
      <c r="H968" s="21"/>
      <c r="I968" s="21"/>
      <c r="J968" s="21"/>
      <c r="K968" s="21"/>
      <c r="L968" s="21"/>
      <c r="M968" s="21"/>
      <c r="N968" s="21"/>
    </row>
    <row r="969">
      <c r="A969" s="21"/>
      <c r="B969" s="21"/>
      <c r="C969" s="21"/>
      <c r="D969" s="21"/>
      <c r="E969" s="21"/>
      <c r="F969" s="21"/>
      <c r="G969" s="21"/>
      <c r="H969" s="21"/>
      <c r="I969" s="21"/>
      <c r="J969" s="21"/>
      <c r="K969" s="21"/>
      <c r="L969" s="21"/>
      <c r="M969" s="21"/>
      <c r="N969" s="21"/>
    </row>
    <row r="970">
      <c r="A970" s="21"/>
      <c r="B970" s="21"/>
      <c r="C970" s="21"/>
      <c r="D970" s="21"/>
      <c r="E970" s="21"/>
      <c r="F970" s="21"/>
      <c r="G970" s="21"/>
      <c r="H970" s="21"/>
      <c r="I970" s="21"/>
      <c r="J970" s="21"/>
      <c r="K970" s="21"/>
      <c r="L970" s="21"/>
      <c r="M970" s="21"/>
      <c r="N970" s="21"/>
    </row>
    <row r="971">
      <c r="A971" s="21"/>
      <c r="B971" s="21"/>
      <c r="C971" s="21"/>
      <c r="D971" s="21"/>
      <c r="E971" s="21"/>
      <c r="F971" s="21"/>
      <c r="G971" s="21"/>
      <c r="H971" s="21"/>
      <c r="I971" s="21"/>
      <c r="J971" s="21"/>
      <c r="K971" s="21"/>
      <c r="L971" s="21"/>
      <c r="M971" s="21"/>
      <c r="N971" s="21"/>
    </row>
    <row r="972">
      <c r="A972" s="21"/>
      <c r="B972" s="21"/>
      <c r="C972" s="21"/>
      <c r="D972" s="21"/>
      <c r="E972" s="21"/>
      <c r="F972" s="21"/>
      <c r="G972" s="21"/>
      <c r="H972" s="21"/>
      <c r="I972" s="21"/>
      <c r="J972" s="21"/>
      <c r="K972" s="21"/>
      <c r="L972" s="21"/>
      <c r="M972" s="21"/>
      <c r="N972" s="21"/>
    </row>
    <row r="973">
      <c r="A973" s="21"/>
      <c r="B973" s="21"/>
      <c r="C973" s="21"/>
      <c r="D973" s="21"/>
      <c r="E973" s="21"/>
      <c r="F973" s="21"/>
      <c r="G973" s="21"/>
      <c r="H973" s="21"/>
      <c r="I973" s="21"/>
      <c r="J973" s="21"/>
      <c r="K973" s="21"/>
      <c r="L973" s="21"/>
      <c r="M973" s="21"/>
      <c r="N973" s="21"/>
    </row>
    <row r="974">
      <c r="A974" s="21"/>
      <c r="B974" s="21"/>
      <c r="C974" s="21"/>
      <c r="D974" s="21"/>
      <c r="E974" s="21"/>
      <c r="F974" s="21"/>
      <c r="G974" s="21"/>
      <c r="H974" s="21"/>
      <c r="I974" s="21"/>
      <c r="J974" s="21"/>
      <c r="K974" s="21"/>
      <c r="L974" s="21"/>
      <c r="M974" s="21"/>
      <c r="N974" s="21"/>
    </row>
    <row r="975">
      <c r="A975" s="21"/>
      <c r="B975" s="21"/>
      <c r="C975" s="21"/>
      <c r="D975" s="21"/>
      <c r="E975" s="21"/>
      <c r="F975" s="21"/>
      <c r="G975" s="21"/>
      <c r="H975" s="21"/>
      <c r="I975" s="21"/>
      <c r="J975" s="21"/>
      <c r="K975" s="21"/>
      <c r="L975" s="21"/>
      <c r="M975" s="21"/>
      <c r="N975" s="21"/>
    </row>
    <row r="976">
      <c r="A976" s="21"/>
      <c r="B976" s="21"/>
      <c r="C976" s="21"/>
      <c r="D976" s="21"/>
      <c r="E976" s="21"/>
      <c r="F976" s="21"/>
      <c r="G976" s="21"/>
      <c r="H976" s="21"/>
      <c r="I976" s="21"/>
      <c r="J976" s="21"/>
      <c r="K976" s="21"/>
      <c r="L976" s="21"/>
      <c r="M976" s="21"/>
      <c r="N976" s="21"/>
    </row>
    <row r="977">
      <c r="A977" s="21"/>
      <c r="B977" s="21"/>
      <c r="C977" s="21"/>
      <c r="D977" s="21"/>
      <c r="E977" s="21"/>
      <c r="F977" s="21"/>
      <c r="G977" s="21"/>
      <c r="H977" s="21"/>
      <c r="I977" s="21"/>
      <c r="J977" s="21"/>
      <c r="K977" s="21"/>
      <c r="L977" s="21"/>
      <c r="M977" s="21"/>
      <c r="N977" s="21"/>
    </row>
    <row r="978">
      <c r="A978" s="21"/>
      <c r="B978" s="21"/>
      <c r="C978" s="21"/>
      <c r="D978" s="21"/>
      <c r="E978" s="21"/>
      <c r="F978" s="21"/>
      <c r="G978" s="21"/>
      <c r="H978" s="21"/>
      <c r="I978" s="21"/>
      <c r="J978" s="21"/>
      <c r="K978" s="21"/>
      <c r="L978" s="21"/>
      <c r="M978" s="21"/>
      <c r="N978" s="21"/>
    </row>
    <row r="979">
      <c r="A979" s="21"/>
      <c r="B979" s="21"/>
      <c r="C979" s="21"/>
      <c r="D979" s="21"/>
      <c r="E979" s="21"/>
      <c r="F979" s="21"/>
      <c r="G979" s="21"/>
      <c r="H979" s="21"/>
      <c r="I979" s="21"/>
      <c r="J979" s="21"/>
      <c r="K979" s="21"/>
      <c r="L979" s="21"/>
      <c r="M979" s="21"/>
      <c r="N979" s="21"/>
    </row>
    <row r="980">
      <c r="A980" s="21"/>
      <c r="B980" s="21"/>
      <c r="C980" s="21"/>
      <c r="D980" s="21"/>
      <c r="E980" s="21"/>
      <c r="F980" s="21"/>
      <c r="G980" s="21"/>
      <c r="H980" s="21"/>
      <c r="I980" s="21"/>
      <c r="J980" s="21"/>
      <c r="K980" s="21"/>
      <c r="L980" s="21"/>
      <c r="M980" s="21"/>
      <c r="N980" s="21"/>
    </row>
    <row r="981">
      <c r="A981" s="21"/>
      <c r="B981" s="21"/>
      <c r="C981" s="21"/>
      <c r="D981" s="21"/>
      <c r="E981" s="21"/>
      <c r="F981" s="21"/>
      <c r="G981" s="21"/>
      <c r="H981" s="21"/>
      <c r="I981" s="21"/>
      <c r="J981" s="21"/>
      <c r="K981" s="21"/>
      <c r="L981" s="21"/>
      <c r="M981" s="21"/>
      <c r="N981" s="21"/>
    </row>
    <row r="982">
      <c r="A982" s="21"/>
      <c r="B982" s="21"/>
      <c r="C982" s="21"/>
      <c r="D982" s="21"/>
      <c r="E982" s="21"/>
      <c r="F982" s="21"/>
      <c r="G982" s="21"/>
      <c r="H982" s="21"/>
      <c r="I982" s="21"/>
      <c r="J982" s="21"/>
      <c r="K982" s="21"/>
      <c r="L982" s="21"/>
      <c r="M982" s="21"/>
      <c r="N982" s="21"/>
    </row>
    <row r="983">
      <c r="A983" s="21"/>
      <c r="B983" s="21"/>
      <c r="C983" s="21"/>
      <c r="D983" s="21"/>
      <c r="E983" s="21"/>
      <c r="F983" s="21"/>
      <c r="G983" s="21"/>
      <c r="H983" s="21"/>
      <c r="I983" s="21"/>
      <c r="J983" s="21"/>
      <c r="K983" s="21"/>
      <c r="L983" s="21"/>
      <c r="M983" s="21"/>
      <c r="N983" s="21"/>
    </row>
    <row r="984">
      <c r="A984" s="21"/>
      <c r="B984" s="21"/>
      <c r="C984" s="21"/>
      <c r="D984" s="21"/>
      <c r="E984" s="21"/>
      <c r="F984" s="21"/>
      <c r="G984" s="21"/>
      <c r="H984" s="21"/>
      <c r="I984" s="21"/>
      <c r="J984" s="21"/>
      <c r="K984" s="21"/>
      <c r="L984" s="21"/>
      <c r="M984" s="21"/>
      <c r="N984" s="21"/>
    </row>
    <row r="985">
      <c r="A985" s="21"/>
      <c r="B985" s="21"/>
      <c r="C985" s="21"/>
      <c r="D985" s="21"/>
      <c r="E985" s="21"/>
      <c r="F985" s="21"/>
      <c r="G985" s="21"/>
      <c r="H985" s="21"/>
      <c r="I985" s="21"/>
      <c r="J985" s="21"/>
      <c r="K985" s="21"/>
      <c r="L985" s="21"/>
      <c r="M985" s="21"/>
      <c r="N985" s="21"/>
    </row>
    <row r="986">
      <c r="A986" s="21"/>
      <c r="B986" s="21"/>
      <c r="C986" s="21"/>
      <c r="D986" s="21"/>
      <c r="E986" s="21"/>
      <c r="F986" s="21"/>
      <c r="G986" s="21"/>
      <c r="H986" s="21"/>
      <c r="I986" s="21"/>
      <c r="J986" s="21"/>
      <c r="K986" s="21"/>
      <c r="L986" s="21"/>
      <c r="M986" s="21"/>
      <c r="N986" s="21"/>
    </row>
  </sheetData>
  <autoFilter ref="$A$1:$AE$986"/>
  <hyperlinks>
    <hyperlink r:id="rId1" ref="Z8"/>
    <hyperlink r:id="rId2" ref="Z96"/>
    <hyperlink r:id="rId3" ref="Z101"/>
    <hyperlink r:id="rId4" ref="Z106"/>
    <hyperlink r:id="rId5" ref="Z108"/>
    <hyperlink r:id="rId6" ref="Z109"/>
    <hyperlink r:id="rId7" ref="Z110"/>
    <hyperlink r:id="rId8" ref="Z111"/>
    <hyperlink r:id="rId9" ref="Z112"/>
    <hyperlink r:id="rId10" ref="Z113"/>
    <hyperlink r:id="rId11" ref="Z114"/>
    <hyperlink r:id="rId12" ref="Z115"/>
    <hyperlink r:id="rId13" ref="Z116"/>
    <hyperlink r:id="rId14" ref="Z117"/>
    <hyperlink r:id="rId15" ref="Z118"/>
    <hyperlink r:id="rId16" ref="Z119"/>
    <hyperlink r:id="rId17" ref="Z120"/>
    <hyperlink r:id="rId18" ref="Z121"/>
    <hyperlink r:id="rId19" ref="Z122"/>
    <hyperlink r:id="rId20" ref="Z123"/>
    <hyperlink r:id="rId21" ref="Z124"/>
    <hyperlink r:id="rId22" ref="Z125"/>
    <hyperlink r:id="rId23" ref="Z126"/>
    <hyperlink r:id="rId24" ref="Z127"/>
    <hyperlink r:id="rId25" ref="Z128"/>
    <hyperlink r:id="rId26" ref="Z129"/>
    <hyperlink r:id="rId27" ref="Z130"/>
    <hyperlink r:id="rId28" ref="Z131"/>
    <hyperlink r:id="rId29" ref="Z132"/>
    <hyperlink r:id="rId30" ref="Z133"/>
    <hyperlink r:id="rId31" ref="Z134"/>
    <hyperlink r:id="rId32" ref="Z135"/>
    <hyperlink r:id="rId33" ref="Z136"/>
    <hyperlink r:id="rId34" ref="Z137"/>
    <hyperlink r:id="rId35" ref="Z138"/>
    <hyperlink r:id="rId36" ref="Z139"/>
    <hyperlink r:id="rId37" ref="Z140"/>
    <hyperlink r:id="rId38" ref="Z141"/>
    <hyperlink r:id="rId39" ref="Z142"/>
    <hyperlink r:id="rId40" ref="Z143"/>
    <hyperlink r:id="rId41" ref="Z144"/>
    <hyperlink r:id="rId42" ref="Z145"/>
    <hyperlink r:id="rId43" ref="Z146"/>
    <hyperlink r:id="rId44" ref="Z147"/>
    <hyperlink r:id="rId45" ref="Z148"/>
    <hyperlink r:id="rId46" ref="Z149"/>
    <hyperlink r:id="rId47" ref="Z151"/>
    <hyperlink r:id="rId48" ref="Z152"/>
    <hyperlink r:id="rId49" ref="Z153"/>
    <hyperlink r:id="rId50" ref="Z154"/>
    <hyperlink r:id="rId51" ref="Z155"/>
    <hyperlink r:id="rId52" ref="Z156"/>
    <hyperlink r:id="rId53" ref="Z157"/>
    <hyperlink r:id="rId54" ref="Z158"/>
    <hyperlink r:id="rId55" ref="Z159"/>
    <hyperlink r:id="rId56" ref="Z160"/>
    <hyperlink r:id="rId57" ref="Z161"/>
    <hyperlink r:id="rId58" ref="Z162"/>
    <hyperlink r:id="rId59" ref="Z163"/>
    <hyperlink r:id="rId60" ref="Z164"/>
    <hyperlink r:id="rId61" ref="Z167"/>
    <hyperlink r:id="rId62" ref="Z168"/>
    <hyperlink r:id="rId63" ref="Z169"/>
    <hyperlink r:id="rId64" ref="Z170"/>
    <hyperlink r:id="rId65" ref="Z171"/>
    <hyperlink r:id="rId66" ref="Z172"/>
    <hyperlink r:id="rId67" ref="Z173"/>
    <hyperlink r:id="rId68" ref="Z174"/>
    <hyperlink r:id="rId69" ref="Z175"/>
    <hyperlink r:id="rId70" ref="Z176"/>
    <hyperlink r:id="rId71" ref="Z177"/>
    <hyperlink r:id="rId72" ref="Z178"/>
    <hyperlink r:id="rId73" ref="Z180"/>
    <hyperlink r:id="rId74" ref="Z181"/>
    <hyperlink r:id="rId75" ref="Z182"/>
    <hyperlink r:id="rId76" ref="Z183"/>
    <hyperlink r:id="rId77" ref="Z184"/>
    <hyperlink r:id="rId78" ref="Z185"/>
    <hyperlink r:id="rId79" ref="Z186"/>
    <hyperlink r:id="rId80" ref="Z187"/>
    <hyperlink r:id="rId81" ref="Z188"/>
    <hyperlink r:id="rId82" ref="Z189"/>
    <hyperlink r:id="rId83" ref="Z190"/>
    <hyperlink r:id="rId84" ref="Z191"/>
    <hyperlink r:id="rId85" ref="Z192"/>
    <hyperlink r:id="rId86" ref="Z193"/>
    <hyperlink r:id="rId87" ref="Z194"/>
    <hyperlink r:id="rId88" ref="Z195"/>
    <hyperlink r:id="rId89" ref="Z196"/>
    <hyperlink r:id="rId90" ref="Z197"/>
    <hyperlink r:id="rId91" ref="Z198"/>
    <hyperlink r:id="rId92" ref="Z199"/>
    <hyperlink r:id="rId93" ref="Z201"/>
    <hyperlink r:id="rId94" ref="Z202"/>
    <hyperlink r:id="rId95" ref="Z203"/>
    <hyperlink r:id="rId96" ref="Z204"/>
    <hyperlink r:id="rId97" ref="Z205"/>
    <hyperlink r:id="rId98" ref="Z206"/>
    <hyperlink r:id="rId99" ref="Z207"/>
    <hyperlink r:id="rId100" ref="Z208"/>
    <hyperlink r:id="rId101" ref="Z209"/>
    <hyperlink r:id="rId102" ref="Z210"/>
    <hyperlink r:id="rId103" ref="Z211"/>
    <hyperlink r:id="rId104" ref="Z212"/>
    <hyperlink r:id="rId105" ref="Z213"/>
    <hyperlink r:id="rId106" ref="Z214"/>
    <hyperlink r:id="rId107" ref="Z215"/>
    <hyperlink r:id="rId108" ref="Z216"/>
    <hyperlink r:id="rId109" ref="Z217"/>
    <hyperlink r:id="rId110" ref="Z218"/>
    <hyperlink r:id="rId111" ref="Z219"/>
    <hyperlink r:id="rId112" ref="Z220"/>
    <hyperlink r:id="rId113" ref="Z221"/>
    <hyperlink r:id="rId114" ref="Z222"/>
    <hyperlink r:id="rId115" ref="Z223"/>
    <hyperlink r:id="rId116" ref="Z224"/>
    <hyperlink r:id="rId117" ref="Z225"/>
    <hyperlink r:id="rId118" ref="Z226"/>
    <hyperlink r:id="rId119" ref="Z227"/>
    <hyperlink r:id="rId120" ref="Z228"/>
    <hyperlink r:id="rId121" ref="Z229"/>
    <hyperlink r:id="rId122" ref="Z230"/>
    <hyperlink r:id="rId123" ref="Z231"/>
    <hyperlink r:id="rId124" ref="Z232"/>
    <hyperlink r:id="rId125" ref="Z233"/>
    <hyperlink r:id="rId126" ref="Z234"/>
    <hyperlink r:id="rId127" ref="Z235"/>
    <hyperlink r:id="rId128" ref="Z236"/>
    <hyperlink r:id="rId129" ref="Z237"/>
    <hyperlink r:id="rId130" ref="Z238"/>
    <hyperlink r:id="rId131" ref="Z239"/>
    <hyperlink r:id="rId132" ref="Z240"/>
    <hyperlink r:id="rId133" ref="Z241"/>
    <hyperlink r:id="rId134" ref="Z242"/>
    <hyperlink r:id="rId135" ref="Z243"/>
    <hyperlink r:id="rId136" ref="Z244"/>
    <hyperlink r:id="rId137" ref="Z245"/>
    <hyperlink r:id="rId138" ref="Z246"/>
    <hyperlink r:id="rId139" ref="Z247"/>
    <hyperlink r:id="rId140" ref="Z248"/>
    <hyperlink r:id="rId141" ref="Z249"/>
    <hyperlink r:id="rId142" ref="Z250"/>
    <hyperlink r:id="rId143" ref="Z251"/>
    <hyperlink r:id="rId144" ref="Z252"/>
    <hyperlink r:id="rId145" ref="Z253"/>
    <hyperlink r:id="rId146" ref="Z254"/>
    <hyperlink r:id="rId147" ref="Z255"/>
    <hyperlink r:id="rId148" ref="Z256"/>
    <hyperlink r:id="rId149" ref="Z257"/>
    <hyperlink r:id="rId150" ref="Z258"/>
    <hyperlink r:id="rId151" ref="Z259"/>
    <hyperlink r:id="rId152" ref="Z260"/>
    <hyperlink r:id="rId153" ref="Z261"/>
    <hyperlink r:id="rId154" ref="Z262"/>
    <hyperlink r:id="rId155" ref="Z263"/>
    <hyperlink r:id="rId156" ref="Z265"/>
    <hyperlink r:id="rId157" ref="Z266"/>
    <hyperlink r:id="rId158" ref="Z267"/>
    <hyperlink r:id="rId159" ref="Z268"/>
    <hyperlink r:id="rId160" ref="Z269"/>
    <hyperlink r:id="rId161" ref="Z270"/>
    <hyperlink r:id="rId162" ref="Z271"/>
    <hyperlink r:id="rId163" ref="Z272"/>
    <hyperlink r:id="rId164" ref="Z273"/>
    <hyperlink r:id="rId165" ref="Z274"/>
    <hyperlink r:id="rId166" ref="Z275"/>
    <hyperlink r:id="rId167" ref="Z276"/>
    <hyperlink r:id="rId168" ref="Z277"/>
    <hyperlink r:id="rId169" ref="Z278"/>
    <hyperlink r:id="rId170" ref="Z279"/>
    <hyperlink r:id="rId171" ref="Z280"/>
    <hyperlink r:id="rId172" ref="Z281"/>
    <hyperlink r:id="rId173" ref="Z282"/>
    <hyperlink r:id="rId174" ref="Z283"/>
    <hyperlink r:id="rId175" ref="Z284"/>
    <hyperlink r:id="rId176" ref="Z285"/>
    <hyperlink r:id="rId177" ref="Z286"/>
    <hyperlink r:id="rId178" ref="Z287"/>
    <hyperlink r:id="rId179" ref="Z288"/>
    <hyperlink r:id="rId180" ref="Z290"/>
    <hyperlink r:id="rId181" ref="Z291"/>
    <hyperlink r:id="rId182" ref="Z292"/>
    <hyperlink r:id="rId183" ref="Z293"/>
    <hyperlink r:id="rId184" ref="Z294"/>
    <hyperlink r:id="rId185" ref="Z295"/>
    <hyperlink r:id="rId186" ref="Z296"/>
    <hyperlink r:id="rId187" ref="Z297"/>
    <hyperlink r:id="rId188" ref="Z298"/>
    <hyperlink r:id="rId189" ref="Z299"/>
    <hyperlink r:id="rId190" ref="Z300"/>
    <hyperlink r:id="rId191" ref="Z301"/>
    <hyperlink r:id="rId192" ref="Z302"/>
    <hyperlink r:id="rId193" ref="Z303"/>
    <hyperlink r:id="rId194" ref="Z304"/>
    <hyperlink r:id="rId195" ref="Z305"/>
    <hyperlink r:id="rId196" ref="Z306"/>
    <hyperlink r:id="rId197" ref="Z307"/>
    <hyperlink r:id="rId198" ref="Z308"/>
    <hyperlink r:id="rId199" ref="Z309"/>
    <hyperlink r:id="rId200" ref="Z310"/>
    <hyperlink r:id="rId201" ref="Z311"/>
    <hyperlink r:id="rId202" ref="Z312"/>
    <hyperlink r:id="rId203" ref="Z313"/>
    <hyperlink r:id="rId204" ref="Z314"/>
  </hyperlinks>
  <drawing r:id="rId20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3" max="3" width="19.13"/>
  </cols>
  <sheetData>
    <row r="1">
      <c r="A1" s="4" t="s">
        <v>4728</v>
      </c>
      <c r="B1" s="4" t="s">
        <v>4729</v>
      </c>
      <c r="C1" s="4" t="s">
        <v>4730</v>
      </c>
      <c r="D1" s="4" t="s">
        <v>3</v>
      </c>
      <c r="E1" s="4" t="s">
        <v>4731</v>
      </c>
      <c r="F1" s="4" t="s">
        <v>13</v>
      </c>
    </row>
    <row r="2">
      <c r="A2" s="33">
        <v>45656.53061342593</v>
      </c>
      <c r="B2" s="4" t="s">
        <v>4732</v>
      </c>
      <c r="C2" s="4" t="s">
        <v>4733</v>
      </c>
      <c r="D2" s="4" t="s">
        <v>151</v>
      </c>
      <c r="E2" s="4" t="s">
        <v>4734</v>
      </c>
      <c r="F2" s="4" t="s">
        <v>4735</v>
      </c>
    </row>
    <row r="3">
      <c r="A3" s="33">
        <v>45656.53061608796</v>
      </c>
      <c r="B3" s="4" t="s">
        <v>4732</v>
      </c>
      <c r="C3" s="4" t="s">
        <v>4736</v>
      </c>
      <c r="D3" s="4" t="s">
        <v>151</v>
      </c>
      <c r="E3" s="4" t="s">
        <v>4737</v>
      </c>
      <c r="F3" s="4" t="s">
        <v>4738</v>
      </c>
    </row>
    <row r="4">
      <c r="A4" s="33">
        <v>45656.53061913194</v>
      </c>
      <c r="B4" s="4" t="s">
        <v>4732</v>
      </c>
      <c r="C4" s="4" t="s">
        <v>4739</v>
      </c>
      <c r="D4" s="4" t="s">
        <v>151</v>
      </c>
      <c r="E4" s="4" t="s">
        <v>4737</v>
      </c>
      <c r="F4" s="4" t="s">
        <v>4738</v>
      </c>
    </row>
    <row r="5">
      <c r="A5" s="33">
        <v>45656.5306215625</v>
      </c>
      <c r="B5" s="4" t="s">
        <v>4732</v>
      </c>
      <c r="C5" s="4" t="s">
        <v>4740</v>
      </c>
      <c r="D5" s="4" t="s">
        <v>151</v>
      </c>
      <c r="E5" s="4" t="s">
        <v>4737</v>
      </c>
      <c r="F5" s="4" t="s">
        <v>4738</v>
      </c>
    </row>
    <row r="6">
      <c r="A6" s="33">
        <v>45656.53062439815</v>
      </c>
      <c r="B6" s="4" t="s">
        <v>4732</v>
      </c>
      <c r="C6" s="4" t="s">
        <v>4741</v>
      </c>
      <c r="D6" s="4" t="s">
        <v>4742</v>
      </c>
      <c r="E6" s="4" t="s">
        <v>4737</v>
      </c>
      <c r="F6" s="4" t="s">
        <v>4738</v>
      </c>
    </row>
    <row r="7">
      <c r="A7" s="33">
        <v>45656.54554377314</v>
      </c>
      <c r="B7" s="4" t="s">
        <v>4743</v>
      </c>
      <c r="C7" s="4" t="s">
        <v>4733</v>
      </c>
      <c r="D7" s="4" t="s">
        <v>151</v>
      </c>
      <c r="E7" s="4" t="s">
        <v>4737</v>
      </c>
      <c r="F7" s="4" t="s">
        <v>4738</v>
      </c>
    </row>
    <row r="8">
      <c r="A8" s="33">
        <v>45656.545547118054</v>
      </c>
      <c r="B8" s="4" t="s">
        <v>4743</v>
      </c>
      <c r="C8" s="4" t="s">
        <v>4736</v>
      </c>
      <c r="D8" s="4" t="s">
        <v>151</v>
      </c>
      <c r="E8" s="4" t="s">
        <v>4737</v>
      </c>
      <c r="F8" s="4" t="s">
        <v>4738</v>
      </c>
    </row>
    <row r="9">
      <c r="A9" s="33">
        <v>45656.54556248843</v>
      </c>
      <c r="B9" s="4" t="s">
        <v>4743</v>
      </c>
      <c r="C9" s="4" t="s">
        <v>4739</v>
      </c>
      <c r="D9" s="4" t="s">
        <v>151</v>
      </c>
      <c r="E9" s="4" t="s">
        <v>4737</v>
      </c>
      <c r="F9" s="4" t="s">
        <v>4738</v>
      </c>
    </row>
    <row r="10">
      <c r="A10" s="33">
        <v>45656.54556569444</v>
      </c>
      <c r="B10" s="4" t="s">
        <v>4743</v>
      </c>
      <c r="C10" s="4" t="s">
        <v>4740</v>
      </c>
      <c r="D10" s="4" t="s">
        <v>151</v>
      </c>
      <c r="E10" s="4" t="s">
        <v>4737</v>
      </c>
      <c r="F10" s="4" t="s">
        <v>4738</v>
      </c>
    </row>
    <row r="11">
      <c r="A11" s="33">
        <v>45656.54557577547</v>
      </c>
      <c r="B11" s="4" t="s">
        <v>4743</v>
      </c>
      <c r="C11" s="4" t="s">
        <v>4741</v>
      </c>
      <c r="D11" s="4" t="s">
        <v>4742</v>
      </c>
      <c r="E11" s="4" t="s">
        <v>4737</v>
      </c>
      <c r="F11" s="4" t="s">
        <v>4738</v>
      </c>
    </row>
    <row r="12">
      <c r="A12" s="33">
        <v>45656.54634003472</v>
      </c>
      <c r="B12" s="4" t="s">
        <v>4732</v>
      </c>
      <c r="C12" s="4" t="s">
        <v>4733</v>
      </c>
      <c r="D12" s="4" t="s">
        <v>151</v>
      </c>
      <c r="E12" s="4" t="s">
        <v>4744</v>
      </c>
      <c r="F12" s="4" t="s">
        <v>4735</v>
      </c>
    </row>
    <row r="13">
      <c r="A13" s="33">
        <v>45656.54634398148</v>
      </c>
      <c r="B13" s="4" t="s">
        <v>4732</v>
      </c>
      <c r="C13" s="4" t="s">
        <v>4736</v>
      </c>
      <c r="D13" s="4" t="s">
        <v>151</v>
      </c>
      <c r="E13" s="4" t="s">
        <v>4737</v>
      </c>
      <c r="F13" s="4" t="s">
        <v>4738</v>
      </c>
    </row>
    <row r="14">
      <c r="A14" s="33">
        <v>45656.546348668984</v>
      </c>
      <c r="B14" s="4" t="s">
        <v>4732</v>
      </c>
      <c r="C14" s="4" t="s">
        <v>4739</v>
      </c>
      <c r="D14" s="4" t="s">
        <v>151</v>
      </c>
      <c r="E14" s="4" t="s">
        <v>4737</v>
      </c>
      <c r="F14" s="4" t="s">
        <v>4738</v>
      </c>
    </row>
    <row r="15">
      <c r="A15" s="33">
        <v>45656.546353680555</v>
      </c>
      <c r="B15" s="4" t="s">
        <v>4732</v>
      </c>
      <c r="C15" s="4" t="s">
        <v>4740</v>
      </c>
      <c r="D15" s="4" t="s">
        <v>151</v>
      </c>
      <c r="E15" s="4" t="s">
        <v>4737</v>
      </c>
      <c r="F15" s="4" t="s">
        <v>4738</v>
      </c>
    </row>
    <row r="16">
      <c r="A16" s="33">
        <v>45656.54635833333</v>
      </c>
      <c r="B16" s="4" t="s">
        <v>4732</v>
      </c>
      <c r="C16" s="4" t="s">
        <v>4741</v>
      </c>
      <c r="D16" s="4" t="s">
        <v>4742</v>
      </c>
      <c r="E16" s="4" t="s">
        <v>4737</v>
      </c>
      <c r="F16" s="4" t="s">
        <v>4738</v>
      </c>
    </row>
    <row r="17">
      <c r="A17" s="33">
        <v>45656.547472280094</v>
      </c>
      <c r="B17" s="4" t="s">
        <v>4732</v>
      </c>
      <c r="C17" s="4" t="s">
        <v>4733</v>
      </c>
      <c r="D17" s="4" t="s">
        <v>151</v>
      </c>
      <c r="E17" s="4" t="s">
        <v>4745</v>
      </c>
      <c r="F17" s="4" t="s">
        <v>4735</v>
      </c>
    </row>
    <row r="18">
      <c r="A18" s="33">
        <v>45656.54747494213</v>
      </c>
      <c r="B18" s="4" t="s">
        <v>4732</v>
      </c>
      <c r="C18" s="4" t="s">
        <v>4736</v>
      </c>
      <c r="D18" s="4" t="s">
        <v>151</v>
      </c>
      <c r="E18" s="4" t="s">
        <v>4737</v>
      </c>
      <c r="F18" s="4" t="s">
        <v>4738</v>
      </c>
    </row>
    <row r="19">
      <c r="A19" s="33">
        <v>45656.54747855324</v>
      </c>
      <c r="B19" s="4" t="s">
        <v>4732</v>
      </c>
      <c r="C19" s="4" t="s">
        <v>4739</v>
      </c>
      <c r="D19" s="4" t="s">
        <v>151</v>
      </c>
      <c r="E19" s="4" t="s">
        <v>4737</v>
      </c>
      <c r="F19" s="4" t="s">
        <v>4738</v>
      </c>
    </row>
    <row r="20">
      <c r="A20" s="33">
        <v>45656.54748193287</v>
      </c>
      <c r="B20" s="4" t="s">
        <v>4732</v>
      </c>
      <c r="C20" s="4" t="s">
        <v>4740</v>
      </c>
      <c r="D20" s="4" t="s">
        <v>151</v>
      </c>
      <c r="E20" s="4" t="s">
        <v>4737</v>
      </c>
      <c r="F20" s="4" t="s">
        <v>4738</v>
      </c>
    </row>
    <row r="21">
      <c r="A21" s="33">
        <v>45656.54748570602</v>
      </c>
      <c r="B21" s="4" t="s">
        <v>4732</v>
      </c>
      <c r="C21" s="4" t="s">
        <v>4741</v>
      </c>
      <c r="D21" s="4" t="s">
        <v>4742</v>
      </c>
      <c r="E21" s="4" t="s">
        <v>4737</v>
      </c>
      <c r="F21" s="4" t="s">
        <v>4738</v>
      </c>
    </row>
    <row r="22">
      <c r="A22" s="33">
        <v>45656.550690902775</v>
      </c>
      <c r="B22" s="4" t="s">
        <v>4732</v>
      </c>
      <c r="C22" s="4" t="s">
        <v>4733</v>
      </c>
      <c r="D22" s="4" t="s">
        <v>151</v>
      </c>
      <c r="E22" s="4" t="s">
        <v>4745</v>
      </c>
      <c r="F22" s="4" t="s">
        <v>4735</v>
      </c>
    </row>
    <row r="23">
      <c r="A23" s="33">
        <v>45656.550703773144</v>
      </c>
      <c r="B23" s="4" t="s">
        <v>4732</v>
      </c>
      <c r="C23" s="4" t="s">
        <v>4736</v>
      </c>
      <c r="D23" s="4" t="s">
        <v>151</v>
      </c>
      <c r="E23" s="4" t="s">
        <v>4737</v>
      </c>
      <c r="F23" s="4" t="s">
        <v>4738</v>
      </c>
    </row>
    <row r="24">
      <c r="A24" s="33">
        <v>45656.550706759255</v>
      </c>
      <c r="B24" s="4" t="s">
        <v>4732</v>
      </c>
      <c r="C24" s="4" t="s">
        <v>4739</v>
      </c>
      <c r="D24" s="4" t="s">
        <v>151</v>
      </c>
      <c r="E24" s="4" t="s">
        <v>4737</v>
      </c>
      <c r="F24" s="4" t="s">
        <v>4738</v>
      </c>
    </row>
    <row r="25">
      <c r="A25" s="33">
        <v>45656.5507096875</v>
      </c>
      <c r="B25" s="4" t="s">
        <v>4732</v>
      </c>
      <c r="C25" s="4" t="s">
        <v>4740</v>
      </c>
      <c r="D25" s="4" t="s">
        <v>151</v>
      </c>
      <c r="E25" s="4" t="s">
        <v>4737</v>
      </c>
      <c r="F25" s="4" t="s">
        <v>4738</v>
      </c>
    </row>
    <row r="26">
      <c r="A26" s="33">
        <v>45656.55077903935</v>
      </c>
      <c r="B26" s="4" t="s">
        <v>4732</v>
      </c>
      <c r="C26" s="4" t="s">
        <v>4741</v>
      </c>
      <c r="D26" s="4" t="s">
        <v>4742</v>
      </c>
      <c r="E26" s="4" t="s">
        <v>4746</v>
      </c>
      <c r="F26" s="4" t="s">
        <v>4735</v>
      </c>
    </row>
    <row r="27">
      <c r="A27" s="33">
        <v>45656.552297789356</v>
      </c>
      <c r="B27" s="4" t="s">
        <v>4747</v>
      </c>
      <c r="C27" s="4" t="s">
        <v>4733</v>
      </c>
      <c r="D27" s="4" t="s">
        <v>151</v>
      </c>
      <c r="E27" s="4" t="s">
        <v>4737</v>
      </c>
      <c r="F27" s="4" t="s">
        <v>4738</v>
      </c>
    </row>
    <row r="28">
      <c r="A28" s="33">
        <v>45656.55229994213</v>
      </c>
      <c r="B28" s="4" t="s">
        <v>4747</v>
      </c>
      <c r="C28" s="4" t="s">
        <v>4736</v>
      </c>
      <c r="D28" s="4" t="s">
        <v>151</v>
      </c>
      <c r="E28" s="4" t="s">
        <v>4737</v>
      </c>
      <c r="F28" s="4" t="s">
        <v>4738</v>
      </c>
    </row>
    <row r="29">
      <c r="A29" s="33">
        <v>45656.55230762732</v>
      </c>
      <c r="B29" s="4" t="s">
        <v>4747</v>
      </c>
      <c r="C29" s="4" t="s">
        <v>4739</v>
      </c>
      <c r="D29" s="4" t="s">
        <v>151</v>
      </c>
      <c r="E29" s="4" t="s">
        <v>4737</v>
      </c>
      <c r="F29" s="4" t="s">
        <v>4738</v>
      </c>
    </row>
    <row r="30">
      <c r="A30" s="33">
        <v>45656.55231042824</v>
      </c>
      <c r="B30" s="4" t="s">
        <v>4747</v>
      </c>
      <c r="C30" s="4" t="s">
        <v>4740</v>
      </c>
      <c r="D30" s="4" t="s">
        <v>151</v>
      </c>
      <c r="E30" s="4" t="s">
        <v>4737</v>
      </c>
      <c r="F30" s="4" t="s">
        <v>4738</v>
      </c>
    </row>
    <row r="31">
      <c r="A31" s="33">
        <v>45656.55231313658</v>
      </c>
      <c r="B31" s="4" t="s">
        <v>4747</v>
      </c>
      <c r="C31" s="4" t="s">
        <v>4741</v>
      </c>
      <c r="D31" s="4" t="s">
        <v>4742</v>
      </c>
      <c r="E31" s="4" t="s">
        <v>4737</v>
      </c>
      <c r="F31" s="4" t="s">
        <v>4738</v>
      </c>
    </row>
    <row r="32">
      <c r="A32" s="33">
        <v>45656.55249662037</v>
      </c>
      <c r="B32" s="4" t="s">
        <v>4748</v>
      </c>
      <c r="C32" s="4" t="s">
        <v>4733</v>
      </c>
      <c r="D32" s="4" t="s">
        <v>151</v>
      </c>
      <c r="E32" s="4" t="s">
        <v>4737</v>
      </c>
      <c r="F32" s="4" t="s">
        <v>4738</v>
      </c>
    </row>
    <row r="33">
      <c r="A33" s="33">
        <v>45656.55249836805</v>
      </c>
      <c r="B33" s="4" t="s">
        <v>4748</v>
      </c>
      <c r="C33" s="4" t="s">
        <v>4736</v>
      </c>
      <c r="D33" s="4" t="s">
        <v>151</v>
      </c>
      <c r="E33" s="4" t="s">
        <v>4737</v>
      </c>
      <c r="F33" s="4" t="s">
        <v>4738</v>
      </c>
    </row>
    <row r="34">
      <c r="A34" s="33">
        <v>45656.552502453706</v>
      </c>
      <c r="B34" s="4" t="s">
        <v>4748</v>
      </c>
      <c r="C34" s="4" t="s">
        <v>4739</v>
      </c>
      <c r="D34" s="4" t="s">
        <v>151</v>
      </c>
      <c r="E34" s="4" t="s">
        <v>4737</v>
      </c>
      <c r="F34" s="4" t="s">
        <v>4738</v>
      </c>
    </row>
    <row r="35">
      <c r="A35" s="33">
        <v>45656.55250925926</v>
      </c>
      <c r="B35" s="4" t="s">
        <v>4748</v>
      </c>
      <c r="C35" s="4" t="s">
        <v>4740</v>
      </c>
      <c r="D35" s="4" t="s">
        <v>151</v>
      </c>
      <c r="E35" s="4" t="s">
        <v>4737</v>
      </c>
      <c r="F35" s="4" t="s">
        <v>4738</v>
      </c>
    </row>
    <row r="36">
      <c r="A36" s="33">
        <v>45656.55251214121</v>
      </c>
      <c r="B36" s="4" t="s">
        <v>4748</v>
      </c>
      <c r="C36" s="4" t="s">
        <v>4741</v>
      </c>
      <c r="D36" s="4" t="s">
        <v>4742</v>
      </c>
      <c r="E36" s="4" t="s">
        <v>4737</v>
      </c>
      <c r="F36" s="4" t="s">
        <v>4738</v>
      </c>
    </row>
    <row r="37">
      <c r="A37" s="33">
        <v>45656.55273384259</v>
      </c>
      <c r="B37" s="4" t="s">
        <v>4732</v>
      </c>
      <c r="C37" s="4" t="s">
        <v>4733</v>
      </c>
      <c r="D37" s="4" t="s">
        <v>151</v>
      </c>
      <c r="E37" s="5" t="s">
        <v>4749</v>
      </c>
      <c r="F37" s="4" t="s">
        <v>4735</v>
      </c>
    </row>
    <row r="38">
      <c r="A38" s="33">
        <v>45656.5527371412</v>
      </c>
      <c r="B38" s="4" t="s">
        <v>4732</v>
      </c>
      <c r="C38" s="4" t="s">
        <v>4736</v>
      </c>
      <c r="D38" s="4" t="s">
        <v>151</v>
      </c>
      <c r="E38" s="4" t="s">
        <v>4737</v>
      </c>
      <c r="F38" s="4" t="s">
        <v>4738</v>
      </c>
    </row>
    <row r="39">
      <c r="A39" s="33">
        <v>45656.55274084491</v>
      </c>
      <c r="B39" s="4" t="s">
        <v>4732</v>
      </c>
      <c r="C39" s="4" t="s">
        <v>4739</v>
      </c>
      <c r="D39" s="4" t="s">
        <v>151</v>
      </c>
      <c r="E39" s="4" t="s">
        <v>4737</v>
      </c>
      <c r="F39" s="4" t="s">
        <v>4738</v>
      </c>
    </row>
    <row r="40">
      <c r="A40" s="33">
        <v>45656.55274392361</v>
      </c>
      <c r="B40" s="4" t="s">
        <v>4732</v>
      </c>
      <c r="C40" s="4" t="s">
        <v>4740</v>
      </c>
      <c r="D40" s="4" t="s">
        <v>151</v>
      </c>
      <c r="E40" s="4" t="s">
        <v>4737</v>
      </c>
      <c r="F40" s="4" t="s">
        <v>4738</v>
      </c>
    </row>
    <row r="41">
      <c r="A41" s="33">
        <v>45656.552813726856</v>
      </c>
      <c r="B41" s="4" t="s">
        <v>4732</v>
      </c>
      <c r="C41" s="4" t="s">
        <v>4741</v>
      </c>
      <c r="D41" s="4" t="s">
        <v>4742</v>
      </c>
      <c r="E41" s="4" t="s">
        <v>4750</v>
      </c>
      <c r="F41" s="4" t="s">
        <v>4735</v>
      </c>
    </row>
    <row r="42">
      <c r="A42" s="33">
        <v>45656.554987083335</v>
      </c>
      <c r="B42" s="4" t="s">
        <v>4732</v>
      </c>
      <c r="C42" s="4" t="s">
        <v>4733</v>
      </c>
      <c r="D42" s="4" t="s">
        <v>151</v>
      </c>
      <c r="E42" s="32" t="s">
        <v>4751</v>
      </c>
      <c r="F42" s="4" t="s">
        <v>4735</v>
      </c>
    </row>
    <row r="43">
      <c r="A43" s="33">
        <v>45656.55498930556</v>
      </c>
      <c r="B43" s="4" t="s">
        <v>4732</v>
      </c>
      <c r="C43" s="4" t="s">
        <v>4736</v>
      </c>
      <c r="D43" s="4" t="s">
        <v>151</v>
      </c>
      <c r="E43" s="4" t="s">
        <v>4737</v>
      </c>
      <c r="F43" s="4" t="s">
        <v>4738</v>
      </c>
    </row>
    <row r="44">
      <c r="A44" s="33">
        <v>45656.55499211806</v>
      </c>
      <c r="B44" s="4" t="s">
        <v>4732</v>
      </c>
      <c r="C44" s="4" t="s">
        <v>4739</v>
      </c>
      <c r="D44" s="4" t="s">
        <v>151</v>
      </c>
      <c r="E44" s="4" t="s">
        <v>4737</v>
      </c>
      <c r="F44" s="4" t="s">
        <v>4738</v>
      </c>
    </row>
    <row r="45">
      <c r="A45" s="33">
        <v>45656.554994826394</v>
      </c>
      <c r="B45" s="4" t="s">
        <v>4732</v>
      </c>
      <c r="C45" s="4" t="s">
        <v>4740</v>
      </c>
      <c r="D45" s="4" t="s">
        <v>151</v>
      </c>
      <c r="E45" s="4" t="s">
        <v>4737</v>
      </c>
      <c r="F45" s="4" t="s">
        <v>4738</v>
      </c>
    </row>
    <row r="46">
      <c r="A46" s="33">
        <v>45656.55506395834</v>
      </c>
      <c r="B46" s="4" t="s">
        <v>4732</v>
      </c>
      <c r="C46" s="4" t="s">
        <v>4741</v>
      </c>
      <c r="D46" s="4" t="s">
        <v>4742</v>
      </c>
      <c r="E46" s="5" t="s">
        <v>4752</v>
      </c>
      <c r="F46" s="4" t="s">
        <v>4735</v>
      </c>
    </row>
    <row r="47">
      <c r="A47" s="33">
        <v>45656.5566544676</v>
      </c>
      <c r="B47" s="4" t="s">
        <v>4732</v>
      </c>
      <c r="C47" s="4" t="s">
        <v>4733</v>
      </c>
      <c r="D47" s="4" t="s">
        <v>151</v>
      </c>
      <c r="E47" s="4" t="s">
        <v>4753</v>
      </c>
      <c r="F47" s="4" t="s">
        <v>4735</v>
      </c>
    </row>
    <row r="48">
      <c r="A48" s="33">
        <v>45656.5566577662</v>
      </c>
      <c r="B48" s="4" t="s">
        <v>4732</v>
      </c>
      <c r="C48" s="4" t="s">
        <v>4736</v>
      </c>
      <c r="D48" s="4" t="s">
        <v>151</v>
      </c>
      <c r="E48" s="4" t="s">
        <v>4737</v>
      </c>
      <c r="F48" s="4" t="s">
        <v>4738</v>
      </c>
    </row>
    <row r="49">
      <c r="A49" s="33">
        <v>45656.556668425925</v>
      </c>
      <c r="B49" s="4" t="s">
        <v>4732</v>
      </c>
      <c r="C49" s="4" t="s">
        <v>4739</v>
      </c>
      <c r="D49" s="4" t="s">
        <v>151</v>
      </c>
      <c r="E49" s="4" t="s">
        <v>4737</v>
      </c>
      <c r="F49" s="4" t="s">
        <v>4738</v>
      </c>
    </row>
    <row r="50">
      <c r="A50" s="33">
        <v>45656.55673790509</v>
      </c>
      <c r="B50" s="4" t="s">
        <v>4732</v>
      </c>
      <c r="C50" s="4" t="s">
        <v>4740</v>
      </c>
      <c r="D50" s="4" t="s">
        <v>151</v>
      </c>
      <c r="E50" s="32" t="s">
        <v>4754</v>
      </c>
      <c r="F50" s="4" t="s">
        <v>4735</v>
      </c>
    </row>
    <row r="51">
      <c r="A51" s="33">
        <v>45656.55680467593</v>
      </c>
      <c r="B51" s="4" t="s">
        <v>4732</v>
      </c>
      <c r="C51" s="4" t="s">
        <v>4741</v>
      </c>
      <c r="D51" s="4" t="s">
        <v>4742</v>
      </c>
      <c r="E51" s="32" t="s">
        <v>4752</v>
      </c>
      <c r="F51" s="4" t="s">
        <v>4735</v>
      </c>
    </row>
    <row r="52">
      <c r="A52" s="33">
        <v>45656.56362396991</v>
      </c>
      <c r="B52" s="4" t="s">
        <v>4755</v>
      </c>
      <c r="C52" s="4" t="s">
        <v>4733</v>
      </c>
      <c r="D52" s="4" t="s">
        <v>151</v>
      </c>
      <c r="E52" s="4" t="s">
        <v>4737</v>
      </c>
      <c r="F52" s="4" t="s">
        <v>4738</v>
      </c>
    </row>
    <row r="53">
      <c r="A53" s="33">
        <v>45656.56362792824</v>
      </c>
      <c r="B53" s="4" t="s">
        <v>4755</v>
      </c>
      <c r="C53" s="4" t="s">
        <v>4736</v>
      </c>
      <c r="D53" s="4" t="s">
        <v>151</v>
      </c>
      <c r="E53" s="4" t="s">
        <v>4737</v>
      </c>
      <c r="F53" s="4" t="s">
        <v>4738</v>
      </c>
    </row>
    <row r="54">
      <c r="A54" s="33">
        <v>45656.56364069444</v>
      </c>
      <c r="B54" s="4" t="s">
        <v>4755</v>
      </c>
      <c r="C54" s="4" t="s">
        <v>4739</v>
      </c>
      <c r="D54" s="4" t="s">
        <v>151</v>
      </c>
      <c r="E54" s="4" t="s">
        <v>4737</v>
      </c>
      <c r="F54" s="4" t="s">
        <v>4738</v>
      </c>
    </row>
    <row r="55">
      <c r="A55" s="33">
        <v>45656.563645532406</v>
      </c>
      <c r="B55" s="4" t="s">
        <v>4755</v>
      </c>
      <c r="C55" s="4" t="s">
        <v>4740</v>
      </c>
      <c r="D55" s="4" t="s">
        <v>151</v>
      </c>
      <c r="E55" s="4" t="s">
        <v>4737</v>
      </c>
      <c r="F55" s="4" t="s">
        <v>4738</v>
      </c>
    </row>
    <row r="56">
      <c r="A56" s="33">
        <v>45656.563650462966</v>
      </c>
      <c r="B56" s="4" t="s">
        <v>4755</v>
      </c>
      <c r="C56" s="4" t="s">
        <v>4741</v>
      </c>
      <c r="D56" s="4" t="s">
        <v>4742</v>
      </c>
      <c r="E56" s="4" t="s">
        <v>4737</v>
      </c>
      <c r="F56" s="4" t="s">
        <v>4738</v>
      </c>
    </row>
    <row r="57">
      <c r="A57" s="33">
        <v>45656.56392428241</v>
      </c>
      <c r="B57" s="4" t="s">
        <v>4732</v>
      </c>
      <c r="C57" s="4" t="s">
        <v>4733</v>
      </c>
      <c r="D57" s="4" t="s">
        <v>151</v>
      </c>
      <c r="E57" s="5" t="s">
        <v>4756</v>
      </c>
      <c r="F57" s="4" t="s">
        <v>4735</v>
      </c>
    </row>
    <row r="58">
      <c r="A58" s="33">
        <v>45656.56392609954</v>
      </c>
      <c r="B58" s="4" t="s">
        <v>4732</v>
      </c>
      <c r="C58" s="4" t="s">
        <v>4736</v>
      </c>
      <c r="D58" s="4" t="s">
        <v>151</v>
      </c>
      <c r="E58" s="4" t="s">
        <v>4737</v>
      </c>
      <c r="F58" s="4" t="s">
        <v>4738</v>
      </c>
    </row>
    <row r="59">
      <c r="A59" s="33">
        <v>45656.5639284375</v>
      </c>
      <c r="B59" s="4" t="s">
        <v>4732</v>
      </c>
      <c r="C59" s="4" t="s">
        <v>4739</v>
      </c>
      <c r="D59" s="4" t="s">
        <v>151</v>
      </c>
      <c r="E59" s="4" t="s">
        <v>4737</v>
      </c>
      <c r="F59" s="4" t="s">
        <v>4738</v>
      </c>
    </row>
    <row r="60">
      <c r="A60" s="33">
        <v>45656.56399672454</v>
      </c>
      <c r="B60" s="4" t="s">
        <v>4732</v>
      </c>
      <c r="C60" s="4" t="s">
        <v>4740</v>
      </c>
      <c r="D60" s="4" t="s">
        <v>151</v>
      </c>
      <c r="E60" s="32" t="s">
        <v>4757</v>
      </c>
      <c r="F60" s="4" t="s">
        <v>4735</v>
      </c>
    </row>
    <row r="61">
      <c r="A61" s="33">
        <v>45656.564061296296</v>
      </c>
      <c r="B61" s="4" t="s">
        <v>4732</v>
      </c>
      <c r="C61" s="4" t="s">
        <v>4741</v>
      </c>
      <c r="D61" s="4" t="s">
        <v>4742</v>
      </c>
      <c r="E61" s="5" t="s">
        <v>4752</v>
      </c>
      <c r="F61" s="4" t="s">
        <v>4735</v>
      </c>
    </row>
    <row r="62">
      <c r="A62" s="33">
        <v>45656.56890511574</v>
      </c>
      <c r="B62" s="4" t="s">
        <v>4732</v>
      </c>
      <c r="C62" s="4" t="s">
        <v>4733</v>
      </c>
      <c r="D62" s="4" t="s">
        <v>151</v>
      </c>
      <c r="E62" s="5" t="s">
        <v>4758</v>
      </c>
      <c r="F62" s="4" t="s">
        <v>4735</v>
      </c>
    </row>
    <row r="63">
      <c r="A63" s="33">
        <v>45656.56890699074</v>
      </c>
      <c r="B63" s="4" t="s">
        <v>4732</v>
      </c>
      <c r="C63" s="4" t="s">
        <v>4736</v>
      </c>
      <c r="D63" s="4" t="s">
        <v>151</v>
      </c>
      <c r="E63" s="4" t="s">
        <v>4737</v>
      </c>
      <c r="F63" s="4" t="s">
        <v>4738</v>
      </c>
    </row>
    <row r="64">
      <c r="A64" s="33">
        <v>45656.56890943287</v>
      </c>
      <c r="B64" s="4" t="s">
        <v>4732</v>
      </c>
      <c r="C64" s="4" t="s">
        <v>4739</v>
      </c>
      <c r="D64" s="4" t="s">
        <v>151</v>
      </c>
      <c r="E64" s="4" t="s">
        <v>4737</v>
      </c>
      <c r="F64" s="4" t="s">
        <v>4738</v>
      </c>
    </row>
    <row r="65">
      <c r="A65" s="33">
        <v>45656.568912511575</v>
      </c>
      <c r="B65" s="4" t="s">
        <v>4732</v>
      </c>
      <c r="C65" s="4" t="s">
        <v>4740</v>
      </c>
      <c r="D65" s="4" t="s">
        <v>151</v>
      </c>
      <c r="E65" s="4" t="s">
        <v>4737</v>
      </c>
      <c r="F65" s="4" t="s">
        <v>4738</v>
      </c>
    </row>
    <row r="66">
      <c r="A66" s="33">
        <v>45656.568977546296</v>
      </c>
      <c r="B66" s="4" t="s">
        <v>4732</v>
      </c>
      <c r="C66" s="4" t="s">
        <v>4741</v>
      </c>
      <c r="D66" s="4" t="s">
        <v>4742</v>
      </c>
      <c r="E66" s="5" t="s">
        <v>4752</v>
      </c>
      <c r="F66" s="4" t="s">
        <v>4735</v>
      </c>
    </row>
    <row r="67">
      <c r="A67" s="33">
        <v>45656.56945108796</v>
      </c>
      <c r="B67" s="4" t="s">
        <v>4732</v>
      </c>
      <c r="C67" s="4" t="s">
        <v>4733</v>
      </c>
      <c r="D67" s="4" t="s">
        <v>151</v>
      </c>
      <c r="E67" s="5" t="s">
        <v>4758</v>
      </c>
      <c r="F67" s="4" t="s">
        <v>4735</v>
      </c>
    </row>
    <row r="68">
      <c r="A68" s="33">
        <v>45656.56945459491</v>
      </c>
      <c r="B68" s="4" t="s">
        <v>4732</v>
      </c>
      <c r="C68" s="4" t="s">
        <v>4736</v>
      </c>
      <c r="D68" s="4" t="s">
        <v>151</v>
      </c>
      <c r="E68" s="4" t="s">
        <v>4737</v>
      </c>
      <c r="F68" s="4" t="s">
        <v>4738</v>
      </c>
    </row>
    <row r="69">
      <c r="A69" s="33">
        <v>45656.56946627315</v>
      </c>
      <c r="B69" s="4" t="s">
        <v>4732</v>
      </c>
      <c r="C69" s="4" t="s">
        <v>4739</v>
      </c>
      <c r="D69" s="4" t="s">
        <v>151</v>
      </c>
      <c r="E69" s="4" t="s">
        <v>4737</v>
      </c>
      <c r="F69" s="4" t="s">
        <v>4738</v>
      </c>
    </row>
    <row r="70">
      <c r="A70" s="33">
        <v>45656.5694715625</v>
      </c>
      <c r="B70" s="4" t="s">
        <v>4732</v>
      </c>
      <c r="C70" s="4" t="s">
        <v>4740</v>
      </c>
      <c r="D70" s="4" t="s">
        <v>151</v>
      </c>
      <c r="E70" s="4" t="s">
        <v>4737</v>
      </c>
      <c r="F70" s="4" t="s">
        <v>4738</v>
      </c>
    </row>
    <row r="71">
      <c r="A71" s="33">
        <v>45656.56954431713</v>
      </c>
      <c r="B71" s="4" t="s">
        <v>4732</v>
      </c>
      <c r="C71" s="4" t="s">
        <v>4741</v>
      </c>
      <c r="D71" s="4" t="s">
        <v>4742</v>
      </c>
      <c r="E71" s="5" t="s">
        <v>4752</v>
      </c>
      <c r="F71" s="4" t="s">
        <v>4735</v>
      </c>
    </row>
    <row r="72">
      <c r="A72" s="33">
        <v>45656.56972425926</v>
      </c>
      <c r="B72" s="4" t="s">
        <v>4732</v>
      </c>
      <c r="C72" s="4" t="s">
        <v>4733</v>
      </c>
      <c r="D72" s="4" t="s">
        <v>151</v>
      </c>
      <c r="E72" s="5" t="s">
        <v>4758</v>
      </c>
      <c r="F72" s="4" t="s">
        <v>4735</v>
      </c>
    </row>
    <row r="73">
      <c r="A73" s="33">
        <v>45656.56972954861</v>
      </c>
      <c r="B73" s="4" t="s">
        <v>4732</v>
      </c>
      <c r="C73" s="4" t="s">
        <v>4736</v>
      </c>
      <c r="D73" s="4" t="s">
        <v>151</v>
      </c>
      <c r="E73" s="4" t="s">
        <v>4737</v>
      </c>
      <c r="F73" s="4" t="s">
        <v>4738</v>
      </c>
    </row>
    <row r="74">
      <c r="A74" s="33">
        <v>45656.569732233795</v>
      </c>
      <c r="B74" s="4" t="s">
        <v>4732</v>
      </c>
      <c r="C74" s="4" t="s">
        <v>4739</v>
      </c>
      <c r="D74" s="4" t="s">
        <v>151</v>
      </c>
      <c r="E74" s="4" t="s">
        <v>4737</v>
      </c>
      <c r="F74" s="4" t="s">
        <v>4738</v>
      </c>
    </row>
    <row r="75">
      <c r="A75" s="33">
        <v>45656.569735173616</v>
      </c>
      <c r="B75" s="4" t="s">
        <v>4732</v>
      </c>
      <c r="C75" s="4" t="s">
        <v>4740</v>
      </c>
      <c r="D75" s="4" t="s">
        <v>151</v>
      </c>
      <c r="E75" s="4" t="s">
        <v>4737</v>
      </c>
      <c r="F75" s="4" t="s">
        <v>4738</v>
      </c>
    </row>
    <row r="76">
      <c r="A76" s="33">
        <v>45656.56980423611</v>
      </c>
      <c r="B76" s="4" t="s">
        <v>4732</v>
      </c>
      <c r="C76" s="4" t="s">
        <v>4741</v>
      </c>
      <c r="D76" s="4" t="s">
        <v>4742</v>
      </c>
      <c r="E76" s="5" t="s">
        <v>4752</v>
      </c>
      <c r="F76" s="4" t="s">
        <v>4735</v>
      </c>
    </row>
    <row r="77">
      <c r="A77" s="33">
        <v>45656.57008229167</v>
      </c>
      <c r="B77" s="4" t="s">
        <v>4732</v>
      </c>
      <c r="C77" s="4" t="s">
        <v>4733</v>
      </c>
      <c r="D77" s="4" t="s">
        <v>151</v>
      </c>
      <c r="E77" s="32" t="s">
        <v>4759</v>
      </c>
      <c r="F77" s="4" t="s">
        <v>4735</v>
      </c>
    </row>
    <row r="78">
      <c r="A78" s="33">
        <v>45656.57008494213</v>
      </c>
      <c r="B78" s="4" t="s">
        <v>4732</v>
      </c>
      <c r="C78" s="4" t="s">
        <v>4736</v>
      </c>
      <c r="D78" s="4" t="s">
        <v>151</v>
      </c>
      <c r="E78" s="4" t="s">
        <v>4737</v>
      </c>
      <c r="F78" s="4" t="s">
        <v>4738</v>
      </c>
    </row>
    <row r="79">
      <c r="A79" s="33">
        <v>45656.57009018518</v>
      </c>
      <c r="B79" s="4" t="s">
        <v>4732</v>
      </c>
      <c r="C79" s="4" t="s">
        <v>4739</v>
      </c>
      <c r="D79" s="4" t="s">
        <v>151</v>
      </c>
      <c r="E79" s="4" t="s">
        <v>4737</v>
      </c>
      <c r="F79" s="4" t="s">
        <v>4738</v>
      </c>
    </row>
    <row r="80">
      <c r="A80" s="33">
        <v>45656.570093981485</v>
      </c>
      <c r="B80" s="4" t="s">
        <v>4732</v>
      </c>
      <c r="C80" s="4" t="s">
        <v>4740</v>
      </c>
      <c r="D80" s="4" t="s">
        <v>151</v>
      </c>
      <c r="E80" s="4" t="s">
        <v>4737</v>
      </c>
      <c r="F80" s="4" t="s">
        <v>4738</v>
      </c>
    </row>
    <row r="81">
      <c r="A81" s="33">
        <v>45656.570164351855</v>
      </c>
      <c r="B81" s="4" t="s">
        <v>4732</v>
      </c>
      <c r="C81" s="4" t="s">
        <v>4741</v>
      </c>
      <c r="D81" s="4" t="s">
        <v>4742</v>
      </c>
      <c r="E81" s="5" t="s">
        <v>4752</v>
      </c>
      <c r="F81" s="4" t="s">
        <v>4735</v>
      </c>
    </row>
    <row r="82">
      <c r="A82" s="33">
        <v>45656.57310657407</v>
      </c>
      <c r="B82" s="4" t="s">
        <v>4732</v>
      </c>
      <c r="C82" s="4" t="s">
        <v>4733</v>
      </c>
      <c r="D82" s="4" t="s">
        <v>151</v>
      </c>
      <c r="E82" s="5" t="s">
        <v>4758</v>
      </c>
      <c r="F82" s="4" t="s">
        <v>4735</v>
      </c>
    </row>
    <row r="83">
      <c r="A83" s="33">
        <v>45656.57310944445</v>
      </c>
      <c r="B83" s="4" t="s">
        <v>4732</v>
      </c>
      <c r="C83" s="4" t="s">
        <v>4736</v>
      </c>
      <c r="D83" s="4" t="s">
        <v>151</v>
      </c>
      <c r="E83" s="4" t="s">
        <v>4737</v>
      </c>
      <c r="F83" s="4" t="s">
        <v>4738</v>
      </c>
    </row>
    <row r="84">
      <c r="A84" s="33">
        <v>45656.5731121875</v>
      </c>
      <c r="B84" s="4" t="s">
        <v>4732</v>
      </c>
      <c r="C84" s="4" t="s">
        <v>4739</v>
      </c>
      <c r="D84" s="4" t="s">
        <v>151</v>
      </c>
      <c r="E84" s="4" t="s">
        <v>4737</v>
      </c>
      <c r="F84" s="4" t="s">
        <v>4738</v>
      </c>
    </row>
    <row r="85">
      <c r="A85" s="33">
        <v>45656.57311621528</v>
      </c>
      <c r="B85" s="4" t="s">
        <v>4732</v>
      </c>
      <c r="C85" s="4" t="s">
        <v>4740</v>
      </c>
      <c r="D85" s="4" t="s">
        <v>151</v>
      </c>
      <c r="E85" s="4" t="s">
        <v>4737</v>
      </c>
      <c r="F85" s="4" t="s">
        <v>4738</v>
      </c>
    </row>
    <row r="86">
      <c r="A86" s="33">
        <v>45656.57318574074</v>
      </c>
      <c r="B86" s="4" t="s">
        <v>4732</v>
      </c>
      <c r="C86" s="4" t="s">
        <v>4741</v>
      </c>
      <c r="D86" s="4" t="s">
        <v>4742</v>
      </c>
      <c r="E86" s="5" t="s">
        <v>4752</v>
      </c>
      <c r="F86" s="4" t="s">
        <v>4735</v>
      </c>
    </row>
    <row r="87">
      <c r="A87" s="33">
        <v>45656.576011192126</v>
      </c>
      <c r="B87" s="4" t="s">
        <v>4732</v>
      </c>
      <c r="C87" s="4" t="s">
        <v>4733</v>
      </c>
      <c r="D87" s="4" t="s">
        <v>151</v>
      </c>
      <c r="E87" s="5" t="s">
        <v>4760</v>
      </c>
      <c r="F87" s="4" t="s">
        <v>4735</v>
      </c>
    </row>
    <row r="88">
      <c r="A88" s="33">
        <v>45656.5760162963</v>
      </c>
      <c r="B88" s="4" t="s">
        <v>4732</v>
      </c>
      <c r="C88" s="4" t="s">
        <v>4736</v>
      </c>
      <c r="D88" s="4" t="s">
        <v>151</v>
      </c>
      <c r="E88" s="4" t="s">
        <v>4737</v>
      </c>
      <c r="F88" s="4" t="s">
        <v>4738</v>
      </c>
    </row>
    <row r="89">
      <c r="A89" s="33">
        <v>45656.57602291666</v>
      </c>
      <c r="B89" s="4" t="s">
        <v>4732</v>
      </c>
      <c r="C89" s="4" t="s">
        <v>4739</v>
      </c>
      <c r="D89" s="4" t="s">
        <v>151</v>
      </c>
      <c r="E89" s="4" t="s">
        <v>4737</v>
      </c>
      <c r="F89" s="4" t="s">
        <v>4738</v>
      </c>
    </row>
    <row r="90">
      <c r="A90" s="33">
        <v>45656.57614579861</v>
      </c>
      <c r="B90" s="4" t="s">
        <v>4732</v>
      </c>
      <c r="C90" s="4" t="s">
        <v>4740</v>
      </c>
      <c r="D90" s="4" t="s">
        <v>151</v>
      </c>
      <c r="E90" s="5" t="s">
        <v>4761</v>
      </c>
      <c r="F90" s="4" t="s">
        <v>4735</v>
      </c>
    </row>
    <row r="91">
      <c r="A91" s="33">
        <v>45656.57615125</v>
      </c>
      <c r="B91" s="4" t="s">
        <v>4732</v>
      </c>
      <c r="C91" s="4" t="s">
        <v>4741</v>
      </c>
      <c r="D91" s="4" t="s">
        <v>4742</v>
      </c>
      <c r="E91" s="4" t="s">
        <v>4737</v>
      </c>
      <c r="F91" s="4" t="s">
        <v>4738</v>
      </c>
    </row>
    <row r="92">
      <c r="A92" s="33">
        <v>45656.67756207176</v>
      </c>
      <c r="B92" s="4" t="s">
        <v>4762</v>
      </c>
      <c r="C92" s="4" t="s">
        <v>4733</v>
      </c>
      <c r="D92" s="4" t="s">
        <v>151</v>
      </c>
      <c r="E92" s="4" t="s">
        <v>4737</v>
      </c>
      <c r="F92" s="4" t="s">
        <v>4738</v>
      </c>
    </row>
    <row r="93">
      <c r="A93" s="33">
        <v>45656.677566342594</v>
      </c>
      <c r="B93" s="4" t="s">
        <v>4762</v>
      </c>
      <c r="C93" s="4" t="s">
        <v>4736</v>
      </c>
      <c r="D93" s="4" t="s">
        <v>151</v>
      </c>
      <c r="E93" s="4" t="s">
        <v>4737</v>
      </c>
      <c r="F93" s="4" t="s">
        <v>4738</v>
      </c>
    </row>
    <row r="94">
      <c r="A94" s="33">
        <v>45656.677570659725</v>
      </c>
      <c r="B94" s="4" t="s">
        <v>4762</v>
      </c>
      <c r="C94" s="4" t="s">
        <v>4739</v>
      </c>
      <c r="D94" s="4" t="s">
        <v>151</v>
      </c>
      <c r="E94" s="4" t="s">
        <v>4737</v>
      </c>
      <c r="F94" s="4" t="s">
        <v>4738</v>
      </c>
    </row>
    <row r="95">
      <c r="A95" s="33">
        <v>45656.67758020833</v>
      </c>
      <c r="B95" s="4" t="s">
        <v>4762</v>
      </c>
      <c r="C95" s="4" t="s">
        <v>4740</v>
      </c>
      <c r="D95" s="4" t="s">
        <v>151</v>
      </c>
      <c r="E95" s="4" t="s">
        <v>4737</v>
      </c>
      <c r="F95" s="4" t="s">
        <v>4738</v>
      </c>
    </row>
    <row r="96">
      <c r="A96" s="33">
        <v>45656.67758417824</v>
      </c>
      <c r="B96" s="4" t="s">
        <v>4762</v>
      </c>
      <c r="C96" s="4" t="s">
        <v>4741</v>
      </c>
      <c r="D96" s="4" t="s">
        <v>4742</v>
      </c>
      <c r="E96" s="4" t="s">
        <v>4737</v>
      </c>
      <c r="F96" s="4" t="s">
        <v>4738</v>
      </c>
    </row>
    <row r="97">
      <c r="A97" s="33">
        <v>45656.67766810185</v>
      </c>
      <c r="B97" s="4" t="s">
        <v>4763</v>
      </c>
      <c r="C97" s="4" t="s">
        <v>4733</v>
      </c>
      <c r="D97" s="4" t="s">
        <v>151</v>
      </c>
      <c r="E97" s="4" t="s">
        <v>4737</v>
      </c>
      <c r="F97" s="4" t="s">
        <v>4738</v>
      </c>
    </row>
    <row r="98">
      <c r="A98" s="33">
        <v>45656.67767085649</v>
      </c>
      <c r="B98" s="4" t="s">
        <v>4763</v>
      </c>
      <c r="C98" s="4" t="s">
        <v>4736</v>
      </c>
      <c r="D98" s="4" t="s">
        <v>151</v>
      </c>
      <c r="E98" s="4" t="s">
        <v>4737</v>
      </c>
      <c r="F98" s="4" t="s">
        <v>4738</v>
      </c>
    </row>
    <row r="99">
      <c r="A99" s="33">
        <v>45656.67767446759</v>
      </c>
      <c r="B99" s="4" t="s">
        <v>4763</v>
      </c>
      <c r="C99" s="4" t="s">
        <v>4739</v>
      </c>
      <c r="D99" s="4" t="s">
        <v>151</v>
      </c>
      <c r="E99" s="4" t="s">
        <v>4737</v>
      </c>
      <c r="F99" s="4" t="s">
        <v>4738</v>
      </c>
    </row>
    <row r="100">
      <c r="A100" s="33">
        <v>45656.67767809027</v>
      </c>
      <c r="B100" s="4" t="s">
        <v>4763</v>
      </c>
      <c r="C100" s="4" t="s">
        <v>4740</v>
      </c>
      <c r="D100" s="4" t="s">
        <v>151</v>
      </c>
      <c r="E100" s="4" t="s">
        <v>4737</v>
      </c>
      <c r="F100" s="4" t="s">
        <v>4738</v>
      </c>
    </row>
    <row r="101">
      <c r="A101" s="33">
        <v>45656.67768179398</v>
      </c>
      <c r="B101" s="4" t="s">
        <v>4763</v>
      </c>
      <c r="C101" s="4" t="s">
        <v>4741</v>
      </c>
      <c r="D101" s="4" t="s">
        <v>4742</v>
      </c>
      <c r="E101" s="4" t="s">
        <v>4737</v>
      </c>
      <c r="F101" s="4" t="s">
        <v>4738</v>
      </c>
    </row>
    <row r="102">
      <c r="A102" s="33">
        <v>45656.677985532406</v>
      </c>
      <c r="B102" s="4" t="s">
        <v>4732</v>
      </c>
      <c r="C102" s="4" t="s">
        <v>4733</v>
      </c>
      <c r="D102" s="4" t="s">
        <v>151</v>
      </c>
      <c r="E102" s="32" t="s">
        <v>4764</v>
      </c>
      <c r="F102" s="4" t="s">
        <v>4735</v>
      </c>
    </row>
    <row r="103">
      <c r="A103" s="33">
        <v>45656.677988020834</v>
      </c>
      <c r="B103" s="4" t="s">
        <v>4732</v>
      </c>
      <c r="C103" s="4" t="s">
        <v>4736</v>
      </c>
      <c r="D103" s="4" t="s">
        <v>151</v>
      </c>
      <c r="E103" s="4" t="s">
        <v>4737</v>
      </c>
      <c r="F103" s="4" t="s">
        <v>4738</v>
      </c>
    </row>
    <row r="104">
      <c r="A104" s="33">
        <v>45656.67799116898</v>
      </c>
      <c r="B104" s="4" t="s">
        <v>4732</v>
      </c>
      <c r="C104" s="4" t="s">
        <v>4739</v>
      </c>
      <c r="D104" s="4" t="s">
        <v>151</v>
      </c>
      <c r="E104" s="4" t="s">
        <v>4737</v>
      </c>
      <c r="F104" s="4" t="s">
        <v>4738</v>
      </c>
    </row>
    <row r="105">
      <c r="A105" s="33">
        <v>45656.67809811342</v>
      </c>
      <c r="B105" s="4" t="s">
        <v>4732</v>
      </c>
      <c r="C105" s="4" t="s">
        <v>4740</v>
      </c>
      <c r="D105" s="4" t="s">
        <v>151</v>
      </c>
      <c r="E105" s="5" t="s">
        <v>4765</v>
      </c>
      <c r="F105" s="4" t="s">
        <v>4735</v>
      </c>
    </row>
    <row r="106">
      <c r="A106" s="33">
        <v>45656.67810160879</v>
      </c>
      <c r="B106" s="4" t="s">
        <v>4732</v>
      </c>
      <c r="C106" s="4" t="s">
        <v>4741</v>
      </c>
      <c r="D106" s="4" t="s">
        <v>4742</v>
      </c>
      <c r="E106" s="4" t="s">
        <v>4737</v>
      </c>
      <c r="F106" s="4" t="s">
        <v>4738</v>
      </c>
    </row>
    <row r="107">
      <c r="A107" s="33">
        <v>45656.67938938657</v>
      </c>
      <c r="B107" s="4" t="s">
        <v>4766</v>
      </c>
      <c r="C107" s="4" t="s">
        <v>4733</v>
      </c>
      <c r="D107" s="4" t="s">
        <v>151</v>
      </c>
      <c r="E107" s="4" t="s">
        <v>4737</v>
      </c>
      <c r="F107" s="4" t="s">
        <v>4738</v>
      </c>
    </row>
    <row r="108">
      <c r="A108" s="33">
        <v>45656.67939140047</v>
      </c>
      <c r="B108" s="4" t="s">
        <v>4766</v>
      </c>
      <c r="C108" s="4" t="s">
        <v>4736</v>
      </c>
      <c r="D108" s="4" t="s">
        <v>151</v>
      </c>
      <c r="E108" s="4" t="s">
        <v>4737</v>
      </c>
      <c r="F108" s="4" t="s">
        <v>4738</v>
      </c>
    </row>
    <row r="109">
      <c r="A109" s="33">
        <v>45656.67939423611</v>
      </c>
      <c r="B109" s="4" t="s">
        <v>4766</v>
      </c>
      <c r="C109" s="4" t="s">
        <v>4739</v>
      </c>
      <c r="D109" s="4" t="s">
        <v>151</v>
      </c>
      <c r="E109" s="4" t="s">
        <v>4737</v>
      </c>
      <c r="F109" s="4" t="s">
        <v>4738</v>
      </c>
    </row>
    <row r="110">
      <c r="A110" s="33">
        <v>45656.6793971875</v>
      </c>
      <c r="B110" s="4" t="s">
        <v>4766</v>
      </c>
      <c r="C110" s="4" t="s">
        <v>4740</v>
      </c>
      <c r="D110" s="4" t="s">
        <v>151</v>
      </c>
      <c r="E110" s="4" t="s">
        <v>4737</v>
      </c>
      <c r="F110" s="4" t="s">
        <v>4738</v>
      </c>
    </row>
    <row r="111">
      <c r="A111" s="33">
        <v>45656.67941591435</v>
      </c>
      <c r="B111" s="4" t="s">
        <v>4766</v>
      </c>
      <c r="C111" s="4" t="s">
        <v>4741</v>
      </c>
      <c r="D111" s="4" t="s">
        <v>4742</v>
      </c>
      <c r="E111" s="4" t="s">
        <v>4737</v>
      </c>
      <c r="F111" s="4" t="s">
        <v>4738</v>
      </c>
    </row>
    <row r="112">
      <c r="A112" s="33">
        <v>45656.67965106481</v>
      </c>
      <c r="B112" s="4" t="s">
        <v>4732</v>
      </c>
      <c r="C112" s="4" t="s">
        <v>4733</v>
      </c>
      <c r="D112" s="4" t="s">
        <v>151</v>
      </c>
      <c r="E112" s="32" t="s">
        <v>4767</v>
      </c>
      <c r="F112" s="4" t="s">
        <v>4735</v>
      </c>
    </row>
    <row r="113">
      <c r="A113" s="33">
        <v>45656.679653541665</v>
      </c>
      <c r="B113" s="4" t="s">
        <v>4732</v>
      </c>
      <c r="C113" s="4" t="s">
        <v>4736</v>
      </c>
      <c r="D113" s="4" t="s">
        <v>151</v>
      </c>
      <c r="E113" s="4" t="s">
        <v>4737</v>
      </c>
      <c r="F113" s="4" t="s">
        <v>4738</v>
      </c>
    </row>
    <row r="114">
      <c r="A114" s="33">
        <v>45656.6796565625</v>
      </c>
      <c r="B114" s="4" t="s">
        <v>4732</v>
      </c>
      <c r="C114" s="4" t="s">
        <v>4739</v>
      </c>
      <c r="D114" s="4" t="s">
        <v>151</v>
      </c>
      <c r="E114" s="4" t="s">
        <v>4737</v>
      </c>
      <c r="F114" s="4" t="s">
        <v>4738</v>
      </c>
    </row>
    <row r="115">
      <c r="A115" s="33">
        <v>45656.67975988426</v>
      </c>
      <c r="B115" s="4" t="s">
        <v>4732</v>
      </c>
      <c r="C115" s="4" t="s">
        <v>4740</v>
      </c>
      <c r="D115" s="4" t="s">
        <v>151</v>
      </c>
      <c r="E115" s="5" t="s">
        <v>4768</v>
      </c>
      <c r="F115" s="4" t="s">
        <v>4735</v>
      </c>
    </row>
    <row r="116">
      <c r="A116" s="33">
        <v>45656.67976342593</v>
      </c>
      <c r="B116" s="4" t="s">
        <v>4732</v>
      </c>
      <c r="C116" s="4" t="s">
        <v>4741</v>
      </c>
      <c r="D116" s="4" t="s">
        <v>4742</v>
      </c>
      <c r="E116" s="4" t="s">
        <v>4737</v>
      </c>
      <c r="F116" s="4" t="s">
        <v>4738</v>
      </c>
    </row>
    <row r="117">
      <c r="A117" s="33">
        <v>45656.6811787037</v>
      </c>
      <c r="B117" s="4" t="s">
        <v>4769</v>
      </c>
      <c r="C117" s="4" t="s">
        <v>4733</v>
      </c>
      <c r="D117" s="4" t="s">
        <v>151</v>
      </c>
      <c r="E117" s="4" t="s">
        <v>4737</v>
      </c>
      <c r="F117" s="4" t="s">
        <v>4738</v>
      </c>
    </row>
    <row r="118">
      <c r="A118" s="33">
        <v>45656.68118153935</v>
      </c>
      <c r="B118" s="4" t="s">
        <v>4769</v>
      </c>
      <c r="C118" s="4" t="s">
        <v>4736</v>
      </c>
      <c r="D118" s="4" t="s">
        <v>151</v>
      </c>
      <c r="E118" s="4" t="s">
        <v>4737</v>
      </c>
      <c r="F118" s="4" t="s">
        <v>4738</v>
      </c>
    </row>
    <row r="119">
      <c r="A119" s="33">
        <v>45656.68119685185</v>
      </c>
      <c r="B119" s="4" t="s">
        <v>4769</v>
      </c>
      <c r="C119" s="4" t="s">
        <v>4739</v>
      </c>
      <c r="D119" s="4" t="s">
        <v>151</v>
      </c>
      <c r="E119" s="4" t="s">
        <v>4737</v>
      </c>
      <c r="F119" s="4" t="s">
        <v>4738</v>
      </c>
    </row>
    <row r="120">
      <c r="A120" s="33">
        <v>45656.6811997801</v>
      </c>
      <c r="B120" s="4" t="s">
        <v>4769</v>
      </c>
      <c r="C120" s="4" t="s">
        <v>4740</v>
      </c>
      <c r="D120" s="4" t="s">
        <v>151</v>
      </c>
      <c r="E120" s="4" t="s">
        <v>4737</v>
      </c>
      <c r="F120" s="4" t="s">
        <v>4738</v>
      </c>
    </row>
    <row r="121">
      <c r="A121" s="33">
        <v>45656.68121297454</v>
      </c>
      <c r="B121" s="4" t="s">
        <v>4769</v>
      </c>
      <c r="C121" s="4" t="s">
        <v>4741</v>
      </c>
      <c r="D121" s="4" t="s">
        <v>4742</v>
      </c>
      <c r="E121" s="4" t="s">
        <v>4737</v>
      </c>
      <c r="F121" s="4" t="s">
        <v>4738</v>
      </c>
    </row>
    <row r="122">
      <c r="A122" s="33">
        <v>45656.68163237268</v>
      </c>
      <c r="B122" s="4" t="s">
        <v>4732</v>
      </c>
      <c r="C122" s="4" t="s">
        <v>4733</v>
      </c>
      <c r="D122" s="4" t="s">
        <v>151</v>
      </c>
      <c r="E122" s="5" t="s">
        <v>4770</v>
      </c>
      <c r="F122" s="4" t="s">
        <v>4735</v>
      </c>
    </row>
    <row r="123">
      <c r="A123" s="33">
        <v>45656.68163461806</v>
      </c>
      <c r="B123" s="4" t="s">
        <v>4732</v>
      </c>
      <c r="C123" s="4" t="s">
        <v>4736</v>
      </c>
      <c r="D123" s="4" t="s">
        <v>151</v>
      </c>
      <c r="E123" s="4" t="s">
        <v>4737</v>
      </c>
      <c r="F123" s="4" t="s">
        <v>4738</v>
      </c>
    </row>
    <row r="124">
      <c r="A124" s="33">
        <v>45656.681637905094</v>
      </c>
      <c r="B124" s="4" t="s">
        <v>4732</v>
      </c>
      <c r="C124" s="4" t="s">
        <v>4739</v>
      </c>
      <c r="D124" s="4" t="s">
        <v>151</v>
      </c>
      <c r="E124" s="4" t="s">
        <v>4737</v>
      </c>
      <c r="F124" s="4" t="s">
        <v>4738</v>
      </c>
    </row>
    <row r="125">
      <c r="A125" s="33">
        <v>45656.68177195602</v>
      </c>
      <c r="B125" s="4" t="s">
        <v>4732</v>
      </c>
      <c r="C125" s="4" t="s">
        <v>4740</v>
      </c>
      <c r="D125" s="4" t="s">
        <v>151</v>
      </c>
      <c r="E125" s="5" t="s">
        <v>4771</v>
      </c>
      <c r="F125" s="4" t="s">
        <v>4735</v>
      </c>
    </row>
    <row r="126">
      <c r="A126" s="33">
        <v>45656.681775613426</v>
      </c>
      <c r="B126" s="4" t="s">
        <v>4732</v>
      </c>
      <c r="C126" s="4" t="s">
        <v>4741</v>
      </c>
      <c r="D126" s="4" t="s">
        <v>4742</v>
      </c>
      <c r="E126" s="4" t="s">
        <v>4737</v>
      </c>
      <c r="F126" s="4" t="s">
        <v>4738</v>
      </c>
    </row>
    <row r="127">
      <c r="A127" s="33">
        <v>45656.68234409722</v>
      </c>
      <c r="B127" s="4" t="s">
        <v>4732</v>
      </c>
      <c r="C127" s="4" t="s">
        <v>4733</v>
      </c>
      <c r="D127" s="4" t="s">
        <v>151</v>
      </c>
      <c r="E127" s="5" t="s">
        <v>4770</v>
      </c>
      <c r="F127" s="4" t="s">
        <v>4735</v>
      </c>
    </row>
    <row r="128">
      <c r="A128" s="33">
        <v>45656.682360520834</v>
      </c>
      <c r="B128" s="4" t="s">
        <v>4732</v>
      </c>
      <c r="C128" s="4" t="s">
        <v>4736</v>
      </c>
      <c r="D128" s="4" t="s">
        <v>151</v>
      </c>
      <c r="E128" s="4" t="s">
        <v>4737</v>
      </c>
      <c r="F128" s="4" t="s">
        <v>4738</v>
      </c>
    </row>
    <row r="129">
      <c r="A129" s="33">
        <v>45656.68236501157</v>
      </c>
      <c r="B129" s="4" t="s">
        <v>4732</v>
      </c>
      <c r="C129" s="4" t="s">
        <v>4739</v>
      </c>
      <c r="D129" s="4" t="s">
        <v>151</v>
      </c>
      <c r="E129" s="4" t="s">
        <v>4737</v>
      </c>
      <c r="F129" s="4" t="s">
        <v>4738</v>
      </c>
    </row>
    <row r="130">
      <c r="A130" s="33">
        <v>45656.682511782405</v>
      </c>
      <c r="B130" s="4" t="s">
        <v>4732</v>
      </c>
      <c r="C130" s="4" t="s">
        <v>4740</v>
      </c>
      <c r="D130" s="4" t="s">
        <v>151</v>
      </c>
      <c r="E130" s="5" t="s">
        <v>4771</v>
      </c>
      <c r="F130" s="4" t="s">
        <v>4735</v>
      </c>
    </row>
    <row r="131">
      <c r="A131" s="33">
        <v>45656.68258300926</v>
      </c>
      <c r="B131" s="4" t="s">
        <v>4732</v>
      </c>
      <c r="C131" s="4" t="s">
        <v>4741</v>
      </c>
      <c r="D131" s="4" t="s">
        <v>4742</v>
      </c>
      <c r="E131" s="5" t="s">
        <v>4772</v>
      </c>
      <c r="F131" s="4" t="s">
        <v>4735</v>
      </c>
    </row>
    <row r="132">
      <c r="A132" s="33">
        <v>45656.730878055554</v>
      </c>
      <c r="B132" s="4" t="s">
        <v>4773</v>
      </c>
      <c r="C132" s="4" t="s">
        <v>4733</v>
      </c>
      <c r="D132" s="4" t="s">
        <v>151</v>
      </c>
      <c r="E132" s="5" t="s">
        <v>4774</v>
      </c>
      <c r="F132" s="4" t="s">
        <v>4735</v>
      </c>
    </row>
    <row r="133">
      <c r="A133" s="33">
        <v>45656.7308815625</v>
      </c>
      <c r="B133" s="4" t="s">
        <v>4773</v>
      </c>
      <c r="C133" s="4" t="s">
        <v>4736</v>
      </c>
      <c r="D133" s="4" t="s">
        <v>151</v>
      </c>
      <c r="E133" s="4" t="s">
        <v>4737</v>
      </c>
      <c r="F133" s="4" t="s">
        <v>4738</v>
      </c>
    </row>
    <row r="134">
      <c r="A134" s="33">
        <v>45656.73088487268</v>
      </c>
      <c r="B134" s="4" t="s">
        <v>4773</v>
      </c>
      <c r="C134" s="4" t="s">
        <v>4739</v>
      </c>
      <c r="D134" s="4" t="s">
        <v>151</v>
      </c>
      <c r="E134" s="4" t="s">
        <v>4737</v>
      </c>
      <c r="F134" s="4" t="s">
        <v>4738</v>
      </c>
    </row>
    <row r="135">
      <c r="A135" s="33">
        <v>45656.73088841436</v>
      </c>
      <c r="B135" s="4" t="s">
        <v>4773</v>
      </c>
      <c r="C135" s="4" t="s">
        <v>4740</v>
      </c>
      <c r="D135" s="4" t="s">
        <v>151</v>
      </c>
      <c r="E135" s="4" t="s">
        <v>4737</v>
      </c>
      <c r="F135" s="4" t="s">
        <v>4738</v>
      </c>
    </row>
    <row r="136">
      <c r="A136" s="33">
        <v>45656.73096399306</v>
      </c>
      <c r="B136" s="4" t="s">
        <v>4773</v>
      </c>
      <c r="C136" s="4" t="s">
        <v>4741</v>
      </c>
      <c r="D136" s="4" t="s">
        <v>4742</v>
      </c>
      <c r="E136" s="4" t="s">
        <v>4775</v>
      </c>
      <c r="F136" s="4" t="s">
        <v>4735</v>
      </c>
    </row>
    <row r="137">
      <c r="A137" s="33">
        <v>45656.75110976852</v>
      </c>
      <c r="B137" s="4" t="s">
        <v>4776</v>
      </c>
      <c r="C137" s="4" t="s">
        <v>4777</v>
      </c>
      <c r="D137" s="4" t="s">
        <v>4778</v>
      </c>
    </row>
    <row r="138">
      <c r="A138" s="33">
        <v>45656.75111153936</v>
      </c>
      <c r="B138" s="4" t="s">
        <v>4779</v>
      </c>
      <c r="C138" s="4" t="s">
        <v>4780</v>
      </c>
      <c r="D138" s="4" t="s">
        <v>4781</v>
      </c>
    </row>
    <row r="139">
      <c r="A139" s="33">
        <v>45656.751113935185</v>
      </c>
      <c r="B139" s="4" t="s">
        <v>4782</v>
      </c>
      <c r="C139" s="4" t="s">
        <v>4780</v>
      </c>
      <c r="D139" s="4" t="s">
        <v>4781</v>
      </c>
    </row>
    <row r="140">
      <c r="A140" s="33">
        <v>45656.751116238425</v>
      </c>
      <c r="B140" s="4" t="s">
        <v>4783</v>
      </c>
      <c r="C140" s="4" t="s">
        <v>4777</v>
      </c>
      <c r="D140" s="4" t="s">
        <v>4778</v>
      </c>
    </row>
    <row r="141">
      <c r="A141" s="33">
        <v>45656.7511185301</v>
      </c>
      <c r="B141" s="4" t="s">
        <v>4742</v>
      </c>
      <c r="C141" s="4" t="s">
        <v>4780</v>
      </c>
      <c r="D141" s="4" t="s">
        <v>4781</v>
      </c>
    </row>
    <row r="142">
      <c r="A142" s="33">
        <v>45656.7517841088</v>
      </c>
      <c r="B142" s="4" t="s">
        <v>4776</v>
      </c>
      <c r="C142" s="4" t="s">
        <v>4777</v>
      </c>
      <c r="D142" s="4" t="s">
        <v>4778</v>
      </c>
    </row>
    <row r="143">
      <c r="A143" s="33">
        <v>45656.751786249995</v>
      </c>
      <c r="B143" s="4" t="s">
        <v>4779</v>
      </c>
      <c r="C143" s="4" t="s">
        <v>4780</v>
      </c>
      <c r="D143" s="4" t="s">
        <v>4781</v>
      </c>
    </row>
    <row r="144">
      <c r="A144" s="33">
        <v>45656.751803125</v>
      </c>
      <c r="B144" s="4" t="s">
        <v>4782</v>
      </c>
      <c r="C144" s="4" t="s">
        <v>4780</v>
      </c>
      <c r="D144" s="4" t="s">
        <v>4781</v>
      </c>
    </row>
    <row r="145">
      <c r="A145" s="33">
        <v>45656.75180618056</v>
      </c>
      <c r="B145" s="4" t="s">
        <v>4783</v>
      </c>
      <c r="C145" s="4" t="s">
        <v>4780</v>
      </c>
      <c r="D145" s="4" t="s">
        <v>4781</v>
      </c>
    </row>
    <row r="146">
      <c r="A146" s="33">
        <v>45656.75181018519</v>
      </c>
      <c r="B146" s="4" t="s">
        <v>4742</v>
      </c>
      <c r="C146" s="4" t="s">
        <v>4780</v>
      </c>
      <c r="D146" s="4" t="s">
        <v>4781</v>
      </c>
    </row>
    <row r="147">
      <c r="A147" s="33">
        <v>45656.75286724537</v>
      </c>
      <c r="B147" s="4" t="s">
        <v>4776</v>
      </c>
      <c r="C147" s="4" t="s">
        <v>4777</v>
      </c>
      <c r="D147" s="4" t="s">
        <v>4778</v>
      </c>
    </row>
    <row r="148">
      <c r="A148" s="33">
        <v>45656.75286916667</v>
      </c>
      <c r="B148" s="4" t="s">
        <v>4779</v>
      </c>
      <c r="C148" s="4" t="s">
        <v>4780</v>
      </c>
      <c r="D148" s="4" t="s">
        <v>4781</v>
      </c>
    </row>
    <row r="149">
      <c r="A149" s="33">
        <v>45656.75287243056</v>
      </c>
      <c r="B149" s="4" t="s">
        <v>4782</v>
      </c>
      <c r="C149" s="4" t="s">
        <v>4780</v>
      </c>
      <c r="D149" s="4" t="s">
        <v>4781</v>
      </c>
    </row>
    <row r="150">
      <c r="A150" s="33">
        <v>45656.752875439815</v>
      </c>
      <c r="B150" s="4" t="s">
        <v>4783</v>
      </c>
      <c r="C150" s="4" t="s">
        <v>4780</v>
      </c>
      <c r="D150" s="4" t="s">
        <v>4781</v>
      </c>
    </row>
    <row r="151">
      <c r="A151" s="33">
        <v>45656.75287880787</v>
      </c>
      <c r="B151" s="4" t="s">
        <v>4742</v>
      </c>
      <c r="C151" s="4" t="s">
        <v>4780</v>
      </c>
      <c r="D151" s="4" t="s">
        <v>4781</v>
      </c>
    </row>
    <row r="152">
      <c r="A152" s="33">
        <v>45656.7561121412</v>
      </c>
      <c r="B152" s="4" t="s">
        <v>4776</v>
      </c>
      <c r="C152" s="4" t="s">
        <v>4777</v>
      </c>
      <c r="D152" s="4" t="s">
        <v>4778</v>
      </c>
    </row>
    <row r="153">
      <c r="A153" s="33">
        <v>45656.75611378472</v>
      </c>
      <c r="B153" s="4" t="s">
        <v>4779</v>
      </c>
      <c r="C153" s="4" t="s">
        <v>4780</v>
      </c>
      <c r="D153" s="4" t="s">
        <v>4781</v>
      </c>
    </row>
    <row r="154">
      <c r="A154" s="33">
        <v>45656.75611899306</v>
      </c>
      <c r="B154" s="4" t="s">
        <v>4782</v>
      </c>
      <c r="C154" s="4" t="s">
        <v>4780</v>
      </c>
      <c r="D154" s="4" t="s">
        <v>4781</v>
      </c>
    </row>
    <row r="155">
      <c r="A155" s="33">
        <v>45656.75612107639</v>
      </c>
      <c r="B155" s="4" t="s">
        <v>4783</v>
      </c>
      <c r="C155" s="4" t="s">
        <v>4780</v>
      </c>
      <c r="D155" s="4" t="s">
        <v>4781</v>
      </c>
    </row>
    <row r="156">
      <c r="A156" s="33">
        <v>45656.75613040509</v>
      </c>
      <c r="B156" s="4" t="s">
        <v>4742</v>
      </c>
      <c r="C156" s="4" t="s">
        <v>4780</v>
      </c>
      <c r="D156" s="4" t="s">
        <v>4781</v>
      </c>
    </row>
    <row r="157">
      <c r="A157" s="33">
        <v>45656.75785023149</v>
      </c>
      <c r="B157" s="4" t="s">
        <v>4776</v>
      </c>
      <c r="C157" s="4" t="s">
        <v>4777</v>
      </c>
      <c r="D157" s="4" t="s">
        <v>4778</v>
      </c>
    </row>
    <row r="158">
      <c r="A158" s="33">
        <v>45656.757851793984</v>
      </c>
      <c r="B158" s="4" t="s">
        <v>4779</v>
      </c>
      <c r="C158" s="4" t="s">
        <v>4780</v>
      </c>
      <c r="D158" s="4" t="s">
        <v>4781</v>
      </c>
    </row>
    <row r="159">
      <c r="A159" s="33">
        <v>45656.75785376158</v>
      </c>
      <c r="B159" s="4" t="s">
        <v>4782</v>
      </c>
      <c r="C159" s="4" t="s">
        <v>4780</v>
      </c>
      <c r="D159" s="4" t="s">
        <v>4781</v>
      </c>
    </row>
    <row r="160">
      <c r="A160" s="33">
        <v>45656.75785591435</v>
      </c>
      <c r="B160" s="4" t="s">
        <v>4783</v>
      </c>
      <c r="C160" s="4" t="s">
        <v>4777</v>
      </c>
      <c r="D160" s="4" t="s">
        <v>4778</v>
      </c>
    </row>
    <row r="161">
      <c r="A161" s="33">
        <v>45656.75792390046</v>
      </c>
      <c r="B161" s="4" t="s">
        <v>4742</v>
      </c>
      <c r="C161" s="5" t="s">
        <v>4784</v>
      </c>
      <c r="D161" s="4" t="s">
        <v>4735</v>
      </c>
    </row>
    <row r="162">
      <c r="A162" s="33">
        <v>45656.75999315972</v>
      </c>
      <c r="B162" s="4" t="s">
        <v>4776</v>
      </c>
      <c r="C162" s="4" t="s">
        <v>4777</v>
      </c>
      <c r="D162" s="4" t="s">
        <v>4778</v>
      </c>
    </row>
    <row r="163">
      <c r="A163" s="33">
        <v>45656.75999530093</v>
      </c>
      <c r="B163" s="4" t="s">
        <v>4779</v>
      </c>
      <c r="C163" s="4" t="s">
        <v>4780</v>
      </c>
      <c r="D163" s="4" t="s">
        <v>4781</v>
      </c>
    </row>
    <row r="164">
      <c r="A164" s="33">
        <v>45656.759998113426</v>
      </c>
      <c r="B164" s="4" t="s">
        <v>4782</v>
      </c>
      <c r="C164" s="4" t="s">
        <v>4780</v>
      </c>
      <c r="D164" s="4" t="s">
        <v>4781</v>
      </c>
    </row>
    <row r="165">
      <c r="A165" s="33">
        <v>45656.76000055556</v>
      </c>
      <c r="B165" s="4" t="s">
        <v>4783</v>
      </c>
      <c r="C165" s="4" t="s">
        <v>4777</v>
      </c>
      <c r="D165" s="4" t="s">
        <v>4778</v>
      </c>
    </row>
    <row r="166">
      <c r="A166" s="33">
        <v>45656.76006915509</v>
      </c>
      <c r="B166" s="4" t="s">
        <v>4742</v>
      </c>
      <c r="C166" s="5" t="s">
        <v>4784</v>
      </c>
      <c r="D166" s="4" t="s">
        <v>4735</v>
      </c>
    </row>
    <row r="167">
      <c r="A167" s="33">
        <v>45656.76159195602</v>
      </c>
      <c r="B167" s="4" t="s">
        <v>4776</v>
      </c>
      <c r="C167" s="5" t="s">
        <v>4785</v>
      </c>
      <c r="D167" s="4" t="s">
        <v>4735</v>
      </c>
    </row>
    <row r="168">
      <c r="A168" s="33">
        <v>45656.76159385417</v>
      </c>
      <c r="B168" s="4" t="s">
        <v>4779</v>
      </c>
      <c r="C168" s="4" t="s">
        <v>4780</v>
      </c>
      <c r="D168" s="4" t="s">
        <v>4781</v>
      </c>
    </row>
    <row r="169">
      <c r="A169" s="33">
        <v>45656.76159587963</v>
      </c>
      <c r="B169" s="4" t="s">
        <v>4782</v>
      </c>
      <c r="C169" s="4" t="s">
        <v>4780</v>
      </c>
      <c r="D169" s="4" t="s">
        <v>4781</v>
      </c>
    </row>
    <row r="170">
      <c r="A170" s="33">
        <v>45656.761598125</v>
      </c>
      <c r="B170" s="4" t="s">
        <v>4783</v>
      </c>
      <c r="C170" s="4" t="s">
        <v>4777</v>
      </c>
      <c r="D170" s="4" t="s">
        <v>4778</v>
      </c>
    </row>
    <row r="171">
      <c r="A171" s="33">
        <v>45656.761666770835</v>
      </c>
      <c r="B171" s="4" t="s">
        <v>4742</v>
      </c>
      <c r="C171" s="5" t="s">
        <v>4784</v>
      </c>
      <c r="D171" s="4" t="s">
        <v>4735</v>
      </c>
    </row>
    <row r="172">
      <c r="A172" s="33">
        <v>45656.76232083333</v>
      </c>
      <c r="B172" s="4" t="s">
        <v>4776</v>
      </c>
      <c r="C172" s="5" t="s">
        <v>4785</v>
      </c>
      <c r="D172" s="4" t="s">
        <v>4735</v>
      </c>
    </row>
    <row r="173">
      <c r="A173" s="33">
        <v>45656.76233131945</v>
      </c>
      <c r="B173" s="4" t="s">
        <v>4779</v>
      </c>
      <c r="C173" s="4" t="s">
        <v>4780</v>
      </c>
      <c r="D173" s="4" t="s">
        <v>4781</v>
      </c>
    </row>
    <row r="174">
      <c r="A174" s="33">
        <v>45656.762334259256</v>
      </c>
      <c r="B174" s="4" t="s">
        <v>4782</v>
      </c>
      <c r="C174" s="4" t="s">
        <v>4780</v>
      </c>
      <c r="D174" s="4" t="s">
        <v>4781</v>
      </c>
    </row>
    <row r="175">
      <c r="A175" s="33">
        <v>45656.76233690973</v>
      </c>
      <c r="B175" s="4" t="s">
        <v>4783</v>
      </c>
      <c r="C175" s="4" t="s">
        <v>4777</v>
      </c>
      <c r="D175" s="4" t="s">
        <v>4778</v>
      </c>
    </row>
    <row r="176">
      <c r="A176" s="33">
        <v>45656.762405104164</v>
      </c>
      <c r="B176" s="4" t="s">
        <v>4742</v>
      </c>
      <c r="C176" s="5" t="s">
        <v>4784</v>
      </c>
      <c r="D176" s="4" t="s">
        <v>4735</v>
      </c>
    </row>
    <row r="177">
      <c r="A177" s="33">
        <v>45657.70125899305</v>
      </c>
      <c r="B177" s="4" t="s">
        <v>4776</v>
      </c>
      <c r="C177" s="5" t="s">
        <v>4786</v>
      </c>
      <c r="D177" s="4" t="s">
        <v>4735</v>
      </c>
    </row>
    <row r="178">
      <c r="A178" s="33">
        <v>45657.70126108796</v>
      </c>
      <c r="B178" s="4" t="s">
        <v>4779</v>
      </c>
      <c r="C178" s="4" t="s">
        <v>4780</v>
      </c>
      <c r="D178" s="4" t="s">
        <v>4781</v>
      </c>
    </row>
    <row r="179">
      <c r="A179" s="33">
        <v>45657.701263854164</v>
      </c>
      <c r="B179" s="4" t="s">
        <v>4782</v>
      </c>
      <c r="C179" s="4" t="s">
        <v>4780</v>
      </c>
      <c r="D179" s="4" t="s">
        <v>4781</v>
      </c>
    </row>
    <row r="180">
      <c r="A180" s="33">
        <v>45657.70126664352</v>
      </c>
      <c r="B180" s="4" t="s">
        <v>4783</v>
      </c>
      <c r="C180" s="4" t="s">
        <v>4780</v>
      </c>
      <c r="D180" s="4" t="s">
        <v>4781</v>
      </c>
    </row>
    <row r="181">
      <c r="A181" s="33">
        <v>45657.701337245366</v>
      </c>
      <c r="B181" s="4" t="s">
        <v>4742</v>
      </c>
      <c r="C181" s="4" t="s">
        <v>4787</v>
      </c>
      <c r="D181" s="4" t="s">
        <v>4735</v>
      </c>
    </row>
    <row r="182">
      <c r="A182" s="33">
        <v>45657.704954444445</v>
      </c>
      <c r="B182" s="4" t="s">
        <v>4776</v>
      </c>
      <c r="C182" s="5" t="s">
        <v>4788</v>
      </c>
      <c r="D182" s="4" t="s">
        <v>4735</v>
      </c>
    </row>
    <row r="183">
      <c r="A183" s="33">
        <v>45657.704955567126</v>
      </c>
      <c r="B183" s="4" t="s">
        <v>4779</v>
      </c>
      <c r="C183" s="4" t="s">
        <v>4780</v>
      </c>
      <c r="D183" s="4" t="s">
        <v>4781</v>
      </c>
    </row>
    <row r="184">
      <c r="A184" s="33">
        <v>45657.70495694445</v>
      </c>
      <c r="B184" s="4" t="s">
        <v>4782</v>
      </c>
      <c r="C184" s="4" t="s">
        <v>4780</v>
      </c>
      <c r="D184" s="4" t="s">
        <v>4781</v>
      </c>
    </row>
    <row r="185">
      <c r="A185" s="33">
        <v>45657.70495841435</v>
      </c>
      <c r="B185" s="4" t="s">
        <v>4783</v>
      </c>
      <c r="C185" s="4" t="s">
        <v>4780</v>
      </c>
      <c r="D185" s="4" t="s">
        <v>4781</v>
      </c>
    </row>
    <row r="186">
      <c r="A186" s="33">
        <v>45657.705025972224</v>
      </c>
      <c r="B186" s="4" t="s">
        <v>4742</v>
      </c>
      <c r="C186" s="4" t="s">
        <v>4789</v>
      </c>
      <c r="D186" s="4" t="s">
        <v>4735</v>
      </c>
    </row>
    <row r="187">
      <c r="A187" s="33">
        <v>45657.7645962963</v>
      </c>
      <c r="B187" s="4" t="s">
        <v>4776</v>
      </c>
      <c r="C187" s="5" t="s">
        <v>4790</v>
      </c>
      <c r="D187" s="4" t="s">
        <v>4735</v>
      </c>
    </row>
    <row r="188">
      <c r="A188" s="33">
        <v>45657.76459734954</v>
      </c>
      <c r="B188" s="4" t="s">
        <v>4779</v>
      </c>
      <c r="C188" s="4" t="s">
        <v>4780</v>
      </c>
      <c r="D188" s="4" t="s">
        <v>4781</v>
      </c>
    </row>
    <row r="189">
      <c r="A189" s="33">
        <v>45657.76459873843</v>
      </c>
      <c r="B189" s="4" t="s">
        <v>4782</v>
      </c>
      <c r="C189" s="4" t="s">
        <v>4780</v>
      </c>
      <c r="D189" s="4" t="s">
        <v>4781</v>
      </c>
    </row>
    <row r="190">
      <c r="A190" s="33">
        <v>45657.76460015046</v>
      </c>
      <c r="B190" s="4" t="s">
        <v>4783</v>
      </c>
      <c r="C190" s="4" t="s">
        <v>4780</v>
      </c>
      <c r="D190" s="4" t="s">
        <v>4781</v>
      </c>
    </row>
    <row r="191">
      <c r="A191" s="33">
        <v>45657.76467150463</v>
      </c>
      <c r="B191" s="4" t="s">
        <v>4742</v>
      </c>
      <c r="C191" s="4" t="s">
        <v>4791</v>
      </c>
      <c r="D191" s="4" t="s">
        <v>4735</v>
      </c>
    </row>
    <row r="192">
      <c r="A192" s="33">
        <v>45657.76896469908</v>
      </c>
      <c r="B192" s="4" t="s">
        <v>4776</v>
      </c>
      <c r="C192" s="5" t="s">
        <v>4790</v>
      </c>
      <c r="D192" s="4" t="s">
        <v>4735</v>
      </c>
    </row>
    <row r="193">
      <c r="A193" s="33">
        <v>45657.76896598379</v>
      </c>
      <c r="B193" s="4" t="s">
        <v>4779</v>
      </c>
      <c r="C193" s="4" t="s">
        <v>4780</v>
      </c>
      <c r="D193" s="4" t="s">
        <v>4781</v>
      </c>
    </row>
    <row r="194">
      <c r="A194" s="33">
        <v>45657.76896739584</v>
      </c>
      <c r="B194" s="4" t="s">
        <v>4782</v>
      </c>
      <c r="C194" s="4" t="s">
        <v>4780</v>
      </c>
      <c r="D194" s="4" t="s">
        <v>4781</v>
      </c>
    </row>
    <row r="195">
      <c r="A195" s="33">
        <v>45657.76896952547</v>
      </c>
      <c r="B195" s="4" t="s">
        <v>4783</v>
      </c>
      <c r="C195" s="4" t="s">
        <v>4780</v>
      </c>
      <c r="D195" s="4" t="s">
        <v>4781</v>
      </c>
    </row>
    <row r="196">
      <c r="A196" s="33">
        <v>45657.769037210644</v>
      </c>
      <c r="B196" s="4" t="s">
        <v>4742</v>
      </c>
      <c r="C196" s="4" t="s">
        <v>4791</v>
      </c>
      <c r="D196" s="4" t="s">
        <v>4735</v>
      </c>
    </row>
    <row r="197">
      <c r="A197" s="33">
        <v>45657.77066692129</v>
      </c>
      <c r="B197" s="4" t="s">
        <v>4776</v>
      </c>
      <c r="C197" s="5" t="s">
        <v>4790</v>
      </c>
      <c r="D197" s="4" t="s">
        <v>4735</v>
      </c>
    </row>
    <row r="198">
      <c r="A198" s="33">
        <v>45657.770672928236</v>
      </c>
      <c r="B198" s="4" t="s">
        <v>4779</v>
      </c>
      <c r="C198" s="4" t="s">
        <v>4780</v>
      </c>
      <c r="D198" s="4" t="s">
        <v>4781</v>
      </c>
    </row>
    <row r="199">
      <c r="A199" s="33">
        <v>45657.770675312495</v>
      </c>
      <c r="B199" s="4" t="s">
        <v>4782</v>
      </c>
      <c r="C199" s="4" t="s">
        <v>4780</v>
      </c>
      <c r="D199" s="4" t="s">
        <v>4781</v>
      </c>
    </row>
    <row r="200">
      <c r="A200" s="33">
        <v>45657.77067721065</v>
      </c>
      <c r="B200" s="4" t="s">
        <v>4783</v>
      </c>
      <c r="C200" s="4" t="s">
        <v>4780</v>
      </c>
      <c r="D200" s="4" t="s">
        <v>4781</v>
      </c>
    </row>
    <row r="201">
      <c r="A201" s="33">
        <v>45657.77074482639</v>
      </c>
      <c r="B201" s="4" t="s">
        <v>4742</v>
      </c>
      <c r="C201" s="4" t="s">
        <v>4792</v>
      </c>
      <c r="D201" s="4" t="s">
        <v>4735</v>
      </c>
    </row>
    <row r="202">
      <c r="A202" s="33">
        <v>45657.77602791667</v>
      </c>
      <c r="B202" s="4" t="s">
        <v>4776</v>
      </c>
      <c r="C202" s="5" t="s">
        <v>4790</v>
      </c>
      <c r="D202" s="4" t="s">
        <v>4735</v>
      </c>
    </row>
    <row r="203">
      <c r="A203" s="33">
        <v>45657.77602949074</v>
      </c>
      <c r="B203" s="4" t="s">
        <v>4779</v>
      </c>
      <c r="C203" s="4" t="s">
        <v>4780</v>
      </c>
      <c r="D203" s="4" t="s">
        <v>4781</v>
      </c>
    </row>
    <row r="204">
      <c r="A204" s="33">
        <v>45657.77603425926</v>
      </c>
      <c r="B204" s="4" t="s">
        <v>4782</v>
      </c>
      <c r="C204" s="4" t="s">
        <v>4780</v>
      </c>
      <c r="D204" s="4" t="s">
        <v>4781</v>
      </c>
    </row>
    <row r="205">
      <c r="A205" s="33">
        <v>45657.77603652778</v>
      </c>
      <c r="B205" s="4" t="s">
        <v>4783</v>
      </c>
      <c r="C205" s="4" t="s">
        <v>4780</v>
      </c>
      <c r="D205" s="4" t="s">
        <v>4781</v>
      </c>
    </row>
    <row r="206">
      <c r="A206" s="33">
        <v>45657.77610516203</v>
      </c>
      <c r="B206" s="4" t="s">
        <v>4742</v>
      </c>
      <c r="C206" s="4" t="s">
        <v>4793</v>
      </c>
      <c r="D206" s="4" t="s">
        <v>4735</v>
      </c>
    </row>
    <row r="207">
      <c r="A207" s="33">
        <v>45657.77853361111</v>
      </c>
      <c r="B207" s="4" t="s">
        <v>4776</v>
      </c>
      <c r="C207" s="5" t="s">
        <v>4790</v>
      </c>
      <c r="D207" s="4" t="s">
        <v>4735</v>
      </c>
    </row>
    <row r="208">
      <c r="A208" s="33">
        <v>45657.77853469907</v>
      </c>
      <c r="B208" s="4" t="s">
        <v>4779</v>
      </c>
      <c r="C208" s="4" t="s">
        <v>4780</v>
      </c>
      <c r="D208" s="4" t="s">
        <v>4781</v>
      </c>
    </row>
    <row r="209">
      <c r="A209" s="33">
        <v>45657.77853628472</v>
      </c>
      <c r="B209" s="4" t="s">
        <v>4782</v>
      </c>
      <c r="C209" s="4" t="s">
        <v>4780</v>
      </c>
      <c r="D209" s="4" t="s">
        <v>4781</v>
      </c>
    </row>
    <row r="210">
      <c r="A210" s="33">
        <v>45657.77853797453</v>
      </c>
      <c r="B210" s="4" t="s">
        <v>4783</v>
      </c>
      <c r="C210" s="4" t="s">
        <v>4780</v>
      </c>
      <c r="D210" s="4" t="s">
        <v>4781</v>
      </c>
    </row>
    <row r="211">
      <c r="A211" s="33">
        <v>45657.77860550926</v>
      </c>
      <c r="B211" s="4" t="s">
        <v>4742</v>
      </c>
      <c r="C211" s="4" t="s">
        <v>4794</v>
      </c>
      <c r="D211" s="4" t="s">
        <v>4735</v>
      </c>
    </row>
    <row r="212">
      <c r="A212" s="33">
        <v>45663.37526267361</v>
      </c>
      <c r="B212" s="4" t="s">
        <v>4776</v>
      </c>
      <c r="C212" s="5" t="s">
        <v>4795</v>
      </c>
      <c r="D212" s="4" t="s">
        <v>4735</v>
      </c>
    </row>
    <row r="213">
      <c r="A213" s="33">
        <v>45663.37526615741</v>
      </c>
      <c r="B213" s="4" t="s">
        <v>4779</v>
      </c>
      <c r="C213" s="4" t="s">
        <v>4780</v>
      </c>
      <c r="D213" s="4" t="s">
        <v>4781</v>
      </c>
    </row>
    <row r="214">
      <c r="A214" s="33">
        <v>45663.37526853009</v>
      </c>
      <c r="B214" s="4" t="s">
        <v>4782</v>
      </c>
      <c r="C214" s="4" t="s">
        <v>4780</v>
      </c>
      <c r="D214" s="4" t="s">
        <v>4781</v>
      </c>
    </row>
    <row r="215">
      <c r="A215" s="33">
        <v>45663.37527082176</v>
      </c>
      <c r="B215" s="4" t="s">
        <v>4783</v>
      </c>
      <c r="C215" s="4" t="s">
        <v>4780</v>
      </c>
      <c r="D215" s="4" t="s">
        <v>4781</v>
      </c>
    </row>
    <row r="216">
      <c r="A216" s="33">
        <v>45663.3753497338</v>
      </c>
      <c r="B216" s="4" t="s">
        <v>4742</v>
      </c>
      <c r="C216" s="4" t="s">
        <v>4796</v>
      </c>
      <c r="D216" s="4" t="s">
        <v>4735</v>
      </c>
    </row>
    <row r="217">
      <c r="A217" s="33">
        <v>45663.52570738426</v>
      </c>
      <c r="B217" s="4" t="s">
        <v>4776</v>
      </c>
      <c r="C217" s="5" t="s">
        <v>4797</v>
      </c>
      <c r="D217" s="4" t="s">
        <v>4735</v>
      </c>
    </row>
    <row r="218">
      <c r="A218" s="33">
        <v>45663.52570886574</v>
      </c>
      <c r="B218" s="4" t="s">
        <v>4779</v>
      </c>
      <c r="C218" s="4" t="s">
        <v>4780</v>
      </c>
      <c r="D218" s="4" t="s">
        <v>4781</v>
      </c>
    </row>
    <row r="219">
      <c r="A219" s="33">
        <v>45663.52571084491</v>
      </c>
      <c r="B219" s="4" t="s">
        <v>4782</v>
      </c>
      <c r="C219" s="4" t="s">
        <v>4780</v>
      </c>
      <c r="D219" s="4" t="s">
        <v>4781</v>
      </c>
    </row>
    <row r="220">
      <c r="A220" s="33">
        <v>45663.525713055555</v>
      </c>
      <c r="B220" s="4" t="s">
        <v>4783</v>
      </c>
      <c r="C220" s="4" t="s">
        <v>4780</v>
      </c>
      <c r="D220" s="4" t="s">
        <v>4781</v>
      </c>
    </row>
    <row r="221">
      <c r="A221" s="33">
        <v>45663.525780104166</v>
      </c>
      <c r="B221" s="4" t="s">
        <v>4742</v>
      </c>
      <c r="C221" s="4" t="s">
        <v>4798</v>
      </c>
      <c r="D221" s="4" t="s">
        <v>4735</v>
      </c>
    </row>
    <row r="222">
      <c r="A222" s="33">
        <v>45663.70900785879</v>
      </c>
      <c r="B222" s="4" t="s">
        <v>4776</v>
      </c>
      <c r="C222" s="5" t="s">
        <v>4799</v>
      </c>
      <c r="D222" s="4" t="s">
        <v>4735</v>
      </c>
    </row>
    <row r="223">
      <c r="A223" s="33">
        <v>45663.7090090625</v>
      </c>
      <c r="B223" s="4" t="s">
        <v>4779</v>
      </c>
      <c r="C223" s="4" t="s">
        <v>4780</v>
      </c>
      <c r="D223" s="4" t="s">
        <v>4781</v>
      </c>
    </row>
    <row r="224">
      <c r="A224" s="33">
        <v>45663.709011099534</v>
      </c>
      <c r="B224" s="4" t="s">
        <v>4782</v>
      </c>
      <c r="C224" s="4" t="s">
        <v>4780</v>
      </c>
      <c r="D224" s="4" t="s">
        <v>4781</v>
      </c>
    </row>
    <row r="225">
      <c r="A225" s="33">
        <v>45663.709012499996</v>
      </c>
      <c r="B225" s="4" t="s">
        <v>4783</v>
      </c>
      <c r="C225" s="4" t="s">
        <v>4780</v>
      </c>
      <c r="D225" s="4" t="s">
        <v>4781</v>
      </c>
    </row>
    <row r="226">
      <c r="A226" s="33">
        <v>45663.70907865741</v>
      </c>
      <c r="B226" s="4" t="s">
        <v>4742</v>
      </c>
      <c r="C226" s="4" t="s">
        <v>4800</v>
      </c>
      <c r="D226" s="4" t="s">
        <v>4735</v>
      </c>
    </row>
    <row r="227">
      <c r="A227" s="33">
        <v>45663.71414506945</v>
      </c>
      <c r="B227" s="4" t="s">
        <v>4776</v>
      </c>
      <c r="C227" s="5" t="s">
        <v>4799</v>
      </c>
      <c r="D227" s="4" t="s">
        <v>4735</v>
      </c>
    </row>
    <row r="228">
      <c r="A228" s="33">
        <v>45663.71414668982</v>
      </c>
      <c r="B228" s="4" t="s">
        <v>4779</v>
      </c>
      <c r="C228" s="4" t="s">
        <v>4780</v>
      </c>
      <c r="D228" s="4" t="s">
        <v>4781</v>
      </c>
    </row>
    <row r="229">
      <c r="A229" s="33">
        <v>45663.71414899305</v>
      </c>
      <c r="B229" s="4" t="s">
        <v>4782</v>
      </c>
      <c r="C229" s="4" t="s">
        <v>4780</v>
      </c>
      <c r="D229" s="4" t="s">
        <v>4781</v>
      </c>
    </row>
    <row r="230">
      <c r="A230" s="33">
        <v>45663.71415136574</v>
      </c>
      <c r="B230" s="4" t="s">
        <v>4783</v>
      </c>
      <c r="C230" s="4" t="s">
        <v>4780</v>
      </c>
      <c r="D230" s="4" t="s">
        <v>4781</v>
      </c>
    </row>
    <row r="231">
      <c r="A231" s="33">
        <v>45663.7142212037</v>
      </c>
      <c r="B231" s="4" t="s">
        <v>4742</v>
      </c>
      <c r="C231" s="4" t="s">
        <v>4800</v>
      </c>
      <c r="D231" s="4" t="s">
        <v>4735</v>
      </c>
    </row>
    <row r="232">
      <c r="A232" s="33">
        <v>45663.71648449074</v>
      </c>
      <c r="B232" s="4" t="s">
        <v>4776</v>
      </c>
      <c r="C232" s="5" t="s">
        <v>4799</v>
      </c>
      <c r="D232" s="4" t="s">
        <v>4735</v>
      </c>
    </row>
    <row r="233">
      <c r="A233" s="33">
        <v>45663.71648582176</v>
      </c>
      <c r="B233" s="4" t="s">
        <v>4779</v>
      </c>
      <c r="C233" s="4" t="s">
        <v>4780</v>
      </c>
      <c r="D233" s="4" t="s">
        <v>4781</v>
      </c>
    </row>
    <row r="234">
      <c r="A234" s="33">
        <v>45663.71649181713</v>
      </c>
      <c r="B234" s="4" t="s">
        <v>4782</v>
      </c>
      <c r="C234" s="4" t="s">
        <v>4780</v>
      </c>
      <c r="D234" s="4" t="s">
        <v>4781</v>
      </c>
    </row>
    <row r="235">
      <c r="A235" s="33">
        <v>45663.71649364583</v>
      </c>
      <c r="B235" s="4" t="s">
        <v>4783</v>
      </c>
      <c r="C235" s="4" t="s">
        <v>4780</v>
      </c>
      <c r="D235" s="4" t="s">
        <v>4781</v>
      </c>
    </row>
    <row r="236">
      <c r="A236" s="33">
        <v>45663.71656136574</v>
      </c>
      <c r="B236" s="4" t="s">
        <v>4742</v>
      </c>
      <c r="C236" s="4" t="s">
        <v>4800</v>
      </c>
      <c r="D236" s="4" t="s">
        <v>4735</v>
      </c>
    </row>
    <row r="237">
      <c r="A237" s="33">
        <v>45663.71853292824</v>
      </c>
      <c r="B237" s="4" t="s">
        <v>4776</v>
      </c>
      <c r="C237" s="5" t="s">
        <v>4799</v>
      </c>
      <c r="D237" s="4" t="s">
        <v>4735</v>
      </c>
    </row>
    <row r="238">
      <c r="A238" s="33">
        <v>45663.71853460648</v>
      </c>
      <c r="B238" s="4" t="s">
        <v>4779</v>
      </c>
      <c r="C238" s="4" t="s">
        <v>4780</v>
      </c>
      <c r="D238" s="4" t="s">
        <v>4781</v>
      </c>
    </row>
    <row r="239">
      <c r="A239" s="33">
        <v>45663.718538587964</v>
      </c>
      <c r="B239" s="4" t="s">
        <v>4782</v>
      </c>
      <c r="C239" s="4" t="s">
        <v>4780</v>
      </c>
      <c r="D239" s="4" t="s">
        <v>4781</v>
      </c>
    </row>
    <row r="240">
      <c r="A240" s="33">
        <v>45663.71854288194</v>
      </c>
      <c r="B240" s="4" t="s">
        <v>4783</v>
      </c>
      <c r="C240" s="4" t="s">
        <v>4780</v>
      </c>
      <c r="D240" s="4" t="s">
        <v>4781</v>
      </c>
    </row>
    <row r="241">
      <c r="A241" s="33">
        <v>45663.71861321759</v>
      </c>
      <c r="B241" s="4" t="s">
        <v>4742</v>
      </c>
      <c r="C241" s="4" t="s">
        <v>4800</v>
      </c>
      <c r="D241" s="4" t="s">
        <v>4735</v>
      </c>
    </row>
    <row r="242">
      <c r="A242" s="33">
        <v>45663.72385496528</v>
      </c>
      <c r="B242" s="4" t="s">
        <v>4776</v>
      </c>
      <c r="C242" s="5" t="s">
        <v>4799</v>
      </c>
      <c r="D242" s="4" t="s">
        <v>4735</v>
      </c>
    </row>
    <row r="243">
      <c r="A243" s="33">
        <v>45663.72385589121</v>
      </c>
      <c r="B243" s="4" t="s">
        <v>4779</v>
      </c>
      <c r="C243" s="4" t="s">
        <v>4780</v>
      </c>
      <c r="D243" s="4" t="s">
        <v>4781</v>
      </c>
    </row>
    <row r="244">
      <c r="A244" s="33">
        <v>45663.72385717592</v>
      </c>
      <c r="B244" s="4" t="s">
        <v>4782</v>
      </c>
      <c r="C244" s="4" t="s">
        <v>4780</v>
      </c>
      <c r="D244" s="4" t="s">
        <v>4781</v>
      </c>
    </row>
    <row r="245">
      <c r="A245" s="33">
        <v>45663.723858854166</v>
      </c>
      <c r="B245" s="4" t="s">
        <v>4783</v>
      </c>
      <c r="C245" s="4" t="s">
        <v>4780</v>
      </c>
      <c r="D245" s="4" t="s">
        <v>4781</v>
      </c>
    </row>
    <row r="246">
      <c r="A246" s="33">
        <v>45663.72392261574</v>
      </c>
      <c r="B246" s="4" t="s">
        <v>4742</v>
      </c>
      <c r="C246" s="4" t="s">
        <v>4800</v>
      </c>
      <c r="D246" s="4" t="s">
        <v>4735</v>
      </c>
    </row>
    <row r="247">
      <c r="A247" s="33">
        <v>45663.77403134259</v>
      </c>
      <c r="B247" s="4" t="s">
        <v>4801</v>
      </c>
      <c r="C247" s="4" t="s">
        <v>4802</v>
      </c>
      <c r="D247" s="4" t="s">
        <v>4803</v>
      </c>
      <c r="E247" s="4" t="s">
        <v>4737</v>
      </c>
    </row>
    <row r="248">
      <c r="A248" s="33">
        <v>45663.77418043981</v>
      </c>
      <c r="B248" s="4" t="s">
        <v>4776</v>
      </c>
      <c r="C248" s="5" t="s">
        <v>4799</v>
      </c>
      <c r="D248" s="4" t="s">
        <v>4735</v>
      </c>
      <c r="E248" s="4" t="s">
        <v>4804</v>
      </c>
    </row>
    <row r="249">
      <c r="A249" s="33">
        <v>45663.774184027774</v>
      </c>
      <c r="B249" s="4" t="s">
        <v>4779</v>
      </c>
      <c r="C249" s="4" t="s">
        <v>4780</v>
      </c>
      <c r="D249" s="4" t="s">
        <v>4781</v>
      </c>
      <c r="E249" s="4" t="s">
        <v>4737</v>
      </c>
    </row>
    <row r="250">
      <c r="A250" s="33">
        <v>45663.77418741898</v>
      </c>
      <c r="B250" s="4" t="s">
        <v>4782</v>
      </c>
      <c r="C250" s="4" t="s">
        <v>4780</v>
      </c>
      <c r="D250" s="4" t="s">
        <v>4781</v>
      </c>
      <c r="E250" s="4" t="s">
        <v>4737</v>
      </c>
    </row>
    <row r="251">
      <c r="A251" s="33">
        <v>45663.77419087963</v>
      </c>
      <c r="B251" s="4" t="s">
        <v>4783</v>
      </c>
      <c r="C251" s="4" t="s">
        <v>4780</v>
      </c>
      <c r="D251" s="4" t="s">
        <v>4781</v>
      </c>
      <c r="E251" s="4" t="s">
        <v>4737</v>
      </c>
    </row>
    <row r="252">
      <c r="A252" s="33">
        <v>45663.774262418985</v>
      </c>
      <c r="B252" s="4" t="s">
        <v>4742</v>
      </c>
      <c r="C252" s="4" t="s">
        <v>4805</v>
      </c>
      <c r="D252" s="4" t="s">
        <v>4735</v>
      </c>
      <c r="E252" s="4" t="s">
        <v>4806</v>
      </c>
    </row>
    <row r="253">
      <c r="A253" s="33">
        <v>45663.77653635417</v>
      </c>
      <c r="B253" s="4" t="s">
        <v>4776</v>
      </c>
      <c r="C253" s="5" t="s">
        <v>4807</v>
      </c>
      <c r="D253" s="4" t="s">
        <v>4735</v>
      </c>
    </row>
    <row r="254">
      <c r="A254" s="33">
        <v>45663.77653796296</v>
      </c>
      <c r="B254" s="4" t="s">
        <v>4779</v>
      </c>
      <c r="C254" s="4" t="s">
        <v>4780</v>
      </c>
      <c r="D254" s="4" t="s">
        <v>4781</v>
      </c>
    </row>
    <row r="255">
      <c r="A255" s="33">
        <v>45663.77654032408</v>
      </c>
      <c r="B255" s="4" t="s">
        <v>4782</v>
      </c>
      <c r="C255" s="4" t="s">
        <v>4780</v>
      </c>
      <c r="D255" s="4" t="s">
        <v>4781</v>
      </c>
    </row>
    <row r="256">
      <c r="A256" s="33">
        <v>45663.77654219908</v>
      </c>
      <c r="B256" s="4" t="s">
        <v>4783</v>
      </c>
      <c r="C256" s="4" t="s">
        <v>4780</v>
      </c>
      <c r="D256" s="4" t="s">
        <v>4781</v>
      </c>
    </row>
    <row r="257">
      <c r="A257" s="33">
        <v>45663.77661493055</v>
      </c>
      <c r="B257" s="4" t="s">
        <v>4742</v>
      </c>
      <c r="C257" s="4" t="s">
        <v>4808</v>
      </c>
      <c r="D257" s="4" t="s">
        <v>4735</v>
      </c>
    </row>
    <row r="258">
      <c r="A258" s="33">
        <v>45663.77898292824</v>
      </c>
      <c r="B258" s="4" t="s">
        <v>4801</v>
      </c>
      <c r="C258" s="4" t="s">
        <v>4809</v>
      </c>
      <c r="D258" s="4" t="s">
        <v>4803</v>
      </c>
      <c r="E258" s="4" t="s">
        <v>4737</v>
      </c>
    </row>
    <row r="259">
      <c r="A259" s="33">
        <v>45663.77913944444</v>
      </c>
      <c r="B259" s="4" t="s">
        <v>4776</v>
      </c>
      <c r="C259" s="5" t="s">
        <v>4810</v>
      </c>
      <c r="D259" s="4" t="s">
        <v>4735</v>
      </c>
      <c r="E259" s="4" t="s">
        <v>4811</v>
      </c>
    </row>
    <row r="260">
      <c r="A260" s="33">
        <v>45663.7791414699</v>
      </c>
      <c r="B260" s="4" t="s">
        <v>4779</v>
      </c>
      <c r="C260" s="4" t="s">
        <v>4780</v>
      </c>
      <c r="D260" s="4" t="s">
        <v>4781</v>
      </c>
      <c r="E260" s="4" t="s">
        <v>4737</v>
      </c>
    </row>
    <row r="261">
      <c r="A261" s="33">
        <v>45663.77914372685</v>
      </c>
      <c r="B261" s="4" t="s">
        <v>4782</v>
      </c>
      <c r="C261" s="4" t="s">
        <v>4780</v>
      </c>
      <c r="D261" s="4" t="s">
        <v>4781</v>
      </c>
      <c r="E261" s="4" t="s">
        <v>4737</v>
      </c>
    </row>
    <row r="262">
      <c r="A262" s="33">
        <v>45663.779145775465</v>
      </c>
      <c r="B262" s="4" t="s">
        <v>4783</v>
      </c>
      <c r="C262" s="4" t="s">
        <v>4780</v>
      </c>
      <c r="D262" s="4" t="s">
        <v>4781</v>
      </c>
      <c r="E262" s="4" t="s">
        <v>4737</v>
      </c>
    </row>
    <row r="263">
      <c r="A263" s="33">
        <v>45663.77921399305</v>
      </c>
      <c r="B263" s="4" t="s">
        <v>4742</v>
      </c>
      <c r="C263" s="4" t="s">
        <v>4812</v>
      </c>
      <c r="D263" s="4" t="s">
        <v>4735</v>
      </c>
      <c r="E263" s="4" t="s">
        <v>4806</v>
      </c>
    </row>
    <row r="264">
      <c r="A264" s="33">
        <v>45663.779760254634</v>
      </c>
      <c r="B264" s="4" t="s">
        <v>4801</v>
      </c>
      <c r="C264" s="4" t="s">
        <v>4809</v>
      </c>
      <c r="D264" s="4" t="s">
        <v>4803</v>
      </c>
      <c r="E264" s="4" t="s">
        <v>4737</v>
      </c>
    </row>
    <row r="265">
      <c r="A265" s="33">
        <v>45663.779905937496</v>
      </c>
      <c r="B265" s="4" t="s">
        <v>4776</v>
      </c>
      <c r="C265" s="5" t="s">
        <v>4810</v>
      </c>
      <c r="D265" s="4" t="s">
        <v>4735</v>
      </c>
      <c r="E265" s="4" t="s">
        <v>4811</v>
      </c>
    </row>
    <row r="266">
      <c r="A266" s="33">
        <v>45663.77990862269</v>
      </c>
      <c r="B266" s="4" t="s">
        <v>4779</v>
      </c>
      <c r="C266" s="4" t="s">
        <v>4780</v>
      </c>
      <c r="D266" s="4" t="s">
        <v>4781</v>
      </c>
      <c r="E266" s="4" t="s">
        <v>4737</v>
      </c>
    </row>
    <row r="267">
      <c r="A267" s="33">
        <v>45663.779911273145</v>
      </c>
      <c r="B267" s="4" t="s">
        <v>4782</v>
      </c>
      <c r="C267" s="4" t="s">
        <v>4780</v>
      </c>
      <c r="D267" s="4" t="s">
        <v>4781</v>
      </c>
      <c r="E267" s="4" t="s">
        <v>4737</v>
      </c>
    </row>
    <row r="268">
      <c r="A268" s="33">
        <v>45663.77991373843</v>
      </c>
      <c r="B268" s="4" t="s">
        <v>4783</v>
      </c>
      <c r="C268" s="4" t="s">
        <v>4780</v>
      </c>
      <c r="D268" s="4" t="s">
        <v>4781</v>
      </c>
      <c r="E268" s="4" t="s">
        <v>4737</v>
      </c>
    </row>
    <row r="269">
      <c r="A269" s="33">
        <v>45663.779982430555</v>
      </c>
      <c r="B269" s="4" t="s">
        <v>4742</v>
      </c>
      <c r="C269" s="4" t="s">
        <v>4812</v>
      </c>
      <c r="D269" s="4" t="s">
        <v>4735</v>
      </c>
      <c r="E269" s="4" t="s">
        <v>4806</v>
      </c>
    </row>
    <row r="270">
      <c r="A270" s="33">
        <v>45663.78099474537</v>
      </c>
      <c r="B270" s="4" t="s">
        <v>4801</v>
      </c>
      <c r="C270" s="4" t="s">
        <v>4813</v>
      </c>
      <c r="D270" s="4" t="s">
        <v>4803</v>
      </c>
      <c r="E270" s="4" t="s">
        <v>4737</v>
      </c>
    </row>
    <row r="271">
      <c r="A271" s="33">
        <v>45663.78113575232</v>
      </c>
      <c r="B271" s="4" t="s">
        <v>4776</v>
      </c>
      <c r="C271" s="5" t="s">
        <v>4810</v>
      </c>
      <c r="D271" s="4" t="s">
        <v>4735</v>
      </c>
      <c r="E271" s="4" t="s">
        <v>4811</v>
      </c>
    </row>
    <row r="272">
      <c r="A272" s="33">
        <v>45663.781138391205</v>
      </c>
      <c r="B272" s="4" t="s">
        <v>4779</v>
      </c>
      <c r="C272" s="4" t="s">
        <v>4780</v>
      </c>
      <c r="D272" s="4" t="s">
        <v>4781</v>
      </c>
      <c r="E272" s="4" t="s">
        <v>4737</v>
      </c>
    </row>
    <row r="273">
      <c r="A273" s="33">
        <v>45663.781150497685</v>
      </c>
      <c r="B273" s="4" t="s">
        <v>4782</v>
      </c>
      <c r="C273" s="4" t="s">
        <v>4780</v>
      </c>
      <c r="D273" s="4" t="s">
        <v>4781</v>
      </c>
      <c r="E273" s="4" t="s">
        <v>4737</v>
      </c>
    </row>
    <row r="274">
      <c r="A274" s="33">
        <v>45663.78115275463</v>
      </c>
      <c r="B274" s="4" t="s">
        <v>4783</v>
      </c>
      <c r="C274" s="4" t="s">
        <v>4780</v>
      </c>
      <c r="D274" s="4" t="s">
        <v>4781</v>
      </c>
      <c r="E274" s="4" t="s">
        <v>4737</v>
      </c>
    </row>
    <row r="275">
      <c r="A275" s="33">
        <v>45663.78122122685</v>
      </c>
      <c r="B275" s="4" t="s">
        <v>4742</v>
      </c>
      <c r="C275" s="4" t="s">
        <v>4814</v>
      </c>
      <c r="D275" s="4" t="s">
        <v>4735</v>
      </c>
      <c r="E275" s="4" t="s">
        <v>4806</v>
      </c>
    </row>
    <row r="276">
      <c r="A276" s="33">
        <v>45664.45848783565</v>
      </c>
      <c r="B276" s="4" t="s">
        <v>4801</v>
      </c>
      <c r="C276" s="4" t="s">
        <v>4815</v>
      </c>
      <c r="D276" s="4" t="s">
        <v>4803</v>
      </c>
      <c r="E276" s="4" t="s">
        <v>4737</v>
      </c>
    </row>
    <row r="277">
      <c r="A277" s="33">
        <v>45664.45870585648</v>
      </c>
      <c r="B277" s="4" t="s">
        <v>4776</v>
      </c>
      <c r="C277" s="5" t="s">
        <v>4816</v>
      </c>
      <c r="D277" s="4" t="s">
        <v>4735</v>
      </c>
      <c r="E277" s="4" t="s">
        <v>4817</v>
      </c>
    </row>
    <row r="278">
      <c r="A278" s="33">
        <v>45664.45870973379</v>
      </c>
      <c r="B278" s="4" t="s">
        <v>4779</v>
      </c>
      <c r="C278" s="4" t="s">
        <v>4780</v>
      </c>
      <c r="D278" s="4" t="s">
        <v>4781</v>
      </c>
      <c r="E278" s="4" t="s">
        <v>4737</v>
      </c>
    </row>
    <row r="279">
      <c r="A279" s="33">
        <v>45664.45871262731</v>
      </c>
      <c r="B279" s="4" t="s">
        <v>4782</v>
      </c>
      <c r="C279" s="4" t="s">
        <v>4780</v>
      </c>
      <c r="D279" s="4" t="s">
        <v>4781</v>
      </c>
      <c r="E279" s="4" t="s">
        <v>4737</v>
      </c>
    </row>
    <row r="280">
      <c r="A280" s="33">
        <v>45664.45871572917</v>
      </c>
      <c r="B280" s="4" t="s">
        <v>4783</v>
      </c>
      <c r="C280" s="4" t="s">
        <v>4780</v>
      </c>
      <c r="D280" s="4" t="s">
        <v>4781</v>
      </c>
      <c r="E280" s="4" t="s">
        <v>4737</v>
      </c>
    </row>
    <row r="281">
      <c r="A281" s="33">
        <v>45664.45878715278</v>
      </c>
      <c r="B281" s="4" t="s">
        <v>4742</v>
      </c>
      <c r="C281" s="4" t="s">
        <v>4818</v>
      </c>
      <c r="D281" s="4" t="s">
        <v>4735</v>
      </c>
      <c r="E281" s="4" t="s">
        <v>4806</v>
      </c>
    </row>
    <row r="282">
      <c r="A282" s="33">
        <v>45664.46518958334</v>
      </c>
      <c r="B282" s="4" t="s">
        <v>4801</v>
      </c>
      <c r="C282" s="4" t="s">
        <v>4819</v>
      </c>
      <c r="D282" s="4" t="s">
        <v>4803</v>
      </c>
      <c r="E282" s="4" t="s">
        <v>4737</v>
      </c>
    </row>
    <row r="283">
      <c r="A283" s="33">
        <v>45664.46534178241</v>
      </c>
      <c r="B283" s="4" t="s">
        <v>4776</v>
      </c>
      <c r="C283" s="5" t="s">
        <v>4820</v>
      </c>
      <c r="D283" s="4" t="s">
        <v>4735</v>
      </c>
      <c r="E283" s="4" t="s">
        <v>4821</v>
      </c>
    </row>
    <row r="284">
      <c r="A284" s="33">
        <v>45664.46534398149</v>
      </c>
      <c r="B284" s="4" t="s">
        <v>4779</v>
      </c>
      <c r="C284" s="4" t="s">
        <v>4780</v>
      </c>
      <c r="D284" s="4" t="s">
        <v>4781</v>
      </c>
      <c r="E284" s="4" t="s">
        <v>4737</v>
      </c>
    </row>
    <row r="285">
      <c r="A285" s="33">
        <v>45664.46534594907</v>
      </c>
      <c r="B285" s="4" t="s">
        <v>4782</v>
      </c>
      <c r="C285" s="4" t="s">
        <v>4780</v>
      </c>
      <c r="D285" s="4" t="s">
        <v>4781</v>
      </c>
      <c r="E285" s="4" t="s">
        <v>4737</v>
      </c>
    </row>
    <row r="286">
      <c r="A286" s="33">
        <v>45664.46534952546</v>
      </c>
      <c r="B286" s="4" t="s">
        <v>4783</v>
      </c>
      <c r="C286" s="4" t="s">
        <v>4780</v>
      </c>
      <c r="D286" s="4" t="s">
        <v>4781</v>
      </c>
      <c r="E286" s="4" t="s">
        <v>4737</v>
      </c>
    </row>
    <row r="287">
      <c r="A287" s="33">
        <v>45664.46541719907</v>
      </c>
      <c r="B287" s="4" t="s">
        <v>4742</v>
      </c>
      <c r="C287" s="4" t="s">
        <v>4822</v>
      </c>
      <c r="D287" s="4" t="s">
        <v>4735</v>
      </c>
      <c r="E287" s="4" t="s">
        <v>4806</v>
      </c>
    </row>
    <row r="288">
      <c r="A288" s="33">
        <v>45664.47613451389</v>
      </c>
      <c r="B288" s="4" t="s">
        <v>4801</v>
      </c>
      <c r="C288" s="4" t="s">
        <v>4823</v>
      </c>
      <c r="D288" s="4" t="s">
        <v>4803</v>
      </c>
      <c r="E288" s="4" t="s">
        <v>4737</v>
      </c>
    </row>
    <row r="289">
      <c r="A289" s="33">
        <v>45664.47621197917</v>
      </c>
      <c r="B289" s="4" t="s">
        <v>4776</v>
      </c>
      <c r="C289" s="5" t="s">
        <v>4824</v>
      </c>
      <c r="D289" s="4" t="s">
        <v>4735</v>
      </c>
      <c r="E289" s="4" t="s">
        <v>4825</v>
      </c>
    </row>
    <row r="290">
      <c r="A290" s="33">
        <v>45664.476213946764</v>
      </c>
      <c r="B290" s="4" t="s">
        <v>4779</v>
      </c>
      <c r="C290" s="4" t="s">
        <v>4780</v>
      </c>
      <c r="D290" s="4" t="s">
        <v>4781</v>
      </c>
      <c r="E290" s="4" t="s">
        <v>4737</v>
      </c>
    </row>
    <row r="291">
      <c r="A291" s="33">
        <v>45664.47621641203</v>
      </c>
      <c r="B291" s="4" t="s">
        <v>4782</v>
      </c>
      <c r="C291" s="4" t="s">
        <v>4780</v>
      </c>
      <c r="D291" s="4" t="s">
        <v>4781</v>
      </c>
      <c r="E291" s="4" t="s">
        <v>4737</v>
      </c>
    </row>
    <row r="292">
      <c r="A292" s="33">
        <v>45664.47621828703</v>
      </c>
      <c r="B292" s="4" t="s">
        <v>4783</v>
      </c>
      <c r="C292" s="4" t="s">
        <v>4780</v>
      </c>
      <c r="D292" s="4" t="s">
        <v>4781</v>
      </c>
      <c r="E292" s="4" t="s">
        <v>4737</v>
      </c>
    </row>
    <row r="293">
      <c r="A293" s="33">
        <v>45664.47628267361</v>
      </c>
      <c r="B293" s="4" t="s">
        <v>4742</v>
      </c>
      <c r="C293" s="4" t="s">
        <v>4826</v>
      </c>
      <c r="D293" s="4" t="s">
        <v>4735</v>
      </c>
      <c r="E293" s="4" t="s">
        <v>4806</v>
      </c>
    </row>
    <row r="294">
      <c r="A294" s="33">
        <v>45664.48206392361</v>
      </c>
      <c r="B294" s="4" t="s">
        <v>4801</v>
      </c>
      <c r="C294" s="4" t="s">
        <v>4827</v>
      </c>
      <c r="D294" s="4" t="s">
        <v>4803</v>
      </c>
      <c r="E294" s="4" t="s">
        <v>4737</v>
      </c>
    </row>
    <row r="295">
      <c r="A295" s="33">
        <v>45664.482208368056</v>
      </c>
      <c r="B295" s="4" t="s">
        <v>4776</v>
      </c>
      <c r="C295" s="5" t="s">
        <v>4828</v>
      </c>
      <c r="D295" s="4" t="s">
        <v>4735</v>
      </c>
      <c r="E295" s="4" t="s">
        <v>4829</v>
      </c>
    </row>
    <row r="296">
      <c r="A296" s="33">
        <v>45664.482209803245</v>
      </c>
      <c r="B296" s="4" t="s">
        <v>4779</v>
      </c>
      <c r="C296" s="4" t="s">
        <v>4780</v>
      </c>
      <c r="D296" s="4" t="s">
        <v>4781</v>
      </c>
      <c r="E296" s="4" t="s">
        <v>4737</v>
      </c>
    </row>
    <row r="297">
      <c r="A297" s="33">
        <v>45664.482211145834</v>
      </c>
      <c r="B297" s="4" t="s">
        <v>4782</v>
      </c>
      <c r="C297" s="4" t="s">
        <v>4780</v>
      </c>
      <c r="D297" s="4" t="s">
        <v>4781</v>
      </c>
      <c r="E297" s="4" t="s">
        <v>4737</v>
      </c>
    </row>
    <row r="298">
      <c r="A298" s="33">
        <v>45664.482212546296</v>
      </c>
      <c r="B298" s="4" t="s">
        <v>4783</v>
      </c>
      <c r="C298" s="4" t="s">
        <v>4780</v>
      </c>
      <c r="D298" s="4" t="s">
        <v>4781</v>
      </c>
      <c r="E298" s="4" t="s">
        <v>4737</v>
      </c>
    </row>
    <row r="299">
      <c r="A299" s="33">
        <v>45664.482279641205</v>
      </c>
      <c r="B299" s="4" t="s">
        <v>4742</v>
      </c>
      <c r="C299" s="4" t="s">
        <v>4830</v>
      </c>
      <c r="D299" s="4" t="s">
        <v>4735</v>
      </c>
      <c r="E299" s="4" t="s">
        <v>4806</v>
      </c>
    </row>
    <row r="300">
      <c r="A300" s="33">
        <v>45665.65518769676</v>
      </c>
      <c r="B300" s="4" t="s">
        <v>4801</v>
      </c>
      <c r="C300" s="4" t="s">
        <v>4831</v>
      </c>
      <c r="D300" s="4" t="s">
        <v>4803</v>
      </c>
      <c r="E300" s="4" t="s">
        <v>4737</v>
      </c>
    </row>
    <row r="301">
      <c r="A301" s="33">
        <v>45665.65539172453</v>
      </c>
      <c r="B301" s="4" t="s">
        <v>4776</v>
      </c>
      <c r="C301" s="5" t="s">
        <v>4832</v>
      </c>
      <c r="D301" s="4" t="s">
        <v>4735</v>
      </c>
      <c r="E301" s="4" t="s">
        <v>4833</v>
      </c>
    </row>
    <row r="302">
      <c r="A302" s="33">
        <v>45665.65539472223</v>
      </c>
      <c r="B302" s="4" t="s">
        <v>4779</v>
      </c>
      <c r="C302" s="4" t="s">
        <v>4780</v>
      </c>
      <c r="D302" s="4" t="s">
        <v>4781</v>
      </c>
      <c r="E302" s="4" t="s">
        <v>4737</v>
      </c>
    </row>
    <row r="303">
      <c r="A303" s="33">
        <v>45665.65539730324</v>
      </c>
      <c r="B303" s="4" t="s">
        <v>4782</v>
      </c>
      <c r="C303" s="4" t="s">
        <v>4780</v>
      </c>
      <c r="D303" s="4" t="s">
        <v>4781</v>
      </c>
      <c r="E303" s="4" t="s">
        <v>4737</v>
      </c>
    </row>
    <row r="304">
      <c r="A304" s="33">
        <v>45665.65539972222</v>
      </c>
      <c r="B304" s="4" t="s">
        <v>4783</v>
      </c>
      <c r="C304" s="4" t="s">
        <v>4780</v>
      </c>
      <c r="D304" s="4" t="s">
        <v>4781</v>
      </c>
      <c r="E304" s="4" t="s">
        <v>4737</v>
      </c>
    </row>
    <row r="305">
      <c r="A305" s="33">
        <v>45665.655467847224</v>
      </c>
      <c r="B305" s="4" t="s">
        <v>4742</v>
      </c>
      <c r="C305" s="4" t="s">
        <v>4834</v>
      </c>
      <c r="D305" s="4" t="s">
        <v>4735</v>
      </c>
      <c r="E305" s="4" t="s">
        <v>4806</v>
      </c>
    </row>
    <row r="306">
      <c r="A306" s="33">
        <v>45670.61088986111</v>
      </c>
      <c r="B306" s="4" t="s">
        <v>4801</v>
      </c>
      <c r="C306" s="4" t="s">
        <v>4835</v>
      </c>
      <c r="D306" s="4" t="s">
        <v>4803</v>
      </c>
      <c r="E306" s="4" t="s">
        <v>4737</v>
      </c>
    </row>
    <row r="307">
      <c r="A307" s="33">
        <v>45670.61100456018</v>
      </c>
      <c r="B307" s="4" t="s">
        <v>4776</v>
      </c>
      <c r="C307" s="5" t="s">
        <v>4836</v>
      </c>
      <c r="D307" s="4" t="s">
        <v>4735</v>
      </c>
      <c r="E307" s="4" t="s">
        <v>4837</v>
      </c>
    </row>
    <row r="308">
      <c r="A308" s="33">
        <v>45670.61100761574</v>
      </c>
      <c r="B308" s="4" t="s">
        <v>4779</v>
      </c>
      <c r="C308" s="4" t="s">
        <v>4780</v>
      </c>
      <c r="D308" s="4" t="s">
        <v>4781</v>
      </c>
      <c r="E308" s="4" t="s">
        <v>4737</v>
      </c>
    </row>
    <row r="309">
      <c r="A309" s="33">
        <v>45670.61101043981</v>
      </c>
      <c r="B309" s="4" t="s">
        <v>4782</v>
      </c>
      <c r="C309" s="4" t="s">
        <v>4780</v>
      </c>
      <c r="D309" s="4" t="s">
        <v>4781</v>
      </c>
      <c r="E309" s="4" t="s">
        <v>4737</v>
      </c>
    </row>
    <row r="310">
      <c r="A310" s="33">
        <v>45670.61101306713</v>
      </c>
      <c r="B310" s="4" t="s">
        <v>4783</v>
      </c>
      <c r="C310" s="4" t="s">
        <v>4780</v>
      </c>
      <c r="D310" s="4" t="s">
        <v>4781</v>
      </c>
      <c r="E310" s="4" t="s">
        <v>4737</v>
      </c>
    </row>
    <row r="311">
      <c r="A311" s="33">
        <v>45670.61108274305</v>
      </c>
      <c r="B311" s="4" t="s">
        <v>4742</v>
      </c>
      <c r="C311" s="4" t="s">
        <v>4838</v>
      </c>
      <c r="D311" s="4" t="s">
        <v>4735</v>
      </c>
      <c r="E311" s="4" t="s">
        <v>4806</v>
      </c>
    </row>
    <row r="312">
      <c r="A312" s="33">
        <v>45670.61481704861</v>
      </c>
      <c r="B312" s="4" t="s">
        <v>4801</v>
      </c>
      <c r="C312" s="4" t="s">
        <v>4835</v>
      </c>
      <c r="D312" s="4" t="s">
        <v>4803</v>
      </c>
      <c r="E312" s="4" t="s">
        <v>4737</v>
      </c>
    </row>
    <row r="313">
      <c r="A313" s="33">
        <v>45670.614930104166</v>
      </c>
      <c r="B313" s="4" t="s">
        <v>4776</v>
      </c>
      <c r="C313" s="5" t="s">
        <v>4836</v>
      </c>
      <c r="D313" s="4" t="s">
        <v>4735</v>
      </c>
      <c r="E313" s="4" t="s">
        <v>4837</v>
      </c>
    </row>
    <row r="314">
      <c r="A314" s="33">
        <v>45670.6149330787</v>
      </c>
      <c r="B314" s="4" t="s">
        <v>4779</v>
      </c>
      <c r="C314" s="4" t="s">
        <v>4780</v>
      </c>
      <c r="D314" s="4" t="s">
        <v>4781</v>
      </c>
      <c r="E314" s="4" t="s">
        <v>4737</v>
      </c>
    </row>
    <row r="315">
      <c r="A315" s="33">
        <v>45670.61493581018</v>
      </c>
      <c r="B315" s="4" t="s">
        <v>4782</v>
      </c>
      <c r="C315" s="4" t="s">
        <v>4780</v>
      </c>
      <c r="D315" s="4" t="s">
        <v>4781</v>
      </c>
      <c r="E315" s="4" t="s">
        <v>4737</v>
      </c>
    </row>
    <row r="316">
      <c r="A316" s="33">
        <v>45670.61493841435</v>
      </c>
      <c r="B316" s="4" t="s">
        <v>4783</v>
      </c>
      <c r="C316" s="4" t="s">
        <v>4780</v>
      </c>
      <c r="D316" s="4" t="s">
        <v>4781</v>
      </c>
      <c r="E316" s="4" t="s">
        <v>4737</v>
      </c>
    </row>
    <row r="317">
      <c r="A317" s="33">
        <v>45670.61500806713</v>
      </c>
      <c r="B317" s="4" t="s">
        <v>4742</v>
      </c>
      <c r="C317" s="4" t="s">
        <v>4838</v>
      </c>
      <c r="D317" s="4" t="s">
        <v>4735</v>
      </c>
      <c r="E317" s="4" t="s">
        <v>4806</v>
      </c>
    </row>
    <row r="318">
      <c r="A318" s="33">
        <v>45670.615025335646</v>
      </c>
      <c r="B318" s="4" t="s">
        <v>4801</v>
      </c>
      <c r="C318" s="4" t="s">
        <v>4835</v>
      </c>
      <c r="D318" s="4" t="s">
        <v>4803</v>
      </c>
      <c r="E318" s="4" t="s">
        <v>4737</v>
      </c>
    </row>
    <row r="319">
      <c r="A319" s="33">
        <v>45670.615139699075</v>
      </c>
      <c r="B319" s="4" t="s">
        <v>4776</v>
      </c>
      <c r="C319" s="5" t="s">
        <v>4836</v>
      </c>
      <c r="D319" s="4" t="s">
        <v>4735</v>
      </c>
      <c r="E319" s="4" t="s">
        <v>4837</v>
      </c>
    </row>
    <row r="320">
      <c r="A320" s="33">
        <v>45670.61514327546</v>
      </c>
      <c r="B320" s="4" t="s">
        <v>4779</v>
      </c>
      <c r="C320" s="4" t="s">
        <v>4780</v>
      </c>
      <c r="D320" s="4" t="s">
        <v>4781</v>
      </c>
      <c r="E320" s="4" t="s">
        <v>4737</v>
      </c>
    </row>
    <row r="321">
      <c r="A321" s="33">
        <v>45670.61514663194</v>
      </c>
      <c r="B321" s="4" t="s">
        <v>4782</v>
      </c>
      <c r="C321" s="4" t="s">
        <v>4780</v>
      </c>
      <c r="D321" s="4" t="s">
        <v>4781</v>
      </c>
      <c r="E321" s="4" t="s">
        <v>4737</v>
      </c>
    </row>
    <row r="322">
      <c r="A322" s="33">
        <v>45670.61515050926</v>
      </c>
      <c r="B322" s="4" t="s">
        <v>4783</v>
      </c>
      <c r="C322" s="4" t="s">
        <v>4780</v>
      </c>
      <c r="D322" s="4" t="s">
        <v>4781</v>
      </c>
      <c r="E322" s="4" t="s">
        <v>4737</v>
      </c>
    </row>
    <row r="323">
      <c r="A323" s="33">
        <v>45670.6152191088</v>
      </c>
      <c r="B323" s="4" t="s">
        <v>4742</v>
      </c>
      <c r="C323" s="4" t="s">
        <v>4838</v>
      </c>
      <c r="D323" s="4" t="s">
        <v>4735</v>
      </c>
      <c r="E323" s="4" t="s">
        <v>4806</v>
      </c>
    </row>
    <row r="324">
      <c r="A324" s="33">
        <v>45670.616146238426</v>
      </c>
      <c r="B324" s="4" t="s">
        <v>4801</v>
      </c>
      <c r="C324" s="4" t="s">
        <v>4839</v>
      </c>
      <c r="D324" s="4" t="s">
        <v>4803</v>
      </c>
      <c r="E324" s="4" t="s">
        <v>4737</v>
      </c>
    </row>
    <row r="325">
      <c r="A325" s="33">
        <v>45670.61630547454</v>
      </c>
      <c r="B325" s="4" t="s">
        <v>4776</v>
      </c>
      <c r="C325" s="5" t="s">
        <v>4836</v>
      </c>
      <c r="D325" s="4" t="s">
        <v>4735</v>
      </c>
      <c r="E325" s="4" t="s">
        <v>4837</v>
      </c>
    </row>
    <row r="326">
      <c r="A326" s="33">
        <v>45670.616307916665</v>
      </c>
      <c r="B326" s="4" t="s">
        <v>4779</v>
      </c>
      <c r="C326" s="4" t="s">
        <v>4780</v>
      </c>
      <c r="D326" s="4" t="s">
        <v>4781</v>
      </c>
      <c r="E326" s="4" t="s">
        <v>4737</v>
      </c>
    </row>
    <row r="327">
      <c r="A327" s="33">
        <v>45670.61631033565</v>
      </c>
      <c r="B327" s="4" t="s">
        <v>4782</v>
      </c>
      <c r="C327" s="4" t="s">
        <v>4780</v>
      </c>
      <c r="D327" s="4" t="s">
        <v>4781</v>
      </c>
      <c r="E327" s="4" t="s">
        <v>4737</v>
      </c>
    </row>
    <row r="328">
      <c r="A328" s="33">
        <v>45670.61631283565</v>
      </c>
      <c r="B328" s="4" t="s">
        <v>4783</v>
      </c>
      <c r="C328" s="4" t="s">
        <v>4780</v>
      </c>
      <c r="D328" s="4" t="s">
        <v>4781</v>
      </c>
      <c r="E328" s="4" t="s">
        <v>4737</v>
      </c>
    </row>
    <row r="329">
      <c r="A329" s="33">
        <v>45670.61638390046</v>
      </c>
      <c r="B329" s="4" t="s">
        <v>4742</v>
      </c>
      <c r="C329" s="4" t="s">
        <v>4840</v>
      </c>
      <c r="D329" s="4" t="s">
        <v>4735</v>
      </c>
      <c r="E329" s="4" t="s">
        <v>4806</v>
      </c>
    </row>
    <row r="330">
      <c r="A330" s="33">
        <v>45671.375106747684</v>
      </c>
      <c r="B330" s="4" t="s">
        <v>4801</v>
      </c>
      <c r="C330" s="4" t="s">
        <v>4841</v>
      </c>
      <c r="D330" s="4" t="s">
        <v>4803</v>
      </c>
      <c r="E330" s="4" t="s">
        <v>4737</v>
      </c>
    </row>
    <row r="331">
      <c r="A331" s="33">
        <v>45671.37526859954</v>
      </c>
      <c r="B331" s="4" t="s">
        <v>4776</v>
      </c>
      <c r="C331" s="5" t="s">
        <v>4795</v>
      </c>
      <c r="D331" s="4" t="s">
        <v>4735</v>
      </c>
      <c r="E331" s="4" t="s">
        <v>4842</v>
      </c>
    </row>
    <row r="332">
      <c r="A332" s="33">
        <v>45671.37527263889</v>
      </c>
      <c r="B332" s="4" t="s">
        <v>4779</v>
      </c>
      <c r="C332" s="4" t="s">
        <v>4780</v>
      </c>
      <c r="D332" s="4" t="s">
        <v>4781</v>
      </c>
      <c r="E332" s="4" t="s">
        <v>4737</v>
      </c>
    </row>
    <row r="333">
      <c r="A333" s="33">
        <v>45671.37527611111</v>
      </c>
      <c r="B333" s="4" t="s">
        <v>4782</v>
      </c>
      <c r="C333" s="4" t="s">
        <v>4780</v>
      </c>
      <c r="D333" s="4" t="s">
        <v>4781</v>
      </c>
      <c r="E333" s="4" t="s">
        <v>4737</v>
      </c>
    </row>
    <row r="334">
      <c r="A334" s="33">
        <v>45671.375279618056</v>
      </c>
      <c r="B334" s="4" t="s">
        <v>4783</v>
      </c>
      <c r="C334" s="4" t="s">
        <v>4780</v>
      </c>
      <c r="D334" s="4" t="s">
        <v>4781</v>
      </c>
      <c r="E334" s="4" t="s">
        <v>4737</v>
      </c>
    </row>
    <row r="335">
      <c r="A335" s="33">
        <v>45671.375347905094</v>
      </c>
      <c r="B335" s="4" t="s">
        <v>4742</v>
      </c>
      <c r="C335" s="4" t="s">
        <v>4843</v>
      </c>
      <c r="D335" s="4" t="s">
        <v>4735</v>
      </c>
      <c r="E335" s="4" t="s">
        <v>4806</v>
      </c>
    </row>
    <row r="336">
      <c r="A336" s="33">
        <v>45671.40461965278</v>
      </c>
      <c r="B336" s="4" t="s">
        <v>4801</v>
      </c>
      <c r="C336" s="4" t="s">
        <v>4844</v>
      </c>
      <c r="D336" s="4" t="s">
        <v>4803</v>
      </c>
      <c r="E336" s="4" t="s">
        <v>4737</v>
      </c>
    </row>
    <row r="337">
      <c r="A337" s="33">
        <v>45671.40477685185</v>
      </c>
      <c r="B337" s="4" t="s">
        <v>4776</v>
      </c>
      <c r="C337" s="5" t="s">
        <v>4845</v>
      </c>
      <c r="D337" s="4" t="s">
        <v>4735</v>
      </c>
      <c r="E337" s="4" t="s">
        <v>4846</v>
      </c>
    </row>
    <row r="338">
      <c r="A338" s="33">
        <v>45671.40477954861</v>
      </c>
      <c r="B338" s="4" t="s">
        <v>4779</v>
      </c>
      <c r="C338" s="4" t="s">
        <v>4780</v>
      </c>
      <c r="D338" s="4" t="s">
        <v>4781</v>
      </c>
      <c r="E338" s="4" t="s">
        <v>4737</v>
      </c>
    </row>
    <row r="339">
      <c r="A339" s="33">
        <v>45671.404782025464</v>
      </c>
      <c r="B339" s="4" t="s">
        <v>4782</v>
      </c>
      <c r="C339" s="4" t="s">
        <v>4780</v>
      </c>
      <c r="D339" s="4" t="s">
        <v>4781</v>
      </c>
      <c r="E339" s="4" t="s">
        <v>4737</v>
      </c>
    </row>
    <row r="340">
      <c r="A340" s="33">
        <v>45671.404784363425</v>
      </c>
      <c r="B340" s="4" t="s">
        <v>4783</v>
      </c>
      <c r="C340" s="4" t="s">
        <v>4780</v>
      </c>
      <c r="D340" s="4" t="s">
        <v>4781</v>
      </c>
      <c r="E340" s="4" t="s">
        <v>4737</v>
      </c>
    </row>
    <row r="341">
      <c r="A341" s="33">
        <v>45671.40485501157</v>
      </c>
      <c r="B341" s="4" t="s">
        <v>4742</v>
      </c>
      <c r="C341" s="4" t="s">
        <v>4847</v>
      </c>
      <c r="D341" s="4" t="s">
        <v>4735</v>
      </c>
      <c r="E341" s="4" t="s">
        <v>4806</v>
      </c>
    </row>
    <row r="342">
      <c r="A342" s="33">
        <v>45671.89730163194</v>
      </c>
      <c r="B342" s="4" t="s">
        <v>4801</v>
      </c>
      <c r="C342" s="4" t="s">
        <v>4848</v>
      </c>
      <c r="D342" s="4" t="s">
        <v>4803</v>
      </c>
      <c r="E342" s="4" t="s">
        <v>4737</v>
      </c>
    </row>
    <row r="343">
      <c r="A343" s="33">
        <v>45671.89744256945</v>
      </c>
      <c r="B343" s="4" t="s">
        <v>4776</v>
      </c>
      <c r="C343" s="5" t="s">
        <v>4849</v>
      </c>
      <c r="D343" s="4" t="s">
        <v>4735</v>
      </c>
      <c r="E343" s="4" t="s">
        <v>4850</v>
      </c>
    </row>
    <row r="344">
      <c r="A344" s="33">
        <v>45671.8974447338</v>
      </c>
      <c r="B344" s="4" t="s">
        <v>4779</v>
      </c>
      <c r="C344" s="4" t="s">
        <v>4780</v>
      </c>
      <c r="D344" s="4" t="s">
        <v>4781</v>
      </c>
      <c r="E344" s="4" t="s">
        <v>4737</v>
      </c>
    </row>
    <row r="345">
      <c r="A345" s="33">
        <v>45671.89744663195</v>
      </c>
      <c r="B345" s="4" t="s">
        <v>4782</v>
      </c>
      <c r="C345" s="4" t="s">
        <v>4780</v>
      </c>
      <c r="D345" s="4" t="s">
        <v>4781</v>
      </c>
      <c r="E345" s="4" t="s">
        <v>4737</v>
      </c>
    </row>
    <row r="346">
      <c r="A346" s="33">
        <v>45671.89744878472</v>
      </c>
      <c r="B346" s="4" t="s">
        <v>4783</v>
      </c>
      <c r="C346" s="4" t="s">
        <v>4780</v>
      </c>
      <c r="D346" s="4" t="s">
        <v>4781</v>
      </c>
      <c r="E346" s="4" t="s">
        <v>4737</v>
      </c>
    </row>
    <row r="347">
      <c r="A347" s="33">
        <v>45671.89751519676</v>
      </c>
      <c r="B347" s="4" t="s">
        <v>4742</v>
      </c>
      <c r="C347" s="4" t="s">
        <v>4851</v>
      </c>
      <c r="D347" s="4" t="s">
        <v>4735</v>
      </c>
      <c r="E347" s="4" t="s">
        <v>4806</v>
      </c>
    </row>
    <row r="348">
      <c r="A348" s="33">
        <v>45677.37512886574</v>
      </c>
      <c r="B348" s="4" t="s">
        <v>4801</v>
      </c>
      <c r="C348" s="4" t="s">
        <v>4852</v>
      </c>
      <c r="D348" s="4" t="s">
        <v>4803</v>
      </c>
      <c r="E348" s="4" t="s">
        <v>4737</v>
      </c>
    </row>
    <row r="349">
      <c r="A349" s="33">
        <v>45677.37528479166</v>
      </c>
      <c r="B349" s="4" t="s">
        <v>4776</v>
      </c>
      <c r="C349" s="5" t="s">
        <v>4820</v>
      </c>
      <c r="D349" s="4" t="s">
        <v>4735</v>
      </c>
      <c r="E349" s="4" t="s">
        <v>4821</v>
      </c>
    </row>
    <row r="350">
      <c r="A350" s="33">
        <v>45677.37528765046</v>
      </c>
      <c r="B350" s="4" t="s">
        <v>4779</v>
      </c>
      <c r="C350" s="4" t="s">
        <v>4780</v>
      </c>
      <c r="D350" s="4" t="s">
        <v>4781</v>
      </c>
      <c r="E350" s="4" t="s">
        <v>4737</v>
      </c>
    </row>
    <row r="351">
      <c r="A351" s="33">
        <v>45677.37529053241</v>
      </c>
      <c r="B351" s="4" t="s">
        <v>4782</v>
      </c>
      <c r="C351" s="4" t="s">
        <v>4780</v>
      </c>
      <c r="D351" s="4" t="s">
        <v>4781</v>
      </c>
      <c r="E351" s="4" t="s">
        <v>4737</v>
      </c>
    </row>
    <row r="352">
      <c r="A352" s="33">
        <v>45677.375296956016</v>
      </c>
      <c r="B352" s="4" t="s">
        <v>4783</v>
      </c>
      <c r="C352" s="4" t="s">
        <v>4780</v>
      </c>
      <c r="D352" s="4" t="s">
        <v>4781</v>
      </c>
      <c r="E352" s="4" t="s">
        <v>4737</v>
      </c>
    </row>
    <row r="353">
      <c r="A353" s="33">
        <v>45677.3753653125</v>
      </c>
      <c r="B353" s="4" t="s">
        <v>4742</v>
      </c>
      <c r="C353" s="4" t="s">
        <v>4853</v>
      </c>
      <c r="D353" s="4" t="s">
        <v>4735</v>
      </c>
      <c r="E353" s="4" t="s">
        <v>4806</v>
      </c>
    </row>
    <row r="354">
      <c r="A354" s="33">
        <v>45679.37516611112</v>
      </c>
      <c r="B354" s="4" t="s">
        <v>4801</v>
      </c>
      <c r="C354" s="4" t="s">
        <v>4841</v>
      </c>
      <c r="D354" s="4" t="s">
        <v>4803</v>
      </c>
      <c r="E354" s="4" t="s">
        <v>4737</v>
      </c>
    </row>
    <row r="355">
      <c r="A355" s="33">
        <v>45679.37533416667</v>
      </c>
      <c r="B355" s="4" t="s">
        <v>4776</v>
      </c>
      <c r="C355" s="5" t="s">
        <v>4795</v>
      </c>
      <c r="D355" s="4" t="s">
        <v>4735</v>
      </c>
      <c r="E355" s="4" t="s">
        <v>4842</v>
      </c>
    </row>
    <row r="356">
      <c r="A356" s="33">
        <v>45679.375337453705</v>
      </c>
      <c r="B356" s="4" t="s">
        <v>4779</v>
      </c>
      <c r="C356" s="4" t="s">
        <v>4780</v>
      </c>
      <c r="D356" s="4" t="s">
        <v>4781</v>
      </c>
      <c r="E356" s="4" t="s">
        <v>4737</v>
      </c>
    </row>
    <row r="357">
      <c r="A357" s="33">
        <v>45679.37534002315</v>
      </c>
      <c r="B357" s="4" t="s">
        <v>4782</v>
      </c>
      <c r="C357" s="4" t="s">
        <v>4780</v>
      </c>
      <c r="D357" s="4" t="s">
        <v>4781</v>
      </c>
      <c r="E357" s="4" t="s">
        <v>4737</v>
      </c>
    </row>
    <row r="358">
      <c r="A358" s="33">
        <v>45679.375342581014</v>
      </c>
      <c r="B358" s="4" t="s">
        <v>4783</v>
      </c>
      <c r="C358" s="4" t="s">
        <v>4780</v>
      </c>
      <c r="D358" s="4" t="s">
        <v>4781</v>
      </c>
      <c r="E358" s="4" t="s">
        <v>4737</v>
      </c>
    </row>
    <row r="359">
      <c r="A359" s="33">
        <v>45679.375413182875</v>
      </c>
      <c r="B359" s="4" t="s">
        <v>4742</v>
      </c>
      <c r="C359" s="4" t="s">
        <v>4843</v>
      </c>
      <c r="D359" s="4" t="s">
        <v>4735</v>
      </c>
      <c r="E359" s="4" t="s">
        <v>4806</v>
      </c>
    </row>
    <row r="360">
      <c r="A360" s="33">
        <v>45680.37507268519</v>
      </c>
      <c r="B360" s="4" t="s">
        <v>4801</v>
      </c>
      <c r="C360" s="4" t="s">
        <v>4854</v>
      </c>
      <c r="D360" s="4" t="s">
        <v>4803</v>
      </c>
      <c r="E360" s="4" t="s">
        <v>4737</v>
      </c>
    </row>
    <row r="361">
      <c r="A361" s="33">
        <v>45680.37525046297</v>
      </c>
      <c r="B361" s="4" t="s">
        <v>4776</v>
      </c>
      <c r="C361" s="5" t="s">
        <v>4845</v>
      </c>
      <c r="D361" s="4" t="s">
        <v>4735</v>
      </c>
      <c r="E361" s="4" t="s">
        <v>4846</v>
      </c>
    </row>
    <row r="362">
      <c r="A362" s="33">
        <v>45680.375252094906</v>
      </c>
      <c r="B362" s="4" t="s">
        <v>4779</v>
      </c>
      <c r="C362" s="4" t="s">
        <v>4780</v>
      </c>
      <c r="D362" s="4" t="s">
        <v>4781</v>
      </c>
      <c r="E362" s="4" t="s">
        <v>4737</v>
      </c>
    </row>
    <row r="363">
      <c r="A363" s="33">
        <v>45680.3752536574</v>
      </c>
      <c r="B363" s="4" t="s">
        <v>4782</v>
      </c>
      <c r="C363" s="4" t="s">
        <v>4780</v>
      </c>
      <c r="D363" s="4" t="s">
        <v>4781</v>
      </c>
      <c r="E363" s="4" t="s">
        <v>4737</v>
      </c>
    </row>
    <row r="364">
      <c r="A364" s="33">
        <v>45680.37525506945</v>
      </c>
      <c r="B364" s="4" t="s">
        <v>4783</v>
      </c>
      <c r="C364" s="4" t="s">
        <v>4780</v>
      </c>
      <c r="D364" s="4" t="s">
        <v>4781</v>
      </c>
      <c r="E364" s="4" t="s">
        <v>4737</v>
      </c>
    </row>
    <row r="365">
      <c r="A365" s="33">
        <v>45680.37532207176</v>
      </c>
      <c r="B365" s="4" t="s">
        <v>4742</v>
      </c>
      <c r="C365" s="4" t="s">
        <v>4855</v>
      </c>
      <c r="D365" s="4" t="s">
        <v>4735</v>
      </c>
      <c r="E365" s="4" t="s">
        <v>4806</v>
      </c>
    </row>
    <row r="366">
      <c r="A366" s="33">
        <v>45684.375120219906</v>
      </c>
      <c r="B366" s="4" t="s">
        <v>4801</v>
      </c>
      <c r="C366" s="4" t="s">
        <v>4856</v>
      </c>
      <c r="D366" s="4" t="s">
        <v>4803</v>
      </c>
      <c r="E366" s="4" t="s">
        <v>4737</v>
      </c>
    </row>
    <row r="367">
      <c r="A367" s="33">
        <v>45684.375273425925</v>
      </c>
      <c r="B367" s="4" t="s">
        <v>4776</v>
      </c>
      <c r="C367" s="5" t="s">
        <v>4849</v>
      </c>
      <c r="D367" s="4" t="s">
        <v>4735</v>
      </c>
      <c r="E367" s="4" t="s">
        <v>4850</v>
      </c>
    </row>
    <row r="368">
      <c r="A368" s="33">
        <v>45684.375277997686</v>
      </c>
      <c r="B368" s="4" t="s">
        <v>4779</v>
      </c>
      <c r="C368" s="4" t="s">
        <v>4780</v>
      </c>
      <c r="D368" s="4" t="s">
        <v>4781</v>
      </c>
      <c r="E368" s="4" t="s">
        <v>4737</v>
      </c>
    </row>
    <row r="369">
      <c r="A369" s="33">
        <v>45684.375281493056</v>
      </c>
      <c r="B369" s="4" t="s">
        <v>4782</v>
      </c>
      <c r="C369" s="4" t="s">
        <v>4780</v>
      </c>
      <c r="D369" s="4" t="s">
        <v>4781</v>
      </c>
      <c r="E369" s="4" t="s">
        <v>4737</v>
      </c>
    </row>
    <row r="370">
      <c r="A370" s="33">
        <v>45684.375284953705</v>
      </c>
      <c r="B370" s="4" t="s">
        <v>4783</v>
      </c>
      <c r="C370" s="4" t="s">
        <v>4780</v>
      </c>
      <c r="D370" s="4" t="s">
        <v>4781</v>
      </c>
      <c r="E370" s="4" t="s">
        <v>4737</v>
      </c>
    </row>
    <row r="371">
      <c r="A371" s="33">
        <v>45684.37535534722</v>
      </c>
      <c r="B371" s="4" t="s">
        <v>4742</v>
      </c>
      <c r="C371" s="4" t="s">
        <v>4857</v>
      </c>
      <c r="D371" s="4" t="s">
        <v>4735</v>
      </c>
      <c r="E371" s="4" t="s">
        <v>4806</v>
      </c>
    </row>
    <row r="372">
      <c r="A372" s="33">
        <v>45686.37504719908</v>
      </c>
      <c r="B372" s="4" t="s">
        <v>4801</v>
      </c>
      <c r="C372" s="4" t="s">
        <v>4858</v>
      </c>
      <c r="D372" s="4" t="s">
        <v>4803</v>
      </c>
      <c r="E372" s="4" t="s">
        <v>4737</v>
      </c>
    </row>
    <row r="373">
      <c r="A373" s="33">
        <v>45686.375201041665</v>
      </c>
      <c r="B373" s="4" t="s">
        <v>4776</v>
      </c>
      <c r="C373" s="5" t="s">
        <v>4836</v>
      </c>
      <c r="D373" s="4" t="s">
        <v>4735</v>
      </c>
      <c r="E373" s="4" t="s">
        <v>4837</v>
      </c>
    </row>
    <row r="374">
      <c r="A374" s="33">
        <v>45686.37520388889</v>
      </c>
      <c r="B374" s="4" t="s">
        <v>4779</v>
      </c>
      <c r="C374" s="4" t="s">
        <v>4780</v>
      </c>
      <c r="D374" s="4" t="s">
        <v>4781</v>
      </c>
      <c r="E374" s="4" t="s">
        <v>4737</v>
      </c>
    </row>
    <row r="375">
      <c r="A375" s="33">
        <v>45686.37520721064</v>
      </c>
      <c r="B375" s="4" t="s">
        <v>4782</v>
      </c>
      <c r="C375" s="4" t="s">
        <v>4780</v>
      </c>
      <c r="D375" s="4" t="s">
        <v>4781</v>
      </c>
      <c r="E375" s="4" t="s">
        <v>4737</v>
      </c>
    </row>
    <row r="376">
      <c r="A376" s="33">
        <v>45686.37520956018</v>
      </c>
      <c r="B376" s="4" t="s">
        <v>4783</v>
      </c>
      <c r="C376" s="4" t="s">
        <v>4780</v>
      </c>
      <c r="D376" s="4" t="s">
        <v>4781</v>
      </c>
      <c r="E376" s="4" t="s">
        <v>4737</v>
      </c>
    </row>
    <row r="377">
      <c r="A377" s="33">
        <v>45686.37527638889</v>
      </c>
      <c r="B377" s="4" t="s">
        <v>4742</v>
      </c>
      <c r="C377" s="4" t="s">
        <v>4859</v>
      </c>
      <c r="D377" s="4" t="s">
        <v>4735</v>
      </c>
      <c r="E377" s="4" t="s">
        <v>4806</v>
      </c>
    </row>
    <row r="378">
      <c r="A378" s="33">
        <v>45687.37512820602</v>
      </c>
      <c r="B378" s="4" t="s">
        <v>4801</v>
      </c>
      <c r="C378" s="4" t="s">
        <v>4841</v>
      </c>
      <c r="D378" s="4" t="s">
        <v>4803</v>
      </c>
      <c r="E378" s="4" t="s">
        <v>4737</v>
      </c>
    </row>
    <row r="379">
      <c r="A379" s="33">
        <v>45687.37528582176</v>
      </c>
      <c r="B379" s="4" t="s">
        <v>4776</v>
      </c>
      <c r="C379" s="5" t="s">
        <v>4795</v>
      </c>
      <c r="D379" s="4" t="s">
        <v>4735</v>
      </c>
      <c r="E379" s="4" t="s">
        <v>4842</v>
      </c>
    </row>
    <row r="380">
      <c r="A380" s="33">
        <v>45687.37528910879</v>
      </c>
      <c r="B380" s="4" t="s">
        <v>4779</v>
      </c>
      <c r="C380" s="4" t="s">
        <v>4780</v>
      </c>
      <c r="D380" s="4" t="s">
        <v>4781</v>
      </c>
      <c r="E380" s="4" t="s">
        <v>4737</v>
      </c>
    </row>
    <row r="381">
      <c r="A381" s="33">
        <v>45687.375291805554</v>
      </c>
      <c r="B381" s="4" t="s">
        <v>4782</v>
      </c>
      <c r="C381" s="4" t="s">
        <v>4780</v>
      </c>
      <c r="D381" s="4" t="s">
        <v>4781</v>
      </c>
      <c r="E381" s="4" t="s">
        <v>4737</v>
      </c>
    </row>
    <row r="382">
      <c r="A382" s="33">
        <v>45687.37529489583</v>
      </c>
      <c r="B382" s="4" t="s">
        <v>4783</v>
      </c>
      <c r="C382" s="4" t="s">
        <v>4780</v>
      </c>
      <c r="D382" s="4" t="s">
        <v>4781</v>
      </c>
      <c r="E382" s="4" t="s">
        <v>4737</v>
      </c>
    </row>
    <row r="383">
      <c r="A383" s="33">
        <v>45687.37536304398</v>
      </c>
      <c r="B383" s="4" t="s">
        <v>4742</v>
      </c>
      <c r="C383" s="4" t="s">
        <v>4843</v>
      </c>
      <c r="D383" s="4" t="s">
        <v>4735</v>
      </c>
      <c r="E383" s="4" t="s">
        <v>4806</v>
      </c>
    </row>
    <row r="384">
      <c r="A384" s="33">
        <v>45687.41859605324</v>
      </c>
      <c r="B384" s="4" t="s">
        <v>4801</v>
      </c>
      <c r="C384" s="4" t="s">
        <v>4860</v>
      </c>
      <c r="D384" s="4" t="s">
        <v>4803</v>
      </c>
      <c r="E384" s="4" t="s">
        <v>4737</v>
      </c>
    </row>
    <row r="385">
      <c r="A385" s="33">
        <v>45687.41873791667</v>
      </c>
      <c r="B385" s="4" t="s">
        <v>4776</v>
      </c>
      <c r="C385" s="5" t="s">
        <v>4861</v>
      </c>
      <c r="D385" s="4" t="s">
        <v>4735</v>
      </c>
      <c r="E385" s="4" t="s">
        <v>4862</v>
      </c>
    </row>
    <row r="386">
      <c r="A386" s="33">
        <v>45687.41873975695</v>
      </c>
      <c r="B386" s="4" t="s">
        <v>4779</v>
      </c>
      <c r="C386" s="4" t="s">
        <v>4780</v>
      </c>
      <c r="D386" s="4" t="s">
        <v>4781</v>
      </c>
      <c r="E386" s="4" t="s">
        <v>4737</v>
      </c>
    </row>
    <row r="387">
      <c r="A387" s="33">
        <v>45687.418741331014</v>
      </c>
      <c r="B387" s="4" t="s">
        <v>4782</v>
      </c>
      <c r="C387" s="4" t="s">
        <v>4780</v>
      </c>
      <c r="D387" s="4" t="s">
        <v>4781</v>
      </c>
      <c r="E387" s="4" t="s">
        <v>4737</v>
      </c>
    </row>
    <row r="388">
      <c r="A388" s="33">
        <v>45687.418742905094</v>
      </c>
      <c r="B388" s="4" t="s">
        <v>4783</v>
      </c>
      <c r="C388" s="4" t="s">
        <v>4780</v>
      </c>
      <c r="D388" s="4" t="s">
        <v>4781</v>
      </c>
      <c r="E388" s="4" t="s">
        <v>4737</v>
      </c>
    </row>
    <row r="389">
      <c r="A389" s="33">
        <v>45687.41881377315</v>
      </c>
      <c r="B389" s="4" t="s">
        <v>4742</v>
      </c>
      <c r="C389" s="4" t="s">
        <v>4863</v>
      </c>
      <c r="D389" s="4" t="s">
        <v>4735</v>
      </c>
      <c r="E389" s="4" t="s">
        <v>4806</v>
      </c>
    </row>
    <row r="390">
      <c r="A390" s="33">
        <v>45687.67272377315</v>
      </c>
      <c r="B390" s="4" t="s">
        <v>4801</v>
      </c>
      <c r="C390" s="4" t="s">
        <v>4864</v>
      </c>
      <c r="D390" s="4" t="s">
        <v>4803</v>
      </c>
      <c r="E390" s="4" t="s">
        <v>4737</v>
      </c>
    </row>
    <row r="391">
      <c r="A391" s="33">
        <v>45687.67286856481</v>
      </c>
      <c r="B391" s="4" t="s">
        <v>4776</v>
      </c>
      <c r="C391" s="5" t="s">
        <v>4865</v>
      </c>
      <c r="D391" s="4" t="s">
        <v>4735</v>
      </c>
      <c r="E391" s="4" t="s">
        <v>4866</v>
      </c>
    </row>
    <row r="392">
      <c r="A392" s="33">
        <v>45687.67300274306</v>
      </c>
      <c r="B392" s="4" t="s">
        <v>4779</v>
      </c>
      <c r="C392" s="5" t="s">
        <v>4867</v>
      </c>
      <c r="D392" s="4" t="s">
        <v>4735</v>
      </c>
      <c r="E392" s="4" t="s">
        <v>4868</v>
      </c>
    </row>
    <row r="393">
      <c r="A393" s="33">
        <v>45687.67313462963</v>
      </c>
      <c r="B393" s="4" t="s">
        <v>4782</v>
      </c>
      <c r="C393" s="5" t="s">
        <v>4869</v>
      </c>
      <c r="D393" s="4" t="s">
        <v>4735</v>
      </c>
      <c r="E393" s="4" t="s">
        <v>4870</v>
      </c>
    </row>
    <row r="394">
      <c r="A394" s="33">
        <v>45687.673136550926</v>
      </c>
      <c r="B394" s="4" t="s">
        <v>4783</v>
      </c>
      <c r="C394" s="4" t="s">
        <v>4780</v>
      </c>
      <c r="D394" s="4" t="s">
        <v>4781</v>
      </c>
      <c r="E394" s="4" t="s">
        <v>4737</v>
      </c>
    </row>
    <row r="395">
      <c r="A395" s="33">
        <v>45687.673203645834</v>
      </c>
      <c r="B395" s="4" t="s">
        <v>4742</v>
      </c>
      <c r="C395" s="4" t="s">
        <v>4871</v>
      </c>
      <c r="D395" s="4" t="s">
        <v>4735</v>
      </c>
      <c r="E395" s="4" t="s">
        <v>4806</v>
      </c>
    </row>
    <row r="396">
      <c r="A396" s="33">
        <v>45687.70196399305</v>
      </c>
      <c r="B396" s="4" t="s">
        <v>4801</v>
      </c>
      <c r="C396" s="4" t="s">
        <v>4872</v>
      </c>
      <c r="D396" s="4" t="s">
        <v>4803</v>
      </c>
      <c r="E396" s="4" t="s">
        <v>4737</v>
      </c>
    </row>
    <row r="397">
      <c r="A397" s="33">
        <v>45687.70211733796</v>
      </c>
      <c r="B397" s="4" t="s">
        <v>4776</v>
      </c>
      <c r="C397" s="5" t="s">
        <v>4873</v>
      </c>
      <c r="D397" s="4" t="s">
        <v>4735</v>
      </c>
      <c r="E397" s="4" t="s">
        <v>4874</v>
      </c>
    </row>
    <row r="398">
      <c r="A398" s="33">
        <v>45687.70211975694</v>
      </c>
      <c r="B398" s="4" t="s">
        <v>4779</v>
      </c>
      <c r="C398" s="4" t="s">
        <v>4780</v>
      </c>
      <c r="D398" s="4" t="s">
        <v>4781</v>
      </c>
      <c r="E398" s="4" t="s">
        <v>4737</v>
      </c>
    </row>
    <row r="399">
      <c r="A399" s="33">
        <v>45687.702122013885</v>
      </c>
      <c r="B399" s="4" t="s">
        <v>4782</v>
      </c>
      <c r="C399" s="4" t="s">
        <v>4780</v>
      </c>
      <c r="D399" s="4" t="s">
        <v>4781</v>
      </c>
      <c r="E399" s="4" t="s">
        <v>4737</v>
      </c>
    </row>
    <row r="400">
      <c r="A400" s="33">
        <v>45687.70212440973</v>
      </c>
      <c r="B400" s="4" t="s">
        <v>4783</v>
      </c>
      <c r="C400" s="4" t="s">
        <v>4780</v>
      </c>
      <c r="D400" s="4" t="s">
        <v>4781</v>
      </c>
      <c r="E400" s="4" t="s">
        <v>4737</v>
      </c>
    </row>
    <row r="401">
      <c r="A401" s="33">
        <v>45687.702192060184</v>
      </c>
      <c r="B401" s="4" t="s">
        <v>4742</v>
      </c>
      <c r="C401" s="4" t="s">
        <v>4875</v>
      </c>
      <c r="D401" s="4" t="s">
        <v>4735</v>
      </c>
      <c r="E401" s="4" t="s">
        <v>4806</v>
      </c>
    </row>
    <row r="402">
      <c r="A402" s="33">
        <v>45691.37512991898</v>
      </c>
      <c r="B402" s="4" t="s">
        <v>4801</v>
      </c>
      <c r="C402" s="4" t="s">
        <v>4854</v>
      </c>
      <c r="D402" s="4" t="s">
        <v>4803</v>
      </c>
      <c r="E402" s="4" t="s">
        <v>4737</v>
      </c>
    </row>
    <row r="403">
      <c r="A403" s="33">
        <v>45691.375293125</v>
      </c>
      <c r="B403" s="4" t="s">
        <v>4776</v>
      </c>
      <c r="C403" s="5" t="s">
        <v>4845</v>
      </c>
      <c r="D403" s="4" t="s">
        <v>4735</v>
      </c>
      <c r="E403" s="4" t="s">
        <v>4846</v>
      </c>
    </row>
    <row r="404">
      <c r="A404" s="33">
        <v>45691.37529582176</v>
      </c>
      <c r="B404" s="4" t="s">
        <v>4779</v>
      </c>
      <c r="C404" s="4" t="s">
        <v>4780</v>
      </c>
      <c r="D404" s="4" t="s">
        <v>4781</v>
      </c>
      <c r="E404" s="4" t="s">
        <v>4737</v>
      </c>
    </row>
    <row r="405">
      <c r="A405" s="33">
        <v>45691.375298240746</v>
      </c>
      <c r="B405" s="4" t="s">
        <v>4782</v>
      </c>
      <c r="C405" s="4" t="s">
        <v>4780</v>
      </c>
      <c r="D405" s="4" t="s">
        <v>4781</v>
      </c>
      <c r="E405" s="4" t="s">
        <v>4737</v>
      </c>
    </row>
    <row r="406">
      <c r="A406" s="33">
        <v>45691.3753005787</v>
      </c>
      <c r="B406" s="4" t="s">
        <v>4783</v>
      </c>
      <c r="C406" s="4" t="s">
        <v>4780</v>
      </c>
      <c r="D406" s="4" t="s">
        <v>4781</v>
      </c>
      <c r="E406" s="4" t="s">
        <v>4737</v>
      </c>
    </row>
    <row r="407">
      <c r="A407" s="33">
        <v>45691.37536769676</v>
      </c>
      <c r="B407" s="4" t="s">
        <v>4742</v>
      </c>
      <c r="C407" s="4" t="s">
        <v>4855</v>
      </c>
      <c r="D407" s="4" t="s">
        <v>4735</v>
      </c>
      <c r="E407" s="4" t="s">
        <v>4806</v>
      </c>
    </row>
    <row r="408">
      <c r="A408" s="33">
        <v>45695.3885237963</v>
      </c>
      <c r="B408" s="4" t="s">
        <v>4801</v>
      </c>
      <c r="C408" s="4" t="s">
        <v>4876</v>
      </c>
      <c r="D408" s="4" t="s">
        <v>4803</v>
      </c>
      <c r="E408" s="4" t="s">
        <v>4737</v>
      </c>
    </row>
    <row r="409">
      <c r="A409" s="33">
        <v>45695.38868748843</v>
      </c>
      <c r="B409" s="4" t="s">
        <v>4776</v>
      </c>
      <c r="C409" s="5" t="s">
        <v>4877</v>
      </c>
      <c r="D409" s="4" t="s">
        <v>4735</v>
      </c>
      <c r="E409" s="4" t="s">
        <v>4878</v>
      </c>
    </row>
    <row r="410">
      <c r="A410" s="33">
        <v>45695.38868953704</v>
      </c>
      <c r="B410" s="4" t="s">
        <v>4779</v>
      </c>
      <c r="C410" s="4" t="s">
        <v>4780</v>
      </c>
      <c r="D410" s="4" t="s">
        <v>4781</v>
      </c>
      <c r="E410" s="4" t="s">
        <v>4737</v>
      </c>
    </row>
    <row r="411">
      <c r="A411" s="33">
        <v>45695.38869158565</v>
      </c>
      <c r="B411" s="4" t="s">
        <v>4782</v>
      </c>
      <c r="C411" s="4" t="s">
        <v>4780</v>
      </c>
      <c r="D411" s="4" t="s">
        <v>4781</v>
      </c>
      <c r="E411" s="4" t="s">
        <v>4737</v>
      </c>
    </row>
    <row r="412">
      <c r="A412" s="33">
        <v>45695.38869341435</v>
      </c>
      <c r="B412" s="4" t="s">
        <v>4783</v>
      </c>
      <c r="C412" s="4" t="s">
        <v>4780</v>
      </c>
      <c r="D412" s="4" t="s">
        <v>4781</v>
      </c>
      <c r="E412" s="4" t="s">
        <v>4737</v>
      </c>
    </row>
    <row r="413">
      <c r="A413" s="33">
        <v>45695.388759629626</v>
      </c>
      <c r="B413" s="4" t="s">
        <v>4742</v>
      </c>
      <c r="C413" s="4" t="s">
        <v>4879</v>
      </c>
      <c r="D413" s="4" t="s">
        <v>4735</v>
      </c>
      <c r="E413" s="4" t="s">
        <v>4806</v>
      </c>
    </row>
    <row r="414">
      <c r="A414" s="33">
        <v>45695.393441064814</v>
      </c>
      <c r="B414" s="4" t="s">
        <v>4801</v>
      </c>
      <c r="C414" s="4" t="s">
        <v>4880</v>
      </c>
      <c r="D414" s="4" t="s">
        <v>4803</v>
      </c>
      <c r="E414" s="4" t="s">
        <v>4737</v>
      </c>
    </row>
    <row r="415">
      <c r="A415" s="33">
        <v>45695.393589444444</v>
      </c>
      <c r="B415" s="4" t="s">
        <v>4776</v>
      </c>
      <c r="C415" s="5" t="s">
        <v>4881</v>
      </c>
      <c r="D415" s="4" t="s">
        <v>4735</v>
      </c>
      <c r="E415" s="4" t="s">
        <v>4882</v>
      </c>
    </row>
    <row r="416">
      <c r="A416" s="33">
        <v>45695.39359238426</v>
      </c>
      <c r="B416" s="4" t="s">
        <v>4779</v>
      </c>
      <c r="C416" s="4" t="s">
        <v>4780</v>
      </c>
      <c r="D416" s="4" t="s">
        <v>4781</v>
      </c>
      <c r="E416" s="4" t="s">
        <v>4737</v>
      </c>
    </row>
    <row r="417">
      <c r="A417" s="33">
        <v>45695.39359501157</v>
      </c>
      <c r="B417" s="4" t="s">
        <v>4782</v>
      </c>
      <c r="C417" s="4" t="s">
        <v>4780</v>
      </c>
      <c r="D417" s="4" t="s">
        <v>4781</v>
      </c>
      <c r="E417" s="4" t="s">
        <v>4737</v>
      </c>
    </row>
    <row r="418">
      <c r="A418" s="33">
        <v>45695.393598842595</v>
      </c>
      <c r="B418" s="4" t="s">
        <v>4783</v>
      </c>
      <c r="C418" s="4" t="s">
        <v>4780</v>
      </c>
      <c r="D418" s="4" t="s">
        <v>4781</v>
      </c>
      <c r="E418" s="4" t="s">
        <v>4737</v>
      </c>
    </row>
    <row r="419">
      <c r="A419" s="33">
        <v>45695.39366678241</v>
      </c>
      <c r="B419" s="4" t="s">
        <v>4742</v>
      </c>
      <c r="C419" s="4" t="s">
        <v>4883</v>
      </c>
      <c r="D419" s="4" t="s">
        <v>4735</v>
      </c>
      <c r="E419" s="4" t="s">
        <v>4806</v>
      </c>
    </row>
    <row r="420">
      <c r="A420" s="33">
        <v>45695.39637307871</v>
      </c>
      <c r="B420" s="4" t="s">
        <v>4801</v>
      </c>
      <c r="C420" s="4" t="s">
        <v>4884</v>
      </c>
      <c r="D420" s="4" t="s">
        <v>4803</v>
      </c>
      <c r="E420" s="4" t="s">
        <v>4737</v>
      </c>
    </row>
    <row r="421">
      <c r="A421" s="33">
        <v>45695.39653195602</v>
      </c>
      <c r="B421" s="4" t="s">
        <v>4776</v>
      </c>
      <c r="C421" s="5" t="s">
        <v>4885</v>
      </c>
      <c r="D421" s="4" t="s">
        <v>4735</v>
      </c>
      <c r="E421" s="4" t="s">
        <v>4886</v>
      </c>
    </row>
    <row r="422">
      <c r="A422" s="33">
        <v>45695.39653604166</v>
      </c>
      <c r="B422" s="4" t="s">
        <v>4779</v>
      </c>
      <c r="C422" s="4" t="s">
        <v>4780</v>
      </c>
      <c r="D422" s="4" t="s">
        <v>4781</v>
      </c>
      <c r="E422" s="4" t="s">
        <v>4737</v>
      </c>
    </row>
    <row r="423">
      <c r="A423" s="33">
        <v>45695.39653921296</v>
      </c>
      <c r="B423" s="4" t="s">
        <v>4782</v>
      </c>
      <c r="C423" s="4" t="s">
        <v>4780</v>
      </c>
      <c r="D423" s="4" t="s">
        <v>4781</v>
      </c>
      <c r="E423" s="4" t="s">
        <v>4737</v>
      </c>
    </row>
    <row r="424">
      <c r="A424" s="33">
        <v>45695.39654243056</v>
      </c>
      <c r="B424" s="4" t="s">
        <v>4783</v>
      </c>
      <c r="C424" s="4" t="s">
        <v>4780</v>
      </c>
      <c r="D424" s="4" t="s">
        <v>4781</v>
      </c>
      <c r="E424" s="4" t="s">
        <v>4737</v>
      </c>
    </row>
    <row r="425">
      <c r="A425" s="33">
        <v>45695.39661239584</v>
      </c>
      <c r="B425" s="4" t="s">
        <v>4742</v>
      </c>
      <c r="C425" s="4" t="s">
        <v>4887</v>
      </c>
      <c r="D425" s="4" t="s">
        <v>4735</v>
      </c>
      <c r="E425" s="4" t="s">
        <v>4806</v>
      </c>
    </row>
    <row r="426">
      <c r="A426" s="33">
        <v>45695.40379998843</v>
      </c>
      <c r="B426" s="4" t="s">
        <v>4801</v>
      </c>
      <c r="C426" s="4" t="s">
        <v>4888</v>
      </c>
      <c r="D426" s="4" t="s">
        <v>4803</v>
      </c>
      <c r="E426" s="4" t="s">
        <v>4737</v>
      </c>
    </row>
    <row r="427">
      <c r="A427" s="33">
        <v>45695.40395054399</v>
      </c>
      <c r="B427" s="4" t="s">
        <v>4776</v>
      </c>
      <c r="C427" s="5" t="s">
        <v>4889</v>
      </c>
      <c r="D427" s="4" t="s">
        <v>4735</v>
      </c>
      <c r="E427" s="4" t="s">
        <v>4890</v>
      </c>
    </row>
    <row r="428">
      <c r="A428" s="33">
        <v>45695.403953333334</v>
      </c>
      <c r="B428" s="4" t="s">
        <v>4779</v>
      </c>
      <c r="C428" s="4" t="s">
        <v>4780</v>
      </c>
      <c r="D428" s="4" t="s">
        <v>4781</v>
      </c>
      <c r="E428" s="4" t="s">
        <v>4737</v>
      </c>
    </row>
    <row r="429">
      <c r="A429" s="33">
        <v>45695.40395576389</v>
      </c>
      <c r="B429" s="4" t="s">
        <v>4782</v>
      </c>
      <c r="C429" s="4" t="s">
        <v>4780</v>
      </c>
      <c r="D429" s="4" t="s">
        <v>4781</v>
      </c>
      <c r="E429" s="4" t="s">
        <v>4737</v>
      </c>
    </row>
    <row r="430">
      <c r="A430" s="33">
        <v>45695.40395854166</v>
      </c>
      <c r="B430" s="4" t="s">
        <v>4783</v>
      </c>
      <c r="C430" s="4" t="s">
        <v>4780</v>
      </c>
      <c r="D430" s="4" t="s">
        <v>4781</v>
      </c>
      <c r="E430" s="4" t="s">
        <v>4737</v>
      </c>
    </row>
    <row r="431">
      <c r="A431" s="33">
        <v>45695.40402621528</v>
      </c>
      <c r="B431" s="4" t="s">
        <v>4742</v>
      </c>
      <c r="C431" s="4" t="s">
        <v>4891</v>
      </c>
      <c r="D431" s="4" t="s">
        <v>4735</v>
      </c>
      <c r="E431" s="4" t="s">
        <v>4806</v>
      </c>
    </row>
    <row r="432">
      <c r="A432" s="33">
        <v>45698.375067800924</v>
      </c>
      <c r="B432" s="4" t="s">
        <v>4801</v>
      </c>
      <c r="C432" s="4" t="s">
        <v>4841</v>
      </c>
      <c r="D432" s="4" t="s">
        <v>4803</v>
      </c>
      <c r="E432" s="4" t="s">
        <v>4737</v>
      </c>
    </row>
    <row r="433">
      <c r="A433" s="33">
        <v>45698.37522342593</v>
      </c>
      <c r="B433" s="4" t="s">
        <v>4776</v>
      </c>
      <c r="C433" s="5" t="s">
        <v>4795</v>
      </c>
      <c r="D433" s="4" t="s">
        <v>4735</v>
      </c>
      <c r="E433" s="4" t="s">
        <v>4842</v>
      </c>
    </row>
    <row r="434">
      <c r="A434" s="33">
        <v>45698.37522608796</v>
      </c>
      <c r="B434" s="4" t="s">
        <v>4779</v>
      </c>
      <c r="C434" s="4" t="s">
        <v>4780</v>
      </c>
      <c r="D434" s="4" t="s">
        <v>4781</v>
      </c>
      <c r="E434" s="4" t="s">
        <v>4737</v>
      </c>
    </row>
    <row r="435">
      <c r="A435" s="33">
        <v>45698.37522872685</v>
      </c>
      <c r="B435" s="4" t="s">
        <v>4782</v>
      </c>
      <c r="C435" s="4" t="s">
        <v>4780</v>
      </c>
      <c r="D435" s="4" t="s">
        <v>4781</v>
      </c>
      <c r="E435" s="4" t="s">
        <v>4737</v>
      </c>
    </row>
    <row r="436">
      <c r="A436" s="33">
        <v>45698.37523642361</v>
      </c>
      <c r="B436" s="4" t="s">
        <v>4783</v>
      </c>
      <c r="C436" s="4" t="s">
        <v>4780</v>
      </c>
      <c r="D436" s="4" t="s">
        <v>4781</v>
      </c>
      <c r="E436" s="4" t="s">
        <v>4737</v>
      </c>
    </row>
    <row r="437">
      <c r="A437" s="33">
        <v>45698.37531202546</v>
      </c>
      <c r="B437" s="4" t="s">
        <v>4742</v>
      </c>
      <c r="C437" s="4" t="s">
        <v>4843</v>
      </c>
      <c r="D437" s="4" t="s">
        <v>4735</v>
      </c>
      <c r="E437" s="4" t="s">
        <v>4806</v>
      </c>
    </row>
    <row r="438">
      <c r="A438" s="33">
        <v>45699.38925385417</v>
      </c>
      <c r="B438" s="4" t="s">
        <v>4801</v>
      </c>
      <c r="C438" s="4" t="s">
        <v>4892</v>
      </c>
      <c r="D438" s="4" t="s">
        <v>4803</v>
      </c>
      <c r="E438" s="4" t="s">
        <v>4737</v>
      </c>
    </row>
    <row r="439">
      <c r="A439" s="33">
        <v>45699.389409780095</v>
      </c>
      <c r="B439" s="4" t="s">
        <v>4776</v>
      </c>
      <c r="C439" s="5" t="s">
        <v>4893</v>
      </c>
      <c r="D439" s="4" t="s">
        <v>4735</v>
      </c>
      <c r="E439" s="4" t="s">
        <v>4894</v>
      </c>
    </row>
    <row r="440">
      <c r="A440" s="33">
        <v>45699.3894119676</v>
      </c>
      <c r="B440" s="4" t="s">
        <v>4779</v>
      </c>
      <c r="C440" s="4" t="s">
        <v>4780</v>
      </c>
      <c r="D440" s="4" t="s">
        <v>4781</v>
      </c>
      <c r="E440" s="4" t="s">
        <v>4737</v>
      </c>
    </row>
    <row r="441">
      <c r="A441" s="33">
        <v>45699.389414317135</v>
      </c>
      <c r="B441" s="4" t="s">
        <v>4782</v>
      </c>
      <c r="C441" s="4" t="s">
        <v>4780</v>
      </c>
      <c r="D441" s="4" t="s">
        <v>4781</v>
      </c>
      <c r="E441" s="4" t="s">
        <v>4737</v>
      </c>
    </row>
    <row r="442">
      <c r="A442" s="33">
        <v>45699.389416157406</v>
      </c>
      <c r="B442" s="4" t="s">
        <v>4783</v>
      </c>
      <c r="C442" s="4" t="s">
        <v>4780</v>
      </c>
      <c r="D442" s="4" t="s">
        <v>4781</v>
      </c>
      <c r="E442" s="4" t="s">
        <v>4737</v>
      </c>
    </row>
    <row r="443">
      <c r="A443" s="33">
        <v>45699.38948408565</v>
      </c>
      <c r="B443" s="4" t="s">
        <v>4742</v>
      </c>
      <c r="C443" s="4" t="s">
        <v>4895</v>
      </c>
      <c r="D443" s="4" t="s">
        <v>4735</v>
      </c>
      <c r="E443" s="4" t="s">
        <v>4806</v>
      </c>
    </row>
    <row r="444">
      <c r="A444" s="33">
        <v>45699.66708155093</v>
      </c>
      <c r="B444" s="4" t="s">
        <v>4801</v>
      </c>
      <c r="C444" s="4" t="s">
        <v>4896</v>
      </c>
      <c r="D444" s="4" t="s">
        <v>4803</v>
      </c>
      <c r="E444" s="4" t="s">
        <v>4737</v>
      </c>
    </row>
    <row r="445">
      <c r="A445" s="33">
        <v>45699.66710042824</v>
      </c>
      <c r="B445" s="4" t="s">
        <v>4776</v>
      </c>
      <c r="C445" s="4" t="s">
        <v>4777</v>
      </c>
      <c r="D445" s="4" t="s">
        <v>4778</v>
      </c>
      <c r="E445" s="4" t="s">
        <v>4897</v>
      </c>
    </row>
    <row r="446">
      <c r="A446" s="33">
        <v>45699.66710319444</v>
      </c>
      <c r="B446" s="4" t="s">
        <v>4779</v>
      </c>
      <c r="C446" s="4" t="s">
        <v>4780</v>
      </c>
      <c r="D446" s="4" t="s">
        <v>4781</v>
      </c>
      <c r="E446" s="4" t="s">
        <v>4737</v>
      </c>
    </row>
    <row r="447">
      <c r="A447" s="33">
        <v>45699.66710665509</v>
      </c>
      <c r="B447" s="4" t="s">
        <v>4782</v>
      </c>
      <c r="C447" s="4" t="s">
        <v>4780</v>
      </c>
      <c r="D447" s="4" t="s">
        <v>4781</v>
      </c>
      <c r="E447" s="4" t="s">
        <v>4737</v>
      </c>
    </row>
    <row r="448">
      <c r="A448" s="33">
        <v>45699.66710921296</v>
      </c>
      <c r="B448" s="4" t="s">
        <v>4783</v>
      </c>
      <c r="C448" s="4" t="s">
        <v>4780</v>
      </c>
      <c r="D448" s="4" t="s">
        <v>4781</v>
      </c>
      <c r="E448" s="4" t="s">
        <v>4737</v>
      </c>
    </row>
    <row r="449">
      <c r="A449" s="33">
        <v>45699.66718127315</v>
      </c>
      <c r="B449" s="4" t="s">
        <v>4742</v>
      </c>
      <c r="C449" s="4" t="s">
        <v>4898</v>
      </c>
      <c r="D449" s="4" t="s">
        <v>4735</v>
      </c>
      <c r="E449" s="4" t="s">
        <v>4806</v>
      </c>
    </row>
    <row r="450">
      <c r="A450" s="33">
        <v>45701.375055798606</v>
      </c>
      <c r="B450" s="4" t="s">
        <v>4801</v>
      </c>
      <c r="C450" s="4" t="s">
        <v>4854</v>
      </c>
      <c r="D450" s="4" t="s">
        <v>4803</v>
      </c>
      <c r="E450" s="4" t="s">
        <v>4737</v>
      </c>
    </row>
    <row r="451">
      <c r="A451" s="33">
        <v>45701.375205648146</v>
      </c>
      <c r="B451" s="4" t="s">
        <v>4776</v>
      </c>
      <c r="C451" s="5" t="s">
        <v>4845</v>
      </c>
      <c r="D451" s="4" t="s">
        <v>4735</v>
      </c>
      <c r="E451" s="4" t="s">
        <v>4846</v>
      </c>
    </row>
    <row r="452">
      <c r="A452" s="33">
        <v>45701.37520776621</v>
      </c>
      <c r="B452" s="4" t="s">
        <v>4779</v>
      </c>
      <c r="C452" s="4" t="s">
        <v>4780</v>
      </c>
      <c r="D452" s="4" t="s">
        <v>4781</v>
      </c>
      <c r="E452" s="4" t="s">
        <v>4737</v>
      </c>
    </row>
    <row r="453">
      <c r="A453" s="33">
        <v>45701.375209756945</v>
      </c>
      <c r="B453" s="4" t="s">
        <v>4782</v>
      </c>
      <c r="C453" s="4" t="s">
        <v>4780</v>
      </c>
      <c r="D453" s="4" t="s">
        <v>4781</v>
      </c>
      <c r="E453" s="4" t="s">
        <v>4737</v>
      </c>
    </row>
    <row r="454">
      <c r="A454" s="33">
        <v>45701.37521168981</v>
      </c>
      <c r="B454" s="4" t="s">
        <v>4783</v>
      </c>
      <c r="C454" s="4" t="s">
        <v>4780</v>
      </c>
      <c r="D454" s="4" t="s">
        <v>4781</v>
      </c>
      <c r="E454" s="4" t="s">
        <v>4737</v>
      </c>
    </row>
    <row r="455">
      <c r="A455" s="33">
        <v>45701.37527895834</v>
      </c>
      <c r="B455" s="4" t="s">
        <v>4742</v>
      </c>
      <c r="C455" s="4" t="s">
        <v>4855</v>
      </c>
      <c r="D455" s="4" t="s">
        <v>4735</v>
      </c>
      <c r="E455" s="4" t="s">
        <v>4806</v>
      </c>
    </row>
    <row r="456">
      <c r="A456" s="33">
        <v>45705.375136331015</v>
      </c>
      <c r="B456" s="4" t="s">
        <v>4801</v>
      </c>
      <c r="C456" s="4" t="s">
        <v>4899</v>
      </c>
      <c r="D456" s="4" t="s">
        <v>4803</v>
      </c>
      <c r="E456" s="4" t="s">
        <v>4737</v>
      </c>
    </row>
    <row r="457">
      <c r="A457" s="33">
        <v>45705.375287048606</v>
      </c>
      <c r="B457" s="4" t="s">
        <v>4776</v>
      </c>
      <c r="C457" s="5" t="s">
        <v>4877</v>
      </c>
      <c r="D457" s="4" t="s">
        <v>4735</v>
      </c>
      <c r="E457" s="4" t="s">
        <v>4878</v>
      </c>
    </row>
    <row r="458">
      <c r="A458" s="33">
        <v>45705.37528954861</v>
      </c>
      <c r="B458" s="4" t="s">
        <v>4779</v>
      </c>
      <c r="C458" s="4" t="s">
        <v>4780</v>
      </c>
      <c r="D458" s="4" t="s">
        <v>4781</v>
      </c>
      <c r="E458" s="4" t="s">
        <v>4737</v>
      </c>
    </row>
    <row r="459">
      <c r="A459" s="33">
        <v>45705.37529186343</v>
      </c>
      <c r="B459" s="4" t="s">
        <v>4782</v>
      </c>
      <c r="C459" s="4" t="s">
        <v>4780</v>
      </c>
      <c r="D459" s="4" t="s">
        <v>4781</v>
      </c>
      <c r="E459" s="4" t="s">
        <v>4737</v>
      </c>
    </row>
    <row r="460">
      <c r="A460" s="33">
        <v>45705.375294259255</v>
      </c>
      <c r="B460" s="4" t="s">
        <v>4783</v>
      </c>
      <c r="C460" s="4" t="s">
        <v>4780</v>
      </c>
      <c r="D460" s="4" t="s">
        <v>4781</v>
      </c>
      <c r="E460" s="4" t="s">
        <v>4737</v>
      </c>
    </row>
    <row r="461">
      <c r="A461" s="33">
        <v>45705.37536226852</v>
      </c>
      <c r="B461" s="4" t="s">
        <v>4742</v>
      </c>
      <c r="C461" s="4" t="s">
        <v>4900</v>
      </c>
      <c r="D461" s="4" t="s">
        <v>4735</v>
      </c>
      <c r="E461" s="4" t="s">
        <v>4806</v>
      </c>
    </row>
    <row r="462">
      <c r="A462" s="33">
        <v>45705.375377881945</v>
      </c>
      <c r="B462" s="4" t="s">
        <v>4801</v>
      </c>
      <c r="C462" s="4" t="s">
        <v>4901</v>
      </c>
      <c r="D462" s="4" t="s">
        <v>4803</v>
      </c>
      <c r="E462" s="4" t="s">
        <v>4737</v>
      </c>
    </row>
    <row r="463">
      <c r="A463" s="33">
        <v>45705.375560138884</v>
      </c>
      <c r="B463" s="4" t="s">
        <v>4776</v>
      </c>
      <c r="C463" s="5" t="s">
        <v>4881</v>
      </c>
      <c r="D463" s="4" t="s">
        <v>4735</v>
      </c>
      <c r="E463" s="4" t="s">
        <v>4882</v>
      </c>
    </row>
    <row r="464">
      <c r="A464" s="33">
        <v>45705.37556248842</v>
      </c>
      <c r="B464" s="4" t="s">
        <v>4779</v>
      </c>
      <c r="C464" s="4" t="s">
        <v>4780</v>
      </c>
      <c r="D464" s="4" t="s">
        <v>4781</v>
      </c>
      <c r="E464" s="4" t="s">
        <v>4737</v>
      </c>
    </row>
    <row r="465">
      <c r="A465" s="33">
        <v>45705.37556487268</v>
      </c>
      <c r="B465" s="4" t="s">
        <v>4782</v>
      </c>
      <c r="C465" s="4" t="s">
        <v>4780</v>
      </c>
      <c r="D465" s="4" t="s">
        <v>4781</v>
      </c>
      <c r="E465" s="4" t="s">
        <v>4737</v>
      </c>
    </row>
    <row r="466">
      <c r="A466" s="33">
        <v>45705.375567118055</v>
      </c>
      <c r="B466" s="4" t="s">
        <v>4783</v>
      </c>
      <c r="C466" s="4" t="s">
        <v>4780</v>
      </c>
      <c r="D466" s="4" t="s">
        <v>4781</v>
      </c>
      <c r="E466" s="4" t="s">
        <v>4737</v>
      </c>
    </row>
    <row r="467">
      <c r="A467" s="33">
        <v>45705.375634675926</v>
      </c>
      <c r="B467" s="4" t="s">
        <v>4742</v>
      </c>
      <c r="C467" s="4" t="s">
        <v>4902</v>
      </c>
      <c r="D467" s="4" t="s">
        <v>4735</v>
      </c>
      <c r="E467" s="4" t="s">
        <v>4806</v>
      </c>
    </row>
    <row r="468">
      <c r="A468" s="33">
        <v>45706.37513645833</v>
      </c>
      <c r="B468" s="4" t="s">
        <v>4801</v>
      </c>
      <c r="C468" s="4" t="s">
        <v>4841</v>
      </c>
      <c r="D468" s="4" t="s">
        <v>4803</v>
      </c>
      <c r="E468" s="4" t="s">
        <v>4737</v>
      </c>
    </row>
    <row r="469">
      <c r="A469" s="33">
        <v>45706.37530396991</v>
      </c>
      <c r="B469" s="4" t="s">
        <v>4776</v>
      </c>
      <c r="C469" s="5" t="s">
        <v>4795</v>
      </c>
      <c r="D469" s="4" t="s">
        <v>4735</v>
      </c>
      <c r="E469" s="4" t="s">
        <v>4842</v>
      </c>
    </row>
    <row r="470">
      <c r="A470" s="33">
        <v>45706.37530804398</v>
      </c>
      <c r="B470" s="4" t="s">
        <v>4779</v>
      </c>
      <c r="C470" s="4" t="s">
        <v>4780</v>
      </c>
      <c r="D470" s="4" t="s">
        <v>4781</v>
      </c>
      <c r="E470" s="4" t="s">
        <v>4737</v>
      </c>
    </row>
    <row r="471">
      <c r="A471" s="33">
        <v>45706.375311435186</v>
      </c>
      <c r="B471" s="4" t="s">
        <v>4782</v>
      </c>
      <c r="C471" s="4" t="s">
        <v>4780</v>
      </c>
      <c r="D471" s="4" t="s">
        <v>4781</v>
      </c>
      <c r="E471" s="4" t="s">
        <v>4737</v>
      </c>
    </row>
    <row r="472">
      <c r="A472" s="33">
        <v>45706.37531459491</v>
      </c>
      <c r="B472" s="4" t="s">
        <v>4783</v>
      </c>
      <c r="C472" s="4" t="s">
        <v>4780</v>
      </c>
      <c r="D472" s="4" t="s">
        <v>4781</v>
      </c>
      <c r="E472" s="4" t="s">
        <v>4737</v>
      </c>
    </row>
    <row r="473">
      <c r="A473" s="33">
        <v>45706.37538331018</v>
      </c>
      <c r="B473" s="4" t="s">
        <v>4742</v>
      </c>
      <c r="C473" s="4" t="s">
        <v>4843</v>
      </c>
      <c r="D473" s="4" t="s">
        <v>4735</v>
      </c>
      <c r="E473" s="4" t="s">
        <v>4806</v>
      </c>
    </row>
    <row r="474">
      <c r="A474" s="33">
        <v>45706.3754246875</v>
      </c>
      <c r="B474" s="4" t="s">
        <v>4801</v>
      </c>
      <c r="C474" s="4" t="s">
        <v>4903</v>
      </c>
      <c r="D474" s="4" t="s">
        <v>4803</v>
      </c>
      <c r="E474" s="4" t="s">
        <v>4737</v>
      </c>
    </row>
    <row r="475">
      <c r="A475" s="33">
        <v>45706.37558269676</v>
      </c>
      <c r="B475" s="4" t="s">
        <v>4776</v>
      </c>
      <c r="C475" s="5" t="s">
        <v>4885</v>
      </c>
      <c r="D475" s="4" t="s">
        <v>4735</v>
      </c>
      <c r="E475" s="4" t="s">
        <v>4886</v>
      </c>
    </row>
    <row r="476">
      <c r="A476" s="33">
        <v>45706.37558515047</v>
      </c>
      <c r="B476" s="4" t="s">
        <v>4779</v>
      </c>
      <c r="C476" s="4" t="s">
        <v>4780</v>
      </c>
      <c r="D476" s="4" t="s">
        <v>4781</v>
      </c>
      <c r="E476" s="4" t="s">
        <v>4737</v>
      </c>
    </row>
    <row r="477">
      <c r="A477" s="33">
        <v>45706.37558753473</v>
      </c>
      <c r="B477" s="4" t="s">
        <v>4782</v>
      </c>
      <c r="C477" s="4" t="s">
        <v>4780</v>
      </c>
      <c r="D477" s="4" t="s">
        <v>4781</v>
      </c>
      <c r="E477" s="4" t="s">
        <v>4737</v>
      </c>
    </row>
    <row r="478">
      <c r="A478" s="33">
        <v>45706.37559001158</v>
      </c>
      <c r="B478" s="4" t="s">
        <v>4783</v>
      </c>
      <c r="C478" s="4" t="s">
        <v>4780</v>
      </c>
      <c r="D478" s="4" t="s">
        <v>4781</v>
      </c>
      <c r="E478" s="4" t="s">
        <v>4737</v>
      </c>
    </row>
    <row r="479">
      <c r="A479" s="33">
        <v>45706.37565743056</v>
      </c>
      <c r="B479" s="4" t="s">
        <v>4742</v>
      </c>
      <c r="C479" s="4" t="s">
        <v>4904</v>
      </c>
      <c r="D479" s="4" t="s">
        <v>4735</v>
      </c>
      <c r="E479" s="4" t="s">
        <v>4806</v>
      </c>
    </row>
    <row r="480">
      <c r="A480" s="33">
        <v>45709.38879179399</v>
      </c>
      <c r="B480" s="4" t="s">
        <v>4801</v>
      </c>
      <c r="C480" s="4" t="s">
        <v>4905</v>
      </c>
      <c r="D480" s="4" t="s">
        <v>4803</v>
      </c>
      <c r="E480" s="4" t="s">
        <v>4737</v>
      </c>
    </row>
    <row r="481">
      <c r="A481" s="33">
        <v>45709.388949050925</v>
      </c>
      <c r="B481" s="4" t="s">
        <v>4776</v>
      </c>
      <c r="C481" s="5" t="s">
        <v>4906</v>
      </c>
      <c r="D481" s="4" t="s">
        <v>4735</v>
      </c>
      <c r="E481" s="4" t="s">
        <v>4907</v>
      </c>
    </row>
    <row r="482">
      <c r="A482" s="33">
        <v>45709.38895128472</v>
      </c>
      <c r="B482" s="4" t="s">
        <v>4779</v>
      </c>
      <c r="C482" s="4" t="s">
        <v>4780</v>
      </c>
      <c r="D482" s="4" t="s">
        <v>4781</v>
      </c>
      <c r="E482" s="4" t="s">
        <v>4737</v>
      </c>
    </row>
    <row r="483">
      <c r="A483" s="33">
        <v>45709.38895313657</v>
      </c>
      <c r="B483" s="4" t="s">
        <v>4782</v>
      </c>
      <c r="C483" s="4" t="s">
        <v>4780</v>
      </c>
      <c r="D483" s="4" t="s">
        <v>4781</v>
      </c>
      <c r="E483" s="4" t="s">
        <v>4737</v>
      </c>
    </row>
    <row r="484">
      <c r="A484" s="33">
        <v>45709.38895649306</v>
      </c>
      <c r="B484" s="4" t="s">
        <v>4783</v>
      </c>
      <c r="C484" s="4" t="s">
        <v>4780</v>
      </c>
      <c r="D484" s="4" t="s">
        <v>4781</v>
      </c>
      <c r="E484" s="4" t="s">
        <v>4737</v>
      </c>
    </row>
    <row r="485">
      <c r="A485" s="33">
        <v>45709.38902372685</v>
      </c>
      <c r="B485" s="4" t="s">
        <v>4742</v>
      </c>
      <c r="C485" s="4" t="s">
        <v>4908</v>
      </c>
      <c r="D485" s="4" t="s">
        <v>4735</v>
      </c>
      <c r="E485" s="4" t="s">
        <v>4806</v>
      </c>
    </row>
    <row r="486">
      <c r="A486" s="33">
        <v>45714.37512577546</v>
      </c>
      <c r="B486" s="4" t="s">
        <v>4801</v>
      </c>
      <c r="C486" s="4" t="s">
        <v>4841</v>
      </c>
      <c r="D486" s="4" t="s">
        <v>4803</v>
      </c>
      <c r="E486" s="4" t="s">
        <v>4737</v>
      </c>
    </row>
    <row r="487">
      <c r="A487" s="33">
        <v>45714.375275300925</v>
      </c>
      <c r="B487" s="4" t="s">
        <v>4776</v>
      </c>
      <c r="C487" s="5" t="s">
        <v>4795</v>
      </c>
      <c r="D487" s="4" t="s">
        <v>4735</v>
      </c>
      <c r="E487" s="4" t="s">
        <v>4842</v>
      </c>
    </row>
    <row r="488">
      <c r="A488" s="33">
        <v>45714.37527842593</v>
      </c>
      <c r="B488" s="4" t="s">
        <v>4779</v>
      </c>
      <c r="C488" s="4" t="s">
        <v>4780</v>
      </c>
      <c r="D488" s="4" t="s">
        <v>4781</v>
      </c>
      <c r="E488" s="4" t="s">
        <v>4737</v>
      </c>
    </row>
    <row r="489">
      <c r="A489" s="33">
        <v>45714.37528112269</v>
      </c>
      <c r="B489" s="4" t="s">
        <v>4782</v>
      </c>
      <c r="C489" s="4" t="s">
        <v>4780</v>
      </c>
      <c r="D489" s="4" t="s">
        <v>4781</v>
      </c>
      <c r="E489" s="4" t="s">
        <v>4737</v>
      </c>
    </row>
    <row r="490">
      <c r="A490" s="33">
        <v>45714.375283692134</v>
      </c>
      <c r="B490" s="4" t="s">
        <v>4783</v>
      </c>
      <c r="C490" s="4" t="s">
        <v>4780</v>
      </c>
      <c r="D490" s="4" t="s">
        <v>4781</v>
      </c>
      <c r="E490" s="4" t="s">
        <v>4737</v>
      </c>
    </row>
    <row r="491">
      <c r="A491" s="33">
        <v>45714.37535613426</v>
      </c>
      <c r="B491" s="4" t="s">
        <v>4742</v>
      </c>
      <c r="C491" s="4" t="s">
        <v>4843</v>
      </c>
      <c r="D491" s="4" t="s">
        <v>4735</v>
      </c>
      <c r="E491" s="4" t="s">
        <v>4806</v>
      </c>
    </row>
    <row r="492">
      <c r="A492" s="33">
        <v>45715.42674887732</v>
      </c>
      <c r="B492" s="4" t="s">
        <v>4801</v>
      </c>
      <c r="C492" s="4" t="s">
        <v>4909</v>
      </c>
      <c r="D492" s="4" t="s">
        <v>4803</v>
      </c>
      <c r="E492" s="4" t="s">
        <v>4737</v>
      </c>
    </row>
    <row r="493">
      <c r="A493" s="33">
        <v>45715.426906967594</v>
      </c>
      <c r="B493" s="4" t="s">
        <v>4776</v>
      </c>
      <c r="C493" s="5" t="s">
        <v>4910</v>
      </c>
      <c r="D493" s="4" t="s">
        <v>4735</v>
      </c>
      <c r="E493" s="4" t="s">
        <v>4911</v>
      </c>
    </row>
    <row r="494">
      <c r="A494" s="33">
        <v>45715.42691243056</v>
      </c>
      <c r="B494" s="4" t="s">
        <v>4779</v>
      </c>
      <c r="C494" s="4" t="s">
        <v>4780</v>
      </c>
      <c r="D494" s="4" t="s">
        <v>4781</v>
      </c>
      <c r="E494" s="4" t="s">
        <v>4737</v>
      </c>
    </row>
    <row r="495">
      <c r="A495" s="33">
        <v>45715.42691403935</v>
      </c>
      <c r="B495" s="4" t="s">
        <v>4782</v>
      </c>
      <c r="C495" s="4" t="s">
        <v>4780</v>
      </c>
      <c r="D495" s="4" t="s">
        <v>4781</v>
      </c>
      <c r="E495" s="4" t="s">
        <v>4737</v>
      </c>
    </row>
    <row r="496">
      <c r="A496" s="33">
        <v>45715.4269165625</v>
      </c>
      <c r="B496" s="4" t="s">
        <v>4783</v>
      </c>
      <c r="C496" s="4" t="s">
        <v>4780</v>
      </c>
      <c r="D496" s="4" t="s">
        <v>4781</v>
      </c>
      <c r="E496" s="4" t="s">
        <v>4737</v>
      </c>
    </row>
    <row r="497">
      <c r="A497" s="33">
        <v>45715.42698447917</v>
      </c>
      <c r="B497" s="4" t="s">
        <v>4742</v>
      </c>
      <c r="C497" s="4" t="s">
        <v>4912</v>
      </c>
      <c r="D497" s="4" t="s">
        <v>4735</v>
      </c>
      <c r="E497" s="4" t="s">
        <v>4806</v>
      </c>
    </row>
    <row r="498">
      <c r="A498" s="33">
        <v>45723.37514309028</v>
      </c>
      <c r="B498" s="4" t="s">
        <v>4801</v>
      </c>
      <c r="C498" s="4" t="s">
        <v>4841</v>
      </c>
      <c r="D498" s="4" t="s">
        <v>4803</v>
      </c>
      <c r="E498" s="4" t="s">
        <v>4737</v>
      </c>
    </row>
    <row r="499">
      <c r="A499" s="33">
        <v>45723.375547662035</v>
      </c>
      <c r="B499" s="4" t="s">
        <v>4776</v>
      </c>
      <c r="C499" s="5" t="s">
        <v>4795</v>
      </c>
      <c r="D499" s="4" t="s">
        <v>4735</v>
      </c>
      <c r="E499" s="4" t="s">
        <v>4842</v>
      </c>
    </row>
    <row r="500">
      <c r="A500" s="33">
        <v>45723.37555024306</v>
      </c>
      <c r="B500" s="4" t="s">
        <v>4779</v>
      </c>
      <c r="C500" s="4" t="s">
        <v>4780</v>
      </c>
      <c r="D500" s="4" t="s">
        <v>4781</v>
      </c>
      <c r="E500" s="4" t="s">
        <v>4737</v>
      </c>
    </row>
    <row r="501">
      <c r="A501" s="33">
        <v>45723.37555295139</v>
      </c>
      <c r="B501" s="4" t="s">
        <v>4782</v>
      </c>
      <c r="C501" s="4" t="s">
        <v>4780</v>
      </c>
      <c r="D501" s="4" t="s">
        <v>4781</v>
      </c>
      <c r="E501" s="4" t="s">
        <v>4737</v>
      </c>
    </row>
    <row r="502">
      <c r="A502" s="33">
        <v>45723.37555539352</v>
      </c>
      <c r="B502" s="4" t="s">
        <v>4783</v>
      </c>
      <c r="C502" s="4" t="s">
        <v>4780</v>
      </c>
      <c r="D502" s="4" t="s">
        <v>4781</v>
      </c>
      <c r="E502" s="4" t="s">
        <v>4737</v>
      </c>
    </row>
    <row r="503">
      <c r="A503" s="33">
        <v>45723.37562924769</v>
      </c>
      <c r="B503" s="4" t="s">
        <v>4742</v>
      </c>
      <c r="C503" s="4" t="s">
        <v>4843</v>
      </c>
      <c r="D503" s="4" t="s">
        <v>4735</v>
      </c>
      <c r="E503" s="4" t="s">
        <v>4806</v>
      </c>
    </row>
    <row r="504">
      <c r="A504" s="33">
        <v>45723.37568189815</v>
      </c>
      <c r="B504" s="4" t="s">
        <v>4801</v>
      </c>
      <c r="C504" s="4" t="s">
        <v>4913</v>
      </c>
      <c r="D504" s="4" t="s">
        <v>4803</v>
      </c>
      <c r="E504" s="4" t="s">
        <v>4737</v>
      </c>
    </row>
    <row r="505">
      <c r="A505" s="33">
        <v>45723.3758278125</v>
      </c>
      <c r="B505" s="4" t="s">
        <v>4776</v>
      </c>
      <c r="C505" s="5" t="s">
        <v>4906</v>
      </c>
      <c r="D505" s="4" t="s">
        <v>4735</v>
      </c>
      <c r="E505" s="4" t="s">
        <v>4907</v>
      </c>
    </row>
    <row r="506">
      <c r="A506" s="33">
        <v>45723.37583063658</v>
      </c>
      <c r="B506" s="4" t="s">
        <v>4779</v>
      </c>
      <c r="C506" s="4" t="s">
        <v>4780</v>
      </c>
      <c r="D506" s="4" t="s">
        <v>4781</v>
      </c>
      <c r="E506" s="4" t="s">
        <v>4737</v>
      </c>
    </row>
    <row r="507">
      <c r="A507" s="33">
        <v>45723.375833321756</v>
      </c>
      <c r="B507" s="4" t="s">
        <v>4782</v>
      </c>
      <c r="C507" s="4" t="s">
        <v>4780</v>
      </c>
      <c r="D507" s="4" t="s">
        <v>4781</v>
      </c>
      <c r="E507" s="4" t="s">
        <v>4737</v>
      </c>
    </row>
    <row r="508">
      <c r="A508" s="33">
        <v>45723.37583694444</v>
      </c>
      <c r="B508" s="4" t="s">
        <v>4783</v>
      </c>
      <c r="C508" s="4" t="s">
        <v>4780</v>
      </c>
      <c r="D508" s="4" t="s">
        <v>4781</v>
      </c>
      <c r="E508" s="4" t="s">
        <v>4737</v>
      </c>
    </row>
    <row r="509">
      <c r="A509" s="33">
        <v>45723.37590478009</v>
      </c>
      <c r="B509" s="4" t="s">
        <v>4742</v>
      </c>
      <c r="C509" s="4" t="s">
        <v>4914</v>
      </c>
      <c r="D509" s="4" t="s">
        <v>4735</v>
      </c>
      <c r="E509" s="4" t="s">
        <v>4806</v>
      </c>
    </row>
    <row r="510">
      <c r="A510" s="33">
        <v>45727.410794780095</v>
      </c>
      <c r="B510" s="4" t="s">
        <v>4801</v>
      </c>
      <c r="C510" s="4" t="s">
        <v>4915</v>
      </c>
      <c r="D510" s="4" t="s">
        <v>4803</v>
      </c>
      <c r="E510" s="4" t="s">
        <v>4737</v>
      </c>
    </row>
    <row r="511">
      <c r="A511" s="33">
        <v>45727.41094292824</v>
      </c>
      <c r="B511" s="4" t="s">
        <v>4776</v>
      </c>
      <c r="C511" s="5" t="s">
        <v>4916</v>
      </c>
      <c r="D511" s="4" t="s">
        <v>4735</v>
      </c>
      <c r="E511" s="4" t="s">
        <v>4917</v>
      </c>
    </row>
    <row r="512">
      <c r="A512" s="33">
        <v>45727.410948055556</v>
      </c>
      <c r="B512" s="4" t="s">
        <v>4779</v>
      </c>
      <c r="C512" s="4" t="s">
        <v>4780</v>
      </c>
      <c r="D512" s="4" t="s">
        <v>4781</v>
      </c>
      <c r="E512" s="4" t="s">
        <v>4737</v>
      </c>
    </row>
    <row r="513">
      <c r="A513" s="33">
        <v>45727.410950185185</v>
      </c>
      <c r="B513" s="4" t="s">
        <v>4782</v>
      </c>
      <c r="C513" s="4" t="s">
        <v>4780</v>
      </c>
      <c r="D513" s="4" t="s">
        <v>4781</v>
      </c>
      <c r="E513" s="4" t="s">
        <v>4737</v>
      </c>
    </row>
    <row r="514">
      <c r="A514" s="33">
        <v>45727.41095936343</v>
      </c>
      <c r="B514" s="4" t="s">
        <v>4783</v>
      </c>
      <c r="C514" s="4" t="s">
        <v>4780</v>
      </c>
      <c r="D514" s="4" t="s">
        <v>4781</v>
      </c>
      <c r="E514" s="4" t="s">
        <v>4737</v>
      </c>
    </row>
    <row r="515">
      <c r="A515" s="33">
        <v>45727.41102694444</v>
      </c>
      <c r="B515" s="4" t="s">
        <v>4742</v>
      </c>
      <c r="C515" s="4" t="s">
        <v>4918</v>
      </c>
      <c r="D515" s="4" t="s">
        <v>4735</v>
      </c>
      <c r="E515" s="4" t="s">
        <v>4806</v>
      </c>
    </row>
    <row r="516">
      <c r="A516" s="33">
        <v>45727.4166832176</v>
      </c>
      <c r="B516" s="4" t="s">
        <v>4801</v>
      </c>
      <c r="C516" s="4" t="s">
        <v>4919</v>
      </c>
      <c r="D516" s="4" t="s">
        <v>4803</v>
      </c>
      <c r="E516" s="4" t="s">
        <v>4737</v>
      </c>
    </row>
    <row r="517">
      <c r="A517" s="33">
        <v>45727.41673939815</v>
      </c>
      <c r="B517" s="4" t="s">
        <v>4801</v>
      </c>
      <c r="C517" s="4" t="s">
        <v>4919</v>
      </c>
      <c r="D517" s="4" t="s">
        <v>4803</v>
      </c>
      <c r="E517" s="4" t="s">
        <v>4737</v>
      </c>
    </row>
    <row r="518">
      <c r="A518" s="33">
        <v>45727.416755983795</v>
      </c>
      <c r="B518" s="4" t="s">
        <v>4776</v>
      </c>
      <c r="C518" s="4" t="s">
        <v>4777</v>
      </c>
      <c r="D518" s="4" t="s">
        <v>4778</v>
      </c>
      <c r="E518" s="4" t="s">
        <v>4920</v>
      </c>
    </row>
    <row r="519">
      <c r="A519" s="33">
        <v>45727.41675931713</v>
      </c>
      <c r="B519" s="4" t="s">
        <v>4779</v>
      </c>
      <c r="C519" s="4" t="s">
        <v>4780</v>
      </c>
      <c r="D519" s="4" t="s">
        <v>4781</v>
      </c>
      <c r="E519" s="4" t="s">
        <v>4737</v>
      </c>
    </row>
    <row r="520">
      <c r="A520" s="33">
        <v>45727.41676259259</v>
      </c>
      <c r="B520" s="4" t="s">
        <v>4782</v>
      </c>
      <c r="C520" s="4" t="s">
        <v>4780</v>
      </c>
      <c r="D520" s="4" t="s">
        <v>4781</v>
      </c>
      <c r="E520" s="4" t="s">
        <v>4737</v>
      </c>
    </row>
    <row r="521">
      <c r="A521" s="33">
        <v>45727.416765891205</v>
      </c>
      <c r="B521" s="4" t="s">
        <v>4783</v>
      </c>
      <c r="C521" s="4" t="s">
        <v>4780</v>
      </c>
      <c r="D521" s="4" t="s">
        <v>4781</v>
      </c>
      <c r="E521" s="4" t="s">
        <v>4737</v>
      </c>
    </row>
    <row r="522">
      <c r="A522" s="33">
        <v>45727.41683747685</v>
      </c>
      <c r="B522" s="4" t="s">
        <v>4742</v>
      </c>
      <c r="C522" s="4" t="s">
        <v>4921</v>
      </c>
      <c r="D522" s="4" t="s">
        <v>4735</v>
      </c>
      <c r="E522" s="4" t="s">
        <v>4806</v>
      </c>
    </row>
    <row r="523">
      <c r="A523" s="33">
        <v>45727.44018508102</v>
      </c>
      <c r="B523" s="4" t="s">
        <v>4801</v>
      </c>
      <c r="C523" s="4" t="s">
        <v>4922</v>
      </c>
      <c r="D523" s="4" t="s">
        <v>4803</v>
      </c>
      <c r="E523" s="4" t="s">
        <v>4737</v>
      </c>
    </row>
    <row r="524">
      <c r="A524" s="33">
        <v>45727.44036814815</v>
      </c>
      <c r="B524" s="4" t="s">
        <v>4776</v>
      </c>
      <c r="C524" s="5" t="s">
        <v>4923</v>
      </c>
      <c r="D524" s="4" t="s">
        <v>4735</v>
      </c>
      <c r="E524" s="4" t="s">
        <v>4924</v>
      </c>
    </row>
    <row r="525">
      <c r="A525" s="33">
        <v>45727.44037153936</v>
      </c>
      <c r="B525" s="4" t="s">
        <v>4779</v>
      </c>
      <c r="C525" s="4" t="s">
        <v>4780</v>
      </c>
      <c r="D525" s="4" t="s">
        <v>4781</v>
      </c>
      <c r="E525" s="4" t="s">
        <v>4737</v>
      </c>
    </row>
    <row r="526">
      <c r="A526" s="33">
        <v>45727.44037494213</v>
      </c>
      <c r="B526" s="4" t="s">
        <v>4782</v>
      </c>
      <c r="C526" s="4" t="s">
        <v>4780</v>
      </c>
      <c r="D526" s="4" t="s">
        <v>4781</v>
      </c>
      <c r="E526" s="4" t="s">
        <v>4737</v>
      </c>
    </row>
    <row r="527">
      <c r="A527" s="33">
        <v>45727.44037837963</v>
      </c>
      <c r="B527" s="4" t="s">
        <v>4783</v>
      </c>
      <c r="C527" s="4" t="s">
        <v>4780</v>
      </c>
      <c r="D527" s="4" t="s">
        <v>4781</v>
      </c>
      <c r="E527" s="4" t="s">
        <v>4737</v>
      </c>
    </row>
    <row r="528">
      <c r="A528" s="33">
        <v>45727.4404490625</v>
      </c>
      <c r="B528" s="4" t="s">
        <v>4742</v>
      </c>
      <c r="C528" s="4" t="s">
        <v>4925</v>
      </c>
      <c r="D528" s="4" t="s">
        <v>4735</v>
      </c>
      <c r="E528" s="4" t="s">
        <v>4806</v>
      </c>
    </row>
    <row r="529">
      <c r="A529" s="33">
        <v>45727.46491386574</v>
      </c>
      <c r="B529" s="4" t="s">
        <v>4801</v>
      </c>
      <c r="C529" s="4" t="s">
        <v>4926</v>
      </c>
      <c r="D529" s="4" t="s">
        <v>4803</v>
      </c>
      <c r="E529" s="4" t="s">
        <v>4737</v>
      </c>
    </row>
    <row r="530">
      <c r="A530" s="33">
        <v>45727.46509107639</v>
      </c>
      <c r="B530" s="4" t="s">
        <v>4776</v>
      </c>
      <c r="C530" s="5" t="s">
        <v>4927</v>
      </c>
      <c r="D530" s="4" t="s">
        <v>4735</v>
      </c>
      <c r="E530" s="4" t="s">
        <v>4928</v>
      </c>
    </row>
    <row r="531">
      <c r="A531" s="33">
        <v>45727.46509467592</v>
      </c>
      <c r="B531" s="4" t="s">
        <v>4779</v>
      </c>
      <c r="C531" s="4" t="s">
        <v>4780</v>
      </c>
      <c r="D531" s="4" t="s">
        <v>4781</v>
      </c>
      <c r="E531" s="4" t="s">
        <v>4737</v>
      </c>
    </row>
    <row r="532">
      <c r="A532" s="33">
        <v>45727.46509827547</v>
      </c>
      <c r="B532" s="4" t="s">
        <v>4782</v>
      </c>
      <c r="C532" s="4" t="s">
        <v>4780</v>
      </c>
      <c r="D532" s="4" t="s">
        <v>4781</v>
      </c>
      <c r="E532" s="4" t="s">
        <v>4737</v>
      </c>
    </row>
    <row r="533">
      <c r="A533" s="33">
        <v>45727.465102268514</v>
      </c>
      <c r="B533" s="4" t="s">
        <v>4783</v>
      </c>
      <c r="C533" s="4" t="s">
        <v>4780</v>
      </c>
      <c r="D533" s="4" t="s">
        <v>4781</v>
      </c>
      <c r="E533" s="4" t="s">
        <v>4737</v>
      </c>
    </row>
    <row r="534">
      <c r="A534" s="33">
        <v>45727.465173136574</v>
      </c>
      <c r="B534" s="4" t="s">
        <v>4742</v>
      </c>
      <c r="C534" s="4" t="s">
        <v>4929</v>
      </c>
      <c r="D534" s="4" t="s">
        <v>4735</v>
      </c>
      <c r="E534" s="4" t="s">
        <v>4806</v>
      </c>
    </row>
    <row r="535">
      <c r="A535" s="33">
        <v>45727.7582308912</v>
      </c>
      <c r="B535" s="4" t="s">
        <v>4801</v>
      </c>
      <c r="C535" s="4" t="s">
        <v>4930</v>
      </c>
      <c r="D535" s="4" t="s">
        <v>4803</v>
      </c>
      <c r="E535" s="4" t="s">
        <v>4737</v>
      </c>
    </row>
    <row r="536">
      <c r="A536" s="33">
        <v>45727.75838782407</v>
      </c>
      <c r="B536" s="4" t="s">
        <v>4776</v>
      </c>
      <c r="C536" s="5" t="s">
        <v>4931</v>
      </c>
      <c r="D536" s="4" t="s">
        <v>4735</v>
      </c>
      <c r="E536" s="4" t="s">
        <v>4932</v>
      </c>
    </row>
    <row r="537">
      <c r="A537" s="33">
        <v>45727.75839004629</v>
      </c>
      <c r="B537" s="4" t="s">
        <v>4779</v>
      </c>
      <c r="C537" s="4" t="s">
        <v>4780</v>
      </c>
      <c r="D537" s="4" t="s">
        <v>4781</v>
      </c>
      <c r="E537" s="4" t="s">
        <v>4737</v>
      </c>
    </row>
    <row r="538">
      <c r="A538" s="33">
        <v>45727.75839195602</v>
      </c>
      <c r="B538" s="4" t="s">
        <v>4782</v>
      </c>
      <c r="C538" s="4" t="s">
        <v>4780</v>
      </c>
      <c r="D538" s="4" t="s">
        <v>4781</v>
      </c>
      <c r="E538" s="4" t="s">
        <v>4737</v>
      </c>
    </row>
    <row r="539">
      <c r="A539" s="33">
        <v>45727.75839423611</v>
      </c>
      <c r="B539" s="4" t="s">
        <v>4783</v>
      </c>
      <c r="C539" s="4" t="s">
        <v>4780</v>
      </c>
      <c r="D539" s="4" t="s">
        <v>4781</v>
      </c>
      <c r="E539" s="4" t="s">
        <v>4737</v>
      </c>
    </row>
    <row r="540">
      <c r="A540" s="33">
        <v>45727.758461307865</v>
      </c>
      <c r="B540" s="4" t="s">
        <v>4742</v>
      </c>
      <c r="C540" s="4" t="s">
        <v>4933</v>
      </c>
      <c r="D540" s="4" t="s">
        <v>4735</v>
      </c>
      <c r="E540" s="4" t="s">
        <v>4806</v>
      </c>
    </row>
    <row r="541">
      <c r="A541" s="33">
        <v>45729.65605122685</v>
      </c>
      <c r="B541" s="4" t="s">
        <v>4801</v>
      </c>
      <c r="C541" s="4" t="s">
        <v>4934</v>
      </c>
      <c r="D541" s="4" t="s">
        <v>4803</v>
      </c>
      <c r="E541" s="4" t="s">
        <v>4737</v>
      </c>
    </row>
    <row r="542">
      <c r="A542" s="33">
        <v>45729.65620185185</v>
      </c>
      <c r="B542" s="4" t="s">
        <v>4776</v>
      </c>
      <c r="C542" s="5" t="s">
        <v>4935</v>
      </c>
      <c r="D542" s="4" t="s">
        <v>4735</v>
      </c>
      <c r="E542" s="4" t="s">
        <v>4936</v>
      </c>
    </row>
    <row r="543">
      <c r="A543" s="33">
        <v>45729.656204837964</v>
      </c>
      <c r="B543" s="4" t="s">
        <v>4779</v>
      </c>
      <c r="C543" s="4" t="s">
        <v>4780</v>
      </c>
      <c r="D543" s="4" t="s">
        <v>4781</v>
      </c>
      <c r="E543" s="4" t="s">
        <v>4737</v>
      </c>
    </row>
    <row r="544">
      <c r="A544" s="33">
        <v>45729.65620738426</v>
      </c>
      <c r="B544" s="4" t="s">
        <v>4782</v>
      </c>
      <c r="C544" s="4" t="s">
        <v>4780</v>
      </c>
      <c r="D544" s="4" t="s">
        <v>4781</v>
      </c>
      <c r="E544" s="4" t="s">
        <v>4737</v>
      </c>
    </row>
    <row r="545">
      <c r="A545" s="33">
        <v>45729.65621011574</v>
      </c>
      <c r="B545" s="4" t="s">
        <v>4783</v>
      </c>
      <c r="C545" s="4" t="s">
        <v>4780</v>
      </c>
      <c r="D545" s="4" t="s">
        <v>4781</v>
      </c>
      <c r="E545" s="4" t="s">
        <v>4737</v>
      </c>
    </row>
    <row r="546">
      <c r="A546" s="33">
        <v>45729.6562890162</v>
      </c>
      <c r="B546" s="4" t="s">
        <v>4742</v>
      </c>
      <c r="C546" s="4" t="s">
        <v>4937</v>
      </c>
      <c r="D546" s="4" t="s">
        <v>4735</v>
      </c>
      <c r="E546" s="4" t="s">
        <v>4806</v>
      </c>
    </row>
    <row r="547">
      <c r="A547" s="33">
        <v>45729.67301627315</v>
      </c>
      <c r="B547" s="4" t="s">
        <v>4801</v>
      </c>
      <c r="C547" s="4" t="s">
        <v>4938</v>
      </c>
      <c r="D547" s="4" t="s">
        <v>4803</v>
      </c>
      <c r="E547" s="4" t="s">
        <v>4737</v>
      </c>
    </row>
    <row r="548">
      <c r="A548" s="33">
        <v>45729.673185555555</v>
      </c>
      <c r="B548" s="4" t="s">
        <v>4776</v>
      </c>
      <c r="C548" s="5" t="s">
        <v>4939</v>
      </c>
      <c r="D548" s="4" t="s">
        <v>4735</v>
      </c>
      <c r="E548" s="4" t="s">
        <v>4940</v>
      </c>
    </row>
    <row r="549">
      <c r="A549" s="33">
        <v>45729.67332239583</v>
      </c>
      <c r="B549" s="4" t="s">
        <v>4779</v>
      </c>
      <c r="C549" s="5" t="s">
        <v>4941</v>
      </c>
      <c r="D549" s="4" t="s">
        <v>4735</v>
      </c>
      <c r="E549" s="4" t="s">
        <v>4942</v>
      </c>
    </row>
    <row r="550">
      <c r="A550" s="33">
        <v>45729.67345087963</v>
      </c>
      <c r="B550" s="4" t="s">
        <v>4782</v>
      </c>
      <c r="C550" s="5" t="s">
        <v>4943</v>
      </c>
      <c r="D550" s="4" t="s">
        <v>4735</v>
      </c>
      <c r="E550" s="4" t="s">
        <v>4944</v>
      </c>
    </row>
    <row r="551">
      <c r="A551" s="33">
        <v>45729.67345460648</v>
      </c>
      <c r="B551" s="4" t="s">
        <v>4783</v>
      </c>
      <c r="C551" s="4" t="s">
        <v>4780</v>
      </c>
      <c r="D551" s="4" t="s">
        <v>4781</v>
      </c>
      <c r="E551" s="4" t="s">
        <v>4737</v>
      </c>
    </row>
    <row r="552">
      <c r="A552" s="33">
        <v>45729.673525659724</v>
      </c>
      <c r="B552" s="4" t="s">
        <v>4742</v>
      </c>
      <c r="C552" s="4" t="s">
        <v>4945</v>
      </c>
      <c r="D552" s="4" t="s">
        <v>4735</v>
      </c>
      <c r="E552" s="4" t="s">
        <v>4806</v>
      </c>
    </row>
    <row r="553">
      <c r="A553" s="33">
        <v>45733.37509560185</v>
      </c>
      <c r="B553" s="4" t="s">
        <v>4801</v>
      </c>
      <c r="C553" s="4" t="s">
        <v>4946</v>
      </c>
      <c r="D553" s="4" t="s">
        <v>4803</v>
      </c>
      <c r="E553" s="4" t="s">
        <v>4737</v>
      </c>
    </row>
    <row r="554">
      <c r="A554" s="33">
        <v>45733.375271770834</v>
      </c>
      <c r="B554" s="4" t="s">
        <v>4776</v>
      </c>
      <c r="C554" s="5" t="s">
        <v>4795</v>
      </c>
      <c r="D554" s="4" t="s">
        <v>4735</v>
      </c>
      <c r="E554" s="4" t="s">
        <v>4842</v>
      </c>
    </row>
    <row r="555">
      <c r="A555" s="33">
        <v>45733.375273819445</v>
      </c>
      <c r="B555" s="4" t="s">
        <v>4779</v>
      </c>
      <c r="C555" s="4" t="s">
        <v>4780</v>
      </c>
      <c r="D555" s="4" t="s">
        <v>4781</v>
      </c>
      <c r="E555" s="4" t="s">
        <v>4737</v>
      </c>
    </row>
    <row r="556">
      <c r="A556" s="33">
        <v>45733.3752755787</v>
      </c>
      <c r="B556" s="4" t="s">
        <v>4782</v>
      </c>
      <c r="C556" s="4" t="s">
        <v>4780</v>
      </c>
      <c r="D556" s="4" t="s">
        <v>4781</v>
      </c>
      <c r="E556" s="4" t="s">
        <v>4737</v>
      </c>
    </row>
    <row r="557">
      <c r="A557" s="33">
        <v>45733.375287233794</v>
      </c>
      <c r="B557" s="4" t="s">
        <v>4783</v>
      </c>
      <c r="C557" s="4" t="s">
        <v>4780</v>
      </c>
      <c r="D557" s="4" t="s">
        <v>4781</v>
      </c>
      <c r="E557" s="4" t="s">
        <v>4737</v>
      </c>
    </row>
    <row r="558">
      <c r="A558" s="33">
        <v>45733.375354675925</v>
      </c>
      <c r="B558" s="4" t="s">
        <v>4742</v>
      </c>
      <c r="C558" s="4" t="s">
        <v>4947</v>
      </c>
      <c r="D558" s="4" t="s">
        <v>4735</v>
      </c>
      <c r="E558" s="4" t="s">
        <v>4806</v>
      </c>
    </row>
    <row r="559">
      <c r="A559" s="33">
        <v>45734.37515684028</v>
      </c>
      <c r="B559" s="4" t="s">
        <v>4801</v>
      </c>
      <c r="C559" s="4" t="s">
        <v>4948</v>
      </c>
      <c r="D559" s="4" t="s">
        <v>4803</v>
      </c>
      <c r="E559" s="4" t="s">
        <v>4737</v>
      </c>
    </row>
    <row r="560">
      <c r="A560" s="33">
        <v>45734.375337777776</v>
      </c>
      <c r="B560" s="4" t="s">
        <v>4776</v>
      </c>
      <c r="C560" s="5" t="s">
        <v>4910</v>
      </c>
      <c r="D560" s="4" t="s">
        <v>4735</v>
      </c>
      <c r="E560" s="4" t="s">
        <v>4911</v>
      </c>
    </row>
    <row r="561">
      <c r="A561" s="33">
        <v>45734.375341747684</v>
      </c>
      <c r="B561" s="4" t="s">
        <v>4779</v>
      </c>
      <c r="C561" s="4" t="s">
        <v>4780</v>
      </c>
      <c r="D561" s="4" t="s">
        <v>4781</v>
      </c>
      <c r="E561" s="4" t="s">
        <v>4737</v>
      </c>
    </row>
    <row r="562">
      <c r="A562" s="33">
        <v>45734.37534601852</v>
      </c>
      <c r="B562" s="4" t="s">
        <v>4782</v>
      </c>
      <c r="C562" s="4" t="s">
        <v>4780</v>
      </c>
      <c r="D562" s="4" t="s">
        <v>4781</v>
      </c>
      <c r="E562" s="4" t="s">
        <v>4737</v>
      </c>
    </row>
    <row r="563">
      <c r="A563" s="33">
        <v>45734.37535017361</v>
      </c>
      <c r="B563" s="4" t="s">
        <v>4783</v>
      </c>
      <c r="C563" s="4" t="s">
        <v>4780</v>
      </c>
      <c r="D563" s="4" t="s">
        <v>4781</v>
      </c>
      <c r="E563" s="4" t="s">
        <v>4737</v>
      </c>
    </row>
    <row r="564">
      <c r="A564" s="33">
        <v>45734.3754221875</v>
      </c>
      <c r="B564" s="4" t="s">
        <v>4742</v>
      </c>
      <c r="C564" s="4" t="s">
        <v>4949</v>
      </c>
      <c r="D564" s="4" t="s">
        <v>4735</v>
      </c>
      <c r="E564" s="4" t="s">
        <v>4806</v>
      </c>
    </row>
    <row r="565">
      <c r="A565" s="33">
        <v>45736.37511005787</v>
      </c>
      <c r="B565" s="4" t="s">
        <v>4801</v>
      </c>
      <c r="C565" s="4" t="s">
        <v>4946</v>
      </c>
      <c r="D565" s="4" t="s">
        <v>4803</v>
      </c>
      <c r="E565" s="4" t="s">
        <v>4737</v>
      </c>
    </row>
    <row r="566">
      <c r="A566" s="33">
        <v>45736.3752737037</v>
      </c>
      <c r="B566" s="4" t="s">
        <v>4776</v>
      </c>
      <c r="C566" s="5" t="s">
        <v>4795</v>
      </c>
      <c r="D566" s="4" t="s">
        <v>4735</v>
      </c>
      <c r="E566" s="4" t="s">
        <v>4842</v>
      </c>
    </row>
    <row r="567">
      <c r="A567" s="33">
        <v>45736.3752777662</v>
      </c>
      <c r="B567" s="4" t="s">
        <v>4779</v>
      </c>
      <c r="C567" s="4" t="s">
        <v>4780</v>
      </c>
      <c r="D567" s="4" t="s">
        <v>4781</v>
      </c>
      <c r="E567" s="4" t="s">
        <v>4737</v>
      </c>
    </row>
    <row r="568">
      <c r="A568" s="33">
        <v>45736.375281493056</v>
      </c>
      <c r="B568" s="4" t="s">
        <v>4782</v>
      </c>
      <c r="C568" s="4" t="s">
        <v>4780</v>
      </c>
      <c r="D568" s="4" t="s">
        <v>4781</v>
      </c>
      <c r="E568" s="4" t="s">
        <v>4737</v>
      </c>
    </row>
    <row r="569">
      <c r="A569" s="33">
        <v>45736.375284884256</v>
      </c>
      <c r="B569" s="4" t="s">
        <v>4783</v>
      </c>
      <c r="C569" s="4" t="s">
        <v>4780</v>
      </c>
      <c r="D569" s="4" t="s">
        <v>4781</v>
      </c>
      <c r="E569" s="4" t="s">
        <v>4737</v>
      </c>
    </row>
    <row r="570">
      <c r="A570" s="33">
        <v>45736.37535584491</v>
      </c>
      <c r="B570" s="4" t="s">
        <v>4742</v>
      </c>
      <c r="C570" s="4" t="s">
        <v>4947</v>
      </c>
      <c r="D570" s="4" t="s">
        <v>4735</v>
      </c>
      <c r="E570" s="4" t="s">
        <v>4806</v>
      </c>
    </row>
    <row r="571">
      <c r="A571" s="33">
        <v>45736.37537385417</v>
      </c>
      <c r="B571" s="4" t="s">
        <v>4801</v>
      </c>
      <c r="C571" s="4" t="s">
        <v>4950</v>
      </c>
      <c r="D571" s="4" t="s">
        <v>4803</v>
      </c>
      <c r="E571" s="4" t="s">
        <v>4737</v>
      </c>
    </row>
    <row r="572">
      <c r="A572" s="33">
        <v>45736.375556388884</v>
      </c>
      <c r="B572" s="4" t="s">
        <v>4776</v>
      </c>
      <c r="C572" s="5" t="s">
        <v>4923</v>
      </c>
      <c r="D572" s="4" t="s">
        <v>4735</v>
      </c>
      <c r="E572" s="4" t="s">
        <v>4924</v>
      </c>
    </row>
    <row r="573">
      <c r="A573" s="33">
        <v>45736.375559594904</v>
      </c>
      <c r="B573" s="4" t="s">
        <v>4779</v>
      </c>
      <c r="C573" s="4" t="s">
        <v>4780</v>
      </c>
      <c r="D573" s="4" t="s">
        <v>4781</v>
      </c>
      <c r="E573" s="4" t="s">
        <v>4737</v>
      </c>
    </row>
    <row r="574">
      <c r="A574" s="33">
        <v>45736.37556302083</v>
      </c>
      <c r="B574" s="4" t="s">
        <v>4782</v>
      </c>
      <c r="C574" s="4" t="s">
        <v>4780</v>
      </c>
      <c r="D574" s="4" t="s">
        <v>4781</v>
      </c>
      <c r="E574" s="4" t="s">
        <v>4737</v>
      </c>
    </row>
    <row r="575">
      <c r="A575" s="33">
        <v>45736.37556642361</v>
      </c>
      <c r="B575" s="4" t="s">
        <v>4783</v>
      </c>
      <c r="C575" s="4" t="s">
        <v>4780</v>
      </c>
      <c r="D575" s="4" t="s">
        <v>4781</v>
      </c>
      <c r="E575" s="4" t="s">
        <v>4737</v>
      </c>
    </row>
    <row r="576">
      <c r="A576" s="33">
        <v>45736.37563607639</v>
      </c>
      <c r="B576" s="4" t="s">
        <v>4742</v>
      </c>
      <c r="C576" s="4" t="s">
        <v>4951</v>
      </c>
      <c r="D576" s="4" t="s">
        <v>4735</v>
      </c>
      <c r="E576" s="4" t="s">
        <v>4806</v>
      </c>
    </row>
    <row r="577">
      <c r="A577" s="33">
        <v>45740.375122743055</v>
      </c>
      <c r="B577" s="4" t="s">
        <v>4801</v>
      </c>
      <c r="C577" s="4" t="s">
        <v>4952</v>
      </c>
      <c r="D577" s="4" t="s">
        <v>4803</v>
      </c>
      <c r="E577" s="4" t="s">
        <v>4737</v>
      </c>
    </row>
    <row r="578">
      <c r="A578" s="33">
        <v>45740.37525265046</v>
      </c>
      <c r="B578" s="4" t="s">
        <v>4776</v>
      </c>
      <c r="C578" s="5" t="s">
        <v>4931</v>
      </c>
      <c r="D578" s="4" t="s">
        <v>4735</v>
      </c>
      <c r="E578" s="4" t="s">
        <v>4932</v>
      </c>
    </row>
    <row r="579">
      <c r="A579" s="33">
        <v>45740.37525527777</v>
      </c>
      <c r="B579" s="4" t="s">
        <v>4779</v>
      </c>
      <c r="C579" s="4" t="s">
        <v>4780</v>
      </c>
      <c r="D579" s="4" t="s">
        <v>4781</v>
      </c>
      <c r="E579" s="4" t="s">
        <v>4737</v>
      </c>
    </row>
    <row r="580">
      <c r="A580" s="33">
        <v>45740.37525776621</v>
      </c>
      <c r="B580" s="4" t="s">
        <v>4782</v>
      </c>
      <c r="C580" s="4" t="s">
        <v>4780</v>
      </c>
      <c r="D580" s="4" t="s">
        <v>4781</v>
      </c>
      <c r="E580" s="4" t="s">
        <v>4737</v>
      </c>
    </row>
    <row r="581">
      <c r="A581" s="33">
        <v>45740.37526072917</v>
      </c>
      <c r="B581" s="4" t="s">
        <v>4783</v>
      </c>
      <c r="C581" s="4" t="s">
        <v>4780</v>
      </c>
      <c r="D581" s="4" t="s">
        <v>4781</v>
      </c>
      <c r="E581" s="4" t="s">
        <v>4737</v>
      </c>
    </row>
    <row r="582">
      <c r="A582" s="33">
        <v>45740.37533712963</v>
      </c>
      <c r="B582" s="4" t="s">
        <v>4742</v>
      </c>
      <c r="C582" s="4" t="s">
        <v>4953</v>
      </c>
      <c r="D582" s="4" t="s">
        <v>4735</v>
      </c>
      <c r="E582" s="4" t="s">
        <v>4806</v>
      </c>
    </row>
    <row r="583">
      <c r="A583" s="33">
        <v>45741.37517119213</v>
      </c>
      <c r="B583" s="4" t="s">
        <v>4801</v>
      </c>
      <c r="C583" s="4" t="s">
        <v>4946</v>
      </c>
      <c r="D583" s="4" t="s">
        <v>4803</v>
      </c>
      <c r="E583" s="4" t="s">
        <v>4737</v>
      </c>
    </row>
    <row r="584">
      <c r="A584" s="33">
        <v>45741.375294930556</v>
      </c>
      <c r="B584" s="4" t="s">
        <v>4776</v>
      </c>
      <c r="C584" s="5" t="s">
        <v>4795</v>
      </c>
      <c r="D584" s="4" t="s">
        <v>4735</v>
      </c>
      <c r="E584" s="4" t="s">
        <v>4842</v>
      </c>
    </row>
    <row r="585">
      <c r="A585" s="33">
        <v>45741.37529778935</v>
      </c>
      <c r="B585" s="4" t="s">
        <v>4779</v>
      </c>
      <c r="C585" s="4" t="s">
        <v>4780</v>
      </c>
      <c r="D585" s="4" t="s">
        <v>4781</v>
      </c>
      <c r="E585" s="4" t="s">
        <v>4737</v>
      </c>
    </row>
    <row r="586">
      <c r="A586" s="33">
        <v>45741.37530015047</v>
      </c>
      <c r="B586" s="4" t="s">
        <v>4782</v>
      </c>
      <c r="C586" s="4" t="s">
        <v>4780</v>
      </c>
      <c r="D586" s="4" t="s">
        <v>4781</v>
      </c>
      <c r="E586" s="4" t="s">
        <v>4737</v>
      </c>
    </row>
    <row r="587">
      <c r="A587" s="33">
        <v>45741.37530270833</v>
      </c>
      <c r="B587" s="4" t="s">
        <v>4783</v>
      </c>
      <c r="C587" s="4" t="s">
        <v>4780</v>
      </c>
      <c r="D587" s="4" t="s">
        <v>4781</v>
      </c>
      <c r="E587" s="4" t="s">
        <v>4737</v>
      </c>
    </row>
    <row r="588">
      <c r="A588" s="33">
        <v>45741.37537591435</v>
      </c>
      <c r="B588" s="4" t="s">
        <v>4742</v>
      </c>
      <c r="C588" s="4" t="s">
        <v>4947</v>
      </c>
      <c r="D588" s="4" t="s">
        <v>4735</v>
      </c>
      <c r="E588" s="4" t="s">
        <v>4806</v>
      </c>
    </row>
    <row r="589">
      <c r="A589" s="33">
        <v>45742.37508736111</v>
      </c>
      <c r="B589" s="4" t="s">
        <v>4801</v>
      </c>
      <c r="C589" s="4" t="s">
        <v>4954</v>
      </c>
      <c r="D589" s="4" t="s">
        <v>4803</v>
      </c>
      <c r="E589" s="4" t="s">
        <v>4737</v>
      </c>
    </row>
    <row r="590">
      <c r="A590" s="33">
        <v>45742.375212557876</v>
      </c>
      <c r="B590" s="4" t="s">
        <v>4776</v>
      </c>
      <c r="C590" s="5" t="s">
        <v>4935</v>
      </c>
      <c r="D590" s="4" t="s">
        <v>4735</v>
      </c>
      <c r="E590" s="4" t="s">
        <v>4936</v>
      </c>
    </row>
    <row r="591">
      <c r="A591" s="33">
        <v>45742.37521650463</v>
      </c>
      <c r="B591" s="4" t="s">
        <v>4779</v>
      </c>
      <c r="C591" s="4" t="s">
        <v>4780</v>
      </c>
      <c r="D591" s="4" t="s">
        <v>4781</v>
      </c>
      <c r="E591" s="4" t="s">
        <v>4737</v>
      </c>
    </row>
    <row r="592">
      <c r="A592" s="33">
        <v>45742.375219560185</v>
      </c>
      <c r="B592" s="4" t="s">
        <v>4782</v>
      </c>
      <c r="C592" s="4" t="s">
        <v>4780</v>
      </c>
      <c r="D592" s="4" t="s">
        <v>4781</v>
      </c>
      <c r="E592" s="4" t="s">
        <v>4737</v>
      </c>
    </row>
    <row r="593">
      <c r="A593" s="33">
        <v>45742.37522273148</v>
      </c>
      <c r="B593" s="4" t="s">
        <v>4783</v>
      </c>
      <c r="C593" s="4" t="s">
        <v>4780</v>
      </c>
      <c r="D593" s="4" t="s">
        <v>4781</v>
      </c>
      <c r="E593" s="4" t="s">
        <v>4737</v>
      </c>
    </row>
    <row r="594">
      <c r="A594" s="33">
        <v>45742.37529615741</v>
      </c>
      <c r="B594" s="4" t="s">
        <v>4742</v>
      </c>
      <c r="C594" s="4" t="s">
        <v>4955</v>
      </c>
      <c r="D594" s="4" t="s">
        <v>4735</v>
      </c>
      <c r="E594" s="4" t="s">
        <v>4806</v>
      </c>
    </row>
    <row r="595">
      <c r="A595" s="33">
        <v>45742.73684858796</v>
      </c>
      <c r="B595" s="4" t="s">
        <v>4801</v>
      </c>
      <c r="C595" s="4" t="s">
        <v>4956</v>
      </c>
      <c r="D595" s="4" t="s">
        <v>4803</v>
      </c>
      <c r="E595" s="4" t="s">
        <v>4737</v>
      </c>
    </row>
    <row r="596">
      <c r="A596" s="33">
        <v>45742.73697039352</v>
      </c>
      <c r="B596" s="4" t="s">
        <v>4776</v>
      </c>
      <c r="C596" s="5" t="s">
        <v>4957</v>
      </c>
      <c r="D596" s="4" t="s">
        <v>4735</v>
      </c>
      <c r="E596" s="4" t="s">
        <v>4958</v>
      </c>
    </row>
    <row r="597">
      <c r="A597" s="33">
        <v>45742.736973125</v>
      </c>
      <c r="B597" s="4" t="s">
        <v>4779</v>
      </c>
      <c r="C597" s="4" t="s">
        <v>4780</v>
      </c>
      <c r="D597" s="4" t="s">
        <v>4781</v>
      </c>
      <c r="E597" s="4" t="s">
        <v>4737</v>
      </c>
    </row>
    <row r="598">
      <c r="A598" s="33">
        <v>45742.736975162035</v>
      </c>
      <c r="B598" s="4" t="s">
        <v>4782</v>
      </c>
      <c r="C598" s="4" t="s">
        <v>4780</v>
      </c>
      <c r="D598" s="4" t="s">
        <v>4781</v>
      </c>
      <c r="E598" s="4" t="s">
        <v>4737</v>
      </c>
    </row>
    <row r="599">
      <c r="A599" s="33">
        <v>45742.73697737268</v>
      </c>
      <c r="B599" s="4" t="s">
        <v>4783</v>
      </c>
      <c r="C599" s="4" t="s">
        <v>4780</v>
      </c>
      <c r="D599" s="4" t="s">
        <v>4781</v>
      </c>
      <c r="E599" s="4" t="s">
        <v>4737</v>
      </c>
    </row>
    <row r="600">
      <c r="A600" s="33">
        <v>45742.73705383102</v>
      </c>
      <c r="B600" s="4" t="s">
        <v>4742</v>
      </c>
      <c r="C600" s="4" t="s">
        <v>4959</v>
      </c>
      <c r="D600" s="4" t="s">
        <v>4735</v>
      </c>
      <c r="E600" s="4" t="s">
        <v>4806</v>
      </c>
    </row>
    <row r="601">
      <c r="A601" s="33">
        <v>45743.3751886574</v>
      </c>
      <c r="B601" s="4" t="s">
        <v>4801</v>
      </c>
      <c r="C601" s="4" t="s">
        <v>4960</v>
      </c>
      <c r="D601" s="4" t="s">
        <v>4803</v>
      </c>
      <c r="E601" s="4" t="s">
        <v>4737</v>
      </c>
    </row>
    <row r="602">
      <c r="A602" s="33">
        <v>45743.37521940972</v>
      </c>
      <c r="B602" s="4" t="s">
        <v>4776</v>
      </c>
      <c r="C602" s="4" t="s">
        <v>4777</v>
      </c>
      <c r="D602" s="4" t="s">
        <v>4778</v>
      </c>
      <c r="E602" s="4" t="s">
        <v>4920</v>
      </c>
    </row>
    <row r="603">
      <c r="A603" s="33">
        <v>45743.37522893518</v>
      </c>
      <c r="B603" s="4" t="s">
        <v>4779</v>
      </c>
      <c r="C603" s="4" t="s">
        <v>4780</v>
      </c>
      <c r="D603" s="4" t="s">
        <v>4781</v>
      </c>
      <c r="E603" s="4" t="s">
        <v>4737</v>
      </c>
    </row>
    <row r="604">
      <c r="A604" s="33">
        <v>45743.37523428241</v>
      </c>
      <c r="B604" s="4" t="s">
        <v>4782</v>
      </c>
      <c r="C604" s="4" t="s">
        <v>4780</v>
      </c>
      <c r="D604" s="4" t="s">
        <v>4781</v>
      </c>
      <c r="E604" s="4" t="s">
        <v>4737</v>
      </c>
    </row>
    <row r="605">
      <c r="A605" s="33">
        <v>45743.37523997686</v>
      </c>
      <c r="B605" s="4" t="s">
        <v>4783</v>
      </c>
      <c r="C605" s="4" t="s">
        <v>4780</v>
      </c>
      <c r="D605" s="4" t="s">
        <v>4781</v>
      </c>
      <c r="E605" s="4" t="s">
        <v>4737</v>
      </c>
    </row>
    <row r="606">
      <c r="A606" s="33">
        <v>45743.37531534722</v>
      </c>
      <c r="B606" s="4" t="s">
        <v>4742</v>
      </c>
      <c r="C606" s="4" t="s">
        <v>4961</v>
      </c>
      <c r="D606" s="4" t="s">
        <v>4735</v>
      </c>
      <c r="E606" s="4" t="s">
        <v>4806</v>
      </c>
    </row>
    <row r="607">
      <c r="A607" s="33">
        <v>45744.37506486111</v>
      </c>
      <c r="B607" s="4" t="s">
        <v>4801</v>
      </c>
      <c r="C607" s="4" t="s">
        <v>4946</v>
      </c>
      <c r="D607" s="4" t="s">
        <v>4803</v>
      </c>
      <c r="E607" s="4" t="s">
        <v>4737</v>
      </c>
    </row>
    <row r="608">
      <c r="A608" s="33">
        <v>45744.37522398148</v>
      </c>
      <c r="B608" s="4" t="s">
        <v>4776</v>
      </c>
      <c r="C608" s="5" t="s">
        <v>4795</v>
      </c>
      <c r="D608" s="4" t="s">
        <v>4735</v>
      </c>
      <c r="E608" s="4" t="s">
        <v>4842</v>
      </c>
    </row>
    <row r="609">
      <c r="A609" s="33">
        <v>45744.37522662037</v>
      </c>
      <c r="B609" s="4" t="s">
        <v>4779</v>
      </c>
      <c r="C609" s="4" t="s">
        <v>4780</v>
      </c>
      <c r="D609" s="4" t="s">
        <v>4781</v>
      </c>
      <c r="E609" s="4" t="s">
        <v>4737</v>
      </c>
    </row>
    <row r="610">
      <c r="A610" s="33">
        <v>45744.37522934028</v>
      </c>
      <c r="B610" s="4" t="s">
        <v>4782</v>
      </c>
      <c r="C610" s="4" t="s">
        <v>4780</v>
      </c>
      <c r="D610" s="4" t="s">
        <v>4781</v>
      </c>
      <c r="E610" s="4" t="s">
        <v>4737</v>
      </c>
    </row>
    <row r="611">
      <c r="A611" s="33">
        <v>45744.375231956015</v>
      </c>
      <c r="B611" s="4" t="s">
        <v>4783</v>
      </c>
      <c r="C611" s="4" t="s">
        <v>4780</v>
      </c>
      <c r="D611" s="4" t="s">
        <v>4781</v>
      </c>
      <c r="E611" s="4" t="s">
        <v>4737</v>
      </c>
    </row>
    <row r="612">
      <c r="A612" s="33">
        <v>45744.37529967593</v>
      </c>
      <c r="B612" s="4" t="s">
        <v>4742</v>
      </c>
      <c r="C612" s="4" t="s">
        <v>4947</v>
      </c>
      <c r="D612" s="4" t="s">
        <v>4735</v>
      </c>
      <c r="E612" s="4" t="s">
        <v>4806</v>
      </c>
    </row>
    <row r="613">
      <c r="A613" s="33">
        <v>45747.375063125</v>
      </c>
      <c r="B613" s="4" t="s">
        <v>4801</v>
      </c>
      <c r="C613" s="4" t="s">
        <v>4950</v>
      </c>
      <c r="D613" s="4" t="s">
        <v>4803</v>
      </c>
      <c r="E613" s="4" t="s">
        <v>4737</v>
      </c>
    </row>
    <row r="614">
      <c r="A614" s="33">
        <v>45747.37524030093</v>
      </c>
      <c r="B614" s="4" t="s">
        <v>4776</v>
      </c>
      <c r="C614" s="5" t="s">
        <v>4923</v>
      </c>
      <c r="D614" s="4" t="s">
        <v>4735</v>
      </c>
      <c r="E614" s="4" t="s">
        <v>4924</v>
      </c>
    </row>
    <row r="615">
      <c r="A615" s="33">
        <v>45747.37524346064</v>
      </c>
      <c r="B615" s="4" t="s">
        <v>4779</v>
      </c>
      <c r="C615" s="4" t="s">
        <v>4780</v>
      </c>
      <c r="D615" s="4" t="s">
        <v>4781</v>
      </c>
      <c r="E615" s="4" t="s">
        <v>4737</v>
      </c>
    </row>
    <row r="616">
      <c r="A616" s="33">
        <v>45747.37524631944</v>
      </c>
      <c r="B616" s="4" t="s">
        <v>4782</v>
      </c>
      <c r="C616" s="4" t="s">
        <v>4780</v>
      </c>
      <c r="D616" s="4" t="s">
        <v>4781</v>
      </c>
      <c r="E616" s="4" t="s">
        <v>4737</v>
      </c>
    </row>
    <row r="617">
      <c r="A617" s="33">
        <v>45747.37524925926</v>
      </c>
      <c r="B617" s="4" t="s">
        <v>4783</v>
      </c>
      <c r="C617" s="4" t="s">
        <v>4780</v>
      </c>
      <c r="D617" s="4" t="s">
        <v>4781</v>
      </c>
      <c r="E617" s="4" t="s">
        <v>4737</v>
      </c>
    </row>
    <row r="618">
      <c r="A618" s="33">
        <v>45747.37532115741</v>
      </c>
      <c r="B618" s="4" t="s">
        <v>4742</v>
      </c>
      <c r="C618" s="4" t="s">
        <v>4951</v>
      </c>
      <c r="D618" s="4" t="s">
        <v>4735</v>
      </c>
      <c r="E618" s="4" t="s">
        <v>4806</v>
      </c>
    </row>
    <row r="619">
      <c r="A619" s="33">
        <v>45747.59360086806</v>
      </c>
      <c r="B619" s="4" t="s">
        <v>4801</v>
      </c>
      <c r="C619" s="4" t="s">
        <v>4962</v>
      </c>
      <c r="D619" s="4" t="s">
        <v>4803</v>
      </c>
      <c r="E619" s="4" t="s">
        <v>4737</v>
      </c>
    </row>
    <row r="620">
      <c r="A620" s="33">
        <v>45747.59378241898</v>
      </c>
      <c r="B620" s="4" t="s">
        <v>4776</v>
      </c>
      <c r="C620" s="5" t="s">
        <v>4963</v>
      </c>
      <c r="D620" s="4" t="s">
        <v>4735</v>
      </c>
      <c r="E620" s="4" t="s">
        <v>4964</v>
      </c>
    </row>
    <row r="621">
      <c r="A621" s="33">
        <v>45747.593784502315</v>
      </c>
      <c r="B621" s="4" t="s">
        <v>4779</v>
      </c>
      <c r="C621" s="4" t="s">
        <v>4780</v>
      </c>
      <c r="D621" s="4" t="s">
        <v>4781</v>
      </c>
      <c r="E621" s="4" t="s">
        <v>4737</v>
      </c>
    </row>
    <row r="622">
      <c r="A622" s="33">
        <v>45747.59378952546</v>
      </c>
      <c r="B622" s="4" t="s">
        <v>4782</v>
      </c>
      <c r="C622" s="4" t="s">
        <v>4780</v>
      </c>
      <c r="D622" s="4" t="s">
        <v>4781</v>
      </c>
      <c r="E622" s="4" t="s">
        <v>4737</v>
      </c>
    </row>
    <row r="623">
      <c r="A623" s="33">
        <v>45747.59379126158</v>
      </c>
      <c r="B623" s="4" t="s">
        <v>4783</v>
      </c>
      <c r="C623" s="4" t="s">
        <v>4780</v>
      </c>
      <c r="D623" s="4" t="s">
        <v>4781</v>
      </c>
      <c r="E623" s="4" t="s">
        <v>4737</v>
      </c>
    </row>
    <row r="624">
      <c r="A624" s="33">
        <v>45747.59386020833</v>
      </c>
      <c r="B624" s="4" t="s">
        <v>4742</v>
      </c>
      <c r="C624" s="4" t="s">
        <v>4965</v>
      </c>
      <c r="D624" s="4" t="s">
        <v>4735</v>
      </c>
      <c r="E624" s="4" t="s">
        <v>4806</v>
      </c>
    </row>
    <row r="625">
      <c r="A625" s="33">
        <v>45749.37515021991</v>
      </c>
      <c r="B625" s="4" t="s">
        <v>4801</v>
      </c>
      <c r="C625" s="4" t="s">
        <v>4946</v>
      </c>
      <c r="D625" s="4" t="s">
        <v>4803</v>
      </c>
      <c r="E625" s="4" t="s">
        <v>4737</v>
      </c>
    </row>
    <row r="626">
      <c r="A626" s="33">
        <v>45749.37536634259</v>
      </c>
      <c r="B626" s="4" t="s">
        <v>4776</v>
      </c>
      <c r="C626" s="5" t="s">
        <v>4795</v>
      </c>
      <c r="D626" s="4" t="s">
        <v>4735</v>
      </c>
      <c r="E626" s="4" t="s">
        <v>4842</v>
      </c>
    </row>
    <row r="627">
      <c r="A627" s="33">
        <v>45749.37536961805</v>
      </c>
      <c r="B627" s="4" t="s">
        <v>4779</v>
      </c>
      <c r="C627" s="4" t="s">
        <v>4780</v>
      </c>
      <c r="D627" s="4" t="s">
        <v>4781</v>
      </c>
      <c r="E627" s="4" t="s">
        <v>4737</v>
      </c>
    </row>
    <row r="628">
      <c r="A628" s="33">
        <v>45749.375372372684</v>
      </c>
      <c r="B628" s="4" t="s">
        <v>4782</v>
      </c>
      <c r="C628" s="4" t="s">
        <v>4780</v>
      </c>
      <c r="D628" s="4" t="s">
        <v>4781</v>
      </c>
      <c r="E628" s="4" t="s">
        <v>4737</v>
      </c>
    </row>
    <row r="629">
      <c r="A629" s="33">
        <v>45749.375375567135</v>
      </c>
      <c r="B629" s="4" t="s">
        <v>4783</v>
      </c>
      <c r="C629" s="4" t="s">
        <v>4780</v>
      </c>
      <c r="D629" s="4" t="s">
        <v>4781</v>
      </c>
      <c r="E629" s="4" t="s">
        <v>4737</v>
      </c>
    </row>
    <row r="630">
      <c r="A630" s="33">
        <v>45749.37544395833</v>
      </c>
      <c r="B630" s="4" t="s">
        <v>4742</v>
      </c>
      <c r="C630" s="4" t="s">
        <v>4947</v>
      </c>
      <c r="D630" s="4" t="s">
        <v>4735</v>
      </c>
      <c r="E630" s="4" t="s">
        <v>4806</v>
      </c>
    </row>
    <row r="631">
      <c r="A631" s="33">
        <v>45751.375148113424</v>
      </c>
      <c r="B631" s="4" t="s">
        <v>4801</v>
      </c>
      <c r="C631" s="4" t="s">
        <v>4966</v>
      </c>
      <c r="D631" s="4" t="s">
        <v>4803</v>
      </c>
      <c r="E631" s="4" t="s">
        <v>4737</v>
      </c>
    </row>
    <row r="632">
      <c r="A632" s="33">
        <v>45751.37530835648</v>
      </c>
      <c r="B632" s="4" t="s">
        <v>4776</v>
      </c>
      <c r="C632" s="5" t="s">
        <v>4957</v>
      </c>
      <c r="D632" s="4" t="s">
        <v>4735</v>
      </c>
      <c r="E632" s="4" t="s">
        <v>4958</v>
      </c>
    </row>
    <row r="633">
      <c r="A633" s="33">
        <v>45751.37531234954</v>
      </c>
      <c r="B633" s="4" t="s">
        <v>4779</v>
      </c>
      <c r="C633" s="4" t="s">
        <v>4780</v>
      </c>
      <c r="D633" s="4" t="s">
        <v>4781</v>
      </c>
      <c r="E633" s="4" t="s">
        <v>4737</v>
      </c>
    </row>
    <row r="634">
      <c r="A634" s="33">
        <v>45751.3753169213</v>
      </c>
      <c r="B634" s="4" t="s">
        <v>4782</v>
      </c>
      <c r="C634" s="4" t="s">
        <v>4780</v>
      </c>
      <c r="D634" s="4" t="s">
        <v>4781</v>
      </c>
      <c r="E634" s="4" t="s">
        <v>4737</v>
      </c>
    </row>
    <row r="635">
      <c r="A635" s="33">
        <v>45751.3753203588</v>
      </c>
      <c r="B635" s="4" t="s">
        <v>4783</v>
      </c>
      <c r="C635" s="4" t="s">
        <v>4780</v>
      </c>
      <c r="D635" s="4" t="s">
        <v>4781</v>
      </c>
      <c r="E635" s="4" t="s">
        <v>4737</v>
      </c>
    </row>
    <row r="636">
      <c r="A636" s="33">
        <v>45751.37539769676</v>
      </c>
      <c r="B636" s="4" t="s">
        <v>4742</v>
      </c>
      <c r="C636" s="4" t="s">
        <v>4967</v>
      </c>
      <c r="D636" s="4" t="s">
        <v>4735</v>
      </c>
      <c r="E636" s="4" t="s">
        <v>4806</v>
      </c>
    </row>
    <row r="637">
      <c r="A637" s="33">
        <v>45756.375146875</v>
      </c>
      <c r="B637" s="4" t="s">
        <v>4801</v>
      </c>
      <c r="C637" s="4" t="s">
        <v>4954</v>
      </c>
      <c r="D637" s="4" t="s">
        <v>4803</v>
      </c>
      <c r="E637" s="4" t="s">
        <v>4737</v>
      </c>
    </row>
    <row r="638">
      <c r="A638" s="33">
        <v>45756.37531020833</v>
      </c>
      <c r="B638" s="4" t="s">
        <v>4776</v>
      </c>
      <c r="C638" s="5" t="s">
        <v>4935</v>
      </c>
      <c r="D638" s="4" t="s">
        <v>4735</v>
      </c>
      <c r="E638" s="4" t="s">
        <v>4936</v>
      </c>
    </row>
    <row r="639">
      <c r="A639" s="33">
        <v>45756.375312476855</v>
      </c>
      <c r="B639" s="4" t="s">
        <v>4779</v>
      </c>
      <c r="C639" s="4" t="s">
        <v>4780</v>
      </c>
      <c r="D639" s="4" t="s">
        <v>4781</v>
      </c>
      <c r="E639" s="4" t="s">
        <v>4737</v>
      </c>
    </row>
    <row r="640">
      <c r="A640" s="33">
        <v>45756.37531483796</v>
      </c>
      <c r="B640" s="4" t="s">
        <v>4782</v>
      </c>
      <c r="C640" s="4" t="s">
        <v>4780</v>
      </c>
      <c r="D640" s="4" t="s">
        <v>4781</v>
      </c>
      <c r="E640" s="4" t="s">
        <v>4737</v>
      </c>
    </row>
    <row r="641">
      <c r="A641" s="33">
        <v>45756.375317060185</v>
      </c>
      <c r="B641" s="4" t="s">
        <v>4783</v>
      </c>
      <c r="C641" s="4" t="s">
        <v>4780</v>
      </c>
      <c r="D641" s="4" t="s">
        <v>4781</v>
      </c>
      <c r="E641" s="4" t="s">
        <v>4737</v>
      </c>
    </row>
    <row r="642">
      <c r="A642" s="33">
        <v>45756.375386423606</v>
      </c>
      <c r="B642" s="4" t="s">
        <v>4742</v>
      </c>
      <c r="C642" s="4" t="s">
        <v>4955</v>
      </c>
      <c r="D642" s="4" t="s">
        <v>4735</v>
      </c>
      <c r="E642" s="4" t="s">
        <v>4806</v>
      </c>
    </row>
    <row r="643">
      <c r="A643" s="33">
        <v>45756.41950682871</v>
      </c>
      <c r="B643" s="4" t="s">
        <v>4801</v>
      </c>
      <c r="C643" s="4" t="s">
        <v>4968</v>
      </c>
      <c r="D643" s="4" t="s">
        <v>4803</v>
      </c>
      <c r="E643" s="4" t="s">
        <v>4737</v>
      </c>
    </row>
    <row r="644">
      <c r="A644" s="33">
        <v>45756.419663252316</v>
      </c>
      <c r="B644" s="4" t="s">
        <v>4776</v>
      </c>
      <c r="C644" s="5" t="s">
        <v>4969</v>
      </c>
      <c r="D644" s="4" t="s">
        <v>4735</v>
      </c>
      <c r="E644" s="4" t="s">
        <v>4970</v>
      </c>
    </row>
    <row r="645">
      <c r="A645" s="33">
        <v>45756.41966569444</v>
      </c>
      <c r="B645" s="4" t="s">
        <v>4779</v>
      </c>
      <c r="C645" s="4" t="s">
        <v>4780</v>
      </c>
      <c r="D645" s="4" t="s">
        <v>4781</v>
      </c>
      <c r="E645" s="4" t="s">
        <v>4737</v>
      </c>
    </row>
    <row r="646">
      <c r="A646" s="33">
        <v>45756.41966719908</v>
      </c>
      <c r="B646" s="4" t="s">
        <v>4782</v>
      </c>
      <c r="C646" s="4" t="s">
        <v>4780</v>
      </c>
      <c r="D646" s="4" t="s">
        <v>4781</v>
      </c>
      <c r="E646" s="4" t="s">
        <v>4737</v>
      </c>
    </row>
    <row r="647">
      <c r="A647" s="33">
        <v>45756.41966868055</v>
      </c>
      <c r="B647" s="4" t="s">
        <v>4783</v>
      </c>
      <c r="C647" s="4" t="s">
        <v>4780</v>
      </c>
      <c r="D647" s="4" t="s">
        <v>4781</v>
      </c>
      <c r="E647" s="4" t="s">
        <v>4737</v>
      </c>
    </row>
    <row r="648">
      <c r="A648" s="33">
        <v>45756.419734849536</v>
      </c>
      <c r="B648" s="4" t="s">
        <v>4742</v>
      </c>
      <c r="C648" s="4" t="s">
        <v>4971</v>
      </c>
      <c r="D648" s="4" t="s">
        <v>4735</v>
      </c>
      <c r="E648" s="4" t="s">
        <v>4806</v>
      </c>
    </row>
    <row r="649">
      <c r="A649" s="33">
        <v>45756.42291458334</v>
      </c>
      <c r="B649" s="4" t="s">
        <v>4801</v>
      </c>
      <c r="C649" s="4" t="s">
        <v>4972</v>
      </c>
      <c r="D649" s="4" t="s">
        <v>4803</v>
      </c>
      <c r="E649" s="4" t="s">
        <v>4737</v>
      </c>
    </row>
    <row r="650">
      <c r="A650" s="33">
        <v>45756.423078912034</v>
      </c>
      <c r="B650" s="4" t="s">
        <v>4776</v>
      </c>
      <c r="C650" s="5" t="s">
        <v>4973</v>
      </c>
      <c r="D650" s="4" t="s">
        <v>4735</v>
      </c>
      <c r="E650" s="4" t="s">
        <v>4974</v>
      </c>
    </row>
    <row r="651">
      <c r="A651" s="33">
        <v>45756.42308039352</v>
      </c>
      <c r="B651" s="4" t="s">
        <v>4779</v>
      </c>
      <c r="C651" s="4" t="s">
        <v>4780</v>
      </c>
      <c r="D651" s="4" t="s">
        <v>4781</v>
      </c>
      <c r="E651" s="4" t="s">
        <v>4737</v>
      </c>
    </row>
    <row r="652">
      <c r="A652" s="33">
        <v>45756.42309415509</v>
      </c>
      <c r="B652" s="4" t="s">
        <v>4782</v>
      </c>
      <c r="C652" s="4" t="s">
        <v>4780</v>
      </c>
      <c r="D652" s="4" t="s">
        <v>4781</v>
      </c>
      <c r="E652" s="4" t="s">
        <v>4737</v>
      </c>
    </row>
    <row r="653">
      <c r="A653" s="33">
        <v>45756.42309607639</v>
      </c>
      <c r="B653" s="4" t="s">
        <v>4783</v>
      </c>
      <c r="C653" s="4" t="s">
        <v>4780</v>
      </c>
      <c r="D653" s="4" t="s">
        <v>4781</v>
      </c>
      <c r="E653" s="4" t="s">
        <v>4737</v>
      </c>
    </row>
    <row r="654">
      <c r="A654" s="33">
        <v>45756.423164259264</v>
      </c>
      <c r="B654" s="4" t="s">
        <v>4742</v>
      </c>
      <c r="C654" s="4" t="s">
        <v>4975</v>
      </c>
      <c r="D654" s="4" t="s">
        <v>4735</v>
      </c>
      <c r="E654" s="4" t="s">
        <v>4806</v>
      </c>
    </row>
    <row r="655">
      <c r="A655" s="33">
        <v>45758.41353585648</v>
      </c>
      <c r="B655" s="4" t="s">
        <v>4801</v>
      </c>
      <c r="C655" s="4" t="s">
        <v>4976</v>
      </c>
      <c r="D655" s="4" t="s">
        <v>4803</v>
      </c>
      <c r="E655" s="4" t="s">
        <v>4737</v>
      </c>
    </row>
    <row r="656">
      <c r="A656" s="33">
        <v>45758.4136827662</v>
      </c>
      <c r="B656" s="4" t="s">
        <v>4776</v>
      </c>
      <c r="C656" s="5" t="s">
        <v>4977</v>
      </c>
      <c r="D656" s="4" t="s">
        <v>4735</v>
      </c>
      <c r="E656" s="4" t="s">
        <v>4978</v>
      </c>
    </row>
    <row r="657">
      <c r="A657" s="33">
        <v>45758.4136868287</v>
      </c>
      <c r="B657" s="4" t="s">
        <v>4779</v>
      </c>
      <c r="C657" s="4" t="s">
        <v>4780</v>
      </c>
      <c r="D657" s="4" t="s">
        <v>4781</v>
      </c>
      <c r="E657" s="4" t="s">
        <v>4737</v>
      </c>
    </row>
    <row r="658">
      <c r="A658" s="33">
        <v>45758.413690891204</v>
      </c>
      <c r="B658" s="4" t="s">
        <v>4782</v>
      </c>
      <c r="C658" s="4" t="s">
        <v>4780</v>
      </c>
      <c r="D658" s="4" t="s">
        <v>4781</v>
      </c>
      <c r="E658" s="4" t="s">
        <v>4737</v>
      </c>
    </row>
    <row r="659">
      <c r="A659" s="33">
        <v>45758.413694884264</v>
      </c>
      <c r="B659" s="4" t="s">
        <v>4783</v>
      </c>
      <c r="C659" s="4" t="s">
        <v>4780</v>
      </c>
      <c r="D659" s="4" t="s">
        <v>4781</v>
      </c>
      <c r="E659" s="4" t="s">
        <v>4737</v>
      </c>
    </row>
    <row r="660">
      <c r="A660" s="33">
        <v>45758.41376283565</v>
      </c>
      <c r="B660" s="4" t="s">
        <v>4742</v>
      </c>
      <c r="C660" s="4" t="s">
        <v>4979</v>
      </c>
      <c r="D660" s="4" t="s">
        <v>4735</v>
      </c>
      <c r="E660" s="4" t="s">
        <v>4806</v>
      </c>
    </row>
    <row r="661">
      <c r="A661" s="33">
        <v>45758.416496273145</v>
      </c>
      <c r="B661" s="4" t="s">
        <v>4801</v>
      </c>
      <c r="C661" s="4" t="s">
        <v>4980</v>
      </c>
      <c r="D661" s="4" t="s">
        <v>4803</v>
      </c>
      <c r="E661" s="4" t="s">
        <v>4737</v>
      </c>
    </row>
    <row r="662">
      <c r="A662" s="33">
        <v>45758.41651922454</v>
      </c>
      <c r="B662" s="4" t="s">
        <v>4776</v>
      </c>
      <c r="C662" s="4" t="s">
        <v>4777</v>
      </c>
      <c r="D662" s="4" t="s">
        <v>4778</v>
      </c>
      <c r="E662" s="4" t="s">
        <v>4981</v>
      </c>
    </row>
    <row r="663">
      <c r="A663" s="33">
        <v>45758.416521273146</v>
      </c>
      <c r="B663" s="4" t="s">
        <v>4779</v>
      </c>
      <c r="C663" s="4" t="s">
        <v>4780</v>
      </c>
      <c r="D663" s="4" t="s">
        <v>4781</v>
      </c>
      <c r="E663" s="4" t="s">
        <v>4737</v>
      </c>
    </row>
    <row r="664">
      <c r="A664" s="33">
        <v>45758.41652324074</v>
      </c>
      <c r="B664" s="4" t="s">
        <v>4782</v>
      </c>
      <c r="C664" s="4" t="s">
        <v>4780</v>
      </c>
      <c r="D664" s="4" t="s">
        <v>4781</v>
      </c>
      <c r="E664" s="4" t="s">
        <v>4737</v>
      </c>
    </row>
    <row r="665">
      <c r="A665" s="33">
        <v>45758.41652540509</v>
      </c>
      <c r="B665" s="4" t="s">
        <v>4783</v>
      </c>
      <c r="C665" s="4" t="s">
        <v>4780</v>
      </c>
      <c r="D665" s="4" t="s">
        <v>4781</v>
      </c>
      <c r="E665" s="4" t="s">
        <v>4737</v>
      </c>
    </row>
    <row r="666">
      <c r="A666" s="33">
        <v>45758.416602453704</v>
      </c>
      <c r="B666" s="4" t="s">
        <v>4742</v>
      </c>
      <c r="C666" s="4" t="s">
        <v>4982</v>
      </c>
      <c r="D666" s="4" t="s">
        <v>4735</v>
      </c>
      <c r="E666" s="4" t="s">
        <v>4806</v>
      </c>
    </row>
    <row r="667">
      <c r="A667" s="33">
        <v>45761.37521554398</v>
      </c>
      <c r="B667" s="4" t="s">
        <v>4801</v>
      </c>
      <c r="C667" s="4" t="s">
        <v>4966</v>
      </c>
      <c r="D667" s="4" t="s">
        <v>4803</v>
      </c>
      <c r="E667" s="4" t="s">
        <v>4737</v>
      </c>
    </row>
    <row r="668">
      <c r="A668" s="33">
        <v>45761.37538142361</v>
      </c>
      <c r="B668" s="4" t="s">
        <v>4776</v>
      </c>
      <c r="C668" s="5" t="s">
        <v>4957</v>
      </c>
      <c r="D668" s="4" t="s">
        <v>4735</v>
      </c>
      <c r="E668" s="4" t="s">
        <v>4958</v>
      </c>
    </row>
    <row r="669">
      <c r="A669" s="33">
        <v>45761.37538915509</v>
      </c>
      <c r="B669" s="4" t="s">
        <v>4779</v>
      </c>
      <c r="C669" s="4" t="s">
        <v>4780</v>
      </c>
      <c r="D669" s="4" t="s">
        <v>4781</v>
      </c>
      <c r="E669" s="4" t="s">
        <v>4737</v>
      </c>
    </row>
    <row r="670">
      <c r="A670" s="33">
        <v>45761.37539144676</v>
      </c>
      <c r="B670" s="4" t="s">
        <v>4782</v>
      </c>
      <c r="C670" s="4" t="s">
        <v>4780</v>
      </c>
      <c r="D670" s="4" t="s">
        <v>4781</v>
      </c>
      <c r="E670" s="4" t="s">
        <v>4737</v>
      </c>
    </row>
    <row r="671">
      <c r="A671" s="33">
        <v>45761.375393993054</v>
      </c>
      <c r="B671" s="4" t="s">
        <v>4783</v>
      </c>
      <c r="C671" s="4" t="s">
        <v>4780</v>
      </c>
      <c r="D671" s="4" t="s">
        <v>4781</v>
      </c>
      <c r="E671" s="4" t="s">
        <v>4737</v>
      </c>
    </row>
    <row r="672">
      <c r="A672" s="33">
        <v>45761.37546601852</v>
      </c>
      <c r="B672" s="4" t="s">
        <v>4742</v>
      </c>
      <c r="C672" s="4" t="s">
        <v>4967</v>
      </c>
      <c r="D672" s="4" t="s">
        <v>4735</v>
      </c>
      <c r="E672" s="4" t="s">
        <v>4806</v>
      </c>
    </row>
    <row r="673">
      <c r="A673" s="33">
        <v>45762.37521974537</v>
      </c>
      <c r="B673" s="4" t="s">
        <v>4801</v>
      </c>
      <c r="C673" s="4" t="s">
        <v>4983</v>
      </c>
      <c r="D673" s="4" t="s">
        <v>4803</v>
      </c>
      <c r="E673" s="4" t="s">
        <v>4737</v>
      </c>
    </row>
    <row r="674">
      <c r="A674" s="33">
        <v>45762.37538254629</v>
      </c>
      <c r="B674" s="4" t="s">
        <v>4776</v>
      </c>
      <c r="C674" s="5" t="s">
        <v>4963</v>
      </c>
      <c r="D674" s="4" t="s">
        <v>4735</v>
      </c>
      <c r="E674" s="4" t="s">
        <v>4964</v>
      </c>
    </row>
    <row r="675">
      <c r="A675" s="33">
        <v>45762.375384837964</v>
      </c>
      <c r="B675" s="4" t="s">
        <v>4779</v>
      </c>
      <c r="C675" s="4" t="s">
        <v>4780</v>
      </c>
      <c r="D675" s="4" t="s">
        <v>4781</v>
      </c>
      <c r="E675" s="4" t="s">
        <v>4737</v>
      </c>
    </row>
    <row r="676">
      <c r="A676" s="33">
        <v>45762.37538693287</v>
      </c>
      <c r="B676" s="4" t="s">
        <v>4782</v>
      </c>
      <c r="C676" s="4" t="s">
        <v>4780</v>
      </c>
      <c r="D676" s="4" t="s">
        <v>4781</v>
      </c>
      <c r="E676" s="4" t="s">
        <v>4737</v>
      </c>
    </row>
    <row r="677">
      <c r="A677" s="33">
        <v>45762.3753890625</v>
      </c>
      <c r="B677" s="4" t="s">
        <v>4783</v>
      </c>
      <c r="C677" s="4" t="s">
        <v>4780</v>
      </c>
      <c r="D677" s="4" t="s">
        <v>4781</v>
      </c>
      <c r="E677" s="4" t="s">
        <v>4737</v>
      </c>
    </row>
    <row r="678">
      <c r="A678" s="33">
        <v>45762.375456435184</v>
      </c>
      <c r="B678" s="4" t="s">
        <v>4742</v>
      </c>
      <c r="C678" s="4" t="s">
        <v>4984</v>
      </c>
      <c r="D678" s="4" t="s">
        <v>4735</v>
      </c>
      <c r="E678" s="4" t="s">
        <v>4806</v>
      </c>
    </row>
    <row r="679">
      <c r="A679" s="33">
        <v>45765.37509310185</v>
      </c>
      <c r="B679" s="4" t="s">
        <v>4801</v>
      </c>
      <c r="C679" s="4" t="s">
        <v>4985</v>
      </c>
      <c r="D679" s="4" t="s">
        <v>4803</v>
      </c>
      <c r="E679" s="4" t="s">
        <v>4737</v>
      </c>
    </row>
    <row r="680">
      <c r="A680" s="33">
        <v>45765.375247662036</v>
      </c>
      <c r="B680" s="4" t="s">
        <v>4776</v>
      </c>
      <c r="C680" s="5" t="s">
        <v>4973</v>
      </c>
      <c r="D680" s="4" t="s">
        <v>4735</v>
      </c>
      <c r="E680" s="4" t="s">
        <v>4974</v>
      </c>
    </row>
    <row r="681">
      <c r="A681" s="33">
        <v>45765.37525020834</v>
      </c>
      <c r="B681" s="4" t="s">
        <v>4779</v>
      </c>
      <c r="C681" s="4" t="s">
        <v>4780</v>
      </c>
      <c r="D681" s="4" t="s">
        <v>4781</v>
      </c>
      <c r="E681" s="4" t="s">
        <v>4737</v>
      </c>
    </row>
    <row r="682">
      <c r="A682" s="33">
        <v>45765.37525225694</v>
      </c>
      <c r="B682" s="4" t="s">
        <v>4782</v>
      </c>
      <c r="C682" s="4" t="s">
        <v>4780</v>
      </c>
      <c r="D682" s="4" t="s">
        <v>4781</v>
      </c>
      <c r="E682" s="4" t="s">
        <v>4737</v>
      </c>
    </row>
    <row r="683">
      <c r="A683" s="33">
        <v>45765.37525444444</v>
      </c>
      <c r="B683" s="4" t="s">
        <v>4783</v>
      </c>
      <c r="C683" s="4" t="s">
        <v>4780</v>
      </c>
      <c r="D683" s="4" t="s">
        <v>4781</v>
      </c>
      <c r="E683" s="4" t="s">
        <v>4737</v>
      </c>
    </row>
    <row r="684">
      <c r="A684" s="33">
        <v>45765.37532365741</v>
      </c>
      <c r="B684" s="4" t="s">
        <v>4742</v>
      </c>
      <c r="C684" s="4" t="s">
        <v>4986</v>
      </c>
      <c r="D684" s="4" t="s">
        <v>4735</v>
      </c>
      <c r="E684" s="4" t="s">
        <v>4806</v>
      </c>
    </row>
    <row r="685">
      <c r="A685" s="33">
        <v>45768.55988635417</v>
      </c>
      <c r="B685" s="4" t="s">
        <v>4801</v>
      </c>
      <c r="C685" s="4" t="s">
        <v>4987</v>
      </c>
      <c r="D685" s="4" t="s">
        <v>4803</v>
      </c>
      <c r="E685" s="4" t="s">
        <v>4737</v>
      </c>
    </row>
    <row r="686">
      <c r="A686" s="33">
        <v>45768.56004435185</v>
      </c>
      <c r="B686" s="4" t="s">
        <v>4776</v>
      </c>
      <c r="C686" s="5" t="s">
        <v>4988</v>
      </c>
      <c r="D686" s="4" t="s">
        <v>4735</v>
      </c>
      <c r="E686" s="4" t="s">
        <v>4989</v>
      </c>
    </row>
    <row r="687">
      <c r="A687" s="33">
        <v>45768.56004653935</v>
      </c>
      <c r="B687" s="4" t="s">
        <v>4779</v>
      </c>
      <c r="C687" s="4" t="s">
        <v>4780</v>
      </c>
      <c r="D687" s="4" t="s">
        <v>4781</v>
      </c>
      <c r="E687" s="4" t="s">
        <v>4737</v>
      </c>
    </row>
    <row r="688">
      <c r="A688" s="33">
        <v>45768.56004855324</v>
      </c>
      <c r="B688" s="4" t="s">
        <v>4782</v>
      </c>
      <c r="C688" s="4" t="s">
        <v>4780</v>
      </c>
      <c r="D688" s="4" t="s">
        <v>4781</v>
      </c>
      <c r="E688" s="4" t="s">
        <v>4737</v>
      </c>
    </row>
    <row r="689">
      <c r="A689" s="33">
        <v>45768.560050451386</v>
      </c>
      <c r="B689" s="4" t="s">
        <v>4783</v>
      </c>
      <c r="C689" s="4" t="s">
        <v>4780</v>
      </c>
      <c r="D689" s="4" t="s">
        <v>4781</v>
      </c>
      <c r="E689" s="4" t="s">
        <v>4737</v>
      </c>
    </row>
    <row r="690">
      <c r="A690" s="33">
        <v>45768.56011762732</v>
      </c>
      <c r="B690" s="4" t="s">
        <v>4742</v>
      </c>
      <c r="C690" s="4" t="s">
        <v>4990</v>
      </c>
      <c r="D690" s="4" t="s">
        <v>4735</v>
      </c>
      <c r="E690" s="4" t="s">
        <v>4806</v>
      </c>
    </row>
    <row r="691">
      <c r="A691" s="33">
        <v>45768.705150127316</v>
      </c>
      <c r="B691" s="4" t="s">
        <v>4801</v>
      </c>
      <c r="C691" s="4" t="s">
        <v>4991</v>
      </c>
      <c r="D691" s="4" t="s">
        <v>4803</v>
      </c>
      <c r="E691" s="4" t="s">
        <v>4737</v>
      </c>
    </row>
    <row r="692">
      <c r="A692" s="33">
        <v>45768.70531791667</v>
      </c>
      <c r="B692" s="4" t="s">
        <v>4776</v>
      </c>
      <c r="C692" s="5" t="s">
        <v>4992</v>
      </c>
      <c r="D692" s="4" t="s">
        <v>4735</v>
      </c>
      <c r="E692" s="4" t="s">
        <v>4993</v>
      </c>
    </row>
    <row r="693">
      <c r="A693" s="33">
        <v>45768.70545259259</v>
      </c>
      <c r="B693" s="4" t="s">
        <v>4779</v>
      </c>
      <c r="C693" s="5" t="s">
        <v>4994</v>
      </c>
      <c r="D693" s="4" t="s">
        <v>4735</v>
      </c>
      <c r="E693" s="4" t="s">
        <v>4995</v>
      </c>
    </row>
    <row r="694">
      <c r="A694" s="33">
        <v>45768.705586944445</v>
      </c>
      <c r="B694" s="4" t="s">
        <v>4782</v>
      </c>
      <c r="C694" s="5" t="s">
        <v>4996</v>
      </c>
      <c r="D694" s="4" t="s">
        <v>4735</v>
      </c>
      <c r="E694" s="4" t="s">
        <v>4997</v>
      </c>
    </row>
    <row r="695">
      <c r="A695" s="33">
        <v>45768.70558962963</v>
      </c>
      <c r="B695" s="4" t="s">
        <v>4783</v>
      </c>
      <c r="C695" s="4" t="s">
        <v>4780</v>
      </c>
      <c r="D695" s="4" t="s">
        <v>4781</v>
      </c>
      <c r="E695" s="4" t="s">
        <v>4737</v>
      </c>
    </row>
    <row r="696">
      <c r="A696" s="33">
        <v>45768.70565682871</v>
      </c>
      <c r="B696" s="4" t="s">
        <v>4742</v>
      </c>
      <c r="C696" s="4" t="s">
        <v>4998</v>
      </c>
      <c r="D696" s="4" t="s">
        <v>4735</v>
      </c>
      <c r="E696" s="4" t="s">
        <v>4806</v>
      </c>
    </row>
    <row r="697">
      <c r="A697" s="33">
        <v>45769.37511980324</v>
      </c>
      <c r="B697" s="4" t="s">
        <v>4801</v>
      </c>
      <c r="C697" s="4" t="s">
        <v>4966</v>
      </c>
      <c r="D697" s="4" t="s">
        <v>4803</v>
      </c>
      <c r="E697" s="4" t="s">
        <v>4737</v>
      </c>
    </row>
    <row r="698">
      <c r="A698" s="33">
        <v>45769.375290358796</v>
      </c>
      <c r="B698" s="4" t="s">
        <v>4776</v>
      </c>
      <c r="C698" s="5" t="s">
        <v>4957</v>
      </c>
      <c r="D698" s="4" t="s">
        <v>4735</v>
      </c>
      <c r="E698" s="4" t="s">
        <v>4958</v>
      </c>
    </row>
    <row r="699">
      <c r="A699" s="33">
        <v>45769.37529328704</v>
      </c>
      <c r="B699" s="4" t="s">
        <v>4779</v>
      </c>
      <c r="C699" s="4" t="s">
        <v>4780</v>
      </c>
      <c r="D699" s="4" t="s">
        <v>4781</v>
      </c>
      <c r="E699" s="4" t="s">
        <v>4737</v>
      </c>
    </row>
    <row r="700">
      <c r="A700" s="33">
        <v>45769.375297245366</v>
      </c>
      <c r="B700" s="4" t="s">
        <v>4782</v>
      </c>
      <c r="C700" s="4" t="s">
        <v>4780</v>
      </c>
      <c r="D700" s="4" t="s">
        <v>4781</v>
      </c>
      <c r="E700" s="4" t="s">
        <v>4737</v>
      </c>
    </row>
    <row r="701">
      <c r="A701" s="33">
        <v>45769.37530021991</v>
      </c>
      <c r="B701" s="4" t="s">
        <v>4783</v>
      </c>
      <c r="C701" s="4" t="s">
        <v>4780</v>
      </c>
      <c r="D701" s="4" t="s">
        <v>4781</v>
      </c>
      <c r="E701" s="4" t="s">
        <v>4737</v>
      </c>
    </row>
    <row r="702">
      <c r="A702" s="33">
        <v>45769.37536896991</v>
      </c>
      <c r="B702" s="4" t="s">
        <v>4742</v>
      </c>
      <c r="C702" s="4" t="s">
        <v>4967</v>
      </c>
      <c r="D702" s="4" t="s">
        <v>4735</v>
      </c>
      <c r="E702" s="4" t="s">
        <v>4806</v>
      </c>
    </row>
    <row r="703">
      <c r="A703" s="33">
        <v>45775.49387519676</v>
      </c>
      <c r="B703" s="4" t="s">
        <v>4801</v>
      </c>
      <c r="C703" s="4" t="s">
        <v>4999</v>
      </c>
      <c r="D703" s="4" t="s">
        <v>4803</v>
      </c>
      <c r="E703" s="4" t="s">
        <v>4737</v>
      </c>
    </row>
    <row r="704">
      <c r="A704" s="33">
        <v>45775.49403581019</v>
      </c>
      <c r="B704" s="4" t="s">
        <v>4776</v>
      </c>
      <c r="C704" s="5" t="s">
        <v>5000</v>
      </c>
      <c r="D704" s="4" t="s">
        <v>4735</v>
      </c>
      <c r="E704" s="4" t="s">
        <v>5001</v>
      </c>
    </row>
    <row r="705">
      <c r="A705" s="33">
        <v>45775.494039930556</v>
      </c>
      <c r="B705" s="4" t="s">
        <v>4779</v>
      </c>
      <c r="C705" s="4" t="s">
        <v>4780</v>
      </c>
      <c r="D705" s="4" t="s">
        <v>4781</v>
      </c>
      <c r="E705" s="4" t="s">
        <v>4737</v>
      </c>
    </row>
    <row r="706">
      <c r="A706" s="33">
        <v>45775.4940421875</v>
      </c>
      <c r="B706" s="4" t="s">
        <v>4782</v>
      </c>
      <c r="C706" s="4" t="s">
        <v>4780</v>
      </c>
      <c r="D706" s="4" t="s">
        <v>4781</v>
      </c>
      <c r="E706" s="4" t="s">
        <v>4737</v>
      </c>
    </row>
    <row r="707">
      <c r="A707" s="33">
        <v>45775.49404445602</v>
      </c>
      <c r="B707" s="4" t="s">
        <v>4783</v>
      </c>
      <c r="C707" s="4" t="s">
        <v>4780</v>
      </c>
      <c r="D707" s="4" t="s">
        <v>4781</v>
      </c>
      <c r="E707" s="4" t="s">
        <v>4737</v>
      </c>
    </row>
    <row r="708">
      <c r="A708" s="33">
        <v>45775.49411157407</v>
      </c>
      <c r="B708" s="4" t="s">
        <v>4742</v>
      </c>
      <c r="C708" s="4" t="s">
        <v>5002</v>
      </c>
      <c r="D708" s="4" t="s">
        <v>4735</v>
      </c>
      <c r="E708" s="4" t="s">
        <v>4806</v>
      </c>
    </row>
    <row r="709">
      <c r="A709" s="33">
        <v>45777.37519361111</v>
      </c>
      <c r="B709" s="4" t="s">
        <v>4801</v>
      </c>
      <c r="C709" s="4" t="s">
        <v>5003</v>
      </c>
      <c r="D709" s="4" t="s">
        <v>4803</v>
      </c>
      <c r="E709" s="4" t="s">
        <v>4737</v>
      </c>
    </row>
    <row r="710">
      <c r="A710" s="33">
        <v>45777.37535002315</v>
      </c>
      <c r="B710" s="4" t="s">
        <v>4776</v>
      </c>
      <c r="C710" s="5" t="s">
        <v>4957</v>
      </c>
      <c r="D710" s="4" t="s">
        <v>4735</v>
      </c>
      <c r="E710" s="4" t="s">
        <v>4958</v>
      </c>
    </row>
    <row r="711">
      <c r="A711" s="33">
        <v>45777.37535311343</v>
      </c>
      <c r="B711" s="4" t="s">
        <v>4779</v>
      </c>
      <c r="C711" s="4" t="s">
        <v>4780</v>
      </c>
      <c r="D711" s="4" t="s">
        <v>4781</v>
      </c>
      <c r="E711" s="4" t="s">
        <v>4737</v>
      </c>
    </row>
    <row r="712">
      <c r="A712" s="33">
        <v>45777.37535564815</v>
      </c>
      <c r="B712" s="4" t="s">
        <v>4782</v>
      </c>
      <c r="C712" s="4" t="s">
        <v>4780</v>
      </c>
      <c r="D712" s="4" t="s">
        <v>4781</v>
      </c>
      <c r="E712" s="4" t="s">
        <v>4737</v>
      </c>
    </row>
    <row r="713">
      <c r="A713" s="33">
        <v>45777.37535821759</v>
      </c>
      <c r="B713" s="4" t="s">
        <v>4783</v>
      </c>
      <c r="C713" s="4" t="s">
        <v>4780</v>
      </c>
      <c r="D713" s="4" t="s">
        <v>4781</v>
      </c>
      <c r="E713" s="4" t="s">
        <v>4737</v>
      </c>
    </row>
    <row r="714">
      <c r="A714" s="33">
        <v>45777.37542309028</v>
      </c>
      <c r="B714" s="4" t="s">
        <v>4742</v>
      </c>
      <c r="C714" s="4" t="s">
        <v>5004</v>
      </c>
      <c r="D714" s="4" t="s">
        <v>4735</v>
      </c>
      <c r="E714" s="4" t="s">
        <v>4806</v>
      </c>
    </row>
    <row r="715">
      <c r="A715" s="33">
        <v>45779.375165543985</v>
      </c>
      <c r="B715" s="4" t="s">
        <v>4801</v>
      </c>
      <c r="C715" s="4" t="s">
        <v>5005</v>
      </c>
      <c r="D715" s="4" t="s">
        <v>4803</v>
      </c>
      <c r="E715" s="4" t="s">
        <v>4737</v>
      </c>
    </row>
    <row r="716">
      <c r="A716" s="33">
        <v>45779.37532584491</v>
      </c>
      <c r="B716" s="4" t="s">
        <v>4776</v>
      </c>
      <c r="C716" s="5" t="s">
        <v>4988</v>
      </c>
      <c r="D716" s="4" t="s">
        <v>4735</v>
      </c>
      <c r="E716" s="4" t="s">
        <v>4989</v>
      </c>
    </row>
    <row r="717">
      <c r="A717" s="33">
        <v>45779.37533028935</v>
      </c>
      <c r="B717" s="4" t="s">
        <v>4779</v>
      </c>
      <c r="C717" s="4" t="s">
        <v>4780</v>
      </c>
      <c r="D717" s="4" t="s">
        <v>4781</v>
      </c>
      <c r="E717" s="4" t="s">
        <v>4737</v>
      </c>
    </row>
    <row r="718">
      <c r="A718" s="33">
        <v>45779.37533283565</v>
      </c>
      <c r="B718" s="4" t="s">
        <v>4782</v>
      </c>
      <c r="C718" s="4" t="s">
        <v>4780</v>
      </c>
      <c r="D718" s="4" t="s">
        <v>4781</v>
      </c>
      <c r="E718" s="4" t="s">
        <v>4737</v>
      </c>
    </row>
    <row r="719">
      <c r="A719" s="33">
        <v>45779.375335543984</v>
      </c>
      <c r="B719" s="4" t="s">
        <v>4783</v>
      </c>
      <c r="C719" s="4" t="s">
        <v>4780</v>
      </c>
      <c r="D719" s="4" t="s">
        <v>4781</v>
      </c>
      <c r="E719" s="4" t="s">
        <v>4737</v>
      </c>
    </row>
    <row r="720">
      <c r="A720" s="33">
        <v>45779.375403136575</v>
      </c>
      <c r="B720" s="4" t="s">
        <v>4742</v>
      </c>
      <c r="C720" s="4" t="s">
        <v>5006</v>
      </c>
      <c r="D720" s="4" t="s">
        <v>4735</v>
      </c>
      <c r="E720" s="4" t="s">
        <v>4806</v>
      </c>
    </row>
    <row r="721">
      <c r="A721" s="33">
        <v>45782.37510653935</v>
      </c>
      <c r="B721" s="4" t="s">
        <v>4801</v>
      </c>
      <c r="C721" s="4" t="s">
        <v>5007</v>
      </c>
      <c r="D721" s="4" t="s">
        <v>4803</v>
      </c>
      <c r="E721" s="4" t="s">
        <v>4737</v>
      </c>
    </row>
    <row r="722">
      <c r="A722" s="33">
        <v>45782.37526299768</v>
      </c>
      <c r="B722" s="4" t="s">
        <v>4776</v>
      </c>
      <c r="C722" s="5" t="s">
        <v>4992</v>
      </c>
      <c r="D722" s="4" t="s">
        <v>4735</v>
      </c>
      <c r="E722" s="4" t="s">
        <v>4993</v>
      </c>
    </row>
    <row r="723">
      <c r="A723" s="33">
        <v>45782.37541177083</v>
      </c>
      <c r="B723" s="4" t="s">
        <v>4779</v>
      </c>
      <c r="C723" s="5" t="s">
        <v>4994</v>
      </c>
      <c r="D723" s="4" t="s">
        <v>4735</v>
      </c>
      <c r="E723" s="4" t="s">
        <v>4995</v>
      </c>
    </row>
    <row r="724">
      <c r="A724" s="33">
        <v>45782.375538333334</v>
      </c>
      <c r="B724" s="4" t="s">
        <v>4782</v>
      </c>
      <c r="C724" s="5" t="s">
        <v>4996</v>
      </c>
      <c r="D724" s="4" t="s">
        <v>4735</v>
      </c>
      <c r="E724" s="4" t="s">
        <v>4997</v>
      </c>
    </row>
    <row r="725">
      <c r="A725" s="33">
        <v>45782.375540381945</v>
      </c>
      <c r="B725" s="4" t="s">
        <v>4783</v>
      </c>
      <c r="C725" s="4" t="s">
        <v>4780</v>
      </c>
      <c r="D725" s="4" t="s">
        <v>4781</v>
      </c>
      <c r="E725" s="4" t="s">
        <v>4737</v>
      </c>
    </row>
    <row r="726">
      <c r="A726" s="33">
        <v>45782.37560829861</v>
      </c>
      <c r="B726" s="4" t="s">
        <v>4742</v>
      </c>
      <c r="C726" s="4" t="s">
        <v>5008</v>
      </c>
      <c r="D726" s="4" t="s">
        <v>4735</v>
      </c>
      <c r="E726" s="4" t="s">
        <v>4806</v>
      </c>
    </row>
    <row r="727">
      <c r="A727" s="33">
        <v>45785.48449207176</v>
      </c>
      <c r="B727" s="4" t="s">
        <v>4801</v>
      </c>
      <c r="C727" s="4" t="s">
        <v>5009</v>
      </c>
      <c r="D727" s="4" t="s">
        <v>4803</v>
      </c>
      <c r="E727" s="4" t="s">
        <v>4737</v>
      </c>
    </row>
    <row r="728">
      <c r="A728" s="33">
        <v>45785.48463096065</v>
      </c>
      <c r="B728" s="4" t="s">
        <v>4776</v>
      </c>
      <c r="C728" s="5" t="s">
        <v>5010</v>
      </c>
      <c r="D728" s="4" t="s">
        <v>4735</v>
      </c>
      <c r="E728" s="4" t="s">
        <v>5011</v>
      </c>
    </row>
    <row r="729">
      <c r="A729" s="33">
        <v>45785.484634583336</v>
      </c>
      <c r="B729" s="4" t="s">
        <v>4779</v>
      </c>
      <c r="C729" s="4" t="s">
        <v>4780</v>
      </c>
      <c r="D729" s="4" t="s">
        <v>4781</v>
      </c>
      <c r="E729" s="4" t="s">
        <v>4737</v>
      </c>
    </row>
    <row r="730">
      <c r="A730" s="33">
        <v>45785.48463771991</v>
      </c>
      <c r="B730" s="4" t="s">
        <v>4782</v>
      </c>
      <c r="C730" s="4" t="s">
        <v>4780</v>
      </c>
      <c r="D730" s="4" t="s">
        <v>4781</v>
      </c>
      <c r="E730" s="4" t="s">
        <v>4737</v>
      </c>
    </row>
    <row r="731">
      <c r="A731" s="33">
        <v>45785.484641030096</v>
      </c>
      <c r="B731" s="4" t="s">
        <v>4783</v>
      </c>
      <c r="C731" s="4" t="s">
        <v>4780</v>
      </c>
      <c r="D731" s="4" t="s">
        <v>4781</v>
      </c>
      <c r="E731" s="4" t="s">
        <v>4737</v>
      </c>
    </row>
    <row r="732">
      <c r="A732" s="33">
        <v>45785.48471780092</v>
      </c>
      <c r="B732" s="4" t="s">
        <v>4742</v>
      </c>
      <c r="C732" s="4" t="s">
        <v>5012</v>
      </c>
      <c r="D732" s="4" t="s">
        <v>4735</v>
      </c>
      <c r="E732" s="4" t="s">
        <v>4806</v>
      </c>
    </row>
    <row r="733">
      <c r="A733" s="33">
        <v>45785.515037881945</v>
      </c>
      <c r="B733" s="4" t="s">
        <v>4801</v>
      </c>
      <c r="C733" s="4" t="s">
        <v>5013</v>
      </c>
      <c r="D733" s="4" t="s">
        <v>4803</v>
      </c>
      <c r="E733" s="4" t="s">
        <v>4737</v>
      </c>
    </row>
    <row r="734">
      <c r="A734" s="33">
        <v>45785.5151959838</v>
      </c>
      <c r="B734" s="4" t="s">
        <v>4776</v>
      </c>
      <c r="C734" s="5" t="s">
        <v>5014</v>
      </c>
      <c r="D734" s="4" t="s">
        <v>4735</v>
      </c>
      <c r="E734" s="4" t="s">
        <v>5015</v>
      </c>
    </row>
    <row r="735">
      <c r="A735" s="33">
        <v>45785.51520011574</v>
      </c>
      <c r="B735" s="4" t="s">
        <v>4779</v>
      </c>
      <c r="C735" s="4" t="s">
        <v>4780</v>
      </c>
      <c r="D735" s="4" t="s">
        <v>4781</v>
      </c>
      <c r="E735" s="4" t="s">
        <v>4737</v>
      </c>
    </row>
    <row r="736">
      <c r="A736" s="33">
        <v>45785.5152049537</v>
      </c>
      <c r="B736" s="4" t="s">
        <v>4782</v>
      </c>
      <c r="C736" s="4" t="s">
        <v>4780</v>
      </c>
      <c r="D736" s="4" t="s">
        <v>4781</v>
      </c>
      <c r="E736" s="4" t="s">
        <v>4737</v>
      </c>
    </row>
    <row r="737">
      <c r="A737" s="33">
        <v>45785.51520886574</v>
      </c>
      <c r="B737" s="4" t="s">
        <v>4783</v>
      </c>
      <c r="C737" s="4" t="s">
        <v>4780</v>
      </c>
      <c r="D737" s="4" t="s">
        <v>4781</v>
      </c>
      <c r="E737" s="4" t="s">
        <v>4737</v>
      </c>
    </row>
    <row r="738">
      <c r="A738" s="33">
        <v>45785.51528258102</v>
      </c>
      <c r="B738" s="4" t="s">
        <v>4742</v>
      </c>
      <c r="C738" s="4" t="s">
        <v>5016</v>
      </c>
      <c r="D738" s="4" t="s">
        <v>4735</v>
      </c>
      <c r="E738" s="4" t="s">
        <v>4806</v>
      </c>
    </row>
    <row r="739">
      <c r="A739" s="33">
        <v>45785.575166875</v>
      </c>
      <c r="B739" s="4" t="s">
        <v>4801</v>
      </c>
      <c r="C739" s="4" t="s">
        <v>5017</v>
      </c>
      <c r="D739" s="4" t="s">
        <v>4803</v>
      </c>
      <c r="E739" s="4" t="s">
        <v>4737</v>
      </c>
    </row>
    <row r="740">
      <c r="A740" s="33">
        <v>45785.57532087963</v>
      </c>
      <c r="B740" s="4" t="s">
        <v>4776</v>
      </c>
      <c r="C740" s="5" t="s">
        <v>5018</v>
      </c>
      <c r="D740" s="4" t="s">
        <v>4735</v>
      </c>
      <c r="E740" s="4" t="s">
        <v>5019</v>
      </c>
    </row>
    <row r="741">
      <c r="A741" s="33">
        <v>45785.575324351856</v>
      </c>
      <c r="B741" s="4" t="s">
        <v>4779</v>
      </c>
      <c r="C741" s="4" t="s">
        <v>4780</v>
      </c>
      <c r="D741" s="4" t="s">
        <v>4781</v>
      </c>
      <c r="E741" s="4" t="s">
        <v>4737</v>
      </c>
    </row>
    <row r="742">
      <c r="A742" s="33">
        <v>45785.57532710648</v>
      </c>
      <c r="B742" s="4" t="s">
        <v>4782</v>
      </c>
      <c r="C742" s="4" t="s">
        <v>4780</v>
      </c>
      <c r="D742" s="4" t="s">
        <v>4781</v>
      </c>
      <c r="E742" s="4" t="s">
        <v>4737</v>
      </c>
    </row>
    <row r="743">
      <c r="A743" s="33">
        <v>45785.575329976855</v>
      </c>
      <c r="B743" s="4" t="s">
        <v>4783</v>
      </c>
      <c r="C743" s="4" t="s">
        <v>4780</v>
      </c>
      <c r="D743" s="4" t="s">
        <v>4781</v>
      </c>
      <c r="E743" s="4" t="s">
        <v>4737</v>
      </c>
    </row>
    <row r="744">
      <c r="A744" s="33">
        <v>45785.575396817134</v>
      </c>
      <c r="B744" s="4" t="s">
        <v>4742</v>
      </c>
      <c r="C744" s="4" t="s">
        <v>5020</v>
      </c>
      <c r="D744" s="4" t="s">
        <v>4735</v>
      </c>
      <c r="E744" s="4" t="s">
        <v>4806</v>
      </c>
    </row>
    <row r="745">
      <c r="A745" s="33">
        <v>45789.37508298611</v>
      </c>
      <c r="B745" s="4" t="s">
        <v>4801</v>
      </c>
      <c r="C745" s="4" t="s">
        <v>5021</v>
      </c>
      <c r="D745" s="4" t="s">
        <v>4803</v>
      </c>
      <c r="E745" s="4" t="s">
        <v>4737</v>
      </c>
    </row>
    <row r="746">
      <c r="A746" s="33">
        <v>45789.37523974537</v>
      </c>
      <c r="B746" s="4" t="s">
        <v>4776</v>
      </c>
      <c r="C746" s="5" t="s">
        <v>5000</v>
      </c>
      <c r="D746" s="4" t="s">
        <v>4735</v>
      </c>
      <c r="E746" s="4" t="s">
        <v>5001</v>
      </c>
    </row>
    <row r="747">
      <c r="A747" s="33">
        <v>45789.37524412037</v>
      </c>
      <c r="B747" s="4" t="s">
        <v>4779</v>
      </c>
      <c r="C747" s="4" t="s">
        <v>4780</v>
      </c>
      <c r="D747" s="4" t="s">
        <v>4781</v>
      </c>
      <c r="E747" s="4" t="s">
        <v>4737</v>
      </c>
    </row>
    <row r="748">
      <c r="A748" s="33">
        <v>45789.37524825231</v>
      </c>
      <c r="B748" s="4" t="s">
        <v>4782</v>
      </c>
      <c r="C748" s="4" t="s">
        <v>4780</v>
      </c>
      <c r="D748" s="4" t="s">
        <v>4781</v>
      </c>
      <c r="E748" s="4" t="s">
        <v>4737</v>
      </c>
    </row>
    <row r="749">
      <c r="A749" s="33">
        <v>45789.37526394676</v>
      </c>
      <c r="B749" s="4" t="s">
        <v>4783</v>
      </c>
      <c r="C749" s="4" t="s">
        <v>4780</v>
      </c>
      <c r="D749" s="4" t="s">
        <v>4781</v>
      </c>
      <c r="E749" s="4" t="s">
        <v>4737</v>
      </c>
    </row>
    <row r="750">
      <c r="A750" s="33">
        <v>45789.37533200231</v>
      </c>
      <c r="B750" s="4" t="s">
        <v>4742</v>
      </c>
      <c r="C750" s="4" t="s">
        <v>5022</v>
      </c>
      <c r="D750" s="4" t="s">
        <v>4735</v>
      </c>
      <c r="E750" s="4" t="s">
        <v>4806</v>
      </c>
    </row>
    <row r="751">
      <c r="A751" s="33">
        <v>45789.71112403936</v>
      </c>
      <c r="B751" s="4" t="s">
        <v>4801</v>
      </c>
      <c r="C751" s="4" t="s">
        <v>5023</v>
      </c>
      <c r="D751" s="4" t="s">
        <v>4803</v>
      </c>
      <c r="E751" s="4" t="s">
        <v>4737</v>
      </c>
    </row>
    <row r="752">
      <c r="A752" s="33">
        <v>45789.71114511574</v>
      </c>
      <c r="B752" s="4" t="s">
        <v>4776</v>
      </c>
      <c r="C752" s="4" t="s">
        <v>4777</v>
      </c>
      <c r="D752" s="4" t="s">
        <v>4778</v>
      </c>
      <c r="E752" s="4" t="s">
        <v>5024</v>
      </c>
    </row>
    <row r="753">
      <c r="A753" s="33">
        <v>45789.71114730324</v>
      </c>
      <c r="B753" s="4" t="s">
        <v>4779</v>
      </c>
      <c r="C753" s="4" t="s">
        <v>4780</v>
      </c>
      <c r="D753" s="4" t="s">
        <v>4781</v>
      </c>
      <c r="E753" s="4" t="s">
        <v>4737</v>
      </c>
    </row>
    <row r="754">
      <c r="A754" s="33">
        <v>45789.711149166666</v>
      </c>
      <c r="B754" s="4" t="s">
        <v>4782</v>
      </c>
      <c r="C754" s="4" t="s">
        <v>4780</v>
      </c>
      <c r="D754" s="4" t="s">
        <v>4781</v>
      </c>
      <c r="E754" s="4" t="s">
        <v>4737</v>
      </c>
    </row>
    <row r="755">
      <c r="A755" s="33">
        <v>45789.71115150463</v>
      </c>
      <c r="B755" s="4" t="s">
        <v>4783</v>
      </c>
      <c r="C755" s="4" t="s">
        <v>4780</v>
      </c>
      <c r="D755" s="4" t="s">
        <v>4781</v>
      </c>
      <c r="E755" s="4" t="s">
        <v>4737</v>
      </c>
    </row>
    <row r="756">
      <c r="A756" s="33">
        <v>45789.71125769676</v>
      </c>
      <c r="B756" s="4" t="s">
        <v>4742</v>
      </c>
      <c r="C756" s="4" t="s">
        <v>5025</v>
      </c>
      <c r="D756" s="4" t="s">
        <v>4735</v>
      </c>
      <c r="E756" s="4" t="s">
        <v>4806</v>
      </c>
    </row>
    <row r="757">
      <c r="A757" s="33">
        <v>45789.722346712966</v>
      </c>
      <c r="B757" s="4" t="s">
        <v>4801</v>
      </c>
      <c r="C757" s="4" t="s">
        <v>5026</v>
      </c>
      <c r="D757" s="4" t="s">
        <v>4803</v>
      </c>
      <c r="E757" s="4" t="s">
        <v>4737</v>
      </c>
    </row>
    <row r="758">
      <c r="A758" s="33">
        <v>45789.72250616898</v>
      </c>
      <c r="B758" s="4" t="s">
        <v>4776</v>
      </c>
      <c r="C758" s="5" t="s">
        <v>5027</v>
      </c>
      <c r="D758" s="4" t="s">
        <v>4735</v>
      </c>
      <c r="E758" s="4" t="s">
        <v>5028</v>
      </c>
    </row>
    <row r="759">
      <c r="A759" s="33">
        <v>45789.72250837963</v>
      </c>
      <c r="B759" s="4" t="s">
        <v>4779</v>
      </c>
      <c r="C759" s="4" t="s">
        <v>4780</v>
      </c>
      <c r="D759" s="4" t="s">
        <v>4781</v>
      </c>
      <c r="E759" s="4" t="s">
        <v>4737</v>
      </c>
    </row>
    <row r="760">
      <c r="A760" s="33">
        <v>45789.72251048611</v>
      </c>
      <c r="B760" s="4" t="s">
        <v>4782</v>
      </c>
      <c r="C760" s="4" t="s">
        <v>4780</v>
      </c>
      <c r="D760" s="4" t="s">
        <v>4781</v>
      </c>
      <c r="E760" s="4" t="s">
        <v>4737</v>
      </c>
    </row>
    <row r="761">
      <c r="A761" s="33">
        <v>45789.72251273148</v>
      </c>
      <c r="B761" s="4" t="s">
        <v>4783</v>
      </c>
      <c r="C761" s="4" t="s">
        <v>4780</v>
      </c>
      <c r="D761" s="4" t="s">
        <v>4781</v>
      </c>
      <c r="E761" s="4" t="s">
        <v>4737</v>
      </c>
    </row>
    <row r="762">
      <c r="A762" s="33">
        <v>45789.72257922454</v>
      </c>
      <c r="B762" s="4" t="s">
        <v>4742</v>
      </c>
      <c r="C762" s="4" t="s">
        <v>5029</v>
      </c>
      <c r="D762" s="4" t="s">
        <v>4735</v>
      </c>
      <c r="E762" s="4" t="s">
        <v>4806</v>
      </c>
    </row>
    <row r="763">
      <c r="A763" s="33">
        <v>45792.67250053241</v>
      </c>
      <c r="B763" s="4" t="s">
        <v>4801</v>
      </c>
      <c r="C763" s="4" t="s">
        <v>5030</v>
      </c>
      <c r="D763" s="4" t="s">
        <v>4803</v>
      </c>
      <c r="E763" s="4" t="s">
        <v>4737</v>
      </c>
    </row>
    <row r="764">
      <c r="A764" s="33">
        <v>45792.67264929398</v>
      </c>
      <c r="B764" s="4" t="s">
        <v>4776</v>
      </c>
      <c r="C764" s="5" t="s">
        <v>5031</v>
      </c>
      <c r="D764" s="4" t="s">
        <v>4735</v>
      </c>
      <c r="E764" s="4" t="s">
        <v>5032</v>
      </c>
    </row>
    <row r="765">
      <c r="A765" s="33">
        <v>45792.672651307876</v>
      </c>
      <c r="B765" s="4" t="s">
        <v>4779</v>
      </c>
      <c r="C765" s="4" t="s">
        <v>4780</v>
      </c>
      <c r="D765" s="4" t="s">
        <v>4781</v>
      </c>
      <c r="E765" s="4" t="s">
        <v>4737</v>
      </c>
    </row>
    <row r="766">
      <c r="A766" s="33">
        <v>45792.67265305556</v>
      </c>
      <c r="B766" s="4" t="s">
        <v>4782</v>
      </c>
      <c r="C766" s="4" t="s">
        <v>4780</v>
      </c>
      <c r="D766" s="4" t="s">
        <v>4781</v>
      </c>
      <c r="E766" s="4" t="s">
        <v>4737</v>
      </c>
    </row>
    <row r="767">
      <c r="A767" s="33">
        <v>45792.672657523144</v>
      </c>
      <c r="B767" s="4" t="s">
        <v>4783</v>
      </c>
      <c r="C767" s="4" t="s">
        <v>4780</v>
      </c>
      <c r="D767" s="4" t="s">
        <v>4781</v>
      </c>
      <c r="E767" s="4" t="s">
        <v>4737</v>
      </c>
    </row>
    <row r="768">
      <c r="A768" s="33">
        <v>45792.672724502314</v>
      </c>
      <c r="B768" s="4" t="s">
        <v>4742</v>
      </c>
      <c r="C768" s="5" t="s">
        <v>5033</v>
      </c>
      <c r="D768" s="4" t="s">
        <v>4735</v>
      </c>
      <c r="E768" s="4" t="s">
        <v>4806</v>
      </c>
    </row>
    <row r="769">
      <c r="A769" s="33">
        <v>45792.6872380787</v>
      </c>
      <c r="B769" s="4" t="s">
        <v>4801</v>
      </c>
      <c r="C769" s="4" t="s">
        <v>5034</v>
      </c>
      <c r="D769" s="4" t="s">
        <v>4803</v>
      </c>
      <c r="E769" s="4" t="s">
        <v>4737</v>
      </c>
    </row>
    <row r="770">
      <c r="A770" s="33">
        <v>45792.68725935185</v>
      </c>
      <c r="B770" s="4" t="s">
        <v>4776</v>
      </c>
      <c r="C770" s="4" t="s">
        <v>4777</v>
      </c>
      <c r="D770" s="4" t="s">
        <v>4778</v>
      </c>
      <c r="E770" s="4" t="s">
        <v>5035</v>
      </c>
    </row>
    <row r="771">
      <c r="A771" s="33">
        <v>45792.68726136574</v>
      </c>
      <c r="B771" s="4" t="s">
        <v>4779</v>
      </c>
      <c r="C771" s="4" t="s">
        <v>4780</v>
      </c>
      <c r="D771" s="4" t="s">
        <v>4781</v>
      </c>
      <c r="E771" s="4" t="s">
        <v>4737</v>
      </c>
    </row>
    <row r="772">
      <c r="A772" s="33">
        <v>45792.68726348379</v>
      </c>
      <c r="B772" s="4" t="s">
        <v>4782</v>
      </c>
      <c r="C772" s="4" t="s">
        <v>4780</v>
      </c>
      <c r="D772" s="4" t="s">
        <v>4781</v>
      </c>
      <c r="E772" s="4" t="s">
        <v>4737</v>
      </c>
    </row>
    <row r="773">
      <c r="A773" s="33">
        <v>45792.68726520833</v>
      </c>
      <c r="B773" s="4" t="s">
        <v>4783</v>
      </c>
      <c r="C773" s="4" t="s">
        <v>4780</v>
      </c>
      <c r="D773" s="4" t="s">
        <v>4781</v>
      </c>
      <c r="E773" s="4" t="s">
        <v>4737</v>
      </c>
    </row>
    <row r="774">
      <c r="A774" s="33">
        <v>45792.6873352199</v>
      </c>
      <c r="B774" s="4" t="s">
        <v>4742</v>
      </c>
      <c r="C774" s="5" t="s">
        <v>5036</v>
      </c>
      <c r="D774" s="4" t="s">
        <v>4735</v>
      </c>
      <c r="E774" s="4" t="s">
        <v>4806</v>
      </c>
    </row>
    <row r="775">
      <c r="A775" s="33">
        <v>45796.37510600695</v>
      </c>
      <c r="B775" s="4" t="s">
        <v>4801</v>
      </c>
      <c r="C775" s="4" t="s">
        <v>5037</v>
      </c>
      <c r="D775" s="4" t="s">
        <v>4803</v>
      </c>
      <c r="E775" s="4" t="s">
        <v>4737</v>
      </c>
    </row>
    <row r="776">
      <c r="A776" s="33">
        <v>45796.37521777778</v>
      </c>
      <c r="B776" s="4" t="s">
        <v>4776</v>
      </c>
      <c r="C776" s="5" t="s">
        <v>5010</v>
      </c>
      <c r="D776" s="4" t="s">
        <v>4735</v>
      </c>
      <c r="E776" s="4" t="s">
        <v>5011</v>
      </c>
    </row>
    <row r="777">
      <c r="A777" s="33">
        <v>45796.37522149306</v>
      </c>
      <c r="B777" s="4" t="s">
        <v>4779</v>
      </c>
      <c r="C777" s="4" t="s">
        <v>4780</v>
      </c>
      <c r="D777" s="4" t="s">
        <v>4781</v>
      </c>
      <c r="E777" s="4" t="s">
        <v>4737</v>
      </c>
    </row>
    <row r="778">
      <c r="A778" s="33">
        <v>45796.37522450231</v>
      </c>
      <c r="B778" s="4" t="s">
        <v>4782</v>
      </c>
      <c r="C778" s="4" t="s">
        <v>4780</v>
      </c>
      <c r="D778" s="4" t="s">
        <v>4781</v>
      </c>
      <c r="E778" s="4" t="s">
        <v>4737</v>
      </c>
    </row>
    <row r="779">
      <c r="A779" s="33">
        <v>45796.37522782407</v>
      </c>
      <c r="B779" s="4" t="s">
        <v>4783</v>
      </c>
      <c r="C779" s="4" t="s">
        <v>4780</v>
      </c>
      <c r="D779" s="4" t="s">
        <v>4781</v>
      </c>
      <c r="E779" s="4" t="s">
        <v>4737</v>
      </c>
    </row>
    <row r="780">
      <c r="A780" s="33">
        <v>45796.37529309028</v>
      </c>
      <c r="B780" s="4" t="s">
        <v>4742</v>
      </c>
      <c r="C780" s="4" t="s">
        <v>5038</v>
      </c>
      <c r="D780" s="4" t="s">
        <v>4735</v>
      </c>
      <c r="E780" s="4" t="s">
        <v>4806</v>
      </c>
    </row>
    <row r="781">
      <c r="A781" s="33">
        <v>45796.47042233797</v>
      </c>
      <c r="B781" s="4" t="s">
        <v>4801</v>
      </c>
      <c r="C781" s="4" t="s">
        <v>5039</v>
      </c>
      <c r="D781" s="4" t="s">
        <v>4803</v>
      </c>
      <c r="E781" s="4" t="s">
        <v>4737</v>
      </c>
    </row>
    <row r="782">
      <c r="A782" s="33">
        <v>45796.47058792824</v>
      </c>
      <c r="B782" s="4" t="s">
        <v>4776</v>
      </c>
      <c r="C782" s="5" t="s">
        <v>5040</v>
      </c>
      <c r="D782" s="4" t="s">
        <v>4735</v>
      </c>
      <c r="E782" s="4" t="s">
        <v>5041</v>
      </c>
    </row>
    <row r="783">
      <c r="A783" s="33">
        <v>45796.47059060185</v>
      </c>
      <c r="B783" s="4" t="s">
        <v>4779</v>
      </c>
      <c r="C783" s="4" t="s">
        <v>4780</v>
      </c>
      <c r="D783" s="4" t="s">
        <v>4781</v>
      </c>
      <c r="E783" s="4" t="s">
        <v>4737</v>
      </c>
    </row>
    <row r="784">
      <c r="A784" s="33">
        <v>45796.47059304398</v>
      </c>
      <c r="B784" s="4" t="s">
        <v>4782</v>
      </c>
      <c r="C784" s="4" t="s">
        <v>4780</v>
      </c>
      <c r="D784" s="4" t="s">
        <v>4781</v>
      </c>
      <c r="E784" s="4" t="s">
        <v>4737</v>
      </c>
    </row>
    <row r="785">
      <c r="A785" s="33">
        <v>45796.47059548611</v>
      </c>
      <c r="B785" s="4" t="s">
        <v>4783</v>
      </c>
      <c r="C785" s="4" t="s">
        <v>4780</v>
      </c>
      <c r="D785" s="4" t="s">
        <v>4781</v>
      </c>
      <c r="E785" s="4" t="s">
        <v>4737</v>
      </c>
    </row>
    <row r="786">
      <c r="A786" s="33">
        <v>45796.47066328704</v>
      </c>
      <c r="B786" s="4" t="s">
        <v>4742</v>
      </c>
      <c r="C786" s="4" t="s">
        <v>5042</v>
      </c>
      <c r="D786" s="4" t="s">
        <v>4735</v>
      </c>
      <c r="E786" s="4" t="s">
        <v>4806</v>
      </c>
    </row>
    <row r="787">
      <c r="A787" s="33">
        <v>45796.48860833333</v>
      </c>
      <c r="B787" s="4" t="s">
        <v>4801</v>
      </c>
      <c r="C787" s="4" t="s">
        <v>5043</v>
      </c>
      <c r="D787" s="4" t="s">
        <v>4803</v>
      </c>
      <c r="E787" s="4" t="s">
        <v>4737</v>
      </c>
    </row>
    <row r="788">
      <c r="A788" s="33">
        <v>45796.48877040509</v>
      </c>
      <c r="B788" s="4" t="s">
        <v>4776</v>
      </c>
      <c r="C788" s="5" t="s">
        <v>5044</v>
      </c>
      <c r="D788" s="4" t="s">
        <v>4735</v>
      </c>
      <c r="E788" s="4" t="s">
        <v>5045</v>
      </c>
    </row>
    <row r="789">
      <c r="A789" s="33">
        <v>45796.488912037035</v>
      </c>
      <c r="B789" s="4" t="s">
        <v>4779</v>
      </c>
      <c r="C789" s="5" t="s">
        <v>5046</v>
      </c>
      <c r="D789" s="4" t="s">
        <v>4735</v>
      </c>
      <c r="E789" s="4" t="s">
        <v>5047</v>
      </c>
    </row>
    <row r="790">
      <c r="A790" s="33">
        <v>45796.48905366898</v>
      </c>
      <c r="B790" s="4" t="s">
        <v>4782</v>
      </c>
      <c r="C790" s="5" t="s">
        <v>5048</v>
      </c>
      <c r="D790" s="4" t="s">
        <v>4735</v>
      </c>
      <c r="E790" s="4" t="s">
        <v>5049</v>
      </c>
    </row>
    <row r="791">
      <c r="A791" s="33">
        <v>45796.4890557176</v>
      </c>
      <c r="B791" s="4" t="s">
        <v>4783</v>
      </c>
      <c r="C791" s="4" t="s">
        <v>4780</v>
      </c>
      <c r="D791" s="4" t="s">
        <v>4781</v>
      </c>
      <c r="E791" s="4" t="s">
        <v>4737</v>
      </c>
    </row>
    <row r="792">
      <c r="A792" s="33">
        <v>45796.48911958333</v>
      </c>
      <c r="B792" s="4" t="s">
        <v>4742</v>
      </c>
      <c r="C792" s="4" t="s">
        <v>5050</v>
      </c>
      <c r="D792" s="4" t="s">
        <v>4735</v>
      </c>
      <c r="E792" s="4" t="s">
        <v>4806</v>
      </c>
    </row>
    <row r="793">
      <c r="A793" s="33">
        <v>45799.704853125004</v>
      </c>
      <c r="B793" s="4" t="s">
        <v>4801</v>
      </c>
      <c r="C793" s="4" t="s">
        <v>5051</v>
      </c>
      <c r="D793" s="4" t="s">
        <v>4803</v>
      </c>
      <c r="E793" s="4" t="s">
        <v>4737</v>
      </c>
    </row>
    <row r="794">
      <c r="A794" s="33">
        <v>45799.705018946755</v>
      </c>
      <c r="B794" s="4" t="s">
        <v>4776</v>
      </c>
      <c r="C794" s="5" t="s">
        <v>5052</v>
      </c>
      <c r="D794" s="4" t="s">
        <v>4735</v>
      </c>
      <c r="E794" s="4" t="s">
        <v>5053</v>
      </c>
    </row>
    <row r="795">
      <c r="A795" s="33">
        <v>45799.705021331014</v>
      </c>
      <c r="B795" s="4" t="s">
        <v>4779</v>
      </c>
      <c r="C795" s="4" t="s">
        <v>4780</v>
      </c>
      <c r="D795" s="4" t="s">
        <v>4781</v>
      </c>
      <c r="E795" s="4" t="s">
        <v>4737</v>
      </c>
    </row>
    <row r="796">
      <c r="A796" s="33">
        <v>45799.70502358796</v>
      </c>
      <c r="B796" s="4" t="s">
        <v>4782</v>
      </c>
      <c r="C796" s="4" t="s">
        <v>4780</v>
      </c>
      <c r="D796" s="4" t="s">
        <v>4781</v>
      </c>
      <c r="E796" s="4" t="s">
        <v>4737</v>
      </c>
    </row>
    <row r="797">
      <c r="A797" s="33">
        <v>45799.70502584491</v>
      </c>
      <c r="B797" s="4" t="s">
        <v>4783</v>
      </c>
      <c r="C797" s="4" t="s">
        <v>4780</v>
      </c>
      <c r="D797" s="4" t="s">
        <v>4781</v>
      </c>
      <c r="E797" s="4" t="s">
        <v>4737</v>
      </c>
    </row>
    <row r="798">
      <c r="A798" s="33">
        <v>45799.705093530094</v>
      </c>
      <c r="B798" s="4" t="s">
        <v>4742</v>
      </c>
      <c r="C798" s="5" t="s">
        <v>5054</v>
      </c>
      <c r="D798" s="4" t="s">
        <v>4735</v>
      </c>
      <c r="E798" s="4" t="s">
        <v>4806</v>
      </c>
    </row>
    <row r="799">
      <c r="A799" s="33">
        <v>45800.37504806713</v>
      </c>
      <c r="B799" s="4" t="s">
        <v>4801</v>
      </c>
      <c r="C799" s="4" t="s">
        <v>5055</v>
      </c>
      <c r="D799" s="4" t="s">
        <v>4803</v>
      </c>
      <c r="E799" s="4" t="s">
        <v>4737</v>
      </c>
    </row>
    <row r="800">
      <c r="A800" s="33">
        <v>45800.375211817125</v>
      </c>
      <c r="B800" s="4" t="s">
        <v>4776</v>
      </c>
      <c r="C800" s="5" t="s">
        <v>5027</v>
      </c>
      <c r="D800" s="4" t="s">
        <v>4735</v>
      </c>
      <c r="E800" s="4" t="s">
        <v>5028</v>
      </c>
    </row>
    <row r="801">
      <c r="A801" s="33">
        <v>45800.37521600694</v>
      </c>
      <c r="B801" s="4" t="s">
        <v>4779</v>
      </c>
      <c r="C801" s="4" t="s">
        <v>4780</v>
      </c>
      <c r="D801" s="4" t="s">
        <v>4781</v>
      </c>
      <c r="E801" s="4" t="s">
        <v>4737</v>
      </c>
    </row>
    <row r="802">
      <c r="A802" s="33">
        <v>45800.37521863426</v>
      </c>
      <c r="B802" s="4" t="s">
        <v>4782</v>
      </c>
      <c r="C802" s="4" t="s">
        <v>4780</v>
      </c>
      <c r="D802" s="4" t="s">
        <v>4781</v>
      </c>
      <c r="E802" s="4" t="s">
        <v>4737</v>
      </c>
    </row>
    <row r="803">
      <c r="A803" s="33">
        <v>45800.37522170139</v>
      </c>
      <c r="B803" s="4" t="s">
        <v>4783</v>
      </c>
      <c r="C803" s="4" t="s">
        <v>4780</v>
      </c>
      <c r="D803" s="4" t="s">
        <v>4781</v>
      </c>
      <c r="E803" s="4" t="s">
        <v>4737</v>
      </c>
    </row>
    <row r="804">
      <c r="A804" s="33">
        <v>45800.375290625</v>
      </c>
      <c r="B804" s="4" t="s">
        <v>4742</v>
      </c>
      <c r="C804" s="4" t="s">
        <v>5056</v>
      </c>
      <c r="D804" s="4" t="s">
        <v>4735</v>
      </c>
      <c r="E804" s="4" t="s">
        <v>4806</v>
      </c>
    </row>
    <row r="805">
      <c r="A805" s="33">
        <v>45803.37510608796</v>
      </c>
      <c r="B805" s="4" t="s">
        <v>4801</v>
      </c>
      <c r="C805" s="4" t="s">
        <v>5057</v>
      </c>
      <c r="D805" s="4" t="s">
        <v>4803</v>
      </c>
      <c r="E805" s="4" t="s">
        <v>4737</v>
      </c>
    </row>
    <row r="806">
      <c r="A806" s="33">
        <v>45803.37527131944</v>
      </c>
      <c r="B806" s="4" t="s">
        <v>4776</v>
      </c>
      <c r="C806" s="5" t="s">
        <v>5000</v>
      </c>
      <c r="D806" s="4" t="s">
        <v>4735</v>
      </c>
      <c r="E806" s="4" t="s">
        <v>5001</v>
      </c>
    </row>
    <row r="807">
      <c r="A807" s="33">
        <v>45803.37527405092</v>
      </c>
      <c r="B807" s="4" t="s">
        <v>4779</v>
      </c>
      <c r="C807" s="4" t="s">
        <v>4780</v>
      </c>
      <c r="D807" s="4" t="s">
        <v>4781</v>
      </c>
      <c r="E807" s="4" t="s">
        <v>4737</v>
      </c>
    </row>
    <row r="808">
      <c r="A808" s="33">
        <v>45803.375276631945</v>
      </c>
      <c r="B808" s="4" t="s">
        <v>4782</v>
      </c>
      <c r="C808" s="4" t="s">
        <v>4780</v>
      </c>
      <c r="D808" s="4" t="s">
        <v>4781</v>
      </c>
      <c r="E808" s="4" t="s">
        <v>4737</v>
      </c>
    </row>
    <row r="809">
      <c r="A809" s="33">
        <v>45803.37528177083</v>
      </c>
      <c r="B809" s="4" t="s">
        <v>4783</v>
      </c>
      <c r="C809" s="4" t="s">
        <v>4780</v>
      </c>
      <c r="D809" s="4" t="s">
        <v>4781</v>
      </c>
      <c r="E809" s="4" t="s">
        <v>4737</v>
      </c>
    </row>
    <row r="810">
      <c r="A810" s="33">
        <v>45803.37535454861</v>
      </c>
      <c r="B810" s="4" t="s">
        <v>4742</v>
      </c>
      <c r="C810" s="4" t="s">
        <v>5058</v>
      </c>
      <c r="D810" s="4" t="s">
        <v>4735</v>
      </c>
      <c r="E810" s="4" t="s">
        <v>4806</v>
      </c>
    </row>
    <row r="811">
      <c r="A811" s="33">
        <v>45805.37508914352</v>
      </c>
      <c r="B811" s="4" t="s">
        <v>4801</v>
      </c>
      <c r="C811" s="4" t="s">
        <v>5059</v>
      </c>
      <c r="D811" s="4" t="s">
        <v>4803</v>
      </c>
      <c r="E811" s="4" t="s">
        <v>4737</v>
      </c>
    </row>
    <row r="812">
      <c r="A812" s="33">
        <v>45805.37536792824</v>
      </c>
      <c r="B812" s="4" t="s">
        <v>4776</v>
      </c>
      <c r="C812" s="5" t="s">
        <v>5052</v>
      </c>
      <c r="D812" s="4" t="s">
        <v>4735</v>
      </c>
      <c r="E812" s="4" t="s">
        <v>5053</v>
      </c>
    </row>
    <row r="813">
      <c r="A813" s="33">
        <v>45805.37537070602</v>
      </c>
      <c r="B813" s="4" t="s">
        <v>4779</v>
      </c>
      <c r="C813" s="4" t="s">
        <v>4780</v>
      </c>
      <c r="D813" s="4" t="s">
        <v>4781</v>
      </c>
      <c r="E813" s="4" t="s">
        <v>4737</v>
      </c>
    </row>
    <row r="814">
      <c r="A814" s="33">
        <v>45805.3753728588</v>
      </c>
      <c r="B814" s="4" t="s">
        <v>4782</v>
      </c>
      <c r="C814" s="4" t="s">
        <v>4780</v>
      </c>
      <c r="D814" s="4" t="s">
        <v>4781</v>
      </c>
      <c r="E814" s="4" t="s">
        <v>4737</v>
      </c>
    </row>
    <row r="815">
      <c r="A815" s="33">
        <v>45805.375375648146</v>
      </c>
      <c r="B815" s="4" t="s">
        <v>4783</v>
      </c>
      <c r="C815" s="4" t="s">
        <v>4780</v>
      </c>
      <c r="D815" s="4" t="s">
        <v>4781</v>
      </c>
      <c r="E815" s="4" t="s">
        <v>4737</v>
      </c>
    </row>
    <row r="816">
      <c r="A816" s="33">
        <v>45805.37544336806</v>
      </c>
      <c r="B816" s="4" t="s">
        <v>4742</v>
      </c>
      <c r="C816" s="5" t="s">
        <v>5060</v>
      </c>
      <c r="D816" s="4" t="s">
        <v>4735</v>
      </c>
      <c r="E816" s="4" t="s">
        <v>4806</v>
      </c>
    </row>
    <row r="817">
      <c r="A817" s="33">
        <v>45805.55313704861</v>
      </c>
      <c r="B817" s="4" t="s">
        <v>4801</v>
      </c>
      <c r="C817" s="4" t="s">
        <v>5061</v>
      </c>
      <c r="D817" s="4" t="s">
        <v>4803</v>
      </c>
      <c r="E817" s="4" t="s">
        <v>4737</v>
      </c>
    </row>
    <row r="818">
      <c r="A818" s="33">
        <v>45805.553308726856</v>
      </c>
      <c r="B818" s="4" t="s">
        <v>4776</v>
      </c>
      <c r="C818" s="5" t="s">
        <v>5062</v>
      </c>
      <c r="D818" s="4" t="s">
        <v>4735</v>
      </c>
      <c r="E818" s="4" t="s">
        <v>5063</v>
      </c>
    </row>
    <row r="819">
      <c r="A819" s="33">
        <v>45805.55331853009</v>
      </c>
      <c r="B819" s="4" t="s">
        <v>4779</v>
      </c>
      <c r="C819" s="4" t="s">
        <v>4780</v>
      </c>
      <c r="D819" s="4" t="s">
        <v>4781</v>
      </c>
      <c r="E819" s="4" t="s">
        <v>4737</v>
      </c>
    </row>
    <row r="820">
      <c r="A820" s="33">
        <v>45805.55332024305</v>
      </c>
      <c r="B820" s="4" t="s">
        <v>4782</v>
      </c>
      <c r="C820" s="4" t="s">
        <v>4780</v>
      </c>
      <c r="D820" s="4" t="s">
        <v>4781</v>
      </c>
      <c r="E820" s="4" t="s">
        <v>4737</v>
      </c>
    </row>
    <row r="821">
      <c r="A821" s="33">
        <v>45805.553329409726</v>
      </c>
      <c r="B821" s="4" t="s">
        <v>4783</v>
      </c>
      <c r="C821" s="4" t="s">
        <v>4780</v>
      </c>
      <c r="D821" s="4" t="s">
        <v>4781</v>
      </c>
      <c r="E821" s="4" t="s">
        <v>4737</v>
      </c>
    </row>
    <row r="822">
      <c r="A822" s="33">
        <v>45805.553396365736</v>
      </c>
      <c r="B822" s="4" t="s">
        <v>4742</v>
      </c>
      <c r="C822" s="4" t="s">
        <v>5064</v>
      </c>
      <c r="D822" s="4" t="s">
        <v>4735</v>
      </c>
      <c r="E822" s="4" t="s">
        <v>4806</v>
      </c>
    </row>
    <row r="823">
      <c r="A823" s="33">
        <v>45805.578792789354</v>
      </c>
      <c r="B823" s="4" t="s">
        <v>4801</v>
      </c>
      <c r="C823" s="4" t="s">
        <v>5065</v>
      </c>
      <c r="D823" s="4" t="s">
        <v>4803</v>
      </c>
      <c r="E823" s="4" t="s">
        <v>4737</v>
      </c>
    </row>
    <row r="824">
      <c r="A824" s="33">
        <v>45805.578814629625</v>
      </c>
      <c r="B824" s="4" t="s">
        <v>4776</v>
      </c>
      <c r="C824" s="4" t="s">
        <v>4777</v>
      </c>
      <c r="D824" s="4" t="s">
        <v>4778</v>
      </c>
      <c r="E824" s="4" t="s">
        <v>5066</v>
      </c>
    </row>
    <row r="825">
      <c r="A825" s="33">
        <v>45805.57881649306</v>
      </c>
      <c r="B825" s="4" t="s">
        <v>4779</v>
      </c>
      <c r="C825" s="4" t="s">
        <v>4780</v>
      </c>
      <c r="D825" s="4" t="s">
        <v>4781</v>
      </c>
      <c r="E825" s="4" t="s">
        <v>4737</v>
      </c>
    </row>
    <row r="826">
      <c r="A826" s="33">
        <v>45805.578818229165</v>
      </c>
      <c r="B826" s="4" t="s">
        <v>4782</v>
      </c>
      <c r="C826" s="4" t="s">
        <v>4780</v>
      </c>
      <c r="D826" s="4" t="s">
        <v>4781</v>
      </c>
      <c r="E826" s="4" t="s">
        <v>4737</v>
      </c>
    </row>
    <row r="827">
      <c r="A827" s="33">
        <v>45805.57881990741</v>
      </c>
      <c r="B827" s="4" t="s">
        <v>4783</v>
      </c>
      <c r="C827" s="4" t="s">
        <v>4780</v>
      </c>
      <c r="D827" s="4" t="s">
        <v>4781</v>
      </c>
      <c r="E827" s="4" t="s">
        <v>4737</v>
      </c>
    </row>
    <row r="828">
      <c r="A828" s="33">
        <v>45805.57888707176</v>
      </c>
      <c r="B828" s="4" t="s">
        <v>4742</v>
      </c>
      <c r="C828" s="5" t="s">
        <v>5067</v>
      </c>
      <c r="D828" s="4" t="s">
        <v>4735</v>
      </c>
      <c r="E828" s="4" t="s">
        <v>4806</v>
      </c>
    </row>
    <row r="829">
      <c r="A829" s="33">
        <v>45807.375148032406</v>
      </c>
      <c r="B829" s="4" t="s">
        <v>4801</v>
      </c>
      <c r="C829" s="4" t="s">
        <v>5068</v>
      </c>
      <c r="D829" s="4" t="s">
        <v>4803</v>
      </c>
      <c r="E829" s="4" t="s">
        <v>4737</v>
      </c>
    </row>
    <row r="830">
      <c r="A830" s="33">
        <v>45807.37517886574</v>
      </c>
      <c r="B830" s="4" t="s">
        <v>4776</v>
      </c>
      <c r="C830" s="4" t="s">
        <v>4777</v>
      </c>
      <c r="D830" s="4" t="s">
        <v>4778</v>
      </c>
      <c r="E830" s="4" t="s">
        <v>5035</v>
      </c>
    </row>
    <row r="831">
      <c r="A831" s="33">
        <v>45807.3751809838</v>
      </c>
      <c r="B831" s="4" t="s">
        <v>4779</v>
      </c>
      <c r="C831" s="4" t="s">
        <v>4780</v>
      </c>
      <c r="D831" s="4" t="s">
        <v>4781</v>
      </c>
      <c r="E831" s="4" t="s">
        <v>4737</v>
      </c>
    </row>
    <row r="832">
      <c r="A832" s="33">
        <v>45807.37518271991</v>
      </c>
      <c r="B832" s="4" t="s">
        <v>4782</v>
      </c>
      <c r="C832" s="4" t="s">
        <v>4780</v>
      </c>
      <c r="D832" s="4" t="s">
        <v>4781</v>
      </c>
      <c r="E832" s="4" t="s">
        <v>4737</v>
      </c>
    </row>
    <row r="833">
      <c r="A833" s="33">
        <v>45807.37518447917</v>
      </c>
      <c r="B833" s="4" t="s">
        <v>4783</v>
      </c>
      <c r="C833" s="4" t="s">
        <v>4780</v>
      </c>
      <c r="D833" s="4" t="s">
        <v>4781</v>
      </c>
      <c r="E833" s="4" t="s">
        <v>4737</v>
      </c>
    </row>
    <row r="834">
      <c r="A834" s="33">
        <v>45807.375263298614</v>
      </c>
      <c r="B834" s="4" t="s">
        <v>4742</v>
      </c>
      <c r="C834" s="4" t="s">
        <v>5069</v>
      </c>
      <c r="D834" s="4" t="s">
        <v>4735</v>
      </c>
      <c r="E834" s="4" t="s">
        <v>4806</v>
      </c>
    </row>
    <row r="835">
      <c r="A835" s="33">
        <v>45811.37506005787</v>
      </c>
      <c r="B835" s="4" t="s">
        <v>4801</v>
      </c>
      <c r="C835" s="4" t="s">
        <v>5059</v>
      </c>
      <c r="D835" s="4" t="s">
        <v>4803</v>
      </c>
      <c r="E835" s="4" t="s">
        <v>4737</v>
      </c>
    </row>
    <row r="836">
      <c r="A836" s="33">
        <v>45811.375238622684</v>
      </c>
      <c r="B836" s="4" t="s">
        <v>4776</v>
      </c>
      <c r="C836" s="5" t="s">
        <v>5052</v>
      </c>
      <c r="D836" s="4" t="s">
        <v>4735</v>
      </c>
      <c r="E836" s="4" t="s">
        <v>5053</v>
      </c>
    </row>
    <row r="837">
      <c r="A837" s="33">
        <v>45811.37524037037</v>
      </c>
      <c r="B837" s="4" t="s">
        <v>4779</v>
      </c>
      <c r="C837" s="4" t="s">
        <v>4780</v>
      </c>
      <c r="D837" s="4" t="s">
        <v>4781</v>
      </c>
      <c r="E837" s="4" t="s">
        <v>4737</v>
      </c>
    </row>
    <row r="838">
      <c r="A838" s="33">
        <v>45811.37524245371</v>
      </c>
      <c r="B838" s="4" t="s">
        <v>4782</v>
      </c>
      <c r="C838" s="4" t="s">
        <v>4780</v>
      </c>
      <c r="D838" s="4" t="s">
        <v>4781</v>
      </c>
      <c r="E838" s="4" t="s">
        <v>4737</v>
      </c>
    </row>
    <row r="839">
      <c r="A839" s="33">
        <v>45811.37525190972</v>
      </c>
      <c r="B839" s="4" t="s">
        <v>4783</v>
      </c>
      <c r="C839" s="4" t="s">
        <v>4780</v>
      </c>
      <c r="D839" s="4" t="s">
        <v>4781</v>
      </c>
      <c r="E839" s="4" t="s">
        <v>4737</v>
      </c>
    </row>
    <row r="840">
      <c r="A840" s="33">
        <v>45811.375317708334</v>
      </c>
      <c r="B840" s="4" t="s">
        <v>4742</v>
      </c>
      <c r="C840" s="5" t="s">
        <v>5060</v>
      </c>
      <c r="D840" s="4" t="s">
        <v>4735</v>
      </c>
      <c r="E840" s="4" t="s">
        <v>4806</v>
      </c>
    </row>
    <row r="841">
      <c r="A841" s="33">
        <v>45817.37509729167</v>
      </c>
      <c r="B841" s="4" t="s">
        <v>4801</v>
      </c>
      <c r="C841" s="4" t="s">
        <v>5068</v>
      </c>
      <c r="D841" s="4" t="s">
        <v>4803</v>
      </c>
      <c r="E841" s="4" t="s">
        <v>4737</v>
      </c>
    </row>
    <row r="842">
      <c r="A842" s="33">
        <v>45817.37512150463</v>
      </c>
      <c r="B842" s="4" t="s">
        <v>4776</v>
      </c>
      <c r="C842" s="4" t="s">
        <v>4777</v>
      </c>
      <c r="D842" s="4" t="s">
        <v>4778</v>
      </c>
      <c r="E842" s="4" t="s">
        <v>5035</v>
      </c>
    </row>
    <row r="843">
      <c r="A843" s="33">
        <v>45817.37512494213</v>
      </c>
      <c r="B843" s="4" t="s">
        <v>4779</v>
      </c>
      <c r="C843" s="4" t="s">
        <v>4780</v>
      </c>
      <c r="D843" s="4" t="s">
        <v>4781</v>
      </c>
      <c r="E843" s="4" t="s">
        <v>4737</v>
      </c>
    </row>
    <row r="844">
      <c r="A844" s="33">
        <v>45817.375127754625</v>
      </c>
      <c r="B844" s="4" t="s">
        <v>4782</v>
      </c>
      <c r="C844" s="4" t="s">
        <v>4780</v>
      </c>
      <c r="D844" s="4" t="s">
        <v>4781</v>
      </c>
      <c r="E844" s="4" t="s">
        <v>4737</v>
      </c>
    </row>
    <row r="845">
      <c r="A845" s="33">
        <v>45817.37513064815</v>
      </c>
      <c r="B845" s="4" t="s">
        <v>4783</v>
      </c>
      <c r="C845" s="4" t="s">
        <v>4780</v>
      </c>
      <c r="D845" s="4" t="s">
        <v>4781</v>
      </c>
      <c r="E845" s="4" t="s">
        <v>4737</v>
      </c>
    </row>
    <row r="846">
      <c r="A846" s="33">
        <v>45817.37520476852</v>
      </c>
      <c r="B846" s="4" t="s">
        <v>4742</v>
      </c>
      <c r="C846" s="4" t="s">
        <v>5069</v>
      </c>
      <c r="D846" s="4" t="s">
        <v>4735</v>
      </c>
      <c r="E846" s="4" t="s">
        <v>4806</v>
      </c>
    </row>
    <row r="847">
      <c r="A847" s="33">
        <v>45817.37521993056</v>
      </c>
      <c r="B847" s="4" t="s">
        <v>4801</v>
      </c>
      <c r="C847" s="4" t="s">
        <v>5059</v>
      </c>
      <c r="D847" s="4" t="s">
        <v>4803</v>
      </c>
      <c r="E847" s="4" t="s">
        <v>4737</v>
      </c>
    </row>
    <row r="848">
      <c r="A848" s="33">
        <v>45817.37538903936</v>
      </c>
      <c r="B848" s="4" t="s">
        <v>4776</v>
      </c>
      <c r="C848" s="5" t="s">
        <v>5052</v>
      </c>
      <c r="D848" s="4" t="s">
        <v>4735</v>
      </c>
      <c r="E848" s="4" t="s">
        <v>5053</v>
      </c>
    </row>
    <row r="849">
      <c r="A849" s="33">
        <v>45817.37539177084</v>
      </c>
      <c r="B849" s="4" t="s">
        <v>4779</v>
      </c>
      <c r="C849" s="4" t="s">
        <v>4780</v>
      </c>
      <c r="D849" s="4" t="s">
        <v>4781</v>
      </c>
      <c r="E849" s="4" t="s">
        <v>4737</v>
      </c>
    </row>
    <row r="850">
      <c r="A850" s="33">
        <v>45817.37539540509</v>
      </c>
      <c r="B850" s="4" t="s">
        <v>4782</v>
      </c>
      <c r="C850" s="4" t="s">
        <v>4780</v>
      </c>
      <c r="D850" s="4" t="s">
        <v>4781</v>
      </c>
      <c r="E850" s="4" t="s">
        <v>4737</v>
      </c>
    </row>
    <row r="851">
      <c r="A851" s="33">
        <v>45817.375397384254</v>
      </c>
      <c r="B851" s="4" t="s">
        <v>4783</v>
      </c>
      <c r="C851" s="4" t="s">
        <v>4780</v>
      </c>
      <c r="D851" s="4" t="s">
        <v>4781</v>
      </c>
      <c r="E851" s="4" t="s">
        <v>4737</v>
      </c>
    </row>
    <row r="852">
      <c r="A852" s="33">
        <v>45817.37546459491</v>
      </c>
      <c r="B852" s="4" t="s">
        <v>4742</v>
      </c>
      <c r="C852" s="5" t="s">
        <v>5060</v>
      </c>
      <c r="D852" s="4" t="s">
        <v>4735</v>
      </c>
      <c r="E852" s="4" t="s">
        <v>4806</v>
      </c>
    </row>
    <row r="853">
      <c r="A853" s="33">
        <v>45817.401049444445</v>
      </c>
      <c r="B853" s="4" t="s">
        <v>4801</v>
      </c>
      <c r="C853" s="4" t="s">
        <v>5070</v>
      </c>
      <c r="D853" s="4" t="s">
        <v>4803</v>
      </c>
      <c r="E853" s="4" t="s">
        <v>4737</v>
      </c>
    </row>
    <row r="854">
      <c r="A854" s="33">
        <v>45817.40121872685</v>
      </c>
      <c r="B854" s="4" t="s">
        <v>4776</v>
      </c>
      <c r="C854" s="5" t="s">
        <v>5071</v>
      </c>
      <c r="D854" s="4" t="s">
        <v>4735</v>
      </c>
      <c r="E854" s="4" t="s">
        <v>5072</v>
      </c>
    </row>
    <row r="855">
      <c r="A855" s="33">
        <v>45817.40122028935</v>
      </c>
      <c r="B855" s="4" t="s">
        <v>4779</v>
      </c>
      <c r="C855" s="4" t="s">
        <v>4780</v>
      </c>
      <c r="D855" s="4" t="s">
        <v>4781</v>
      </c>
      <c r="E855" s="4" t="s">
        <v>4737</v>
      </c>
    </row>
    <row r="856">
      <c r="A856" s="33">
        <v>45817.401221875</v>
      </c>
      <c r="B856" s="4" t="s">
        <v>4782</v>
      </c>
      <c r="C856" s="4" t="s">
        <v>4780</v>
      </c>
      <c r="D856" s="4" t="s">
        <v>4781</v>
      </c>
      <c r="E856" s="4" t="s">
        <v>4737</v>
      </c>
    </row>
    <row r="857">
      <c r="A857" s="33">
        <v>45817.40122332176</v>
      </c>
      <c r="B857" s="4" t="s">
        <v>4783</v>
      </c>
      <c r="C857" s="4" t="s">
        <v>4780</v>
      </c>
      <c r="D857" s="4" t="s">
        <v>4781</v>
      </c>
      <c r="E857" s="4" t="s">
        <v>4737</v>
      </c>
    </row>
    <row r="858">
      <c r="A858" s="33">
        <v>45817.401289699075</v>
      </c>
      <c r="B858" s="4" t="s">
        <v>4742</v>
      </c>
      <c r="C858" s="4" t="s">
        <v>5073</v>
      </c>
      <c r="D858" s="4" t="s">
        <v>4735</v>
      </c>
      <c r="E858" s="4" t="s">
        <v>4806</v>
      </c>
    </row>
    <row r="859">
      <c r="A859" s="33">
        <v>45817.41181484953</v>
      </c>
      <c r="B859" s="4" t="s">
        <v>4801</v>
      </c>
      <c r="C859" s="4" t="s">
        <v>5074</v>
      </c>
      <c r="D859" s="4" t="s">
        <v>4803</v>
      </c>
      <c r="E859" s="4" t="s">
        <v>4737</v>
      </c>
    </row>
    <row r="860">
      <c r="A860" s="33">
        <v>45817.411961770835</v>
      </c>
      <c r="B860" s="4" t="s">
        <v>4776</v>
      </c>
      <c r="C860" s="5" t="s">
        <v>5075</v>
      </c>
      <c r="D860" s="4" t="s">
        <v>4735</v>
      </c>
      <c r="E860" s="4" t="s">
        <v>5076</v>
      </c>
    </row>
    <row r="861">
      <c r="A861" s="33">
        <v>45817.411964513885</v>
      </c>
      <c r="B861" s="4" t="s">
        <v>4779</v>
      </c>
      <c r="C861" s="4" t="s">
        <v>4780</v>
      </c>
      <c r="D861" s="4" t="s">
        <v>4781</v>
      </c>
      <c r="E861" s="4" t="s">
        <v>4737</v>
      </c>
    </row>
    <row r="862">
      <c r="A862" s="33">
        <v>45817.41196693287</v>
      </c>
      <c r="B862" s="4" t="s">
        <v>4782</v>
      </c>
      <c r="C862" s="4" t="s">
        <v>4780</v>
      </c>
      <c r="D862" s="4" t="s">
        <v>4781</v>
      </c>
      <c r="E862" s="4" t="s">
        <v>4737</v>
      </c>
    </row>
    <row r="863">
      <c r="A863" s="33">
        <v>45817.411969548615</v>
      </c>
      <c r="B863" s="4" t="s">
        <v>4783</v>
      </c>
      <c r="C863" s="4" t="s">
        <v>4780</v>
      </c>
      <c r="D863" s="4" t="s">
        <v>4781</v>
      </c>
      <c r="E863" s="4" t="s">
        <v>4737</v>
      </c>
    </row>
    <row r="864">
      <c r="A864" s="33">
        <v>45817.412038078706</v>
      </c>
      <c r="B864" s="4" t="s">
        <v>4742</v>
      </c>
      <c r="C864" s="4" t="s">
        <v>5077</v>
      </c>
      <c r="D864" s="4" t="s">
        <v>4735</v>
      </c>
      <c r="E864" s="4" t="s">
        <v>4806</v>
      </c>
    </row>
    <row r="865">
      <c r="A865" s="33">
        <v>45817.41451878472</v>
      </c>
      <c r="B865" s="4" t="s">
        <v>4801</v>
      </c>
      <c r="C865" s="4" t="s">
        <v>5078</v>
      </c>
      <c r="D865" s="4" t="s">
        <v>4803</v>
      </c>
      <c r="E865" s="4" t="s">
        <v>4737</v>
      </c>
    </row>
    <row r="866">
      <c r="A866" s="33">
        <v>45817.414683993054</v>
      </c>
      <c r="B866" s="4" t="s">
        <v>4776</v>
      </c>
      <c r="C866" s="5" t="s">
        <v>5079</v>
      </c>
      <c r="D866" s="4" t="s">
        <v>4735</v>
      </c>
      <c r="E866" s="4" t="s">
        <v>5080</v>
      </c>
    </row>
    <row r="867">
      <c r="A867" s="33">
        <v>45817.41468695602</v>
      </c>
      <c r="B867" s="4" t="s">
        <v>4779</v>
      </c>
      <c r="C867" s="4" t="s">
        <v>4780</v>
      </c>
      <c r="D867" s="4" t="s">
        <v>4781</v>
      </c>
      <c r="E867" s="4" t="s">
        <v>4737</v>
      </c>
    </row>
    <row r="868">
      <c r="A868" s="33">
        <v>45817.41468986111</v>
      </c>
      <c r="B868" s="4" t="s">
        <v>4782</v>
      </c>
      <c r="C868" s="4" t="s">
        <v>4780</v>
      </c>
      <c r="D868" s="4" t="s">
        <v>4781</v>
      </c>
      <c r="E868" s="4" t="s">
        <v>4737</v>
      </c>
    </row>
    <row r="869">
      <c r="A869" s="33">
        <v>45817.41469262731</v>
      </c>
      <c r="B869" s="4" t="s">
        <v>4783</v>
      </c>
      <c r="C869" s="4" t="s">
        <v>4780</v>
      </c>
      <c r="D869" s="4" t="s">
        <v>4781</v>
      </c>
      <c r="E869" s="4" t="s">
        <v>4737</v>
      </c>
    </row>
    <row r="870">
      <c r="A870" s="33">
        <v>45817.4147634375</v>
      </c>
      <c r="B870" s="4" t="s">
        <v>4742</v>
      </c>
      <c r="C870" s="4" t="s">
        <v>5081</v>
      </c>
      <c r="D870" s="4" t="s">
        <v>4735</v>
      </c>
      <c r="E870" s="4" t="s">
        <v>4806</v>
      </c>
    </row>
    <row r="871">
      <c r="A871" s="33">
        <v>45817.415700763886</v>
      </c>
      <c r="B871" s="4" t="s">
        <v>4801</v>
      </c>
      <c r="C871" s="4" t="s">
        <v>5078</v>
      </c>
      <c r="D871" s="4" t="s">
        <v>4803</v>
      </c>
      <c r="E871" s="4" t="s">
        <v>4737</v>
      </c>
    </row>
    <row r="872">
      <c r="A872" s="33">
        <v>45817.415845428244</v>
      </c>
      <c r="B872" s="4" t="s">
        <v>4776</v>
      </c>
      <c r="C872" s="5" t="s">
        <v>5079</v>
      </c>
      <c r="D872" s="4" t="s">
        <v>4735</v>
      </c>
      <c r="E872" s="4" t="s">
        <v>5080</v>
      </c>
    </row>
    <row r="873">
      <c r="A873" s="33">
        <v>45817.41584747685</v>
      </c>
      <c r="B873" s="4" t="s">
        <v>4779</v>
      </c>
      <c r="C873" s="4" t="s">
        <v>4780</v>
      </c>
      <c r="D873" s="4" t="s">
        <v>4781</v>
      </c>
      <c r="E873" s="4" t="s">
        <v>4737</v>
      </c>
    </row>
    <row r="874">
      <c r="A874" s="33">
        <v>45817.41585222222</v>
      </c>
      <c r="B874" s="4" t="s">
        <v>4782</v>
      </c>
      <c r="C874" s="4" t="s">
        <v>4780</v>
      </c>
      <c r="D874" s="4" t="s">
        <v>4781</v>
      </c>
      <c r="E874" s="4" t="s">
        <v>4737</v>
      </c>
    </row>
    <row r="875">
      <c r="A875" s="33">
        <v>45817.41585443287</v>
      </c>
      <c r="B875" s="4" t="s">
        <v>4783</v>
      </c>
      <c r="C875" s="4" t="s">
        <v>4780</v>
      </c>
      <c r="D875" s="4" t="s">
        <v>4781</v>
      </c>
      <c r="E875" s="4" t="s">
        <v>4737</v>
      </c>
    </row>
    <row r="876">
      <c r="A876" s="33">
        <v>45817.41592172453</v>
      </c>
      <c r="B876" s="4" t="s">
        <v>4742</v>
      </c>
      <c r="C876" s="4" t="s">
        <v>5081</v>
      </c>
      <c r="D876" s="4" t="s">
        <v>4735</v>
      </c>
      <c r="E876" s="4" t="s">
        <v>4806</v>
      </c>
    </row>
    <row r="877">
      <c r="A877" s="33">
        <v>45817.566826215276</v>
      </c>
      <c r="B877" s="4" t="s">
        <v>4801</v>
      </c>
      <c r="C877" s="4" t="s">
        <v>5082</v>
      </c>
      <c r="D877" s="4" t="s">
        <v>4803</v>
      </c>
      <c r="E877" s="4" t="s">
        <v>4737</v>
      </c>
    </row>
    <row r="878">
      <c r="A878" s="33">
        <v>45817.56698696759</v>
      </c>
      <c r="B878" s="4" t="s">
        <v>4776</v>
      </c>
      <c r="C878" s="5" t="s">
        <v>5083</v>
      </c>
      <c r="D878" s="4" t="s">
        <v>4735</v>
      </c>
      <c r="E878" s="4" t="s">
        <v>5084</v>
      </c>
    </row>
    <row r="879">
      <c r="A879" s="33">
        <v>45817.5669906713</v>
      </c>
      <c r="B879" s="4" t="s">
        <v>4779</v>
      </c>
      <c r="C879" s="4" t="s">
        <v>4780</v>
      </c>
      <c r="D879" s="4" t="s">
        <v>4781</v>
      </c>
      <c r="E879" s="4" t="s">
        <v>4737</v>
      </c>
    </row>
    <row r="880">
      <c r="A880" s="33">
        <v>45817.56699440972</v>
      </c>
      <c r="B880" s="4" t="s">
        <v>4782</v>
      </c>
      <c r="C880" s="4" t="s">
        <v>4780</v>
      </c>
      <c r="D880" s="4" t="s">
        <v>4781</v>
      </c>
      <c r="E880" s="4" t="s">
        <v>4737</v>
      </c>
    </row>
    <row r="881">
      <c r="A881" s="33">
        <v>45817.56699774305</v>
      </c>
      <c r="B881" s="4" t="s">
        <v>4783</v>
      </c>
      <c r="C881" s="4" t="s">
        <v>4780</v>
      </c>
      <c r="D881" s="4" t="s">
        <v>4781</v>
      </c>
      <c r="E881" s="4" t="s">
        <v>4737</v>
      </c>
    </row>
    <row r="882">
      <c r="A882" s="33">
        <v>45817.567068310185</v>
      </c>
      <c r="B882" s="4" t="s">
        <v>4742</v>
      </c>
      <c r="C882" s="4" t="s">
        <v>5085</v>
      </c>
      <c r="D882" s="4" t="s">
        <v>4735</v>
      </c>
      <c r="E882" s="4" t="s">
        <v>4806</v>
      </c>
    </row>
    <row r="883">
      <c r="A883" s="33">
        <v>45818.41321636574</v>
      </c>
      <c r="B883" s="4" t="s">
        <v>4801</v>
      </c>
      <c r="C883" s="4" t="s">
        <v>5086</v>
      </c>
      <c r="D883" s="4" t="s">
        <v>4803</v>
      </c>
      <c r="E883" s="4" t="s">
        <v>4737</v>
      </c>
    </row>
    <row r="884">
      <c r="A884" s="33">
        <v>45818.413303622685</v>
      </c>
      <c r="B884" s="4" t="s">
        <v>4776</v>
      </c>
      <c r="C884" s="5" t="s">
        <v>5087</v>
      </c>
      <c r="D884" s="4" t="s">
        <v>4735</v>
      </c>
      <c r="E884" s="4" t="s">
        <v>5088</v>
      </c>
    </row>
    <row r="885">
      <c r="A885" s="33">
        <v>45818.41336806713</v>
      </c>
      <c r="B885" s="4" t="s">
        <v>4779</v>
      </c>
      <c r="C885" s="5" t="s">
        <v>5089</v>
      </c>
      <c r="D885" s="4" t="s">
        <v>4735</v>
      </c>
      <c r="E885" s="4" t="s">
        <v>5090</v>
      </c>
    </row>
    <row r="886">
      <c r="A886" s="33">
        <v>45818.4133700463</v>
      </c>
      <c r="B886" s="4" t="s">
        <v>4782</v>
      </c>
      <c r="C886" s="4" t="s">
        <v>4780</v>
      </c>
      <c r="D886" s="4" t="s">
        <v>4781</v>
      </c>
      <c r="E886" s="4" t="s">
        <v>4737</v>
      </c>
    </row>
    <row r="887">
      <c r="A887" s="33">
        <v>45818.41343438657</v>
      </c>
      <c r="B887" s="4" t="s">
        <v>4783</v>
      </c>
      <c r="C887" s="5" t="s">
        <v>5091</v>
      </c>
      <c r="D887" s="4" t="s">
        <v>4735</v>
      </c>
      <c r="E887" s="4" t="s">
        <v>5092</v>
      </c>
    </row>
    <row r="888">
      <c r="A888" s="33">
        <v>45818.413503414355</v>
      </c>
      <c r="B888" s="4" t="s">
        <v>4742</v>
      </c>
      <c r="C888" s="4" t="s">
        <v>5093</v>
      </c>
      <c r="D888" s="4" t="s">
        <v>4735</v>
      </c>
      <c r="E888" s="4" t="s">
        <v>4806</v>
      </c>
    </row>
    <row r="889">
      <c r="A889" s="33">
        <v>45821.37510428241</v>
      </c>
      <c r="B889" s="4" t="s">
        <v>4801</v>
      </c>
      <c r="C889" s="4" t="s">
        <v>5059</v>
      </c>
      <c r="D889" s="4" t="s">
        <v>4803</v>
      </c>
      <c r="E889" s="4" t="s">
        <v>4737</v>
      </c>
    </row>
    <row r="890">
      <c r="A890" s="33">
        <v>45821.37526429398</v>
      </c>
      <c r="B890" s="4" t="s">
        <v>4776</v>
      </c>
      <c r="C890" s="5" t="s">
        <v>5052</v>
      </c>
      <c r="D890" s="4" t="s">
        <v>4735</v>
      </c>
      <c r="E890" s="4" t="s">
        <v>5053</v>
      </c>
    </row>
    <row r="891">
      <c r="A891" s="33">
        <v>45821.37526887732</v>
      </c>
      <c r="B891" s="4" t="s">
        <v>4779</v>
      </c>
      <c r="C891" s="4" t="s">
        <v>4780</v>
      </c>
      <c r="D891" s="4" t="s">
        <v>4781</v>
      </c>
      <c r="E891" s="4" t="s">
        <v>4737</v>
      </c>
    </row>
    <row r="892">
      <c r="A892" s="33">
        <v>45821.3752777662</v>
      </c>
      <c r="B892" s="4" t="s">
        <v>4782</v>
      </c>
      <c r="C892" s="4" t="s">
        <v>4780</v>
      </c>
      <c r="D892" s="4" t="s">
        <v>4781</v>
      </c>
      <c r="E892" s="4" t="s">
        <v>4737</v>
      </c>
    </row>
    <row r="893">
      <c r="A893" s="33">
        <v>45821.375281643515</v>
      </c>
      <c r="B893" s="4" t="s">
        <v>4783</v>
      </c>
      <c r="C893" s="4" t="s">
        <v>4780</v>
      </c>
      <c r="D893" s="4" t="s">
        <v>4781</v>
      </c>
      <c r="E893" s="4" t="s">
        <v>4737</v>
      </c>
    </row>
    <row r="894">
      <c r="A894" s="33">
        <v>45821.37535145834</v>
      </c>
      <c r="B894" s="4" t="s">
        <v>4742</v>
      </c>
      <c r="C894" s="5" t="s">
        <v>5060</v>
      </c>
      <c r="D894" s="4" t="s">
        <v>4735</v>
      </c>
      <c r="E894" s="4" t="s">
        <v>4806</v>
      </c>
    </row>
    <row r="895">
      <c r="A895" s="33">
        <v>45826.37506805555</v>
      </c>
      <c r="B895" s="4" t="s">
        <v>4801</v>
      </c>
      <c r="C895" s="4" t="s">
        <v>5094</v>
      </c>
      <c r="D895" s="4" t="s">
        <v>4803</v>
      </c>
      <c r="E895" s="4" t="s">
        <v>4737</v>
      </c>
    </row>
    <row r="896">
      <c r="A896" s="33">
        <v>45826.375216493056</v>
      </c>
      <c r="B896" s="4" t="s">
        <v>4776</v>
      </c>
      <c r="C896" s="5" t="s">
        <v>5075</v>
      </c>
      <c r="D896" s="4" t="s">
        <v>4735</v>
      </c>
      <c r="E896" s="4" t="s">
        <v>5076</v>
      </c>
    </row>
    <row r="897">
      <c r="A897" s="33">
        <v>45826.37521982639</v>
      </c>
      <c r="B897" s="4" t="s">
        <v>4779</v>
      </c>
      <c r="C897" s="4" t="s">
        <v>4780</v>
      </c>
      <c r="D897" s="4" t="s">
        <v>4781</v>
      </c>
      <c r="E897" s="4" t="s">
        <v>4737</v>
      </c>
    </row>
    <row r="898">
      <c r="A898" s="33">
        <v>45826.37522449074</v>
      </c>
      <c r="B898" s="4" t="s">
        <v>4782</v>
      </c>
      <c r="C898" s="4" t="s">
        <v>4780</v>
      </c>
      <c r="D898" s="4" t="s">
        <v>4781</v>
      </c>
      <c r="E898" s="4" t="s">
        <v>4737</v>
      </c>
    </row>
    <row r="899">
      <c r="A899" s="33">
        <v>45826.37522744213</v>
      </c>
      <c r="B899" s="4" t="s">
        <v>4783</v>
      </c>
      <c r="C899" s="4" t="s">
        <v>4780</v>
      </c>
      <c r="D899" s="4" t="s">
        <v>4781</v>
      </c>
      <c r="E899" s="4" t="s">
        <v>4737</v>
      </c>
    </row>
    <row r="900">
      <c r="A900" s="33">
        <v>45826.37529726852</v>
      </c>
      <c r="B900" s="4" t="s">
        <v>4742</v>
      </c>
      <c r="C900" s="4" t="s">
        <v>5095</v>
      </c>
      <c r="D900" s="4" t="s">
        <v>4735</v>
      </c>
      <c r="E900" s="4" t="s">
        <v>4806</v>
      </c>
    </row>
    <row r="901">
      <c r="A901" s="33">
        <v>45826.37531402778</v>
      </c>
      <c r="B901" s="4" t="s">
        <v>4801</v>
      </c>
      <c r="C901" s="4" t="s">
        <v>5096</v>
      </c>
      <c r="D901" s="4" t="s">
        <v>4803</v>
      </c>
      <c r="E901" s="4" t="s">
        <v>4737</v>
      </c>
    </row>
    <row r="902">
      <c r="A902" s="33">
        <v>45826.37545950232</v>
      </c>
      <c r="B902" s="4" t="s">
        <v>4776</v>
      </c>
      <c r="C902" s="5" t="s">
        <v>5079</v>
      </c>
      <c r="D902" s="4" t="s">
        <v>4735</v>
      </c>
      <c r="E902" s="4" t="s">
        <v>5080</v>
      </c>
    </row>
    <row r="903">
      <c r="A903" s="33">
        <v>45826.37546181713</v>
      </c>
      <c r="B903" s="4" t="s">
        <v>4779</v>
      </c>
      <c r="C903" s="4" t="s">
        <v>4780</v>
      </c>
      <c r="D903" s="4" t="s">
        <v>4781</v>
      </c>
      <c r="E903" s="4" t="s">
        <v>4737</v>
      </c>
    </row>
    <row r="904">
      <c r="A904" s="33">
        <v>45826.3754640625</v>
      </c>
      <c r="B904" s="4" t="s">
        <v>4782</v>
      </c>
      <c r="C904" s="4" t="s">
        <v>4780</v>
      </c>
      <c r="D904" s="4" t="s">
        <v>4781</v>
      </c>
      <c r="E904" s="4" t="s">
        <v>4737</v>
      </c>
    </row>
    <row r="905">
      <c r="A905" s="33">
        <v>45826.375466111116</v>
      </c>
      <c r="B905" s="4" t="s">
        <v>4783</v>
      </c>
      <c r="C905" s="4" t="s">
        <v>4780</v>
      </c>
      <c r="D905" s="4" t="s">
        <v>4781</v>
      </c>
      <c r="E905" s="4" t="s">
        <v>4737</v>
      </c>
    </row>
    <row r="906">
      <c r="A906" s="33">
        <v>45826.37553238426</v>
      </c>
      <c r="B906" s="4" t="s">
        <v>4742</v>
      </c>
      <c r="C906" s="4" t="s">
        <v>5097</v>
      </c>
      <c r="D906" s="4" t="s">
        <v>4735</v>
      </c>
      <c r="E906" s="4" t="s">
        <v>4806</v>
      </c>
    </row>
    <row r="907">
      <c r="A907" s="33">
        <v>45826.3755474537</v>
      </c>
      <c r="B907" s="4" t="s">
        <v>4801</v>
      </c>
      <c r="C907" s="4" t="s">
        <v>5098</v>
      </c>
      <c r="D907" s="4" t="s">
        <v>4803</v>
      </c>
      <c r="E907" s="4" t="s">
        <v>4737</v>
      </c>
    </row>
    <row r="908">
      <c r="A908" s="33">
        <v>45826.375644155094</v>
      </c>
      <c r="B908" s="4" t="s">
        <v>4776</v>
      </c>
      <c r="C908" s="5" t="s">
        <v>5087</v>
      </c>
      <c r="D908" s="4" t="s">
        <v>4735</v>
      </c>
      <c r="E908" s="4" t="s">
        <v>5088</v>
      </c>
    </row>
    <row r="909">
      <c r="A909" s="33">
        <v>45826.375708692125</v>
      </c>
      <c r="B909" s="4" t="s">
        <v>4779</v>
      </c>
      <c r="C909" s="5" t="s">
        <v>5089</v>
      </c>
      <c r="D909" s="4" t="s">
        <v>4735</v>
      </c>
      <c r="E909" s="4" t="s">
        <v>5090</v>
      </c>
    </row>
    <row r="910">
      <c r="A910" s="33">
        <v>45826.375715358794</v>
      </c>
      <c r="B910" s="4" t="s">
        <v>4782</v>
      </c>
      <c r="C910" s="4" t="s">
        <v>4780</v>
      </c>
      <c r="D910" s="4" t="s">
        <v>4781</v>
      </c>
      <c r="E910" s="4" t="s">
        <v>4737</v>
      </c>
    </row>
    <row r="911">
      <c r="A911" s="33">
        <v>45826.375779814814</v>
      </c>
      <c r="B911" s="4" t="s">
        <v>4783</v>
      </c>
      <c r="C911" s="5" t="s">
        <v>5091</v>
      </c>
      <c r="D911" s="4" t="s">
        <v>4735</v>
      </c>
      <c r="E911" s="4" t="s">
        <v>5092</v>
      </c>
    </row>
    <row r="912">
      <c r="A912" s="33">
        <v>45826.37584465278</v>
      </c>
      <c r="B912" s="4" t="s">
        <v>4742</v>
      </c>
      <c r="C912" s="4" t="s">
        <v>5099</v>
      </c>
      <c r="D912" s="4" t="s">
        <v>4735</v>
      </c>
      <c r="E912" s="4" t="s">
        <v>4806</v>
      </c>
    </row>
    <row r="913">
      <c r="A913" s="33">
        <v>45826.4621294213</v>
      </c>
      <c r="B913" s="4" t="s">
        <v>4801</v>
      </c>
      <c r="C913" s="4" t="s">
        <v>5100</v>
      </c>
      <c r="D913" s="4" t="s">
        <v>4803</v>
      </c>
      <c r="E913" s="4" t="s">
        <v>4737</v>
      </c>
    </row>
    <row r="914">
      <c r="A914" s="33">
        <v>45826.46215707176</v>
      </c>
      <c r="B914" s="4" t="s">
        <v>4776</v>
      </c>
      <c r="C914" s="4" t="s">
        <v>4777</v>
      </c>
      <c r="D914" s="4" t="s">
        <v>4778</v>
      </c>
      <c r="E914" s="4" t="s">
        <v>5101</v>
      </c>
    </row>
    <row r="915">
      <c r="A915" s="33">
        <v>45826.46216616898</v>
      </c>
      <c r="B915" s="4" t="s">
        <v>4779</v>
      </c>
      <c r="C915" s="4" t="s">
        <v>4780</v>
      </c>
      <c r="D915" s="4" t="s">
        <v>4781</v>
      </c>
      <c r="E915" s="4" t="s">
        <v>4737</v>
      </c>
    </row>
    <row r="916">
      <c r="A916" s="33">
        <v>45826.462171481486</v>
      </c>
      <c r="B916" s="4" t="s">
        <v>4782</v>
      </c>
      <c r="C916" s="4" t="s">
        <v>4780</v>
      </c>
      <c r="D916" s="4" t="s">
        <v>4781</v>
      </c>
      <c r="E916" s="4" t="s">
        <v>4737</v>
      </c>
    </row>
    <row r="917">
      <c r="A917" s="33">
        <v>45826.46217748843</v>
      </c>
      <c r="B917" s="4" t="s">
        <v>4783</v>
      </c>
      <c r="C917" s="4" t="s">
        <v>4780</v>
      </c>
      <c r="D917" s="4" t="s">
        <v>4781</v>
      </c>
      <c r="E917" s="4" t="s">
        <v>4737</v>
      </c>
    </row>
    <row r="918">
      <c r="A918" s="33">
        <v>45826.462257708336</v>
      </c>
      <c r="B918" s="4" t="s">
        <v>4742</v>
      </c>
      <c r="C918" s="4" t="s">
        <v>5102</v>
      </c>
      <c r="D918" s="4" t="s">
        <v>4735</v>
      </c>
      <c r="E918" s="4" t="s">
        <v>4806</v>
      </c>
    </row>
    <row r="919">
      <c r="A919" s="33">
        <v>45826.467800983795</v>
      </c>
      <c r="B919" s="4" t="s">
        <v>4801</v>
      </c>
      <c r="C919" s="4" t="s">
        <v>5103</v>
      </c>
      <c r="D919" s="4" t="s">
        <v>4803</v>
      </c>
      <c r="E919" s="4" t="s">
        <v>4737</v>
      </c>
    </row>
    <row r="920">
      <c r="A920" s="33">
        <v>45826.467933692125</v>
      </c>
      <c r="B920" s="4" t="s">
        <v>4776</v>
      </c>
      <c r="C920" s="5" t="s">
        <v>5104</v>
      </c>
      <c r="D920" s="4" t="s">
        <v>4735</v>
      </c>
      <c r="E920" s="4" t="s">
        <v>5105</v>
      </c>
    </row>
    <row r="921">
      <c r="A921" s="33">
        <v>45826.46795135416</v>
      </c>
      <c r="B921" s="4" t="s">
        <v>4779</v>
      </c>
      <c r="C921" s="4" t="s">
        <v>4780</v>
      </c>
      <c r="D921" s="4" t="s">
        <v>4781</v>
      </c>
      <c r="E921" s="4" t="s">
        <v>4737</v>
      </c>
    </row>
    <row r="922">
      <c r="A922" s="33">
        <v>45826.46795324074</v>
      </c>
      <c r="B922" s="4" t="s">
        <v>4782</v>
      </c>
      <c r="C922" s="4" t="s">
        <v>4780</v>
      </c>
      <c r="D922" s="4" t="s">
        <v>4781</v>
      </c>
      <c r="E922" s="4" t="s">
        <v>4737</v>
      </c>
    </row>
    <row r="923">
      <c r="A923" s="33">
        <v>45826.46795465278</v>
      </c>
      <c r="B923" s="4" t="s">
        <v>4783</v>
      </c>
      <c r="C923" s="4" t="s">
        <v>4780</v>
      </c>
      <c r="D923" s="4" t="s">
        <v>4781</v>
      </c>
      <c r="E923" s="4" t="s">
        <v>4737</v>
      </c>
    </row>
    <row r="924">
      <c r="A924" s="33">
        <v>45826.468033310186</v>
      </c>
      <c r="B924" s="4" t="s">
        <v>4742</v>
      </c>
      <c r="C924" s="4" t="s">
        <v>5106</v>
      </c>
      <c r="D924" s="4" t="s">
        <v>4735</v>
      </c>
      <c r="E924" s="4" t="s">
        <v>4806</v>
      </c>
    </row>
    <row r="925">
      <c r="A925" s="33">
        <v>45827.375181296295</v>
      </c>
      <c r="B925" s="4" t="s">
        <v>4801</v>
      </c>
      <c r="C925" s="4" t="s">
        <v>5059</v>
      </c>
      <c r="D925" s="4" t="s">
        <v>4803</v>
      </c>
      <c r="E925" s="4" t="s">
        <v>4737</v>
      </c>
    </row>
    <row r="926">
      <c r="A926" s="33">
        <v>45827.37532643518</v>
      </c>
      <c r="B926" s="4" t="s">
        <v>4776</v>
      </c>
      <c r="C926" s="5" t="s">
        <v>5052</v>
      </c>
      <c r="D926" s="4" t="s">
        <v>4735</v>
      </c>
      <c r="E926" s="4" t="s">
        <v>5053</v>
      </c>
    </row>
    <row r="927">
      <c r="A927" s="33">
        <v>45827.37532831018</v>
      </c>
      <c r="B927" s="4" t="s">
        <v>4779</v>
      </c>
      <c r="C927" s="4" t="s">
        <v>4780</v>
      </c>
      <c r="D927" s="4" t="s">
        <v>4781</v>
      </c>
      <c r="E927" s="4" t="s">
        <v>4737</v>
      </c>
    </row>
    <row r="928">
      <c r="A928" s="33">
        <v>45827.37532989583</v>
      </c>
      <c r="B928" s="4" t="s">
        <v>4782</v>
      </c>
      <c r="C928" s="4" t="s">
        <v>4780</v>
      </c>
      <c r="D928" s="4" t="s">
        <v>4781</v>
      </c>
      <c r="E928" s="4" t="s">
        <v>4737</v>
      </c>
    </row>
    <row r="929">
      <c r="A929" s="33">
        <v>45827.375331863426</v>
      </c>
      <c r="B929" s="4" t="s">
        <v>4783</v>
      </c>
      <c r="C929" s="4" t="s">
        <v>4780</v>
      </c>
      <c r="D929" s="4" t="s">
        <v>4781</v>
      </c>
      <c r="E929" s="4" t="s">
        <v>4737</v>
      </c>
    </row>
    <row r="930">
      <c r="A930" s="33">
        <v>45827.37540961806</v>
      </c>
      <c r="B930" s="4" t="s">
        <v>4742</v>
      </c>
      <c r="C930" s="5" t="s">
        <v>5060</v>
      </c>
      <c r="D930" s="4" t="s">
        <v>4735</v>
      </c>
      <c r="E930" s="4" t="s">
        <v>4806</v>
      </c>
    </row>
    <row r="931">
      <c r="A931" s="33">
        <v>45827.638169259255</v>
      </c>
      <c r="B931" s="4" t="s">
        <v>4801</v>
      </c>
      <c r="C931" s="4" t="s">
        <v>5107</v>
      </c>
      <c r="D931" s="4" t="s">
        <v>4803</v>
      </c>
      <c r="E931" s="4" t="s">
        <v>4737</v>
      </c>
    </row>
    <row r="932">
      <c r="A932" s="33">
        <v>45827.63830233796</v>
      </c>
      <c r="B932" s="4" t="s">
        <v>4776</v>
      </c>
      <c r="C932" s="5" t="s">
        <v>5108</v>
      </c>
      <c r="D932" s="4" t="s">
        <v>4735</v>
      </c>
      <c r="E932" s="4" t="s">
        <v>5109</v>
      </c>
    </row>
    <row r="933">
      <c r="A933" s="33">
        <v>45827.63830481481</v>
      </c>
      <c r="B933" s="4" t="s">
        <v>4779</v>
      </c>
      <c r="C933" s="4" t="s">
        <v>4780</v>
      </c>
      <c r="D933" s="4" t="s">
        <v>4781</v>
      </c>
      <c r="E933" s="4" t="s">
        <v>4737</v>
      </c>
    </row>
    <row r="934">
      <c r="A934" s="33">
        <v>45827.63830721065</v>
      </c>
      <c r="B934" s="4" t="s">
        <v>4782</v>
      </c>
      <c r="C934" s="4" t="s">
        <v>4780</v>
      </c>
      <c r="D934" s="4" t="s">
        <v>4781</v>
      </c>
      <c r="E934" s="4" t="s">
        <v>4737</v>
      </c>
    </row>
    <row r="935">
      <c r="A935" s="33">
        <v>45827.638309629634</v>
      </c>
      <c r="B935" s="4" t="s">
        <v>4783</v>
      </c>
      <c r="C935" s="4" t="s">
        <v>4780</v>
      </c>
      <c r="D935" s="4" t="s">
        <v>4781</v>
      </c>
      <c r="E935" s="4" t="s">
        <v>4737</v>
      </c>
    </row>
    <row r="936">
      <c r="A936" s="33">
        <v>45827.638376585644</v>
      </c>
      <c r="B936" s="4" t="s">
        <v>4742</v>
      </c>
      <c r="C936" s="5" t="s">
        <v>5110</v>
      </c>
      <c r="D936" s="4" t="s">
        <v>4735</v>
      </c>
      <c r="E936" s="4" t="s">
        <v>4806</v>
      </c>
    </row>
    <row r="937">
      <c r="A937" s="33">
        <v>45827.76174439814</v>
      </c>
      <c r="B937" s="4" t="s">
        <v>4801</v>
      </c>
      <c r="C937" s="4" t="s">
        <v>5111</v>
      </c>
      <c r="D937" s="4" t="s">
        <v>4803</v>
      </c>
      <c r="E937" s="4" t="s">
        <v>4737</v>
      </c>
    </row>
    <row r="938">
      <c r="A938" s="33">
        <v>45827.761764236115</v>
      </c>
      <c r="B938" s="4" t="s">
        <v>4776</v>
      </c>
      <c r="C938" s="4" t="s">
        <v>4777</v>
      </c>
      <c r="D938" s="4" t="s">
        <v>4778</v>
      </c>
      <c r="E938" s="4" t="s">
        <v>5112</v>
      </c>
    </row>
    <row r="939">
      <c r="A939" s="33">
        <v>45827.76176641203</v>
      </c>
      <c r="B939" s="4" t="s">
        <v>4779</v>
      </c>
      <c r="C939" s="4" t="s">
        <v>4780</v>
      </c>
      <c r="D939" s="4" t="s">
        <v>4781</v>
      </c>
      <c r="E939" s="4" t="s">
        <v>4737</v>
      </c>
    </row>
    <row r="940">
      <c r="A940" s="33">
        <v>45827.76177856482</v>
      </c>
      <c r="B940" s="4" t="s">
        <v>4782</v>
      </c>
      <c r="C940" s="4" t="s">
        <v>4780</v>
      </c>
      <c r="D940" s="4" t="s">
        <v>4781</v>
      </c>
      <c r="E940" s="4" t="s">
        <v>4737</v>
      </c>
    </row>
    <row r="941">
      <c r="A941" s="33">
        <v>45827.761780659726</v>
      </c>
      <c r="B941" s="4" t="s">
        <v>4783</v>
      </c>
      <c r="C941" s="4" t="s">
        <v>4780</v>
      </c>
      <c r="D941" s="4" t="s">
        <v>4781</v>
      </c>
      <c r="E941" s="4" t="s">
        <v>4737</v>
      </c>
    </row>
    <row r="942">
      <c r="A942" s="33">
        <v>45827.761849375005</v>
      </c>
      <c r="B942" s="4" t="s">
        <v>4742</v>
      </c>
      <c r="C942" s="5" t="s">
        <v>5113</v>
      </c>
      <c r="D942" s="4" t="s">
        <v>4735</v>
      </c>
      <c r="E942" s="4" t="s">
        <v>4806</v>
      </c>
    </row>
    <row r="943">
      <c r="A943" s="33">
        <v>45827.817072708334</v>
      </c>
      <c r="B943" s="4" t="s">
        <v>4801</v>
      </c>
      <c r="C943" s="4" t="s">
        <v>5114</v>
      </c>
      <c r="D943" s="4" t="s">
        <v>4803</v>
      </c>
      <c r="E943" s="4" t="s">
        <v>4737</v>
      </c>
    </row>
    <row r="944">
      <c r="A944" s="33">
        <v>45827.81709697917</v>
      </c>
      <c r="B944" s="4" t="s">
        <v>4776</v>
      </c>
      <c r="C944" s="4" t="s">
        <v>4777</v>
      </c>
      <c r="D944" s="4" t="s">
        <v>4778</v>
      </c>
      <c r="E944" s="4" t="s">
        <v>5115</v>
      </c>
    </row>
    <row r="945">
      <c r="A945" s="33">
        <v>45827.81709950231</v>
      </c>
      <c r="B945" s="4" t="s">
        <v>4779</v>
      </c>
      <c r="C945" s="4" t="s">
        <v>4780</v>
      </c>
      <c r="D945" s="4" t="s">
        <v>4781</v>
      </c>
      <c r="E945" s="4" t="s">
        <v>4737</v>
      </c>
    </row>
    <row r="946">
      <c r="A946" s="33">
        <v>45827.81710193287</v>
      </c>
      <c r="B946" s="4" t="s">
        <v>4782</v>
      </c>
      <c r="C946" s="4" t="s">
        <v>4780</v>
      </c>
      <c r="D946" s="4" t="s">
        <v>4781</v>
      </c>
      <c r="E946" s="4" t="s">
        <v>4737</v>
      </c>
    </row>
    <row r="947">
      <c r="A947" s="33">
        <v>45827.81710650463</v>
      </c>
      <c r="B947" s="4" t="s">
        <v>4783</v>
      </c>
      <c r="C947" s="4" t="s">
        <v>4780</v>
      </c>
      <c r="D947" s="4" t="s">
        <v>4781</v>
      </c>
      <c r="E947" s="4" t="s">
        <v>4737</v>
      </c>
    </row>
    <row r="948">
      <c r="A948" s="33">
        <v>45827.817177199075</v>
      </c>
      <c r="B948" s="4" t="s">
        <v>4742</v>
      </c>
      <c r="C948" s="5" t="s">
        <v>5116</v>
      </c>
      <c r="D948" s="4" t="s">
        <v>4735</v>
      </c>
      <c r="E948" s="4" t="s">
        <v>4806</v>
      </c>
    </row>
    <row r="949">
      <c r="A949" s="33">
        <v>45827.81978251158</v>
      </c>
      <c r="B949" s="4" t="s">
        <v>4801</v>
      </c>
      <c r="C949" s="4" t="s">
        <v>5117</v>
      </c>
      <c r="D949" s="4" t="s">
        <v>4803</v>
      </c>
      <c r="E949" s="4" t="s">
        <v>4737</v>
      </c>
    </row>
    <row r="950">
      <c r="A950" s="33">
        <v>45827.819800717596</v>
      </c>
      <c r="B950" s="4" t="s">
        <v>4776</v>
      </c>
      <c r="C950" s="4" t="s">
        <v>4777</v>
      </c>
      <c r="D950" s="4" t="s">
        <v>4778</v>
      </c>
      <c r="E950" s="4" t="s">
        <v>5118</v>
      </c>
    </row>
    <row r="951">
      <c r="A951" s="33">
        <v>45827.81980287037</v>
      </c>
      <c r="B951" s="4" t="s">
        <v>4779</v>
      </c>
      <c r="C951" s="4" t="s">
        <v>4780</v>
      </c>
      <c r="D951" s="4" t="s">
        <v>4781</v>
      </c>
      <c r="E951" s="4" t="s">
        <v>4737</v>
      </c>
    </row>
    <row r="952">
      <c r="A952" s="33">
        <v>45827.81980496528</v>
      </c>
      <c r="B952" s="4" t="s">
        <v>4782</v>
      </c>
      <c r="C952" s="4" t="s">
        <v>4780</v>
      </c>
      <c r="D952" s="4" t="s">
        <v>4781</v>
      </c>
      <c r="E952" s="4" t="s">
        <v>4737</v>
      </c>
    </row>
    <row r="953">
      <c r="A953" s="33">
        <v>45827.81980726852</v>
      </c>
      <c r="B953" s="4" t="s">
        <v>4783</v>
      </c>
      <c r="C953" s="4" t="s">
        <v>4780</v>
      </c>
      <c r="D953" s="4" t="s">
        <v>4781</v>
      </c>
      <c r="E953" s="4" t="s">
        <v>4737</v>
      </c>
    </row>
    <row r="954">
      <c r="A954" s="33">
        <v>45827.81987425926</v>
      </c>
      <c r="B954" s="4" t="s">
        <v>4742</v>
      </c>
      <c r="C954" s="5" t="s">
        <v>5119</v>
      </c>
      <c r="D954" s="4" t="s">
        <v>4735</v>
      </c>
      <c r="E954" s="4" t="s">
        <v>4806</v>
      </c>
    </row>
    <row r="955">
      <c r="A955" s="33">
        <v>45827.847457118056</v>
      </c>
      <c r="B955" s="4" t="s">
        <v>4801</v>
      </c>
      <c r="C955" s="4" t="s">
        <v>5120</v>
      </c>
      <c r="D955" s="4" t="s">
        <v>4803</v>
      </c>
      <c r="E955" s="4" t="s">
        <v>4737</v>
      </c>
    </row>
    <row r="956">
      <c r="A956" s="33">
        <v>45827.847478923606</v>
      </c>
      <c r="B956" s="4" t="s">
        <v>4776</v>
      </c>
      <c r="C956" s="4" t="s">
        <v>4777</v>
      </c>
      <c r="D956" s="4" t="s">
        <v>4778</v>
      </c>
      <c r="E956" s="4" t="s">
        <v>5121</v>
      </c>
    </row>
    <row r="957">
      <c r="A957" s="33">
        <v>45827.84748896991</v>
      </c>
      <c r="B957" s="4" t="s">
        <v>4779</v>
      </c>
      <c r="C957" s="4" t="s">
        <v>4780</v>
      </c>
      <c r="D957" s="4" t="s">
        <v>4781</v>
      </c>
      <c r="E957" s="4" t="s">
        <v>4737</v>
      </c>
    </row>
    <row r="958">
      <c r="A958" s="33">
        <v>45827.8474912963</v>
      </c>
      <c r="B958" s="4" t="s">
        <v>4782</v>
      </c>
      <c r="C958" s="4" t="s">
        <v>4780</v>
      </c>
      <c r="D958" s="4" t="s">
        <v>4781</v>
      </c>
      <c r="E958" s="4" t="s">
        <v>4737</v>
      </c>
    </row>
    <row r="959">
      <c r="A959" s="33">
        <v>45827.84749525463</v>
      </c>
      <c r="B959" s="4" t="s">
        <v>4783</v>
      </c>
      <c r="C959" s="4" t="s">
        <v>4780</v>
      </c>
      <c r="D959" s="4" t="s">
        <v>4781</v>
      </c>
      <c r="E959" s="4" t="s">
        <v>4737</v>
      </c>
    </row>
    <row r="960">
      <c r="A960" s="33">
        <v>45827.84756502315</v>
      </c>
      <c r="B960" s="4" t="s">
        <v>4742</v>
      </c>
      <c r="C960" s="5" t="s">
        <v>5122</v>
      </c>
      <c r="D960" s="4" t="s">
        <v>4735</v>
      </c>
      <c r="E960" s="4" t="s">
        <v>4806</v>
      </c>
    </row>
    <row r="961">
      <c r="A961" s="33">
        <v>45827.85295155093</v>
      </c>
      <c r="B961" s="4" t="s">
        <v>4801</v>
      </c>
      <c r="C961" s="4" t="s">
        <v>5123</v>
      </c>
      <c r="D961" s="4" t="s">
        <v>4803</v>
      </c>
      <c r="E961" s="4" t="s">
        <v>4737</v>
      </c>
    </row>
    <row r="962">
      <c r="A962" s="33">
        <v>45827.853076053245</v>
      </c>
      <c r="B962" s="4" t="s">
        <v>4776</v>
      </c>
      <c r="C962" s="4" t="s">
        <v>4777</v>
      </c>
      <c r="D962" s="4" t="s">
        <v>4778</v>
      </c>
      <c r="E962" s="4" t="s">
        <v>5124</v>
      </c>
    </row>
    <row r="963">
      <c r="A963" s="33">
        <v>45827.85307974537</v>
      </c>
      <c r="B963" s="4" t="s">
        <v>4779</v>
      </c>
      <c r="C963" s="4" t="s">
        <v>4780</v>
      </c>
      <c r="D963" s="4" t="s">
        <v>4781</v>
      </c>
      <c r="E963" s="4" t="s">
        <v>4737</v>
      </c>
    </row>
    <row r="964">
      <c r="A964" s="33">
        <v>45827.85308390047</v>
      </c>
      <c r="B964" s="4" t="s">
        <v>4782</v>
      </c>
      <c r="C964" s="4" t="s">
        <v>4780</v>
      </c>
      <c r="D964" s="4" t="s">
        <v>4781</v>
      </c>
      <c r="E964" s="4" t="s">
        <v>4737</v>
      </c>
    </row>
    <row r="965">
      <c r="A965" s="33">
        <v>45827.85308619213</v>
      </c>
      <c r="B965" s="4" t="s">
        <v>4783</v>
      </c>
      <c r="C965" s="4" t="s">
        <v>4780</v>
      </c>
      <c r="D965" s="4" t="s">
        <v>4781</v>
      </c>
      <c r="E965" s="4" t="s">
        <v>4737</v>
      </c>
    </row>
    <row r="966">
      <c r="A966" s="33">
        <v>45827.85315510417</v>
      </c>
      <c r="B966" s="4" t="s">
        <v>4742</v>
      </c>
      <c r="C966" s="5" t="s">
        <v>5122</v>
      </c>
      <c r="D966" s="4" t="s">
        <v>4735</v>
      </c>
      <c r="E966" s="4" t="s">
        <v>4806</v>
      </c>
    </row>
    <row r="967">
      <c r="A967" s="33">
        <v>45827.85401814815</v>
      </c>
      <c r="B967" s="4" t="s">
        <v>4801</v>
      </c>
      <c r="C967" s="4" t="s">
        <v>5125</v>
      </c>
      <c r="D967" s="4" t="s">
        <v>4803</v>
      </c>
      <c r="E967" s="4" t="s">
        <v>4737</v>
      </c>
    </row>
    <row r="968">
      <c r="A968" s="33">
        <v>45827.85404427083</v>
      </c>
      <c r="B968" s="4" t="s">
        <v>4776</v>
      </c>
      <c r="C968" s="4" t="s">
        <v>4777</v>
      </c>
      <c r="D968" s="4" t="s">
        <v>4778</v>
      </c>
      <c r="E968" s="4" t="s">
        <v>5126</v>
      </c>
    </row>
    <row r="969">
      <c r="A969" s="33">
        <v>45827.854046782406</v>
      </c>
      <c r="B969" s="4" t="s">
        <v>4779</v>
      </c>
      <c r="C969" s="4" t="s">
        <v>4780</v>
      </c>
      <c r="D969" s="4" t="s">
        <v>4781</v>
      </c>
      <c r="E969" s="4" t="s">
        <v>4737</v>
      </c>
    </row>
    <row r="970">
      <c r="A970" s="33">
        <v>45827.8540493287</v>
      </c>
      <c r="B970" s="4" t="s">
        <v>4782</v>
      </c>
      <c r="C970" s="4" t="s">
        <v>4780</v>
      </c>
      <c r="D970" s="4" t="s">
        <v>4781</v>
      </c>
      <c r="E970" s="4" t="s">
        <v>4737</v>
      </c>
    </row>
    <row r="971">
      <c r="A971" s="33">
        <v>45827.85406377315</v>
      </c>
      <c r="B971" s="4" t="s">
        <v>4783</v>
      </c>
      <c r="C971" s="4" t="s">
        <v>4780</v>
      </c>
      <c r="D971" s="4" t="s">
        <v>4781</v>
      </c>
      <c r="E971" s="4" t="s">
        <v>4737</v>
      </c>
    </row>
    <row r="972">
      <c r="A972" s="33">
        <v>45827.85413221065</v>
      </c>
      <c r="B972" s="4" t="s">
        <v>4742</v>
      </c>
      <c r="C972" s="5" t="s">
        <v>5127</v>
      </c>
      <c r="D972" s="4" t="s">
        <v>4735</v>
      </c>
      <c r="E972" s="4" t="s">
        <v>4806</v>
      </c>
    </row>
    <row r="973">
      <c r="A973" s="33">
        <v>45827.85779616898</v>
      </c>
      <c r="B973" s="4" t="s">
        <v>4801</v>
      </c>
      <c r="C973" s="4" t="s">
        <v>5128</v>
      </c>
      <c r="D973" s="4" t="s">
        <v>4803</v>
      </c>
      <c r="E973" s="4" t="s">
        <v>4737</v>
      </c>
    </row>
    <row r="974">
      <c r="A974" s="33">
        <v>45827.857813449074</v>
      </c>
      <c r="B974" s="4" t="s">
        <v>4776</v>
      </c>
      <c r="C974" s="4" t="s">
        <v>4777</v>
      </c>
      <c r="D974" s="4" t="s">
        <v>4778</v>
      </c>
      <c r="E974" s="4" t="s">
        <v>5129</v>
      </c>
    </row>
    <row r="975">
      <c r="A975" s="33">
        <v>45827.85781951388</v>
      </c>
      <c r="B975" s="4" t="s">
        <v>4779</v>
      </c>
      <c r="C975" s="4" t="s">
        <v>4780</v>
      </c>
      <c r="D975" s="4" t="s">
        <v>4781</v>
      </c>
      <c r="E975" s="4" t="s">
        <v>4737</v>
      </c>
    </row>
    <row r="976">
      <c r="A976" s="33">
        <v>45827.85782119213</v>
      </c>
      <c r="B976" s="4" t="s">
        <v>4782</v>
      </c>
      <c r="C976" s="4" t="s">
        <v>4780</v>
      </c>
      <c r="D976" s="4" t="s">
        <v>4781</v>
      </c>
      <c r="E976" s="4" t="s">
        <v>4737</v>
      </c>
    </row>
    <row r="977">
      <c r="A977" s="33">
        <v>45827.85782472222</v>
      </c>
      <c r="B977" s="4" t="s">
        <v>4783</v>
      </c>
      <c r="C977" s="4" t="s">
        <v>4780</v>
      </c>
      <c r="D977" s="4" t="s">
        <v>4781</v>
      </c>
      <c r="E977" s="4" t="s">
        <v>4737</v>
      </c>
    </row>
    <row r="978">
      <c r="A978" s="33">
        <v>45827.857894050925</v>
      </c>
      <c r="B978" s="4" t="s">
        <v>4742</v>
      </c>
      <c r="C978" s="5" t="s">
        <v>5130</v>
      </c>
      <c r="D978" s="4" t="s">
        <v>4735</v>
      </c>
      <c r="E978" s="4" t="s">
        <v>4806</v>
      </c>
    </row>
    <row r="979">
      <c r="A979" s="33">
        <v>45827.87256025463</v>
      </c>
      <c r="B979" s="4" t="s">
        <v>4801</v>
      </c>
      <c r="C979" s="4" t="s">
        <v>5131</v>
      </c>
      <c r="D979" s="4" t="s">
        <v>4803</v>
      </c>
      <c r="E979" s="4" t="s">
        <v>4737</v>
      </c>
    </row>
    <row r="980">
      <c r="A980" s="33">
        <v>45827.87257936342</v>
      </c>
      <c r="B980" s="4" t="s">
        <v>4776</v>
      </c>
      <c r="C980" s="4" t="s">
        <v>4777</v>
      </c>
      <c r="D980" s="4" t="s">
        <v>4778</v>
      </c>
      <c r="E980" s="4" t="s">
        <v>5132</v>
      </c>
    </row>
    <row r="981">
      <c r="A981" s="33">
        <v>45827.87258166667</v>
      </c>
      <c r="B981" s="4" t="s">
        <v>4779</v>
      </c>
      <c r="C981" s="4" t="s">
        <v>4780</v>
      </c>
      <c r="D981" s="4" t="s">
        <v>4781</v>
      </c>
      <c r="E981" s="4" t="s">
        <v>4737</v>
      </c>
    </row>
    <row r="982">
      <c r="A982" s="33">
        <v>45827.872584791665</v>
      </c>
      <c r="B982" s="4" t="s">
        <v>4782</v>
      </c>
      <c r="C982" s="4" t="s">
        <v>4780</v>
      </c>
      <c r="D982" s="4" t="s">
        <v>4781</v>
      </c>
      <c r="E982" s="4" t="s">
        <v>4737</v>
      </c>
    </row>
    <row r="983">
      <c r="A983" s="33">
        <v>45827.872587129634</v>
      </c>
      <c r="B983" s="4" t="s">
        <v>4783</v>
      </c>
      <c r="C983" s="4" t="s">
        <v>4780</v>
      </c>
      <c r="D983" s="4" t="s">
        <v>4781</v>
      </c>
      <c r="E983" s="4" t="s">
        <v>4737</v>
      </c>
    </row>
    <row r="984">
      <c r="A984" s="33">
        <v>45827.872655810184</v>
      </c>
      <c r="B984" s="4" t="s">
        <v>4742</v>
      </c>
      <c r="C984" s="5" t="s">
        <v>5116</v>
      </c>
      <c r="D984" s="4" t="s">
        <v>4735</v>
      </c>
      <c r="E984" s="4" t="s">
        <v>4806</v>
      </c>
    </row>
    <row r="985">
      <c r="A985" s="33">
        <v>45827.877365810185</v>
      </c>
      <c r="B985" s="4" t="s">
        <v>4801</v>
      </c>
      <c r="C985" s="4" t="s">
        <v>5133</v>
      </c>
      <c r="D985" s="4" t="s">
        <v>4803</v>
      </c>
      <c r="E985" s="4" t="s">
        <v>4737</v>
      </c>
    </row>
    <row r="986">
      <c r="A986" s="33">
        <v>45827.87738896991</v>
      </c>
      <c r="B986" s="4" t="s">
        <v>4776</v>
      </c>
      <c r="C986" s="4" t="s">
        <v>4777</v>
      </c>
      <c r="D986" s="4" t="s">
        <v>4778</v>
      </c>
      <c r="E986" s="4" t="s">
        <v>5134</v>
      </c>
    </row>
    <row r="987">
      <c r="A987" s="33">
        <v>45827.877391284725</v>
      </c>
      <c r="B987" s="4" t="s">
        <v>4779</v>
      </c>
      <c r="C987" s="4" t="s">
        <v>4780</v>
      </c>
      <c r="D987" s="4" t="s">
        <v>4781</v>
      </c>
      <c r="E987" s="4" t="s">
        <v>4737</v>
      </c>
    </row>
    <row r="988">
      <c r="A988" s="33">
        <v>45827.87739375</v>
      </c>
      <c r="B988" s="4" t="s">
        <v>4782</v>
      </c>
      <c r="C988" s="4" t="s">
        <v>4780</v>
      </c>
      <c r="D988" s="4" t="s">
        <v>4781</v>
      </c>
      <c r="E988" s="4" t="s">
        <v>4737</v>
      </c>
    </row>
    <row r="989">
      <c r="A989" s="33">
        <v>45827.877396145836</v>
      </c>
      <c r="B989" s="4" t="s">
        <v>4783</v>
      </c>
      <c r="C989" s="4" t="s">
        <v>4780</v>
      </c>
      <c r="D989" s="4" t="s">
        <v>4781</v>
      </c>
      <c r="E989" s="4" t="s">
        <v>4737</v>
      </c>
    </row>
    <row r="990">
      <c r="A990" s="33">
        <v>45827.87746528935</v>
      </c>
      <c r="B990" s="4" t="s">
        <v>4742</v>
      </c>
      <c r="C990" s="5" t="s">
        <v>5135</v>
      </c>
      <c r="D990" s="4" t="s">
        <v>4735</v>
      </c>
      <c r="E990" s="4" t="s">
        <v>4806</v>
      </c>
    </row>
    <row r="991">
      <c r="A991" s="33">
        <v>45827.880662627314</v>
      </c>
      <c r="B991" s="4" t="s">
        <v>4801</v>
      </c>
      <c r="C991" s="4" t="s">
        <v>5136</v>
      </c>
      <c r="D991" s="4" t="s">
        <v>4803</v>
      </c>
      <c r="E991" s="4" t="s">
        <v>4737</v>
      </c>
    </row>
    <row r="992">
      <c r="A992" s="33">
        <v>45827.88067939815</v>
      </c>
      <c r="B992" s="4" t="s">
        <v>4776</v>
      </c>
      <c r="C992" s="4" t="s">
        <v>4777</v>
      </c>
      <c r="D992" s="4" t="s">
        <v>4778</v>
      </c>
      <c r="E992" s="4" t="s">
        <v>5137</v>
      </c>
    </row>
    <row r="993">
      <c r="A993" s="33">
        <v>45827.880681469906</v>
      </c>
      <c r="B993" s="4" t="s">
        <v>4779</v>
      </c>
      <c r="C993" s="4" t="s">
        <v>4780</v>
      </c>
      <c r="D993" s="4" t="s">
        <v>4781</v>
      </c>
      <c r="E993" s="4" t="s">
        <v>4737</v>
      </c>
    </row>
    <row r="994">
      <c r="A994" s="33">
        <v>45827.88068350694</v>
      </c>
      <c r="B994" s="4" t="s">
        <v>4782</v>
      </c>
      <c r="C994" s="4" t="s">
        <v>4780</v>
      </c>
      <c r="D994" s="4" t="s">
        <v>4781</v>
      </c>
      <c r="E994" s="4" t="s">
        <v>4737</v>
      </c>
    </row>
    <row r="995">
      <c r="A995" s="33">
        <v>45827.88068667824</v>
      </c>
      <c r="B995" s="4" t="s">
        <v>4783</v>
      </c>
      <c r="C995" s="4" t="s">
        <v>4780</v>
      </c>
      <c r="D995" s="4" t="s">
        <v>4781</v>
      </c>
      <c r="E995" s="4" t="s">
        <v>4737</v>
      </c>
    </row>
    <row r="996">
      <c r="A996" s="33">
        <v>45827.88075309028</v>
      </c>
      <c r="B996" s="4" t="s">
        <v>4742</v>
      </c>
      <c r="C996" s="5" t="s">
        <v>5135</v>
      </c>
      <c r="D996" s="4" t="s">
        <v>4735</v>
      </c>
      <c r="E996" s="4" t="s">
        <v>4806</v>
      </c>
    </row>
    <row r="997">
      <c r="A997" s="33">
        <v>45827.914421828704</v>
      </c>
      <c r="B997" s="4" t="s">
        <v>4801</v>
      </c>
      <c r="C997" s="4" t="s">
        <v>5136</v>
      </c>
      <c r="D997" s="4" t="s">
        <v>4803</v>
      </c>
      <c r="E997" s="4" t="s">
        <v>4737</v>
      </c>
    </row>
    <row r="998">
      <c r="A998" s="33">
        <v>45827.91444532407</v>
      </c>
      <c r="B998" s="4" t="s">
        <v>4776</v>
      </c>
      <c r="C998" s="4" t="s">
        <v>4777</v>
      </c>
      <c r="D998" s="4" t="s">
        <v>4778</v>
      </c>
      <c r="E998" s="4" t="s">
        <v>5137</v>
      </c>
    </row>
    <row r="999">
      <c r="A999" s="33">
        <v>45827.91444975694</v>
      </c>
      <c r="B999" s="4" t="s">
        <v>4779</v>
      </c>
      <c r="C999" s="4" t="s">
        <v>4780</v>
      </c>
      <c r="D999" s="4" t="s">
        <v>4781</v>
      </c>
      <c r="E999" s="4" t="s">
        <v>4737</v>
      </c>
    </row>
    <row r="1000">
      <c r="A1000" s="33">
        <v>45827.9144534838</v>
      </c>
      <c r="B1000" s="4" t="s">
        <v>4782</v>
      </c>
      <c r="C1000" s="4" t="s">
        <v>4780</v>
      </c>
      <c r="D1000" s="4" t="s">
        <v>4781</v>
      </c>
      <c r="E1000" s="4" t="s">
        <v>4737</v>
      </c>
    </row>
    <row r="1001">
      <c r="A1001" s="33">
        <v>45827.91445662037</v>
      </c>
      <c r="B1001" s="4" t="s">
        <v>4783</v>
      </c>
      <c r="C1001" s="4" t="s">
        <v>4780</v>
      </c>
      <c r="D1001" s="4" t="s">
        <v>4781</v>
      </c>
      <c r="E1001" s="4" t="s">
        <v>4737</v>
      </c>
    </row>
    <row r="1002">
      <c r="A1002" s="33">
        <v>45827.914527175926</v>
      </c>
      <c r="B1002" s="4" t="s">
        <v>4742</v>
      </c>
      <c r="C1002" s="5" t="s">
        <v>5135</v>
      </c>
      <c r="D1002" s="4" t="s">
        <v>4735</v>
      </c>
      <c r="E1002" s="4" t="s">
        <v>4806</v>
      </c>
    </row>
    <row r="1003">
      <c r="A1003" s="33">
        <v>45827.915008958335</v>
      </c>
      <c r="B1003" s="4" t="s">
        <v>4801</v>
      </c>
      <c r="C1003" s="4" t="s">
        <v>5136</v>
      </c>
      <c r="D1003" s="4" t="s">
        <v>4803</v>
      </c>
      <c r="E1003" s="4" t="s">
        <v>4737</v>
      </c>
    </row>
    <row r="1004">
      <c r="A1004" s="33">
        <v>45827.91502425926</v>
      </c>
      <c r="B1004" s="4" t="s">
        <v>4776</v>
      </c>
      <c r="C1004" s="4" t="s">
        <v>4777</v>
      </c>
      <c r="D1004" s="4" t="s">
        <v>4778</v>
      </c>
      <c r="E1004" s="4" t="s">
        <v>5137</v>
      </c>
    </row>
    <row r="1005">
      <c r="A1005" s="33">
        <v>45827.91503855324</v>
      </c>
      <c r="B1005" s="4" t="s">
        <v>4779</v>
      </c>
      <c r="C1005" s="4" t="s">
        <v>4780</v>
      </c>
      <c r="D1005" s="4" t="s">
        <v>4781</v>
      </c>
      <c r="E1005" s="4" t="s">
        <v>4737</v>
      </c>
    </row>
    <row r="1006">
      <c r="A1006" s="33">
        <v>45827.915045127316</v>
      </c>
      <c r="B1006" s="4" t="s">
        <v>4782</v>
      </c>
      <c r="C1006" s="4" t="s">
        <v>4780</v>
      </c>
      <c r="D1006" s="4" t="s">
        <v>4781</v>
      </c>
      <c r="E1006" s="4" t="s">
        <v>4737</v>
      </c>
    </row>
    <row r="1007">
      <c r="A1007" s="33">
        <v>45827.915047083334</v>
      </c>
      <c r="B1007" s="4" t="s">
        <v>4783</v>
      </c>
      <c r="C1007" s="4" t="s">
        <v>4780</v>
      </c>
      <c r="D1007" s="4" t="s">
        <v>4781</v>
      </c>
      <c r="E1007" s="4" t="s">
        <v>4737</v>
      </c>
    </row>
    <row r="1008">
      <c r="A1008" s="33">
        <v>45827.91511266204</v>
      </c>
      <c r="B1008" s="4" t="s">
        <v>4742</v>
      </c>
      <c r="C1008" s="5" t="s">
        <v>5135</v>
      </c>
      <c r="D1008" s="4" t="s">
        <v>4735</v>
      </c>
      <c r="E1008" s="4" t="s">
        <v>4806</v>
      </c>
    </row>
    <row r="1009">
      <c r="A1009" s="33">
        <v>45827.91548640047</v>
      </c>
      <c r="B1009" s="4" t="s">
        <v>4801</v>
      </c>
      <c r="C1009" s="4" t="s">
        <v>5138</v>
      </c>
      <c r="D1009" s="4" t="s">
        <v>4803</v>
      </c>
      <c r="E1009" s="4" t="s">
        <v>4737</v>
      </c>
    </row>
    <row r="1010">
      <c r="A1010" s="33">
        <v>45827.91550405092</v>
      </c>
      <c r="B1010" s="4" t="s">
        <v>4776</v>
      </c>
      <c r="C1010" s="4" t="s">
        <v>4777</v>
      </c>
      <c r="D1010" s="4" t="s">
        <v>4778</v>
      </c>
      <c r="E1010" s="4" t="s">
        <v>5137</v>
      </c>
    </row>
    <row r="1011">
      <c r="A1011" s="33">
        <v>45827.91550594907</v>
      </c>
      <c r="B1011" s="4" t="s">
        <v>4779</v>
      </c>
      <c r="C1011" s="4" t="s">
        <v>4780</v>
      </c>
      <c r="D1011" s="4" t="s">
        <v>4781</v>
      </c>
      <c r="E1011" s="4" t="s">
        <v>4737</v>
      </c>
    </row>
    <row r="1012">
      <c r="A1012" s="33">
        <v>45827.915508101854</v>
      </c>
      <c r="B1012" s="4" t="s">
        <v>4782</v>
      </c>
      <c r="C1012" s="4" t="s">
        <v>4780</v>
      </c>
      <c r="D1012" s="4" t="s">
        <v>4781</v>
      </c>
      <c r="E1012" s="4" t="s">
        <v>4737</v>
      </c>
    </row>
    <row r="1013">
      <c r="A1013" s="33">
        <v>45827.915510023144</v>
      </c>
      <c r="B1013" s="4" t="s">
        <v>4783</v>
      </c>
      <c r="C1013" s="4" t="s">
        <v>4780</v>
      </c>
      <c r="D1013" s="4" t="s">
        <v>4781</v>
      </c>
      <c r="E1013" s="4" t="s">
        <v>4737</v>
      </c>
    </row>
    <row r="1014">
      <c r="A1014" s="33">
        <v>45827.91557971065</v>
      </c>
      <c r="B1014" s="4" t="s">
        <v>4742</v>
      </c>
      <c r="C1014" s="4" t="s">
        <v>5139</v>
      </c>
      <c r="D1014" s="4" t="s">
        <v>4735</v>
      </c>
      <c r="E1014" s="4" t="s">
        <v>4806</v>
      </c>
    </row>
    <row r="1015">
      <c r="A1015" s="33">
        <v>45827.9210600463</v>
      </c>
      <c r="B1015" s="4" t="s">
        <v>4801</v>
      </c>
      <c r="C1015" s="4" t="s">
        <v>5140</v>
      </c>
      <c r="D1015" s="4" t="s">
        <v>4803</v>
      </c>
      <c r="E1015" s="4" t="s">
        <v>4737</v>
      </c>
    </row>
    <row r="1016">
      <c r="A1016" s="33">
        <v>45827.92108503472</v>
      </c>
      <c r="B1016" s="4" t="s">
        <v>4776</v>
      </c>
      <c r="C1016" s="4" t="s">
        <v>4777</v>
      </c>
      <c r="D1016" s="4" t="s">
        <v>4778</v>
      </c>
      <c r="E1016" s="4" t="s">
        <v>5137</v>
      </c>
    </row>
    <row r="1017">
      <c r="A1017" s="33">
        <v>45827.92110421296</v>
      </c>
      <c r="B1017" s="4" t="s">
        <v>4779</v>
      </c>
      <c r="C1017" s="4" t="s">
        <v>4780</v>
      </c>
      <c r="D1017" s="4" t="s">
        <v>4781</v>
      </c>
      <c r="E1017" s="4" t="s">
        <v>4737</v>
      </c>
    </row>
    <row r="1018">
      <c r="A1018" s="33">
        <v>45827.9211072801</v>
      </c>
      <c r="B1018" s="4" t="s">
        <v>4782</v>
      </c>
      <c r="C1018" s="4" t="s">
        <v>4780</v>
      </c>
      <c r="D1018" s="4" t="s">
        <v>4781</v>
      </c>
      <c r="E1018" s="4" t="s">
        <v>4737</v>
      </c>
    </row>
    <row r="1019">
      <c r="A1019" s="33">
        <v>45827.92111520833</v>
      </c>
      <c r="B1019" s="4" t="s">
        <v>4783</v>
      </c>
      <c r="C1019" s="4" t="s">
        <v>4777</v>
      </c>
      <c r="D1019" s="4" t="s">
        <v>4778</v>
      </c>
      <c r="E1019" s="4" t="s">
        <v>5141</v>
      </c>
    </row>
    <row r="1020">
      <c r="A1020" s="33">
        <v>45827.92118456018</v>
      </c>
      <c r="B1020" s="4" t="s">
        <v>4742</v>
      </c>
      <c r="C1020" s="4" t="s">
        <v>5139</v>
      </c>
      <c r="D1020" s="4" t="s">
        <v>4735</v>
      </c>
      <c r="E1020" s="4" t="s">
        <v>4806</v>
      </c>
    </row>
    <row r="1021">
      <c r="A1021" s="33">
        <v>45827.92202489583</v>
      </c>
      <c r="B1021" s="4" t="s">
        <v>4801</v>
      </c>
      <c r="C1021" s="4" t="s">
        <v>5142</v>
      </c>
      <c r="D1021" s="4" t="s">
        <v>4803</v>
      </c>
      <c r="E1021" s="4" t="s">
        <v>4737</v>
      </c>
    </row>
    <row r="1022">
      <c r="A1022" s="33">
        <v>45827.92215827546</v>
      </c>
      <c r="B1022" s="4" t="s">
        <v>4776</v>
      </c>
      <c r="C1022" s="5" t="s">
        <v>4836</v>
      </c>
      <c r="D1022" s="4" t="s">
        <v>4735</v>
      </c>
      <c r="E1022" s="4" t="s">
        <v>4837</v>
      </c>
    </row>
    <row r="1023">
      <c r="A1023" s="33">
        <v>45827.92216165509</v>
      </c>
      <c r="B1023" s="4" t="s">
        <v>4779</v>
      </c>
      <c r="C1023" s="4" t="s">
        <v>4780</v>
      </c>
      <c r="D1023" s="4" t="s">
        <v>4781</v>
      </c>
      <c r="E1023" s="4" t="s">
        <v>4737</v>
      </c>
    </row>
    <row r="1024">
      <c r="A1024" s="33">
        <v>45827.92216461805</v>
      </c>
      <c r="B1024" s="4" t="s">
        <v>4782</v>
      </c>
      <c r="C1024" s="4" t="s">
        <v>4780</v>
      </c>
      <c r="D1024" s="4" t="s">
        <v>4781</v>
      </c>
      <c r="E1024" s="4" t="s">
        <v>4737</v>
      </c>
    </row>
    <row r="1025">
      <c r="A1025" s="33">
        <v>45827.92216782407</v>
      </c>
      <c r="B1025" s="4" t="s">
        <v>4783</v>
      </c>
      <c r="C1025" s="4" t="s">
        <v>4777</v>
      </c>
      <c r="D1025" s="4" t="s">
        <v>4778</v>
      </c>
      <c r="E1025" s="4" t="s">
        <v>5141</v>
      </c>
    </row>
    <row r="1026">
      <c r="A1026" s="33">
        <v>45827.92223606481</v>
      </c>
      <c r="B1026" s="4" t="s">
        <v>4742</v>
      </c>
      <c r="C1026" s="4" t="s">
        <v>5139</v>
      </c>
      <c r="D1026" s="4" t="s">
        <v>4735</v>
      </c>
      <c r="E1026" s="4" t="s">
        <v>4806</v>
      </c>
    </row>
    <row r="1027">
      <c r="A1027" s="33">
        <v>45827.922861018524</v>
      </c>
      <c r="B1027" s="4" t="s">
        <v>4801</v>
      </c>
      <c r="C1027" s="4" t="s">
        <v>5143</v>
      </c>
      <c r="D1027" s="4" t="s">
        <v>4803</v>
      </c>
      <c r="E1027" s="4" t="s">
        <v>4737</v>
      </c>
    </row>
    <row r="1028">
      <c r="A1028" s="33">
        <v>45827.92298841436</v>
      </c>
      <c r="B1028" s="4" t="s">
        <v>4776</v>
      </c>
      <c r="C1028" s="5" t="s">
        <v>4836</v>
      </c>
      <c r="D1028" s="4" t="s">
        <v>4735</v>
      </c>
      <c r="E1028" s="4" t="s">
        <v>4837</v>
      </c>
    </row>
    <row r="1029">
      <c r="A1029" s="33">
        <v>45827.92299328704</v>
      </c>
      <c r="B1029" s="4" t="s">
        <v>4779</v>
      </c>
      <c r="C1029" s="4" t="s">
        <v>4780</v>
      </c>
      <c r="D1029" s="4" t="s">
        <v>4781</v>
      </c>
      <c r="E1029" s="4" t="s">
        <v>4737</v>
      </c>
    </row>
    <row r="1030">
      <c r="A1030" s="33">
        <v>45827.92299576389</v>
      </c>
      <c r="B1030" s="4" t="s">
        <v>4782</v>
      </c>
      <c r="C1030" s="4" t="s">
        <v>4780</v>
      </c>
      <c r="D1030" s="4" t="s">
        <v>4781</v>
      </c>
      <c r="E1030" s="4" t="s">
        <v>4737</v>
      </c>
    </row>
    <row r="1031">
      <c r="A1031" s="33">
        <v>45827.92299839121</v>
      </c>
      <c r="B1031" s="4" t="s">
        <v>4783</v>
      </c>
      <c r="C1031" s="4" t="s">
        <v>4777</v>
      </c>
      <c r="D1031" s="4" t="s">
        <v>4778</v>
      </c>
      <c r="E1031" s="4" t="s">
        <v>5144</v>
      </c>
    </row>
    <row r="1032">
      <c r="A1032" s="33">
        <v>45827.92308163195</v>
      </c>
      <c r="B1032" s="4" t="s">
        <v>4742</v>
      </c>
      <c r="C1032" s="4" t="s">
        <v>5139</v>
      </c>
      <c r="D1032" s="4" t="s">
        <v>4735</v>
      </c>
      <c r="E1032" s="4" t="s">
        <v>4806</v>
      </c>
    </row>
    <row r="1033">
      <c r="A1033" s="33">
        <v>45827.924990011576</v>
      </c>
      <c r="B1033" s="4" t="s">
        <v>4801</v>
      </c>
      <c r="C1033" s="4" t="s">
        <v>5145</v>
      </c>
      <c r="D1033" s="4" t="s">
        <v>4803</v>
      </c>
      <c r="E1033" s="4" t="s">
        <v>4737</v>
      </c>
    </row>
    <row r="1034">
      <c r="A1034" s="33">
        <v>45827.925118784726</v>
      </c>
      <c r="B1034" s="4" t="s">
        <v>4776</v>
      </c>
      <c r="C1034" s="5" t="s">
        <v>4836</v>
      </c>
      <c r="D1034" s="4" t="s">
        <v>4735</v>
      </c>
      <c r="E1034" s="4" t="s">
        <v>4837</v>
      </c>
    </row>
    <row r="1035">
      <c r="A1035" s="33">
        <v>45827.9251215625</v>
      </c>
      <c r="B1035" s="4" t="s">
        <v>4779</v>
      </c>
      <c r="C1035" s="4" t="s">
        <v>4780</v>
      </c>
      <c r="D1035" s="4" t="s">
        <v>4781</v>
      </c>
      <c r="E1035" s="4" t="s">
        <v>4737</v>
      </c>
    </row>
    <row r="1036">
      <c r="A1036" s="33">
        <v>45827.92512369213</v>
      </c>
      <c r="B1036" s="4" t="s">
        <v>4782</v>
      </c>
      <c r="C1036" s="4" t="s">
        <v>4780</v>
      </c>
      <c r="D1036" s="4" t="s">
        <v>4781</v>
      </c>
      <c r="E1036" s="4" t="s">
        <v>4737</v>
      </c>
    </row>
    <row r="1037">
      <c r="A1037" s="33">
        <v>45827.925126064816</v>
      </c>
      <c r="B1037" s="4" t="s">
        <v>4783</v>
      </c>
      <c r="C1037" s="4" t="s">
        <v>4777</v>
      </c>
      <c r="D1037" s="4" t="s">
        <v>4778</v>
      </c>
      <c r="E1037" s="4" t="s">
        <v>5146</v>
      </c>
    </row>
    <row r="1038">
      <c r="A1038" s="33">
        <v>45827.92519310185</v>
      </c>
      <c r="B1038" s="4" t="s">
        <v>4742</v>
      </c>
      <c r="C1038" s="4" t="s">
        <v>5139</v>
      </c>
      <c r="D1038" s="4" t="s">
        <v>4735</v>
      </c>
      <c r="E1038" s="4" t="s">
        <v>4806</v>
      </c>
    </row>
    <row r="1039">
      <c r="A1039" s="33">
        <v>45827.92617407408</v>
      </c>
      <c r="B1039" s="4" t="s">
        <v>4801</v>
      </c>
      <c r="C1039" s="4" t="s">
        <v>5147</v>
      </c>
      <c r="D1039" s="4" t="s">
        <v>4803</v>
      </c>
      <c r="E1039" s="4" t="s">
        <v>4737</v>
      </c>
    </row>
    <row r="1040">
      <c r="A1040" s="33">
        <v>45827.926300983796</v>
      </c>
      <c r="B1040" s="4" t="s">
        <v>4776</v>
      </c>
      <c r="C1040" s="5" t="s">
        <v>4836</v>
      </c>
      <c r="D1040" s="4" t="s">
        <v>4735</v>
      </c>
      <c r="E1040" s="4" t="s">
        <v>4837</v>
      </c>
    </row>
    <row r="1041">
      <c r="A1041" s="33">
        <v>45827.92630298611</v>
      </c>
      <c r="B1041" s="4" t="s">
        <v>4779</v>
      </c>
      <c r="C1041" s="4" t="s">
        <v>4780</v>
      </c>
      <c r="D1041" s="4" t="s">
        <v>4781</v>
      </c>
      <c r="E1041" s="4" t="s">
        <v>4737</v>
      </c>
    </row>
    <row r="1042">
      <c r="A1042" s="33">
        <v>45827.92630471065</v>
      </c>
      <c r="B1042" s="4" t="s">
        <v>4782</v>
      </c>
      <c r="C1042" s="4" t="s">
        <v>4777</v>
      </c>
      <c r="D1042" s="4" t="s">
        <v>4778</v>
      </c>
      <c r="E1042" s="4" t="s">
        <v>5146</v>
      </c>
    </row>
    <row r="1043">
      <c r="A1043" s="33">
        <v>45827.926306388894</v>
      </c>
      <c r="B1043" s="4" t="s">
        <v>4783</v>
      </c>
      <c r="C1043" s="4" t="s">
        <v>4777</v>
      </c>
      <c r="D1043" s="4" t="s">
        <v>4778</v>
      </c>
      <c r="E1043" s="4" t="s">
        <v>5146</v>
      </c>
    </row>
    <row r="1044">
      <c r="A1044" s="33">
        <v>45827.92637282408</v>
      </c>
      <c r="B1044" s="4" t="s">
        <v>4742</v>
      </c>
      <c r="C1044" s="4" t="s">
        <v>5139</v>
      </c>
      <c r="D1044" s="4" t="s">
        <v>4735</v>
      </c>
      <c r="E1044" s="4" t="s">
        <v>4806</v>
      </c>
    </row>
    <row r="1045">
      <c r="A1045" s="33">
        <v>45827.92836185185</v>
      </c>
      <c r="B1045" s="4" t="s">
        <v>4801</v>
      </c>
      <c r="C1045" s="4" t="s">
        <v>5148</v>
      </c>
      <c r="D1045" s="4" t="s">
        <v>4803</v>
      </c>
      <c r="E1045" s="4" t="s">
        <v>4737</v>
      </c>
    </row>
    <row r="1046">
      <c r="A1046" s="33">
        <v>45827.928475</v>
      </c>
      <c r="B1046" s="4" t="s">
        <v>4776</v>
      </c>
      <c r="C1046" s="5" t="s">
        <v>5149</v>
      </c>
      <c r="D1046" s="4" t="s">
        <v>4735</v>
      </c>
      <c r="E1046" s="4" t="s">
        <v>5150</v>
      </c>
    </row>
    <row r="1047">
      <c r="A1047" s="33">
        <v>45827.928477256944</v>
      </c>
      <c r="B1047" s="4" t="s">
        <v>4779</v>
      </c>
      <c r="C1047" s="4" t="s">
        <v>4780</v>
      </c>
      <c r="D1047" s="4" t="s">
        <v>4781</v>
      </c>
      <c r="E1047" s="4" t="s">
        <v>4737</v>
      </c>
    </row>
    <row r="1048">
      <c r="A1048" s="33">
        <v>45827.92847912037</v>
      </c>
      <c r="B1048" s="4" t="s">
        <v>4782</v>
      </c>
      <c r="C1048" s="4" t="s">
        <v>4780</v>
      </c>
      <c r="D1048" s="4" t="s">
        <v>4781</v>
      </c>
      <c r="E1048" s="4" t="s">
        <v>4737</v>
      </c>
    </row>
    <row r="1049">
      <c r="A1049" s="33">
        <v>45827.92848570602</v>
      </c>
      <c r="B1049" s="4" t="s">
        <v>4783</v>
      </c>
      <c r="C1049" s="4" t="s">
        <v>4780</v>
      </c>
      <c r="D1049" s="4" t="s">
        <v>4781</v>
      </c>
      <c r="E1049" s="4" t="s">
        <v>4737</v>
      </c>
    </row>
    <row r="1050">
      <c r="A1050" s="33">
        <v>45827.92855145833</v>
      </c>
      <c r="B1050" s="4" t="s">
        <v>4742</v>
      </c>
      <c r="C1050" s="4" t="s">
        <v>5151</v>
      </c>
      <c r="D1050" s="4" t="s">
        <v>4735</v>
      </c>
      <c r="E1050" s="4" t="s">
        <v>4806</v>
      </c>
    </row>
    <row r="1051">
      <c r="A1051" s="33">
        <v>45827.92894703704</v>
      </c>
      <c r="B1051" s="4" t="s">
        <v>4801</v>
      </c>
      <c r="C1051" s="4" t="s">
        <v>5145</v>
      </c>
      <c r="D1051" s="4" t="s">
        <v>4803</v>
      </c>
      <c r="E1051" s="4" t="s">
        <v>4737</v>
      </c>
    </row>
    <row r="1052">
      <c r="A1052" s="33">
        <v>45827.92907136574</v>
      </c>
      <c r="B1052" s="4" t="s">
        <v>4776</v>
      </c>
      <c r="C1052" s="5" t="s">
        <v>4836</v>
      </c>
      <c r="D1052" s="4" t="s">
        <v>4735</v>
      </c>
      <c r="E1052" s="4" t="s">
        <v>4837</v>
      </c>
    </row>
    <row r="1053">
      <c r="A1053" s="33">
        <v>45827.929079953705</v>
      </c>
      <c r="B1053" s="4" t="s">
        <v>4779</v>
      </c>
      <c r="C1053" s="4" t="s">
        <v>4780</v>
      </c>
      <c r="D1053" s="4" t="s">
        <v>4781</v>
      </c>
      <c r="E1053" s="4" t="s">
        <v>4737</v>
      </c>
    </row>
    <row r="1054">
      <c r="A1054" s="33">
        <v>45827.92908246528</v>
      </c>
      <c r="B1054" s="4" t="s">
        <v>4782</v>
      </c>
      <c r="C1054" s="4" t="s">
        <v>4780</v>
      </c>
      <c r="D1054" s="4" t="s">
        <v>4781</v>
      </c>
      <c r="E1054" s="4" t="s">
        <v>4737</v>
      </c>
    </row>
    <row r="1055">
      <c r="A1055" s="33">
        <v>45827.92908577547</v>
      </c>
      <c r="B1055" s="4" t="s">
        <v>4783</v>
      </c>
      <c r="C1055" s="4" t="s">
        <v>4777</v>
      </c>
      <c r="D1055" s="4" t="s">
        <v>4778</v>
      </c>
      <c r="E1055" s="4" t="s">
        <v>5146</v>
      </c>
    </row>
    <row r="1056">
      <c r="A1056" s="33">
        <v>45827.929154178244</v>
      </c>
      <c r="B1056" s="4" t="s">
        <v>4742</v>
      </c>
      <c r="C1056" s="4" t="s">
        <v>5139</v>
      </c>
      <c r="D1056" s="4" t="s">
        <v>4735</v>
      </c>
      <c r="E1056" s="4" t="s">
        <v>4806</v>
      </c>
    </row>
    <row r="1057">
      <c r="A1057" s="33">
        <v>45827.933571064816</v>
      </c>
      <c r="B1057" s="4" t="s">
        <v>4801</v>
      </c>
      <c r="C1057" s="4" t="s">
        <v>5145</v>
      </c>
      <c r="D1057" s="4" t="s">
        <v>4803</v>
      </c>
      <c r="E1057" s="4" t="s">
        <v>4737</v>
      </c>
    </row>
    <row r="1058">
      <c r="A1058" s="33">
        <v>45827.933704814815</v>
      </c>
      <c r="B1058" s="4" t="s">
        <v>4776</v>
      </c>
      <c r="C1058" s="5" t="s">
        <v>4836</v>
      </c>
      <c r="D1058" s="4" t="s">
        <v>4735</v>
      </c>
      <c r="E1058" s="4" t="s">
        <v>4837</v>
      </c>
    </row>
    <row r="1059">
      <c r="A1059" s="33">
        <v>45827.933722685186</v>
      </c>
      <c r="B1059" s="4" t="s">
        <v>4779</v>
      </c>
      <c r="C1059" s="4" t="s">
        <v>4780</v>
      </c>
      <c r="D1059" s="4" t="s">
        <v>4781</v>
      </c>
      <c r="E1059" s="4" t="s">
        <v>4737</v>
      </c>
    </row>
    <row r="1060">
      <c r="A1060" s="33">
        <v>45827.93372518518</v>
      </c>
      <c r="B1060" s="4" t="s">
        <v>4782</v>
      </c>
      <c r="C1060" s="4" t="s">
        <v>4780</v>
      </c>
      <c r="D1060" s="4" t="s">
        <v>4781</v>
      </c>
      <c r="E1060" s="4" t="s">
        <v>4737</v>
      </c>
    </row>
    <row r="1061">
      <c r="A1061" s="33">
        <v>45827.933727766205</v>
      </c>
      <c r="B1061" s="4" t="s">
        <v>4783</v>
      </c>
      <c r="C1061" s="4" t="s">
        <v>4777</v>
      </c>
      <c r="D1061" s="4" t="s">
        <v>4778</v>
      </c>
      <c r="E1061" s="4" t="s">
        <v>5146</v>
      </c>
    </row>
    <row r="1062">
      <c r="A1062" s="33">
        <v>45827.93380054398</v>
      </c>
      <c r="B1062" s="4" t="s">
        <v>4742</v>
      </c>
      <c r="C1062" s="4" t="s">
        <v>5139</v>
      </c>
      <c r="D1062" s="4" t="s">
        <v>4735</v>
      </c>
      <c r="E1062" s="4" t="s">
        <v>4806</v>
      </c>
    </row>
  </sheetData>
  <hyperlinks>
    <hyperlink r:id="rId1" ref="E37"/>
    <hyperlink r:id="rId2" ref="E42"/>
    <hyperlink r:id="rId3" ref="E46"/>
    <hyperlink r:id="rId4" ref="E50"/>
    <hyperlink r:id="rId5" ref="E51"/>
    <hyperlink r:id="rId6" ref="E57"/>
    <hyperlink r:id="rId7" ref="E60"/>
    <hyperlink r:id="rId8" ref="E61"/>
    <hyperlink r:id="rId9" ref="E62"/>
    <hyperlink r:id="rId10" ref="E66"/>
    <hyperlink r:id="rId11" ref="E67"/>
    <hyperlink r:id="rId12" ref="E71"/>
    <hyperlink r:id="rId13" ref="E72"/>
    <hyperlink r:id="rId14" ref="E76"/>
    <hyperlink r:id="rId15" ref="E77"/>
    <hyperlink r:id="rId16" ref="E81"/>
    <hyperlink r:id="rId17" ref="E82"/>
    <hyperlink r:id="rId18" ref="E86"/>
    <hyperlink r:id="rId19" ref="E87"/>
    <hyperlink r:id="rId20" ref="E90"/>
    <hyperlink r:id="rId21" ref="E102"/>
    <hyperlink r:id="rId22" ref="E105"/>
    <hyperlink r:id="rId23" ref="E112"/>
    <hyperlink r:id="rId24" ref="E115"/>
    <hyperlink r:id="rId25" ref="E122"/>
    <hyperlink r:id="rId26" ref="E125"/>
    <hyperlink r:id="rId27" ref="E127"/>
    <hyperlink r:id="rId28" ref="E130"/>
    <hyperlink r:id="rId29" ref="E131"/>
    <hyperlink r:id="rId30" ref="E132"/>
    <hyperlink r:id="rId31" ref="C161"/>
    <hyperlink r:id="rId32" ref="C166"/>
    <hyperlink r:id="rId33" ref="C167"/>
    <hyperlink r:id="rId34" ref="C171"/>
    <hyperlink r:id="rId35" ref="C172"/>
    <hyperlink r:id="rId36" ref="C176"/>
    <hyperlink r:id="rId37" ref="C177"/>
    <hyperlink r:id="rId38" ref="C182"/>
    <hyperlink r:id="rId39" ref="C187"/>
    <hyperlink r:id="rId40" ref="C192"/>
    <hyperlink r:id="rId41" ref="C197"/>
    <hyperlink r:id="rId42" ref="C202"/>
    <hyperlink r:id="rId43" ref="C207"/>
    <hyperlink r:id="rId44" ref="C212"/>
    <hyperlink r:id="rId45" ref="C217"/>
    <hyperlink r:id="rId46" ref="C222"/>
    <hyperlink r:id="rId47" ref="C227"/>
    <hyperlink r:id="rId48" ref="C232"/>
    <hyperlink r:id="rId49" ref="C237"/>
    <hyperlink r:id="rId50" ref="C242"/>
    <hyperlink r:id="rId51" ref="C248"/>
    <hyperlink r:id="rId52" ref="C253"/>
    <hyperlink r:id="rId53" ref="C259"/>
    <hyperlink r:id="rId54" ref="C265"/>
    <hyperlink r:id="rId55" ref="C271"/>
    <hyperlink r:id="rId56" ref="C277"/>
    <hyperlink r:id="rId57" ref="C283"/>
    <hyperlink r:id="rId58" ref="C289"/>
    <hyperlink r:id="rId59" ref="C295"/>
    <hyperlink r:id="rId60" ref="C301"/>
    <hyperlink r:id="rId61" ref="C307"/>
    <hyperlink r:id="rId62" ref="C313"/>
    <hyperlink r:id="rId63" ref="C319"/>
    <hyperlink r:id="rId64" ref="C325"/>
    <hyperlink r:id="rId65" ref="C331"/>
    <hyperlink r:id="rId66" ref="C337"/>
    <hyperlink r:id="rId67" ref="C343"/>
    <hyperlink r:id="rId68" ref="C349"/>
    <hyperlink r:id="rId69" ref="C355"/>
    <hyperlink r:id="rId70" ref="C361"/>
    <hyperlink r:id="rId71" ref="C367"/>
    <hyperlink r:id="rId72" ref="C373"/>
    <hyperlink r:id="rId73" ref="C379"/>
    <hyperlink r:id="rId74" ref="C385"/>
    <hyperlink r:id="rId75" ref="C391"/>
    <hyperlink r:id="rId76" ref="C392"/>
    <hyperlink r:id="rId77" ref="C393"/>
    <hyperlink r:id="rId78" ref="C397"/>
    <hyperlink r:id="rId79" ref="C403"/>
    <hyperlink r:id="rId80" ref="C409"/>
    <hyperlink r:id="rId81" ref="C415"/>
    <hyperlink r:id="rId82" ref="C421"/>
    <hyperlink r:id="rId83" ref="C427"/>
    <hyperlink r:id="rId84" ref="C433"/>
    <hyperlink r:id="rId85" ref="C439"/>
    <hyperlink r:id="rId86" ref="C451"/>
    <hyperlink r:id="rId87" ref="C457"/>
    <hyperlink r:id="rId88" ref="C463"/>
    <hyperlink r:id="rId89" ref="C469"/>
    <hyperlink r:id="rId90" ref="C475"/>
    <hyperlink r:id="rId91" ref="C481"/>
    <hyperlink r:id="rId92" ref="C487"/>
    <hyperlink r:id="rId93" ref="C493"/>
    <hyperlink r:id="rId94" ref="C499"/>
    <hyperlink r:id="rId95" ref="C505"/>
    <hyperlink r:id="rId96" ref="C511"/>
    <hyperlink r:id="rId97" ref="C524"/>
    <hyperlink r:id="rId98" ref="C530"/>
    <hyperlink r:id="rId99" ref="C536"/>
    <hyperlink r:id="rId100" ref="C542"/>
    <hyperlink r:id="rId101" ref="C548"/>
    <hyperlink r:id="rId102" ref="C549"/>
    <hyperlink r:id="rId103" ref="C550"/>
    <hyperlink r:id="rId104" ref="C554"/>
    <hyperlink r:id="rId105" ref="C560"/>
    <hyperlink r:id="rId106" ref="C566"/>
    <hyperlink r:id="rId107" ref="C572"/>
    <hyperlink r:id="rId108" ref="C578"/>
    <hyperlink r:id="rId109" ref="C584"/>
    <hyperlink r:id="rId110" ref="C590"/>
    <hyperlink r:id="rId111" ref="C596"/>
    <hyperlink r:id="rId112" ref="C608"/>
    <hyperlink r:id="rId113" ref="C614"/>
    <hyperlink r:id="rId114" ref="C620"/>
    <hyperlink r:id="rId115" ref="C626"/>
    <hyperlink r:id="rId116" ref="C632"/>
    <hyperlink r:id="rId117" ref="C638"/>
    <hyperlink r:id="rId118" ref="C644"/>
    <hyperlink r:id="rId119" ref="C650"/>
    <hyperlink r:id="rId120" ref="C656"/>
    <hyperlink r:id="rId121" ref="C668"/>
    <hyperlink r:id="rId122" ref="C674"/>
    <hyperlink r:id="rId123" ref="C680"/>
    <hyperlink r:id="rId124" ref="C686"/>
    <hyperlink r:id="rId125" ref="C692"/>
    <hyperlink r:id="rId126" ref="C693"/>
    <hyperlink r:id="rId127" ref="C694"/>
    <hyperlink r:id="rId128" ref="C698"/>
    <hyperlink r:id="rId129" ref="C704"/>
    <hyperlink r:id="rId130" ref="C710"/>
    <hyperlink r:id="rId131" ref="C716"/>
    <hyperlink r:id="rId132" ref="C722"/>
    <hyperlink r:id="rId133" ref="C723"/>
    <hyperlink r:id="rId134" ref="C724"/>
    <hyperlink r:id="rId135" ref="C728"/>
    <hyperlink r:id="rId136" ref="C734"/>
    <hyperlink r:id="rId137" ref="C740"/>
    <hyperlink r:id="rId138" ref="C746"/>
    <hyperlink r:id="rId139" ref="C758"/>
    <hyperlink r:id="rId140" ref="C764"/>
    <hyperlink r:id="rId141" ref="C768"/>
    <hyperlink r:id="rId142" ref="C774"/>
    <hyperlink r:id="rId143" ref="C776"/>
    <hyperlink r:id="rId144" ref="C782"/>
    <hyperlink r:id="rId145" ref="C788"/>
    <hyperlink r:id="rId146" ref="C789"/>
    <hyperlink r:id="rId147" ref="C790"/>
    <hyperlink r:id="rId148" ref="C794"/>
    <hyperlink r:id="rId149" ref="C798"/>
    <hyperlink r:id="rId150" ref="C800"/>
    <hyperlink r:id="rId151" ref="C806"/>
    <hyperlink r:id="rId152" ref="C812"/>
    <hyperlink r:id="rId153" ref="C816"/>
    <hyperlink r:id="rId154" ref="C818"/>
    <hyperlink r:id="rId155" ref="C828"/>
    <hyperlink r:id="rId156" ref="C836"/>
    <hyperlink r:id="rId157" ref="C840"/>
    <hyperlink r:id="rId158" ref="C848"/>
    <hyperlink r:id="rId159" ref="C852"/>
    <hyperlink r:id="rId160" ref="C854"/>
    <hyperlink r:id="rId161" ref="C860"/>
    <hyperlink r:id="rId162" ref="C866"/>
    <hyperlink r:id="rId163" ref="C872"/>
    <hyperlink r:id="rId164" ref="C878"/>
    <hyperlink r:id="rId165" ref="C884"/>
    <hyperlink r:id="rId166" ref="C885"/>
    <hyperlink r:id="rId167" ref="C887"/>
    <hyperlink r:id="rId168" ref="C890"/>
    <hyperlink r:id="rId169" ref="C894"/>
    <hyperlink r:id="rId170" ref="C896"/>
    <hyperlink r:id="rId171" ref="C902"/>
    <hyperlink r:id="rId172" ref="C908"/>
    <hyperlink r:id="rId173" ref="C909"/>
    <hyperlink r:id="rId174" ref="C911"/>
    <hyperlink r:id="rId175" ref="C920"/>
    <hyperlink r:id="rId176" ref="C926"/>
    <hyperlink r:id="rId177" ref="C930"/>
    <hyperlink r:id="rId178" ref="C932"/>
    <hyperlink r:id="rId179" ref="C936"/>
    <hyperlink r:id="rId180" ref="C942"/>
    <hyperlink r:id="rId181" ref="C948"/>
    <hyperlink r:id="rId182" ref="C954"/>
    <hyperlink r:id="rId183" ref="C960"/>
    <hyperlink r:id="rId184" ref="C966"/>
    <hyperlink r:id="rId185" ref="C972"/>
    <hyperlink r:id="rId186" ref="C978"/>
    <hyperlink r:id="rId187" ref="C984"/>
    <hyperlink r:id="rId188" ref="C990"/>
    <hyperlink r:id="rId189" ref="C996"/>
    <hyperlink r:id="rId190" ref="C1002"/>
    <hyperlink r:id="rId191" ref="C1008"/>
    <hyperlink r:id="rId192" ref="C1022"/>
    <hyperlink r:id="rId193" ref="C1028"/>
    <hyperlink r:id="rId194" ref="C1034"/>
    <hyperlink r:id="rId195" ref="C1040"/>
    <hyperlink r:id="rId196" ref="C1046"/>
    <hyperlink r:id="rId197" ref="C1052"/>
    <hyperlink r:id="rId198" ref="C1058"/>
  </hyperlinks>
  <drawing r:id="rId19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6" width="37.25"/>
    <col customWidth="1" min="7" max="8" width="57.5"/>
  </cols>
  <sheetData>
    <row r="1">
      <c r="A1" s="20" t="s">
        <v>2092</v>
      </c>
      <c r="B1" s="4" t="s">
        <v>5152</v>
      </c>
      <c r="C1" s="4" t="s">
        <v>5153</v>
      </c>
      <c r="D1" s="8" t="s">
        <v>5154</v>
      </c>
      <c r="E1" s="8" t="s">
        <v>3954</v>
      </c>
      <c r="F1" s="4" t="s">
        <v>5155</v>
      </c>
      <c r="G1" s="4" t="s">
        <v>5156</v>
      </c>
      <c r="H1" s="4" t="s">
        <v>5157</v>
      </c>
    </row>
    <row r="2">
      <c r="A2" s="20">
        <v>2.0</v>
      </c>
      <c r="B2" s="4" t="s">
        <v>5158</v>
      </c>
      <c r="C2" s="6">
        <v>45629.0</v>
      </c>
      <c r="D2" s="8">
        <v>2.0</v>
      </c>
      <c r="E2" s="8">
        <v>360000.0</v>
      </c>
      <c r="F2" s="4" t="s">
        <v>5159</v>
      </c>
      <c r="G2" s="6">
        <v>45630.0</v>
      </c>
      <c r="H2" s="4" t="s">
        <v>5160</v>
      </c>
    </row>
    <row r="3">
      <c r="A3" s="34">
        <v>1.0</v>
      </c>
      <c r="B3" s="35" t="s">
        <v>5161</v>
      </c>
      <c r="C3" s="36">
        <v>45632.0</v>
      </c>
      <c r="D3" s="37">
        <v>125.0</v>
      </c>
      <c r="E3" s="37">
        <v>360001.0</v>
      </c>
      <c r="F3" s="35" t="s">
        <v>5162</v>
      </c>
      <c r="G3" s="38">
        <v>45637.0</v>
      </c>
      <c r="H3" s="39"/>
      <c r="I3" s="40"/>
      <c r="J3" s="40"/>
      <c r="K3" s="40"/>
      <c r="L3" s="40"/>
      <c r="M3" s="40"/>
      <c r="N3" s="40"/>
      <c r="O3" s="40"/>
      <c r="P3" s="40"/>
      <c r="Q3" s="40"/>
      <c r="R3" s="40"/>
      <c r="S3" s="40"/>
      <c r="T3" s="40"/>
      <c r="U3" s="40"/>
      <c r="V3" s="40"/>
      <c r="W3" s="40"/>
      <c r="X3" s="40"/>
      <c r="Y3" s="40"/>
      <c r="Z3" s="40"/>
      <c r="AA3" s="40"/>
      <c r="AB3" s="40"/>
    </row>
    <row r="4">
      <c r="A4" s="41" t="s">
        <v>2200</v>
      </c>
      <c r="B4" s="4" t="s">
        <v>5163</v>
      </c>
      <c r="C4" s="17">
        <v>45642.0</v>
      </c>
      <c r="D4" s="8">
        <v>7.0</v>
      </c>
      <c r="E4" s="8">
        <v>265000.0</v>
      </c>
      <c r="F4" s="4" t="s">
        <v>5164</v>
      </c>
      <c r="G4" s="17">
        <v>45642.0</v>
      </c>
      <c r="H4" s="4" t="s">
        <v>5165</v>
      </c>
    </row>
    <row r="5">
      <c r="A5" s="41" t="s">
        <v>2154</v>
      </c>
      <c r="B5" s="4" t="s">
        <v>5166</v>
      </c>
      <c r="C5" s="17">
        <v>45656.0</v>
      </c>
      <c r="D5" s="8">
        <v>3.0</v>
      </c>
      <c r="E5" s="8">
        <v>660000.0</v>
      </c>
      <c r="F5" s="4" t="s">
        <v>5167</v>
      </c>
      <c r="G5" s="6">
        <v>45669.0</v>
      </c>
      <c r="H5" s="4" t="s">
        <v>5168</v>
      </c>
    </row>
    <row r="6">
      <c r="A6" s="20"/>
      <c r="B6" s="4"/>
      <c r="C6" s="6"/>
      <c r="D6" s="8"/>
      <c r="E6" s="8"/>
      <c r="F6" s="4"/>
    </row>
    <row r="7">
      <c r="A7" s="41" t="s">
        <v>2147</v>
      </c>
      <c r="B7" s="4" t="s">
        <v>5169</v>
      </c>
      <c r="C7" s="6">
        <v>45663.0</v>
      </c>
      <c r="D7" s="8">
        <v>43.0</v>
      </c>
      <c r="E7" s="8">
        <v>565000.0</v>
      </c>
      <c r="F7" s="4" t="s">
        <v>5170</v>
      </c>
    </row>
    <row r="8">
      <c r="A8" s="41" t="s">
        <v>2148</v>
      </c>
      <c r="B8" s="4" t="s">
        <v>5171</v>
      </c>
      <c r="C8" s="6">
        <v>45669.0</v>
      </c>
      <c r="D8" s="8">
        <v>1.0</v>
      </c>
      <c r="E8" s="8">
        <v>1.0</v>
      </c>
      <c r="F8" s="4" t="s">
        <v>5172</v>
      </c>
      <c r="G8" s="6">
        <v>45669.0</v>
      </c>
      <c r="H8" s="4" t="s">
        <v>5173</v>
      </c>
    </row>
    <row r="9">
      <c r="A9" s="20"/>
      <c r="B9" s="4"/>
      <c r="C9" s="6"/>
      <c r="D9" s="8"/>
      <c r="E9" s="8"/>
      <c r="F9" s="4"/>
      <c r="G9" s="6"/>
      <c r="H9" s="4"/>
    </row>
    <row r="10">
      <c r="A10" s="41" t="s">
        <v>2200</v>
      </c>
      <c r="B10" s="4" t="s">
        <v>5174</v>
      </c>
      <c r="C10" s="6">
        <v>45685.0</v>
      </c>
      <c r="D10" s="8">
        <v>11.0</v>
      </c>
      <c r="E10" s="8">
        <v>274217.0</v>
      </c>
      <c r="F10" s="4" t="s">
        <v>5175</v>
      </c>
      <c r="G10" s="6">
        <v>45687.0</v>
      </c>
      <c r="H10" s="4" t="s">
        <v>5176</v>
      </c>
    </row>
    <row r="11">
      <c r="A11" s="41" t="s">
        <v>2147</v>
      </c>
      <c r="B11" s="4" t="s">
        <v>5177</v>
      </c>
      <c r="C11" s="6">
        <v>45687.0</v>
      </c>
      <c r="D11" s="8">
        <v>44.0</v>
      </c>
      <c r="E11" s="8">
        <v>565000.0</v>
      </c>
      <c r="F11" s="4" t="s">
        <v>5178</v>
      </c>
      <c r="G11" s="6">
        <v>45693.0</v>
      </c>
      <c r="H11" s="4" t="s">
        <v>5179</v>
      </c>
    </row>
    <row r="12">
      <c r="A12" s="41" t="s">
        <v>2154</v>
      </c>
      <c r="B12" s="4" t="s">
        <v>5180</v>
      </c>
      <c r="C12" s="6">
        <v>45691.0</v>
      </c>
      <c r="D12" s="21"/>
      <c r="E12" s="8">
        <v>660000.0</v>
      </c>
      <c r="F12" s="4" t="s">
        <v>5181</v>
      </c>
      <c r="G12" s="6">
        <v>45693.0</v>
      </c>
      <c r="H12" s="4" t="s">
        <v>5182</v>
      </c>
    </row>
    <row r="13">
      <c r="A13" s="41" t="s">
        <v>2148</v>
      </c>
      <c r="B13" s="4" t="s">
        <v>5183</v>
      </c>
      <c r="C13" s="6">
        <v>45693.0</v>
      </c>
      <c r="D13" s="8">
        <v>1.0</v>
      </c>
      <c r="E13" s="21"/>
      <c r="F13" s="4" t="s">
        <v>5184</v>
      </c>
      <c r="G13" s="6">
        <v>45693.0</v>
      </c>
      <c r="H13" s="4" t="s">
        <v>5185</v>
      </c>
    </row>
    <row r="14">
      <c r="A14" s="20" t="s">
        <v>5186</v>
      </c>
      <c r="B14" s="4" t="s">
        <v>5187</v>
      </c>
      <c r="C14" s="6">
        <v>45693.0</v>
      </c>
      <c r="D14" s="8">
        <v>2.0</v>
      </c>
      <c r="E14" s="8">
        <v>123.0</v>
      </c>
      <c r="F14" s="4" t="s">
        <v>5188</v>
      </c>
      <c r="G14" s="6">
        <v>45693.0</v>
      </c>
      <c r="H14" s="4" t="s">
        <v>5189</v>
      </c>
    </row>
    <row r="15">
      <c r="A15" s="41" t="s">
        <v>2154</v>
      </c>
      <c r="B15" s="4" t="s">
        <v>5190</v>
      </c>
      <c r="C15" s="6">
        <v>45721.0</v>
      </c>
      <c r="D15" s="21"/>
      <c r="E15" s="8">
        <v>660000.0</v>
      </c>
      <c r="F15" s="4" t="s">
        <v>5191</v>
      </c>
      <c r="G15" s="6">
        <v>45722.0</v>
      </c>
      <c r="H15" s="4" t="s">
        <v>5192</v>
      </c>
    </row>
    <row r="16">
      <c r="A16" s="41" t="s">
        <v>2147</v>
      </c>
      <c r="B16" s="4" t="s">
        <v>5193</v>
      </c>
      <c r="C16" s="6">
        <v>45721.0</v>
      </c>
      <c r="D16" s="8">
        <v>45.0</v>
      </c>
      <c r="E16" s="8">
        <v>630000.0</v>
      </c>
      <c r="F16" s="4" t="s">
        <v>5194</v>
      </c>
      <c r="G16" s="6">
        <v>45722.0</v>
      </c>
      <c r="H16" s="4" t="s">
        <v>5195</v>
      </c>
    </row>
    <row r="17">
      <c r="A17" s="41" t="s">
        <v>2154</v>
      </c>
      <c r="B17" s="4" t="s">
        <v>5196</v>
      </c>
      <c r="C17" s="6">
        <v>45751.0</v>
      </c>
      <c r="D17" s="21"/>
      <c r="E17" s="8">
        <v>660000.0</v>
      </c>
      <c r="F17" s="4" t="s">
        <v>5197</v>
      </c>
      <c r="G17" s="6">
        <v>45751.0</v>
      </c>
      <c r="H17" s="4" t="s">
        <v>5198</v>
      </c>
    </row>
    <row r="18">
      <c r="A18" s="41" t="s">
        <v>2147</v>
      </c>
      <c r="B18" s="4" t="s">
        <v>5199</v>
      </c>
      <c r="C18" s="6">
        <v>45754.0</v>
      </c>
      <c r="D18" s="8">
        <v>47.0</v>
      </c>
      <c r="E18" s="8">
        <v>630000.0</v>
      </c>
      <c r="F18" s="4" t="s">
        <v>5200</v>
      </c>
      <c r="G18" s="6">
        <v>45754.0</v>
      </c>
      <c r="H18" s="4" t="s">
        <v>5201</v>
      </c>
    </row>
    <row r="19">
      <c r="A19" s="41" t="s">
        <v>2154</v>
      </c>
      <c r="B19" s="4" t="s">
        <v>5202</v>
      </c>
      <c r="C19" s="6">
        <v>45782.0</v>
      </c>
      <c r="D19" s="21"/>
      <c r="E19" s="8">
        <v>710000.0</v>
      </c>
      <c r="F19" s="4" t="s">
        <v>5203</v>
      </c>
      <c r="G19" s="6">
        <v>45783.0</v>
      </c>
      <c r="H19" s="4" t="s">
        <v>5204</v>
      </c>
    </row>
    <row r="20">
      <c r="A20" s="41" t="s">
        <v>2147</v>
      </c>
      <c r="B20" s="4" t="s">
        <v>5205</v>
      </c>
      <c r="C20" s="6">
        <v>45782.0</v>
      </c>
      <c r="D20" s="8">
        <v>50.0</v>
      </c>
      <c r="E20" s="8">
        <v>630000.0</v>
      </c>
      <c r="F20" s="4" t="s">
        <v>5206</v>
      </c>
      <c r="G20" s="6">
        <v>45783.0</v>
      </c>
      <c r="H20" s="4" t="s">
        <v>5207</v>
      </c>
    </row>
    <row r="21">
      <c r="A21" s="41" t="s">
        <v>2154</v>
      </c>
      <c r="B21" s="4" t="s">
        <v>5208</v>
      </c>
      <c r="C21" s="6">
        <v>45810.0</v>
      </c>
      <c r="D21" s="21"/>
      <c r="E21" s="8">
        <v>710000.0</v>
      </c>
      <c r="F21" s="4" t="s">
        <v>5209</v>
      </c>
      <c r="G21" s="6">
        <v>45810.0</v>
      </c>
      <c r="H21" s="4" t="s">
        <v>5210</v>
      </c>
    </row>
    <row r="22">
      <c r="A22" s="41" t="s">
        <v>2147</v>
      </c>
      <c r="B22" s="4" t="s">
        <v>5211</v>
      </c>
      <c r="C22" s="6">
        <v>45813.0</v>
      </c>
      <c r="D22" s="8">
        <v>54.0</v>
      </c>
      <c r="E22" s="8">
        <v>820000.0</v>
      </c>
      <c r="F22" s="4" t="s">
        <v>5212</v>
      </c>
      <c r="G22" s="6">
        <v>45813.0</v>
      </c>
      <c r="H22" s="4" t="s">
        <v>5213</v>
      </c>
    </row>
    <row r="23">
      <c r="A23" s="41" t="s">
        <v>2154</v>
      </c>
      <c r="B23" s="4" t="s">
        <v>5214</v>
      </c>
      <c r="C23" s="6">
        <v>45840.0</v>
      </c>
      <c r="D23" s="21"/>
      <c r="E23" s="8">
        <v>710000.0</v>
      </c>
      <c r="F23" s="4" t="s">
        <v>5215</v>
      </c>
      <c r="G23" s="6">
        <v>45840.0</v>
      </c>
      <c r="H23" s="4" t="s">
        <v>5216</v>
      </c>
    </row>
    <row r="24">
      <c r="A24" s="20" t="s">
        <v>5217</v>
      </c>
      <c r="B24" s="4" t="s">
        <v>5218</v>
      </c>
      <c r="C24" s="6">
        <v>45840.0</v>
      </c>
      <c r="D24" s="8">
        <v>1.0</v>
      </c>
      <c r="E24" s="8">
        <v>530000.0</v>
      </c>
      <c r="F24" s="4" t="s">
        <v>5219</v>
      </c>
      <c r="G24" s="6">
        <v>45840.0</v>
      </c>
      <c r="H24" s="4" t="s">
        <v>5220</v>
      </c>
    </row>
    <row r="25">
      <c r="A25" s="41" t="s">
        <v>2147</v>
      </c>
      <c r="B25" s="4" t="s">
        <v>5221</v>
      </c>
      <c r="C25" s="6">
        <v>45842.0</v>
      </c>
      <c r="D25" s="8">
        <v>55.0</v>
      </c>
      <c r="E25" s="8">
        <v>820000.0</v>
      </c>
      <c r="F25" s="4" t="s">
        <v>5222</v>
      </c>
      <c r="G25" s="6">
        <v>45844.0</v>
      </c>
      <c r="H25" s="4" t="s">
        <v>5223</v>
      </c>
    </row>
    <row r="26">
      <c r="A26" s="20" t="s">
        <v>5217</v>
      </c>
      <c r="B26" s="4" t="s">
        <v>5224</v>
      </c>
      <c r="C26" s="6">
        <v>45873.0</v>
      </c>
      <c r="D26" s="8">
        <v>2.0</v>
      </c>
      <c r="E26" s="8">
        <v>530000.0</v>
      </c>
      <c r="F26" s="4" t="s">
        <v>5225</v>
      </c>
      <c r="G26" s="6">
        <v>45873.0</v>
      </c>
      <c r="H26" s="4" t="s">
        <v>5226</v>
      </c>
    </row>
    <row r="27">
      <c r="A27" s="41" t="s">
        <v>2154</v>
      </c>
      <c r="B27" s="4" t="s">
        <v>5227</v>
      </c>
      <c r="C27" s="6">
        <v>45873.0</v>
      </c>
      <c r="D27" s="21"/>
      <c r="E27" s="8">
        <v>710000.0</v>
      </c>
      <c r="F27" s="4" t="s">
        <v>5228</v>
      </c>
      <c r="G27" s="6">
        <v>45873.0</v>
      </c>
      <c r="H27" s="4" t="s">
        <v>5229</v>
      </c>
    </row>
    <row r="28">
      <c r="A28" s="41" t="s">
        <v>2147</v>
      </c>
      <c r="B28" s="4" t="s">
        <v>5230</v>
      </c>
      <c r="C28" s="6">
        <v>45873.0</v>
      </c>
      <c r="D28" s="8">
        <v>56.0</v>
      </c>
      <c r="E28" s="8">
        <v>820000.0</v>
      </c>
      <c r="F28" s="4" t="s">
        <v>5231</v>
      </c>
      <c r="G28" s="6">
        <v>45873.0</v>
      </c>
      <c r="H28" s="4" t="s">
        <v>5232</v>
      </c>
    </row>
    <row r="29">
      <c r="A29" s="41" t="s">
        <v>2154</v>
      </c>
      <c r="B29" s="4" t="s">
        <v>5233</v>
      </c>
      <c r="C29" s="6">
        <v>45903.0</v>
      </c>
      <c r="D29" s="21"/>
      <c r="E29" s="8">
        <v>800000.0</v>
      </c>
      <c r="F29" s="4" t="s">
        <v>5234</v>
      </c>
      <c r="G29" s="6">
        <v>45903.0</v>
      </c>
      <c r="H29" s="4" t="s">
        <v>5235</v>
      </c>
    </row>
    <row r="30">
      <c r="A30" s="41" t="s">
        <v>2147</v>
      </c>
      <c r="B30" s="4" t="s">
        <v>5236</v>
      </c>
      <c r="C30" s="6">
        <v>45903.0</v>
      </c>
      <c r="D30" s="8">
        <v>57.0</v>
      </c>
      <c r="E30" s="8">
        <v>820000.0</v>
      </c>
      <c r="F30" s="4" t="s">
        <v>5237</v>
      </c>
      <c r="G30" s="6">
        <v>45903.0</v>
      </c>
      <c r="H30" s="4" t="s">
        <v>5238</v>
      </c>
    </row>
    <row r="31">
      <c r="A31" s="20" t="s">
        <v>5217</v>
      </c>
      <c r="B31" s="4" t="s">
        <v>5239</v>
      </c>
      <c r="C31" s="6">
        <v>45903.0</v>
      </c>
      <c r="D31" s="8">
        <v>3.0</v>
      </c>
      <c r="E31" s="8">
        <v>530000.0</v>
      </c>
      <c r="F31" s="4" t="s">
        <v>5240</v>
      </c>
      <c r="G31" s="6">
        <v>45903.0</v>
      </c>
      <c r="H31" s="4" t="s">
        <v>5241</v>
      </c>
    </row>
    <row r="32">
      <c r="A32" s="20" t="s">
        <v>5217</v>
      </c>
      <c r="B32" s="4" t="s">
        <v>5242</v>
      </c>
      <c r="C32" s="6">
        <v>45932.0</v>
      </c>
      <c r="D32" s="8">
        <v>4.0</v>
      </c>
      <c r="E32" s="8">
        <v>530000.0</v>
      </c>
      <c r="F32" s="4" t="s">
        <v>5243</v>
      </c>
      <c r="G32" s="6">
        <v>45933.0</v>
      </c>
      <c r="H32" s="4" t="s">
        <v>5244</v>
      </c>
    </row>
    <row r="33">
      <c r="A33" s="41" t="s">
        <v>2147</v>
      </c>
      <c r="B33" s="4" t="s">
        <v>5245</v>
      </c>
      <c r="C33" s="6">
        <v>45936.0</v>
      </c>
      <c r="D33" s="8">
        <v>58.0</v>
      </c>
      <c r="E33" s="8">
        <v>820000.0</v>
      </c>
      <c r="F33" s="4" t="s">
        <v>5246</v>
      </c>
      <c r="G33" s="6">
        <v>45936.0</v>
      </c>
      <c r="H33" s="4" t="s">
        <v>5247</v>
      </c>
    </row>
    <row r="34">
      <c r="A34" s="41" t="s">
        <v>2154</v>
      </c>
      <c r="B34" s="4" t="s">
        <v>5248</v>
      </c>
      <c r="C34" s="6">
        <v>45937.0</v>
      </c>
      <c r="D34" s="21"/>
      <c r="E34" s="8">
        <v>800000.0</v>
      </c>
      <c r="F34" s="4" t="s">
        <v>5249</v>
      </c>
      <c r="G34" s="6">
        <v>45937.0</v>
      </c>
      <c r="H34" s="4" t="s">
        <v>5250</v>
      </c>
    </row>
    <row r="35">
      <c r="A35" s="41" t="s">
        <v>2154</v>
      </c>
      <c r="B35" s="4" t="s">
        <v>5251</v>
      </c>
      <c r="C35" s="6">
        <v>45964.0</v>
      </c>
      <c r="D35" s="21"/>
      <c r="E35" s="8">
        <v>872000.0</v>
      </c>
      <c r="F35" s="4" t="s">
        <v>5252</v>
      </c>
      <c r="G35" s="6">
        <v>45964.0</v>
      </c>
      <c r="H35" s="4" t="s">
        <v>5253</v>
      </c>
    </row>
    <row r="36">
      <c r="A36" s="41" t="s">
        <v>2147</v>
      </c>
      <c r="B36" s="4" t="s">
        <v>5254</v>
      </c>
      <c r="C36" s="6">
        <v>45964.0</v>
      </c>
      <c r="D36" s="8">
        <v>59.0</v>
      </c>
      <c r="E36" s="8">
        <v>820000.0</v>
      </c>
      <c r="F36" s="4" t="s">
        <v>5255</v>
      </c>
      <c r="G36" s="6">
        <v>45964.0</v>
      </c>
      <c r="H36" s="4" t="s">
        <v>5256</v>
      </c>
    </row>
    <row r="37">
      <c r="A37" s="41" t="s">
        <v>2154</v>
      </c>
      <c r="B37" s="4" t="s">
        <v>5257</v>
      </c>
      <c r="C37" s="6">
        <v>45994.0</v>
      </c>
      <c r="D37" s="21"/>
      <c r="E37" s="8">
        <v>995500.0</v>
      </c>
      <c r="F37" s="4" t="s">
        <v>5258</v>
      </c>
      <c r="G37" s="6">
        <v>45994.0</v>
      </c>
      <c r="H37" s="4" t="s">
        <v>5259</v>
      </c>
    </row>
    <row r="38">
      <c r="A38" s="41" t="s">
        <v>2147</v>
      </c>
      <c r="B38" s="4" t="s">
        <v>5260</v>
      </c>
      <c r="C38" s="6">
        <v>45994.0</v>
      </c>
      <c r="D38" s="8">
        <v>60.0</v>
      </c>
      <c r="E38" s="8">
        <v>1093000.0</v>
      </c>
      <c r="F38" s="4" t="s">
        <v>5261</v>
      </c>
      <c r="G38" s="6">
        <v>45994.0</v>
      </c>
      <c r="H38" s="4" t="s">
        <v>5262</v>
      </c>
    </row>
    <row r="39">
      <c r="A39" s="41" t="s">
        <v>2147</v>
      </c>
      <c r="B39" s="4" t="s">
        <v>5263</v>
      </c>
      <c r="C39" s="6">
        <v>46024.0</v>
      </c>
      <c r="D39" s="8">
        <v>61.0</v>
      </c>
      <c r="E39" s="8">
        <v>1343955.0</v>
      </c>
      <c r="F39" s="4" t="s">
        <v>5264</v>
      </c>
      <c r="G39" s="6">
        <v>46024.0</v>
      </c>
      <c r="H39" s="4" t="s">
        <v>5265</v>
      </c>
    </row>
    <row r="40">
      <c r="A40" s="41" t="s">
        <v>2154</v>
      </c>
      <c r="B40" s="4" t="s">
        <v>5266</v>
      </c>
      <c r="C40" s="6">
        <v>46027.0</v>
      </c>
      <c r="D40" s="21"/>
      <c r="E40" s="8">
        <v>1125000.0</v>
      </c>
      <c r="F40" s="4" t="s">
        <v>5267</v>
      </c>
      <c r="G40" s="6">
        <v>46027.0</v>
      </c>
      <c r="H40" s="4" t="s">
        <v>5268</v>
      </c>
    </row>
    <row r="41">
      <c r="A41" s="41" t="s">
        <v>2147</v>
      </c>
      <c r="B41" s="4" t="s">
        <v>5269</v>
      </c>
      <c r="C41" s="6">
        <v>46056.0</v>
      </c>
      <c r="D41" s="8">
        <v>62.0</v>
      </c>
      <c r="E41" s="8">
        <v>1106500.0</v>
      </c>
      <c r="F41" s="4" t="s">
        <v>5270</v>
      </c>
      <c r="G41" s="6">
        <v>46056.0</v>
      </c>
      <c r="H41" s="4" t="s">
        <v>5271</v>
      </c>
    </row>
    <row r="42">
      <c r="A42" s="41" t="s">
        <v>2154</v>
      </c>
      <c r="B42" s="4" t="s">
        <v>5272</v>
      </c>
      <c r="C42" s="6">
        <v>46057.0</v>
      </c>
      <c r="D42" s="21"/>
      <c r="E42" s="8">
        <v>1095000.0</v>
      </c>
      <c r="F42" s="4" t="s">
        <v>5273</v>
      </c>
      <c r="G42" s="6">
        <v>46057.0</v>
      </c>
      <c r="H42" s="4" t="s">
        <v>5274</v>
      </c>
    </row>
    <row r="43">
      <c r="A43" s="20" t="s">
        <v>2117</v>
      </c>
      <c r="B43" s="4" t="s">
        <v>5275</v>
      </c>
      <c r="C43" s="6">
        <v>46085.0</v>
      </c>
      <c r="D43" s="8" t="s">
        <v>5276</v>
      </c>
      <c r="E43" s="8">
        <v>700000.0</v>
      </c>
      <c r="F43" s="4" t="s">
        <v>5277</v>
      </c>
      <c r="G43" s="6">
        <v>46085.0</v>
      </c>
      <c r="H43" s="4" t="s">
        <v>5278</v>
      </c>
    </row>
    <row r="44">
      <c r="A44" s="41" t="s">
        <v>2154</v>
      </c>
      <c r="B44" s="4" t="s">
        <v>5279</v>
      </c>
      <c r="C44" s="6">
        <v>46085.0</v>
      </c>
      <c r="D44" s="21"/>
      <c r="E44" s="8">
        <v>1080000.0</v>
      </c>
      <c r="F44" s="4" t="s">
        <v>5280</v>
      </c>
      <c r="G44" s="6">
        <v>46093.0</v>
      </c>
      <c r="H44" s="4" t="s">
        <v>5281</v>
      </c>
    </row>
    <row r="45">
      <c r="A45" s="41" t="s">
        <v>2147</v>
      </c>
      <c r="B45" s="4" t="s">
        <v>5282</v>
      </c>
      <c r="C45" s="6">
        <v>46085.0</v>
      </c>
      <c r="D45" s="8">
        <v>64.0</v>
      </c>
      <c r="E45" s="8">
        <v>1040000.0</v>
      </c>
      <c r="F45" s="4" t="s">
        <v>5283</v>
      </c>
      <c r="G45" s="6">
        <v>46093.0</v>
      </c>
      <c r="H45" s="4" t="s">
        <v>5284</v>
      </c>
    </row>
    <row r="46">
      <c r="A46" s="20" t="s">
        <v>2117</v>
      </c>
      <c r="B46" s="4" t="s">
        <v>5285</v>
      </c>
      <c r="C46" s="6">
        <v>46115.0</v>
      </c>
      <c r="D46" s="21"/>
      <c r="E46" s="8">
        <v>700000.0</v>
      </c>
      <c r="F46" s="4" t="s">
        <v>5286</v>
      </c>
      <c r="G46" s="6">
        <v>46116.0</v>
      </c>
      <c r="H46" s="4" t="s">
        <v>5287</v>
      </c>
    </row>
    <row r="47">
      <c r="A47" s="41" t="s">
        <v>2154</v>
      </c>
      <c r="B47" s="4" t="s">
        <v>5288</v>
      </c>
      <c r="C47" s="6">
        <v>46118.0</v>
      </c>
      <c r="D47" s="21"/>
      <c r="E47" s="8">
        <v>1100000.0</v>
      </c>
      <c r="F47" s="4" t="s">
        <v>5289</v>
      </c>
      <c r="G47" s="6">
        <v>46118.0</v>
      </c>
      <c r="H47" s="4" t="s">
        <v>5290</v>
      </c>
    </row>
    <row r="48">
      <c r="A48" s="42"/>
      <c r="D48" s="21"/>
      <c r="E48" s="21"/>
    </row>
    <row r="49">
      <c r="A49" s="42"/>
      <c r="D49" s="21"/>
      <c r="E49" s="21"/>
    </row>
    <row r="50">
      <c r="A50" s="42"/>
      <c r="D50" s="21"/>
      <c r="E50" s="21"/>
    </row>
    <row r="51">
      <c r="A51" s="42"/>
      <c r="D51" s="21"/>
      <c r="E51" s="21"/>
    </row>
    <row r="52">
      <c r="A52" s="42"/>
      <c r="D52" s="21"/>
      <c r="E52" s="21"/>
    </row>
    <row r="53">
      <c r="A53" s="42"/>
      <c r="D53" s="21"/>
      <c r="E53" s="21"/>
    </row>
    <row r="54">
      <c r="A54" s="42"/>
      <c r="D54" s="21"/>
      <c r="E54" s="21"/>
    </row>
    <row r="55">
      <c r="A55" s="42"/>
      <c r="D55" s="21"/>
      <c r="E55" s="21"/>
    </row>
    <row r="56">
      <c r="A56" s="42"/>
      <c r="D56" s="21"/>
      <c r="E56" s="21"/>
    </row>
    <row r="57">
      <c r="A57" s="42"/>
      <c r="D57" s="21"/>
      <c r="E57" s="21"/>
    </row>
    <row r="58">
      <c r="A58" s="42"/>
      <c r="D58" s="21"/>
      <c r="E58" s="21"/>
    </row>
    <row r="59">
      <c r="A59" s="42"/>
      <c r="D59" s="21"/>
      <c r="E59" s="21"/>
    </row>
    <row r="60">
      <c r="A60" s="42"/>
      <c r="D60" s="21"/>
      <c r="E60" s="21"/>
    </row>
    <row r="61">
      <c r="A61" s="42"/>
      <c r="D61" s="21"/>
      <c r="E61" s="21"/>
    </row>
    <row r="62">
      <c r="A62" s="42"/>
      <c r="D62" s="21"/>
      <c r="E62" s="21"/>
    </row>
    <row r="63">
      <c r="A63" s="42"/>
      <c r="D63" s="21"/>
      <c r="E63" s="21"/>
    </row>
    <row r="64">
      <c r="A64" s="42"/>
      <c r="D64" s="21"/>
      <c r="E64" s="21"/>
    </row>
    <row r="65">
      <c r="A65" s="42"/>
      <c r="D65" s="21"/>
      <c r="E65" s="21"/>
    </row>
    <row r="66">
      <c r="A66" s="42"/>
      <c r="D66" s="21"/>
      <c r="E66" s="21"/>
    </row>
    <row r="67">
      <c r="A67" s="42"/>
      <c r="D67" s="21"/>
      <c r="E67" s="21"/>
    </row>
    <row r="68">
      <c r="A68" s="42"/>
      <c r="D68" s="21"/>
      <c r="E68" s="21"/>
    </row>
    <row r="69">
      <c r="A69" s="42"/>
      <c r="D69" s="21"/>
      <c r="E69" s="21"/>
    </row>
    <row r="70">
      <c r="A70" s="42"/>
      <c r="D70" s="21"/>
      <c r="E70" s="21"/>
    </row>
    <row r="71">
      <c r="A71" s="42"/>
      <c r="D71" s="21"/>
      <c r="E71" s="21"/>
    </row>
    <row r="72">
      <c r="A72" s="42"/>
      <c r="D72" s="21"/>
      <c r="E72" s="21"/>
    </row>
    <row r="73">
      <c r="A73" s="42"/>
      <c r="D73" s="21"/>
      <c r="E73" s="21"/>
    </row>
    <row r="74">
      <c r="A74" s="42"/>
      <c r="D74" s="21"/>
      <c r="E74" s="21"/>
    </row>
    <row r="75">
      <c r="A75" s="42"/>
      <c r="D75" s="21"/>
      <c r="E75" s="21"/>
    </row>
    <row r="76">
      <c r="A76" s="42"/>
      <c r="D76" s="21"/>
      <c r="E76" s="21"/>
    </row>
    <row r="77">
      <c r="A77" s="42"/>
      <c r="D77" s="21"/>
      <c r="E77" s="21"/>
    </row>
    <row r="78">
      <c r="A78" s="42"/>
      <c r="D78" s="21"/>
      <c r="E78" s="21"/>
    </row>
    <row r="79">
      <c r="A79" s="42"/>
      <c r="D79" s="21"/>
      <c r="E79" s="21"/>
    </row>
    <row r="80">
      <c r="A80" s="42"/>
      <c r="D80" s="21"/>
      <c r="E80" s="21"/>
    </row>
    <row r="81">
      <c r="A81" s="42"/>
      <c r="D81" s="21"/>
      <c r="E81" s="21"/>
    </row>
    <row r="82">
      <c r="A82" s="42"/>
      <c r="D82" s="21"/>
      <c r="E82" s="21"/>
    </row>
    <row r="83">
      <c r="A83" s="42"/>
      <c r="D83" s="21"/>
      <c r="E83" s="21"/>
    </row>
    <row r="84">
      <c r="A84" s="42"/>
      <c r="D84" s="21"/>
      <c r="E84" s="21"/>
    </row>
    <row r="85">
      <c r="A85" s="42"/>
      <c r="D85" s="21"/>
      <c r="E85" s="21"/>
    </row>
    <row r="86">
      <c r="A86" s="42"/>
      <c r="D86" s="21"/>
      <c r="E86" s="21"/>
    </row>
    <row r="87">
      <c r="A87" s="42"/>
      <c r="D87" s="21"/>
      <c r="E87" s="21"/>
    </row>
    <row r="88">
      <c r="A88" s="42"/>
      <c r="D88" s="21"/>
      <c r="E88" s="21"/>
    </row>
    <row r="89">
      <c r="A89" s="42"/>
      <c r="D89" s="21"/>
      <c r="E89" s="21"/>
    </row>
    <row r="90">
      <c r="A90" s="42"/>
      <c r="D90" s="21"/>
      <c r="E90" s="21"/>
    </row>
    <row r="91">
      <c r="A91" s="42"/>
      <c r="D91" s="21"/>
      <c r="E91" s="21"/>
    </row>
    <row r="92">
      <c r="A92" s="42"/>
      <c r="D92" s="21"/>
      <c r="E92" s="21"/>
    </row>
    <row r="93">
      <c r="A93" s="42"/>
      <c r="D93" s="21"/>
      <c r="E93" s="21"/>
    </row>
    <row r="94">
      <c r="A94" s="42"/>
      <c r="D94" s="21"/>
      <c r="E94" s="21"/>
    </row>
    <row r="95">
      <c r="A95" s="42"/>
      <c r="D95" s="21"/>
      <c r="E95" s="21"/>
    </row>
    <row r="96">
      <c r="A96" s="42"/>
      <c r="D96" s="21"/>
      <c r="E96" s="21"/>
    </row>
    <row r="97">
      <c r="A97" s="42"/>
      <c r="D97" s="21"/>
      <c r="E97" s="21"/>
    </row>
    <row r="98">
      <c r="A98" s="42"/>
      <c r="D98" s="21"/>
      <c r="E98" s="21"/>
    </row>
    <row r="99">
      <c r="A99" s="42"/>
      <c r="D99" s="21"/>
      <c r="E99" s="21"/>
    </row>
    <row r="100">
      <c r="A100" s="42"/>
      <c r="D100" s="21"/>
      <c r="E100" s="21"/>
    </row>
    <row r="101">
      <c r="A101" s="42"/>
      <c r="D101" s="21"/>
      <c r="E101" s="21"/>
    </row>
    <row r="102">
      <c r="A102" s="42"/>
      <c r="D102" s="21"/>
      <c r="E102" s="21"/>
    </row>
    <row r="103">
      <c r="A103" s="42"/>
      <c r="D103" s="21"/>
      <c r="E103" s="21"/>
    </row>
    <row r="104">
      <c r="A104" s="42"/>
      <c r="D104" s="21"/>
      <c r="E104" s="21"/>
    </row>
    <row r="105">
      <c r="A105" s="42"/>
      <c r="D105" s="21"/>
      <c r="E105" s="21"/>
    </row>
    <row r="106">
      <c r="A106" s="42"/>
      <c r="D106" s="21"/>
      <c r="E106" s="21"/>
    </row>
    <row r="107">
      <c r="A107" s="42"/>
      <c r="D107" s="21"/>
      <c r="E107" s="21"/>
    </row>
    <row r="108">
      <c r="A108" s="42"/>
      <c r="D108" s="21"/>
      <c r="E108" s="21"/>
    </row>
    <row r="109">
      <c r="A109" s="42"/>
      <c r="D109" s="21"/>
      <c r="E109" s="21"/>
    </row>
    <row r="110">
      <c r="A110" s="42"/>
      <c r="D110" s="21"/>
      <c r="E110" s="21"/>
    </row>
    <row r="111">
      <c r="A111" s="42"/>
      <c r="D111" s="21"/>
      <c r="E111" s="21"/>
    </row>
    <row r="112">
      <c r="A112" s="42"/>
      <c r="D112" s="21"/>
      <c r="E112" s="21"/>
    </row>
    <row r="113">
      <c r="A113" s="42"/>
      <c r="D113" s="21"/>
      <c r="E113" s="21"/>
    </row>
    <row r="114">
      <c r="A114" s="42"/>
      <c r="D114" s="21"/>
      <c r="E114" s="21"/>
    </row>
    <row r="115">
      <c r="A115" s="42"/>
      <c r="D115" s="21"/>
      <c r="E115" s="21"/>
    </row>
    <row r="116">
      <c r="A116" s="42"/>
      <c r="D116" s="21"/>
      <c r="E116" s="21"/>
    </row>
    <row r="117">
      <c r="A117" s="42"/>
      <c r="D117" s="21"/>
      <c r="E117" s="21"/>
    </row>
    <row r="118">
      <c r="A118" s="42"/>
      <c r="D118" s="21"/>
      <c r="E118" s="21"/>
    </row>
    <row r="119">
      <c r="A119" s="42"/>
      <c r="D119" s="21"/>
      <c r="E119" s="21"/>
    </row>
    <row r="120">
      <c r="A120" s="42"/>
      <c r="D120" s="21"/>
      <c r="E120" s="21"/>
    </row>
    <row r="121">
      <c r="A121" s="42"/>
      <c r="D121" s="21"/>
      <c r="E121" s="21"/>
    </row>
    <row r="122">
      <c r="A122" s="42"/>
      <c r="D122" s="21"/>
      <c r="E122" s="21"/>
    </row>
    <row r="123">
      <c r="A123" s="42"/>
      <c r="D123" s="21"/>
      <c r="E123" s="21"/>
    </row>
    <row r="124">
      <c r="A124" s="42"/>
      <c r="D124" s="21"/>
      <c r="E124" s="21"/>
    </row>
    <row r="125">
      <c r="A125" s="42"/>
      <c r="D125" s="21"/>
      <c r="E125" s="21"/>
    </row>
    <row r="126">
      <c r="A126" s="42"/>
      <c r="D126" s="21"/>
      <c r="E126" s="21"/>
    </row>
    <row r="127">
      <c r="A127" s="42"/>
      <c r="D127" s="21"/>
      <c r="E127" s="21"/>
    </row>
    <row r="128">
      <c r="A128" s="42"/>
      <c r="D128" s="21"/>
      <c r="E128" s="21"/>
    </row>
    <row r="129">
      <c r="A129" s="42"/>
      <c r="D129" s="21"/>
      <c r="E129" s="21"/>
    </row>
    <row r="130">
      <c r="A130" s="42"/>
      <c r="D130" s="21"/>
      <c r="E130" s="21"/>
    </row>
    <row r="131">
      <c r="A131" s="42"/>
      <c r="D131" s="21"/>
      <c r="E131" s="21"/>
    </row>
    <row r="132">
      <c r="A132" s="42"/>
      <c r="D132" s="21"/>
      <c r="E132" s="21"/>
    </row>
    <row r="133">
      <c r="A133" s="42"/>
      <c r="D133" s="21"/>
      <c r="E133" s="21"/>
    </row>
    <row r="134">
      <c r="A134" s="42"/>
      <c r="D134" s="21"/>
      <c r="E134" s="21"/>
    </row>
    <row r="135">
      <c r="A135" s="42"/>
      <c r="D135" s="21"/>
      <c r="E135" s="21"/>
    </row>
    <row r="136">
      <c r="A136" s="42"/>
      <c r="D136" s="21"/>
      <c r="E136" s="21"/>
    </row>
    <row r="137">
      <c r="A137" s="42"/>
      <c r="D137" s="21"/>
      <c r="E137" s="21"/>
    </row>
    <row r="138">
      <c r="A138" s="42"/>
      <c r="D138" s="21"/>
      <c r="E138" s="21"/>
    </row>
    <row r="139">
      <c r="A139" s="42"/>
      <c r="D139" s="21"/>
      <c r="E139" s="21"/>
    </row>
    <row r="140">
      <c r="A140" s="42"/>
      <c r="D140" s="21"/>
      <c r="E140" s="21"/>
    </row>
    <row r="141">
      <c r="A141" s="42"/>
      <c r="D141" s="21"/>
      <c r="E141" s="21"/>
    </row>
    <row r="142">
      <c r="A142" s="42"/>
      <c r="D142" s="21"/>
      <c r="E142" s="21"/>
    </row>
    <row r="143">
      <c r="A143" s="42"/>
      <c r="D143" s="21"/>
      <c r="E143" s="21"/>
    </row>
    <row r="144">
      <c r="A144" s="42"/>
      <c r="D144" s="21"/>
      <c r="E144" s="21"/>
    </row>
    <row r="145">
      <c r="A145" s="42"/>
      <c r="D145" s="21"/>
      <c r="E145" s="21"/>
    </row>
    <row r="146">
      <c r="A146" s="42"/>
      <c r="D146" s="21"/>
      <c r="E146" s="21"/>
    </row>
    <row r="147">
      <c r="A147" s="42"/>
      <c r="D147" s="21"/>
      <c r="E147" s="21"/>
    </row>
    <row r="148">
      <c r="A148" s="42"/>
      <c r="D148" s="21"/>
      <c r="E148" s="21"/>
    </row>
    <row r="149">
      <c r="A149" s="42"/>
      <c r="D149" s="21"/>
      <c r="E149" s="21"/>
    </row>
    <row r="150">
      <c r="A150" s="42"/>
      <c r="D150" s="21"/>
      <c r="E150" s="21"/>
    </row>
    <row r="151">
      <c r="A151" s="42"/>
      <c r="D151" s="21"/>
      <c r="E151" s="21"/>
    </row>
    <row r="152">
      <c r="A152" s="42"/>
      <c r="D152" s="21"/>
      <c r="E152" s="21"/>
    </row>
    <row r="153">
      <c r="A153" s="42"/>
      <c r="D153" s="21"/>
      <c r="E153" s="21"/>
    </row>
    <row r="154">
      <c r="A154" s="42"/>
      <c r="D154" s="21"/>
      <c r="E154" s="21"/>
    </row>
    <row r="155">
      <c r="A155" s="42"/>
      <c r="D155" s="21"/>
      <c r="E155" s="21"/>
    </row>
    <row r="156">
      <c r="A156" s="42"/>
      <c r="D156" s="21"/>
      <c r="E156" s="21"/>
    </row>
    <row r="157">
      <c r="A157" s="42"/>
      <c r="D157" s="21"/>
      <c r="E157" s="21"/>
    </row>
    <row r="158">
      <c r="A158" s="42"/>
      <c r="D158" s="21"/>
      <c r="E158" s="21"/>
    </row>
    <row r="159">
      <c r="A159" s="42"/>
      <c r="D159" s="21"/>
      <c r="E159" s="21"/>
    </row>
    <row r="160">
      <c r="A160" s="42"/>
      <c r="D160" s="21"/>
      <c r="E160" s="21"/>
    </row>
    <row r="161">
      <c r="A161" s="42"/>
      <c r="D161" s="21"/>
      <c r="E161" s="21"/>
    </row>
    <row r="162">
      <c r="A162" s="42"/>
      <c r="D162" s="21"/>
      <c r="E162" s="21"/>
    </row>
    <row r="163">
      <c r="A163" s="42"/>
      <c r="D163" s="21"/>
      <c r="E163" s="21"/>
    </row>
    <row r="164">
      <c r="A164" s="42"/>
      <c r="D164" s="21"/>
      <c r="E164" s="21"/>
    </row>
    <row r="165">
      <c r="A165" s="42"/>
      <c r="D165" s="21"/>
      <c r="E165" s="21"/>
    </row>
    <row r="166">
      <c r="A166" s="42"/>
      <c r="D166" s="21"/>
      <c r="E166" s="21"/>
    </row>
    <row r="167">
      <c r="A167" s="42"/>
      <c r="D167" s="21"/>
      <c r="E167" s="21"/>
    </row>
    <row r="168">
      <c r="A168" s="42"/>
      <c r="D168" s="21"/>
      <c r="E168" s="21"/>
    </row>
    <row r="169">
      <c r="A169" s="42"/>
      <c r="D169" s="21"/>
      <c r="E169" s="21"/>
    </row>
    <row r="170">
      <c r="A170" s="42"/>
      <c r="D170" s="21"/>
      <c r="E170" s="21"/>
    </row>
    <row r="171">
      <c r="A171" s="42"/>
      <c r="D171" s="21"/>
      <c r="E171" s="21"/>
    </row>
    <row r="172">
      <c r="A172" s="42"/>
      <c r="D172" s="21"/>
      <c r="E172" s="21"/>
    </row>
    <row r="173">
      <c r="A173" s="42"/>
      <c r="D173" s="21"/>
      <c r="E173" s="21"/>
    </row>
    <row r="174">
      <c r="A174" s="42"/>
      <c r="D174" s="21"/>
      <c r="E174" s="21"/>
    </row>
    <row r="175">
      <c r="A175" s="42"/>
      <c r="D175" s="21"/>
      <c r="E175" s="21"/>
    </row>
    <row r="176">
      <c r="A176" s="42"/>
      <c r="D176" s="21"/>
      <c r="E176" s="21"/>
    </row>
    <row r="177">
      <c r="A177" s="42"/>
      <c r="D177" s="21"/>
      <c r="E177" s="21"/>
    </row>
    <row r="178">
      <c r="A178" s="42"/>
      <c r="D178" s="21"/>
      <c r="E178" s="21"/>
    </row>
    <row r="179">
      <c r="A179" s="42"/>
      <c r="D179" s="21"/>
      <c r="E179" s="21"/>
    </row>
    <row r="180">
      <c r="A180" s="42"/>
      <c r="D180" s="21"/>
      <c r="E180" s="21"/>
    </row>
    <row r="181">
      <c r="A181" s="42"/>
      <c r="D181" s="21"/>
      <c r="E181" s="21"/>
    </row>
    <row r="182">
      <c r="A182" s="42"/>
      <c r="D182" s="21"/>
      <c r="E182" s="21"/>
    </row>
    <row r="183">
      <c r="A183" s="42"/>
      <c r="D183" s="21"/>
      <c r="E183" s="21"/>
    </row>
    <row r="184">
      <c r="A184" s="42"/>
      <c r="D184" s="21"/>
      <c r="E184" s="21"/>
    </row>
    <row r="185">
      <c r="A185" s="42"/>
      <c r="D185" s="21"/>
      <c r="E185" s="21"/>
    </row>
    <row r="186">
      <c r="A186" s="42"/>
      <c r="D186" s="21"/>
      <c r="E186" s="21"/>
    </row>
    <row r="187">
      <c r="A187" s="42"/>
      <c r="D187" s="21"/>
      <c r="E187" s="21"/>
    </row>
    <row r="188">
      <c r="A188" s="42"/>
      <c r="D188" s="21"/>
      <c r="E188" s="21"/>
    </row>
    <row r="189">
      <c r="A189" s="42"/>
      <c r="D189" s="21"/>
      <c r="E189" s="21"/>
    </row>
    <row r="190">
      <c r="A190" s="42"/>
      <c r="D190" s="21"/>
      <c r="E190" s="21"/>
    </row>
    <row r="191">
      <c r="A191" s="42"/>
      <c r="D191" s="21"/>
      <c r="E191" s="21"/>
    </row>
    <row r="192">
      <c r="A192" s="42"/>
      <c r="D192" s="21"/>
      <c r="E192" s="21"/>
    </row>
    <row r="193">
      <c r="A193" s="42"/>
      <c r="D193" s="21"/>
      <c r="E193" s="21"/>
    </row>
    <row r="194">
      <c r="A194" s="42"/>
      <c r="D194" s="21"/>
      <c r="E194" s="21"/>
    </row>
    <row r="195">
      <c r="A195" s="42"/>
      <c r="D195" s="21"/>
      <c r="E195" s="21"/>
    </row>
    <row r="196">
      <c r="A196" s="42"/>
      <c r="D196" s="21"/>
      <c r="E196" s="21"/>
    </row>
    <row r="197">
      <c r="A197" s="42"/>
      <c r="D197" s="21"/>
      <c r="E197" s="21"/>
    </row>
    <row r="198">
      <c r="A198" s="42"/>
      <c r="D198" s="21"/>
      <c r="E198" s="21"/>
    </row>
    <row r="199">
      <c r="A199" s="42"/>
      <c r="D199" s="21"/>
      <c r="E199" s="21"/>
    </row>
    <row r="200">
      <c r="A200" s="42"/>
      <c r="D200" s="21"/>
      <c r="E200" s="21"/>
    </row>
    <row r="201">
      <c r="A201" s="42"/>
      <c r="D201" s="21"/>
      <c r="E201" s="21"/>
    </row>
    <row r="202">
      <c r="A202" s="42"/>
      <c r="D202" s="21"/>
      <c r="E202" s="21"/>
    </row>
    <row r="203">
      <c r="A203" s="42"/>
      <c r="D203" s="21"/>
      <c r="E203" s="21"/>
    </row>
    <row r="204">
      <c r="A204" s="42"/>
      <c r="D204" s="21"/>
      <c r="E204" s="21"/>
    </row>
    <row r="205">
      <c r="A205" s="42"/>
      <c r="D205" s="21"/>
      <c r="E205" s="21"/>
    </row>
    <row r="206">
      <c r="A206" s="42"/>
      <c r="D206" s="21"/>
      <c r="E206" s="21"/>
    </row>
    <row r="207">
      <c r="A207" s="42"/>
      <c r="D207" s="21"/>
      <c r="E207" s="21"/>
    </row>
    <row r="208">
      <c r="A208" s="42"/>
      <c r="D208" s="21"/>
      <c r="E208" s="21"/>
    </row>
    <row r="209">
      <c r="A209" s="42"/>
      <c r="D209" s="21"/>
      <c r="E209" s="21"/>
    </row>
    <row r="210">
      <c r="A210" s="42"/>
      <c r="D210" s="21"/>
      <c r="E210" s="21"/>
    </row>
    <row r="211">
      <c r="A211" s="42"/>
      <c r="D211" s="21"/>
      <c r="E211" s="21"/>
    </row>
    <row r="212">
      <c r="A212" s="42"/>
      <c r="D212" s="21"/>
      <c r="E212" s="21"/>
    </row>
    <row r="213">
      <c r="A213" s="42"/>
      <c r="D213" s="21"/>
      <c r="E213" s="21"/>
    </row>
    <row r="214">
      <c r="A214" s="42"/>
      <c r="D214" s="21"/>
      <c r="E214" s="21"/>
    </row>
    <row r="215">
      <c r="A215" s="42"/>
      <c r="D215" s="21"/>
      <c r="E215" s="21"/>
    </row>
    <row r="216">
      <c r="A216" s="42"/>
      <c r="D216" s="21"/>
      <c r="E216" s="21"/>
    </row>
    <row r="217">
      <c r="A217" s="42"/>
      <c r="D217" s="21"/>
      <c r="E217" s="21"/>
    </row>
    <row r="218">
      <c r="A218" s="42"/>
      <c r="D218" s="21"/>
      <c r="E218" s="21"/>
    </row>
    <row r="219">
      <c r="A219" s="42"/>
      <c r="D219" s="21"/>
      <c r="E219" s="21"/>
    </row>
    <row r="220">
      <c r="A220" s="42"/>
      <c r="D220" s="21"/>
      <c r="E220" s="21"/>
    </row>
    <row r="221">
      <c r="A221" s="42"/>
      <c r="D221" s="21"/>
      <c r="E221" s="21"/>
    </row>
    <row r="222">
      <c r="A222" s="42"/>
      <c r="D222" s="21"/>
      <c r="E222" s="21"/>
    </row>
    <row r="223">
      <c r="A223" s="42"/>
      <c r="D223" s="21"/>
      <c r="E223" s="21"/>
    </row>
    <row r="224">
      <c r="A224" s="42"/>
      <c r="D224" s="21"/>
      <c r="E224" s="21"/>
    </row>
    <row r="225">
      <c r="A225" s="42"/>
      <c r="D225" s="21"/>
      <c r="E225" s="21"/>
    </row>
    <row r="226">
      <c r="A226" s="42"/>
      <c r="D226" s="21"/>
      <c r="E226" s="21"/>
    </row>
    <row r="227">
      <c r="A227" s="42"/>
      <c r="D227" s="21"/>
      <c r="E227" s="21"/>
    </row>
    <row r="228">
      <c r="A228" s="42"/>
      <c r="D228" s="21"/>
      <c r="E228" s="21"/>
    </row>
    <row r="229">
      <c r="A229" s="42"/>
      <c r="D229" s="21"/>
      <c r="E229" s="21"/>
    </row>
    <row r="230">
      <c r="A230" s="42"/>
      <c r="D230" s="21"/>
      <c r="E230" s="21"/>
    </row>
    <row r="231">
      <c r="A231" s="42"/>
      <c r="D231" s="21"/>
      <c r="E231" s="21"/>
    </row>
    <row r="232">
      <c r="A232" s="42"/>
      <c r="D232" s="21"/>
      <c r="E232" s="21"/>
    </row>
    <row r="233">
      <c r="A233" s="42"/>
      <c r="D233" s="21"/>
      <c r="E233" s="21"/>
    </row>
    <row r="234">
      <c r="A234" s="42"/>
      <c r="D234" s="21"/>
      <c r="E234" s="21"/>
    </row>
    <row r="235">
      <c r="A235" s="42"/>
      <c r="D235" s="21"/>
      <c r="E235" s="21"/>
    </row>
    <row r="236">
      <c r="A236" s="42"/>
      <c r="D236" s="21"/>
      <c r="E236" s="21"/>
    </row>
    <row r="237">
      <c r="A237" s="42"/>
      <c r="D237" s="21"/>
      <c r="E237" s="21"/>
    </row>
    <row r="238">
      <c r="A238" s="42"/>
      <c r="D238" s="21"/>
      <c r="E238" s="21"/>
    </row>
    <row r="239">
      <c r="A239" s="42"/>
      <c r="D239" s="21"/>
      <c r="E239" s="21"/>
    </row>
    <row r="240">
      <c r="A240" s="42"/>
      <c r="D240" s="21"/>
      <c r="E240" s="21"/>
    </row>
    <row r="241">
      <c r="A241" s="42"/>
      <c r="D241" s="21"/>
      <c r="E241" s="21"/>
    </row>
    <row r="242">
      <c r="A242" s="42"/>
      <c r="D242" s="21"/>
      <c r="E242" s="21"/>
    </row>
    <row r="243">
      <c r="A243" s="42"/>
      <c r="D243" s="21"/>
      <c r="E243" s="21"/>
    </row>
    <row r="244">
      <c r="A244" s="42"/>
      <c r="D244" s="21"/>
      <c r="E244" s="21"/>
    </row>
    <row r="245">
      <c r="A245" s="42"/>
      <c r="D245" s="21"/>
      <c r="E245" s="21"/>
    </row>
    <row r="246">
      <c r="A246" s="42"/>
      <c r="D246" s="21"/>
      <c r="E246" s="21"/>
    </row>
    <row r="247">
      <c r="A247" s="42"/>
      <c r="D247" s="21"/>
      <c r="E247" s="21"/>
    </row>
    <row r="248">
      <c r="A248" s="42"/>
      <c r="D248" s="21"/>
      <c r="E248" s="21"/>
    </row>
    <row r="249">
      <c r="A249" s="42"/>
      <c r="D249" s="21"/>
      <c r="E249" s="21"/>
    </row>
    <row r="250">
      <c r="A250" s="42"/>
      <c r="D250" s="21"/>
      <c r="E250" s="21"/>
    </row>
    <row r="251">
      <c r="A251" s="42"/>
      <c r="D251" s="21"/>
      <c r="E251" s="21"/>
    </row>
    <row r="252">
      <c r="A252" s="42"/>
      <c r="D252" s="21"/>
      <c r="E252" s="21"/>
    </row>
    <row r="253">
      <c r="A253" s="42"/>
      <c r="D253" s="21"/>
      <c r="E253" s="21"/>
    </row>
    <row r="254">
      <c r="A254" s="42"/>
      <c r="D254" s="21"/>
      <c r="E254" s="21"/>
    </row>
    <row r="255">
      <c r="A255" s="42"/>
      <c r="D255" s="21"/>
      <c r="E255" s="21"/>
    </row>
    <row r="256">
      <c r="A256" s="42"/>
      <c r="D256" s="21"/>
      <c r="E256" s="21"/>
    </row>
    <row r="257">
      <c r="A257" s="42"/>
      <c r="D257" s="21"/>
      <c r="E257" s="21"/>
    </row>
    <row r="258">
      <c r="A258" s="42"/>
      <c r="D258" s="21"/>
      <c r="E258" s="21"/>
    </row>
    <row r="259">
      <c r="A259" s="42"/>
      <c r="D259" s="21"/>
      <c r="E259" s="21"/>
    </row>
    <row r="260">
      <c r="A260" s="42"/>
      <c r="D260" s="21"/>
      <c r="E260" s="21"/>
    </row>
    <row r="261">
      <c r="A261" s="42"/>
      <c r="D261" s="21"/>
      <c r="E261" s="21"/>
    </row>
    <row r="262">
      <c r="A262" s="42"/>
      <c r="D262" s="21"/>
      <c r="E262" s="21"/>
    </row>
    <row r="263">
      <c r="A263" s="42"/>
      <c r="D263" s="21"/>
      <c r="E263" s="21"/>
    </row>
    <row r="264">
      <c r="A264" s="42"/>
      <c r="D264" s="21"/>
      <c r="E264" s="21"/>
    </row>
    <row r="265">
      <c r="A265" s="42"/>
      <c r="D265" s="21"/>
      <c r="E265" s="21"/>
    </row>
    <row r="266">
      <c r="A266" s="42"/>
      <c r="D266" s="21"/>
      <c r="E266" s="21"/>
    </row>
    <row r="267">
      <c r="A267" s="42"/>
      <c r="D267" s="21"/>
      <c r="E267" s="21"/>
    </row>
    <row r="268">
      <c r="A268" s="42"/>
      <c r="D268" s="21"/>
      <c r="E268" s="21"/>
    </row>
    <row r="269">
      <c r="A269" s="42"/>
      <c r="D269" s="21"/>
      <c r="E269" s="21"/>
    </row>
    <row r="270">
      <c r="A270" s="42"/>
      <c r="D270" s="21"/>
      <c r="E270" s="21"/>
    </row>
    <row r="271">
      <c r="A271" s="42"/>
      <c r="D271" s="21"/>
      <c r="E271" s="21"/>
    </row>
    <row r="272">
      <c r="A272" s="42"/>
      <c r="D272" s="21"/>
      <c r="E272" s="21"/>
    </row>
    <row r="273">
      <c r="A273" s="42"/>
      <c r="D273" s="21"/>
      <c r="E273" s="21"/>
    </row>
    <row r="274">
      <c r="A274" s="42"/>
      <c r="D274" s="21"/>
      <c r="E274" s="21"/>
    </row>
    <row r="275">
      <c r="A275" s="42"/>
      <c r="D275" s="21"/>
      <c r="E275" s="21"/>
    </row>
    <row r="276">
      <c r="A276" s="42"/>
      <c r="D276" s="21"/>
      <c r="E276" s="21"/>
    </row>
    <row r="277">
      <c r="A277" s="42"/>
      <c r="D277" s="21"/>
      <c r="E277" s="21"/>
    </row>
    <row r="278">
      <c r="A278" s="42"/>
      <c r="D278" s="21"/>
      <c r="E278" s="21"/>
    </row>
    <row r="279">
      <c r="A279" s="42"/>
      <c r="D279" s="21"/>
      <c r="E279" s="21"/>
    </row>
    <row r="280">
      <c r="A280" s="42"/>
      <c r="D280" s="21"/>
      <c r="E280" s="21"/>
    </row>
    <row r="281">
      <c r="A281" s="42"/>
      <c r="D281" s="21"/>
      <c r="E281" s="21"/>
    </row>
    <row r="282">
      <c r="A282" s="42"/>
      <c r="D282" s="21"/>
      <c r="E282" s="21"/>
    </row>
    <row r="283">
      <c r="A283" s="42"/>
      <c r="D283" s="21"/>
      <c r="E283" s="21"/>
    </row>
    <row r="284">
      <c r="A284" s="42"/>
      <c r="D284" s="21"/>
      <c r="E284" s="21"/>
    </row>
    <row r="285">
      <c r="A285" s="42"/>
      <c r="D285" s="21"/>
      <c r="E285" s="21"/>
    </row>
    <row r="286">
      <c r="A286" s="42"/>
      <c r="D286" s="21"/>
      <c r="E286" s="21"/>
    </row>
    <row r="287">
      <c r="A287" s="42"/>
      <c r="D287" s="21"/>
      <c r="E287" s="21"/>
    </row>
    <row r="288">
      <c r="A288" s="42"/>
      <c r="D288" s="21"/>
      <c r="E288" s="21"/>
    </row>
    <row r="289">
      <c r="A289" s="42"/>
      <c r="D289" s="21"/>
      <c r="E289" s="21"/>
    </row>
    <row r="290">
      <c r="A290" s="42"/>
      <c r="D290" s="21"/>
      <c r="E290" s="21"/>
    </row>
    <row r="291">
      <c r="A291" s="42"/>
      <c r="D291" s="21"/>
      <c r="E291" s="21"/>
    </row>
    <row r="292">
      <c r="A292" s="42"/>
      <c r="D292" s="21"/>
      <c r="E292" s="21"/>
    </row>
    <row r="293">
      <c r="A293" s="42"/>
      <c r="D293" s="21"/>
      <c r="E293" s="21"/>
    </row>
    <row r="294">
      <c r="A294" s="42"/>
      <c r="D294" s="21"/>
      <c r="E294" s="21"/>
    </row>
    <row r="295">
      <c r="A295" s="42"/>
      <c r="D295" s="21"/>
      <c r="E295" s="21"/>
    </row>
    <row r="296">
      <c r="A296" s="42"/>
      <c r="D296" s="21"/>
      <c r="E296" s="21"/>
    </row>
    <row r="297">
      <c r="A297" s="42"/>
      <c r="D297" s="21"/>
      <c r="E297" s="21"/>
    </row>
    <row r="298">
      <c r="A298" s="42"/>
      <c r="D298" s="21"/>
      <c r="E298" s="21"/>
    </row>
    <row r="299">
      <c r="A299" s="42"/>
      <c r="D299" s="21"/>
      <c r="E299" s="21"/>
    </row>
    <row r="300">
      <c r="A300" s="42"/>
      <c r="D300" s="21"/>
      <c r="E300" s="21"/>
    </row>
    <row r="301">
      <c r="A301" s="42"/>
      <c r="D301" s="21"/>
      <c r="E301" s="21"/>
    </row>
    <row r="302">
      <c r="A302" s="42"/>
      <c r="D302" s="21"/>
      <c r="E302" s="21"/>
    </row>
    <row r="303">
      <c r="A303" s="42"/>
      <c r="D303" s="21"/>
      <c r="E303" s="21"/>
    </row>
    <row r="304">
      <c r="A304" s="42"/>
      <c r="D304" s="21"/>
      <c r="E304" s="21"/>
    </row>
    <row r="305">
      <c r="A305" s="42"/>
      <c r="D305" s="21"/>
      <c r="E305" s="21"/>
    </row>
    <row r="306">
      <c r="A306" s="42"/>
      <c r="D306" s="21"/>
      <c r="E306" s="21"/>
    </row>
    <row r="307">
      <c r="A307" s="42"/>
      <c r="D307" s="21"/>
      <c r="E307" s="21"/>
    </row>
    <row r="308">
      <c r="A308" s="42"/>
      <c r="D308" s="21"/>
      <c r="E308" s="21"/>
    </row>
    <row r="309">
      <c r="A309" s="42"/>
      <c r="D309" s="21"/>
      <c r="E309" s="21"/>
    </row>
    <row r="310">
      <c r="A310" s="42"/>
      <c r="D310" s="21"/>
      <c r="E310" s="21"/>
    </row>
    <row r="311">
      <c r="A311" s="42"/>
      <c r="D311" s="21"/>
      <c r="E311" s="21"/>
    </row>
    <row r="312">
      <c r="A312" s="42"/>
      <c r="D312" s="21"/>
      <c r="E312" s="21"/>
    </row>
    <row r="313">
      <c r="A313" s="42"/>
      <c r="D313" s="21"/>
      <c r="E313" s="21"/>
    </row>
    <row r="314">
      <c r="A314" s="42"/>
      <c r="D314" s="21"/>
      <c r="E314" s="21"/>
    </row>
    <row r="315">
      <c r="A315" s="42"/>
      <c r="D315" s="21"/>
      <c r="E315" s="21"/>
    </row>
    <row r="316">
      <c r="A316" s="42"/>
      <c r="D316" s="21"/>
      <c r="E316" s="21"/>
    </row>
    <row r="317">
      <c r="A317" s="42"/>
      <c r="D317" s="21"/>
      <c r="E317" s="21"/>
    </row>
    <row r="318">
      <c r="A318" s="42"/>
      <c r="D318" s="21"/>
      <c r="E318" s="21"/>
    </row>
    <row r="319">
      <c r="A319" s="42"/>
      <c r="D319" s="21"/>
      <c r="E319" s="21"/>
    </row>
    <row r="320">
      <c r="A320" s="42"/>
      <c r="D320" s="21"/>
      <c r="E320" s="21"/>
    </row>
    <row r="321">
      <c r="A321" s="42"/>
      <c r="D321" s="21"/>
      <c r="E321" s="21"/>
    </row>
    <row r="322">
      <c r="A322" s="42"/>
      <c r="D322" s="21"/>
      <c r="E322" s="21"/>
    </row>
    <row r="323">
      <c r="A323" s="42"/>
      <c r="D323" s="21"/>
      <c r="E323" s="21"/>
    </row>
    <row r="324">
      <c r="A324" s="42"/>
      <c r="D324" s="21"/>
      <c r="E324" s="21"/>
    </row>
    <row r="325">
      <c r="A325" s="42"/>
      <c r="D325" s="21"/>
      <c r="E325" s="21"/>
    </row>
    <row r="326">
      <c r="A326" s="42"/>
      <c r="D326" s="21"/>
      <c r="E326" s="21"/>
    </row>
    <row r="327">
      <c r="A327" s="42"/>
      <c r="D327" s="21"/>
      <c r="E327" s="21"/>
    </row>
    <row r="328">
      <c r="A328" s="42"/>
      <c r="D328" s="21"/>
      <c r="E328" s="21"/>
    </row>
    <row r="329">
      <c r="A329" s="42"/>
      <c r="D329" s="21"/>
      <c r="E329" s="21"/>
    </row>
    <row r="330">
      <c r="A330" s="42"/>
      <c r="D330" s="21"/>
      <c r="E330" s="21"/>
    </row>
    <row r="331">
      <c r="A331" s="42"/>
      <c r="D331" s="21"/>
      <c r="E331" s="21"/>
    </row>
    <row r="332">
      <c r="A332" s="42"/>
      <c r="D332" s="21"/>
      <c r="E332" s="21"/>
    </row>
    <row r="333">
      <c r="A333" s="42"/>
      <c r="D333" s="21"/>
      <c r="E333" s="21"/>
    </row>
    <row r="334">
      <c r="A334" s="42"/>
      <c r="D334" s="21"/>
      <c r="E334" s="21"/>
    </row>
    <row r="335">
      <c r="A335" s="42"/>
      <c r="D335" s="21"/>
      <c r="E335" s="21"/>
    </row>
    <row r="336">
      <c r="A336" s="42"/>
      <c r="D336" s="21"/>
      <c r="E336" s="21"/>
    </row>
    <row r="337">
      <c r="A337" s="42"/>
      <c r="D337" s="21"/>
      <c r="E337" s="21"/>
    </row>
    <row r="338">
      <c r="A338" s="42"/>
      <c r="D338" s="21"/>
      <c r="E338" s="21"/>
    </row>
    <row r="339">
      <c r="A339" s="42"/>
      <c r="D339" s="21"/>
      <c r="E339" s="21"/>
    </row>
    <row r="340">
      <c r="A340" s="42"/>
      <c r="D340" s="21"/>
      <c r="E340" s="21"/>
    </row>
    <row r="341">
      <c r="A341" s="42"/>
      <c r="D341" s="21"/>
      <c r="E341" s="21"/>
    </row>
    <row r="342">
      <c r="A342" s="42"/>
      <c r="D342" s="21"/>
      <c r="E342" s="21"/>
    </row>
    <row r="343">
      <c r="A343" s="42"/>
      <c r="D343" s="21"/>
      <c r="E343" s="21"/>
    </row>
    <row r="344">
      <c r="A344" s="42"/>
      <c r="D344" s="21"/>
      <c r="E344" s="21"/>
    </row>
    <row r="345">
      <c r="A345" s="42"/>
      <c r="D345" s="21"/>
      <c r="E345" s="21"/>
    </row>
    <row r="346">
      <c r="A346" s="42"/>
      <c r="D346" s="21"/>
      <c r="E346" s="21"/>
    </row>
    <row r="347">
      <c r="A347" s="42"/>
      <c r="D347" s="21"/>
      <c r="E347" s="21"/>
    </row>
    <row r="348">
      <c r="A348" s="42"/>
      <c r="D348" s="21"/>
      <c r="E348" s="21"/>
    </row>
    <row r="349">
      <c r="A349" s="42"/>
      <c r="D349" s="21"/>
      <c r="E349" s="21"/>
    </row>
    <row r="350">
      <c r="A350" s="42"/>
      <c r="D350" s="21"/>
      <c r="E350" s="21"/>
    </row>
    <row r="351">
      <c r="A351" s="42"/>
      <c r="D351" s="21"/>
      <c r="E351" s="21"/>
    </row>
    <row r="352">
      <c r="A352" s="42"/>
      <c r="D352" s="21"/>
      <c r="E352" s="21"/>
    </row>
    <row r="353">
      <c r="A353" s="42"/>
      <c r="D353" s="21"/>
      <c r="E353" s="21"/>
    </row>
    <row r="354">
      <c r="A354" s="42"/>
      <c r="D354" s="21"/>
      <c r="E354" s="21"/>
    </row>
    <row r="355">
      <c r="A355" s="42"/>
      <c r="D355" s="21"/>
      <c r="E355" s="21"/>
    </row>
    <row r="356">
      <c r="A356" s="42"/>
      <c r="D356" s="21"/>
      <c r="E356" s="21"/>
    </row>
    <row r="357">
      <c r="A357" s="42"/>
      <c r="D357" s="21"/>
      <c r="E357" s="21"/>
    </row>
    <row r="358">
      <c r="A358" s="42"/>
      <c r="D358" s="21"/>
      <c r="E358" s="21"/>
    </row>
    <row r="359">
      <c r="A359" s="42"/>
      <c r="D359" s="21"/>
      <c r="E359" s="21"/>
    </row>
    <row r="360">
      <c r="A360" s="42"/>
      <c r="D360" s="21"/>
      <c r="E360" s="21"/>
    </row>
    <row r="361">
      <c r="A361" s="42"/>
      <c r="D361" s="21"/>
      <c r="E361" s="21"/>
    </row>
    <row r="362">
      <c r="A362" s="42"/>
      <c r="D362" s="21"/>
      <c r="E362" s="21"/>
    </row>
    <row r="363">
      <c r="A363" s="42"/>
      <c r="D363" s="21"/>
      <c r="E363" s="21"/>
    </row>
    <row r="364">
      <c r="A364" s="42"/>
      <c r="D364" s="21"/>
      <c r="E364" s="21"/>
    </row>
    <row r="365">
      <c r="A365" s="42"/>
      <c r="D365" s="21"/>
      <c r="E365" s="21"/>
    </row>
    <row r="366">
      <c r="A366" s="42"/>
      <c r="D366" s="21"/>
      <c r="E366" s="21"/>
    </row>
    <row r="367">
      <c r="A367" s="42"/>
      <c r="D367" s="21"/>
      <c r="E367" s="21"/>
    </row>
    <row r="368">
      <c r="A368" s="42"/>
      <c r="D368" s="21"/>
      <c r="E368" s="21"/>
    </row>
    <row r="369">
      <c r="A369" s="42"/>
      <c r="D369" s="21"/>
      <c r="E369" s="21"/>
    </row>
    <row r="370">
      <c r="A370" s="42"/>
      <c r="D370" s="21"/>
      <c r="E370" s="21"/>
    </row>
    <row r="371">
      <c r="A371" s="42"/>
      <c r="D371" s="21"/>
      <c r="E371" s="21"/>
    </row>
    <row r="372">
      <c r="A372" s="42"/>
      <c r="D372" s="21"/>
      <c r="E372" s="21"/>
    </row>
    <row r="373">
      <c r="A373" s="42"/>
      <c r="D373" s="21"/>
      <c r="E373" s="21"/>
    </row>
    <row r="374">
      <c r="A374" s="42"/>
      <c r="D374" s="21"/>
      <c r="E374" s="21"/>
    </row>
    <row r="375">
      <c r="A375" s="42"/>
      <c r="D375" s="21"/>
      <c r="E375" s="21"/>
    </row>
    <row r="376">
      <c r="A376" s="42"/>
      <c r="D376" s="21"/>
      <c r="E376" s="21"/>
    </row>
    <row r="377">
      <c r="A377" s="42"/>
      <c r="D377" s="21"/>
      <c r="E377" s="21"/>
    </row>
    <row r="378">
      <c r="A378" s="42"/>
      <c r="D378" s="21"/>
      <c r="E378" s="21"/>
    </row>
    <row r="379">
      <c r="A379" s="42"/>
      <c r="D379" s="21"/>
      <c r="E379" s="21"/>
    </row>
    <row r="380">
      <c r="A380" s="42"/>
      <c r="D380" s="21"/>
      <c r="E380" s="21"/>
    </row>
    <row r="381">
      <c r="A381" s="42"/>
      <c r="D381" s="21"/>
      <c r="E381" s="21"/>
    </row>
    <row r="382">
      <c r="A382" s="42"/>
      <c r="D382" s="21"/>
      <c r="E382" s="21"/>
    </row>
    <row r="383">
      <c r="A383" s="42"/>
      <c r="D383" s="21"/>
      <c r="E383" s="21"/>
    </row>
    <row r="384">
      <c r="A384" s="42"/>
      <c r="D384" s="21"/>
      <c r="E384" s="21"/>
    </row>
    <row r="385">
      <c r="A385" s="42"/>
      <c r="D385" s="21"/>
      <c r="E385" s="21"/>
    </row>
    <row r="386">
      <c r="A386" s="42"/>
      <c r="D386" s="21"/>
      <c r="E386" s="21"/>
    </row>
    <row r="387">
      <c r="A387" s="42"/>
      <c r="D387" s="21"/>
      <c r="E387" s="21"/>
    </row>
    <row r="388">
      <c r="A388" s="42"/>
      <c r="D388" s="21"/>
      <c r="E388" s="21"/>
    </row>
    <row r="389">
      <c r="A389" s="42"/>
      <c r="D389" s="21"/>
      <c r="E389" s="21"/>
    </row>
    <row r="390">
      <c r="A390" s="42"/>
      <c r="D390" s="21"/>
      <c r="E390" s="21"/>
    </row>
    <row r="391">
      <c r="A391" s="42"/>
      <c r="D391" s="21"/>
      <c r="E391" s="21"/>
    </row>
    <row r="392">
      <c r="A392" s="42"/>
      <c r="D392" s="21"/>
      <c r="E392" s="21"/>
    </row>
    <row r="393">
      <c r="A393" s="42"/>
      <c r="D393" s="21"/>
      <c r="E393" s="21"/>
    </row>
    <row r="394">
      <c r="A394" s="42"/>
      <c r="D394" s="21"/>
      <c r="E394" s="21"/>
    </row>
    <row r="395">
      <c r="A395" s="42"/>
      <c r="D395" s="21"/>
      <c r="E395" s="21"/>
    </row>
    <row r="396">
      <c r="A396" s="42"/>
      <c r="D396" s="21"/>
      <c r="E396" s="21"/>
    </row>
    <row r="397">
      <c r="A397" s="42"/>
      <c r="D397" s="21"/>
      <c r="E397" s="21"/>
    </row>
    <row r="398">
      <c r="A398" s="42"/>
      <c r="D398" s="21"/>
      <c r="E398" s="21"/>
    </row>
    <row r="399">
      <c r="A399" s="42"/>
      <c r="D399" s="21"/>
      <c r="E399" s="21"/>
    </row>
    <row r="400">
      <c r="A400" s="42"/>
      <c r="D400" s="21"/>
      <c r="E400" s="21"/>
    </row>
    <row r="401">
      <c r="A401" s="42"/>
      <c r="D401" s="21"/>
      <c r="E401" s="21"/>
    </row>
    <row r="402">
      <c r="A402" s="42"/>
      <c r="D402" s="21"/>
      <c r="E402" s="21"/>
    </row>
    <row r="403">
      <c r="A403" s="42"/>
      <c r="D403" s="21"/>
      <c r="E403" s="21"/>
    </row>
    <row r="404">
      <c r="A404" s="42"/>
      <c r="D404" s="21"/>
      <c r="E404" s="21"/>
    </row>
    <row r="405">
      <c r="A405" s="42"/>
      <c r="D405" s="21"/>
      <c r="E405" s="21"/>
    </row>
    <row r="406">
      <c r="A406" s="42"/>
      <c r="D406" s="21"/>
      <c r="E406" s="21"/>
    </row>
    <row r="407">
      <c r="A407" s="42"/>
      <c r="D407" s="21"/>
      <c r="E407" s="21"/>
    </row>
    <row r="408">
      <c r="A408" s="42"/>
      <c r="D408" s="21"/>
      <c r="E408" s="21"/>
    </row>
    <row r="409">
      <c r="A409" s="42"/>
      <c r="D409" s="21"/>
      <c r="E409" s="21"/>
    </row>
    <row r="410">
      <c r="A410" s="42"/>
      <c r="D410" s="21"/>
      <c r="E410" s="21"/>
    </row>
    <row r="411">
      <c r="A411" s="42"/>
      <c r="D411" s="21"/>
      <c r="E411" s="21"/>
    </row>
    <row r="412">
      <c r="A412" s="42"/>
      <c r="D412" s="21"/>
      <c r="E412" s="21"/>
    </row>
    <row r="413">
      <c r="A413" s="42"/>
      <c r="D413" s="21"/>
      <c r="E413" s="21"/>
    </row>
    <row r="414">
      <c r="A414" s="42"/>
      <c r="D414" s="21"/>
      <c r="E414" s="21"/>
    </row>
    <row r="415">
      <c r="A415" s="42"/>
      <c r="D415" s="21"/>
      <c r="E415" s="21"/>
    </row>
    <row r="416">
      <c r="A416" s="42"/>
      <c r="D416" s="21"/>
      <c r="E416" s="21"/>
    </row>
    <row r="417">
      <c r="A417" s="42"/>
      <c r="D417" s="21"/>
      <c r="E417" s="21"/>
    </row>
    <row r="418">
      <c r="A418" s="42"/>
      <c r="D418" s="21"/>
      <c r="E418" s="21"/>
    </row>
    <row r="419">
      <c r="A419" s="42"/>
      <c r="D419" s="21"/>
      <c r="E419" s="21"/>
    </row>
    <row r="420">
      <c r="A420" s="42"/>
      <c r="D420" s="21"/>
      <c r="E420" s="21"/>
    </row>
    <row r="421">
      <c r="A421" s="42"/>
      <c r="D421" s="21"/>
      <c r="E421" s="21"/>
    </row>
    <row r="422">
      <c r="A422" s="42"/>
      <c r="D422" s="21"/>
      <c r="E422" s="21"/>
    </row>
    <row r="423">
      <c r="A423" s="42"/>
      <c r="D423" s="21"/>
      <c r="E423" s="21"/>
    </row>
    <row r="424">
      <c r="A424" s="42"/>
      <c r="D424" s="21"/>
      <c r="E424" s="21"/>
    </row>
    <row r="425">
      <c r="A425" s="42"/>
      <c r="D425" s="21"/>
      <c r="E425" s="21"/>
    </row>
    <row r="426">
      <c r="A426" s="42"/>
      <c r="D426" s="21"/>
      <c r="E426" s="21"/>
    </row>
    <row r="427">
      <c r="A427" s="42"/>
      <c r="D427" s="21"/>
      <c r="E427" s="21"/>
    </row>
    <row r="428">
      <c r="A428" s="42"/>
      <c r="D428" s="21"/>
      <c r="E428" s="21"/>
    </row>
    <row r="429">
      <c r="A429" s="42"/>
      <c r="D429" s="21"/>
      <c r="E429" s="21"/>
    </row>
    <row r="430">
      <c r="A430" s="42"/>
      <c r="D430" s="21"/>
      <c r="E430" s="21"/>
    </row>
    <row r="431">
      <c r="A431" s="42"/>
      <c r="D431" s="21"/>
      <c r="E431" s="21"/>
    </row>
    <row r="432">
      <c r="A432" s="42"/>
      <c r="D432" s="21"/>
      <c r="E432" s="21"/>
    </row>
    <row r="433">
      <c r="A433" s="42"/>
      <c r="D433" s="21"/>
      <c r="E433" s="21"/>
    </row>
    <row r="434">
      <c r="A434" s="42"/>
      <c r="D434" s="21"/>
      <c r="E434" s="21"/>
    </row>
    <row r="435">
      <c r="A435" s="42"/>
      <c r="D435" s="21"/>
      <c r="E435" s="21"/>
    </row>
    <row r="436">
      <c r="A436" s="42"/>
      <c r="D436" s="21"/>
      <c r="E436" s="21"/>
    </row>
    <row r="437">
      <c r="A437" s="42"/>
      <c r="D437" s="21"/>
      <c r="E437" s="21"/>
    </row>
    <row r="438">
      <c r="A438" s="42"/>
      <c r="D438" s="21"/>
      <c r="E438" s="21"/>
    </row>
    <row r="439">
      <c r="A439" s="42"/>
      <c r="D439" s="21"/>
      <c r="E439" s="21"/>
    </row>
    <row r="440">
      <c r="A440" s="42"/>
      <c r="D440" s="21"/>
      <c r="E440" s="21"/>
    </row>
    <row r="441">
      <c r="A441" s="42"/>
      <c r="D441" s="21"/>
      <c r="E441" s="21"/>
    </row>
    <row r="442">
      <c r="A442" s="42"/>
      <c r="D442" s="21"/>
      <c r="E442" s="21"/>
    </row>
    <row r="443">
      <c r="A443" s="42"/>
      <c r="D443" s="21"/>
      <c r="E443" s="21"/>
    </row>
    <row r="444">
      <c r="A444" s="42"/>
      <c r="D444" s="21"/>
      <c r="E444" s="21"/>
    </row>
    <row r="445">
      <c r="A445" s="42"/>
      <c r="D445" s="21"/>
      <c r="E445" s="21"/>
    </row>
    <row r="446">
      <c r="A446" s="42"/>
      <c r="D446" s="21"/>
      <c r="E446" s="21"/>
    </row>
    <row r="447">
      <c r="A447" s="42"/>
      <c r="D447" s="21"/>
      <c r="E447" s="21"/>
    </row>
    <row r="448">
      <c r="A448" s="42"/>
      <c r="D448" s="21"/>
      <c r="E448" s="21"/>
    </row>
    <row r="449">
      <c r="A449" s="42"/>
      <c r="D449" s="21"/>
      <c r="E449" s="21"/>
    </row>
    <row r="450">
      <c r="A450" s="42"/>
      <c r="D450" s="21"/>
      <c r="E450" s="21"/>
    </row>
    <row r="451">
      <c r="A451" s="42"/>
      <c r="D451" s="21"/>
      <c r="E451" s="21"/>
    </row>
    <row r="452">
      <c r="A452" s="42"/>
      <c r="D452" s="21"/>
      <c r="E452" s="21"/>
    </row>
    <row r="453">
      <c r="A453" s="42"/>
      <c r="D453" s="21"/>
      <c r="E453" s="21"/>
    </row>
    <row r="454">
      <c r="A454" s="42"/>
      <c r="D454" s="21"/>
      <c r="E454" s="21"/>
    </row>
    <row r="455">
      <c r="A455" s="42"/>
      <c r="D455" s="21"/>
      <c r="E455" s="21"/>
    </row>
    <row r="456">
      <c r="A456" s="42"/>
      <c r="D456" s="21"/>
      <c r="E456" s="21"/>
    </row>
    <row r="457">
      <c r="A457" s="42"/>
      <c r="D457" s="21"/>
      <c r="E457" s="21"/>
    </row>
    <row r="458">
      <c r="A458" s="42"/>
      <c r="D458" s="21"/>
      <c r="E458" s="21"/>
    </row>
    <row r="459">
      <c r="A459" s="42"/>
      <c r="D459" s="21"/>
      <c r="E459" s="21"/>
    </row>
    <row r="460">
      <c r="A460" s="42"/>
      <c r="D460" s="21"/>
      <c r="E460" s="21"/>
    </row>
    <row r="461">
      <c r="A461" s="42"/>
      <c r="D461" s="21"/>
      <c r="E461" s="21"/>
    </row>
    <row r="462">
      <c r="A462" s="42"/>
      <c r="D462" s="21"/>
      <c r="E462" s="21"/>
    </row>
    <row r="463">
      <c r="A463" s="42"/>
      <c r="D463" s="21"/>
      <c r="E463" s="21"/>
    </row>
    <row r="464">
      <c r="A464" s="42"/>
      <c r="D464" s="21"/>
      <c r="E464" s="21"/>
    </row>
    <row r="465">
      <c r="A465" s="42"/>
      <c r="D465" s="21"/>
      <c r="E465" s="21"/>
    </row>
    <row r="466">
      <c r="A466" s="42"/>
      <c r="D466" s="21"/>
      <c r="E466" s="21"/>
    </row>
    <row r="467">
      <c r="A467" s="42"/>
      <c r="D467" s="21"/>
      <c r="E467" s="21"/>
    </row>
    <row r="468">
      <c r="A468" s="42"/>
      <c r="D468" s="21"/>
      <c r="E468" s="21"/>
    </row>
    <row r="469">
      <c r="A469" s="42"/>
      <c r="D469" s="21"/>
      <c r="E469" s="21"/>
    </row>
    <row r="470">
      <c r="A470" s="42"/>
      <c r="D470" s="21"/>
      <c r="E470" s="21"/>
    </row>
    <row r="471">
      <c r="A471" s="42"/>
      <c r="D471" s="21"/>
      <c r="E471" s="21"/>
    </row>
    <row r="472">
      <c r="A472" s="42"/>
      <c r="D472" s="21"/>
      <c r="E472" s="21"/>
    </row>
    <row r="473">
      <c r="A473" s="42"/>
      <c r="D473" s="21"/>
      <c r="E473" s="21"/>
    </row>
    <row r="474">
      <c r="A474" s="42"/>
      <c r="D474" s="21"/>
      <c r="E474" s="21"/>
    </row>
    <row r="475">
      <c r="A475" s="42"/>
      <c r="D475" s="21"/>
      <c r="E475" s="21"/>
    </row>
    <row r="476">
      <c r="A476" s="42"/>
      <c r="D476" s="21"/>
      <c r="E476" s="21"/>
    </row>
    <row r="477">
      <c r="A477" s="42"/>
      <c r="D477" s="21"/>
      <c r="E477" s="21"/>
    </row>
    <row r="478">
      <c r="A478" s="42"/>
      <c r="D478" s="21"/>
      <c r="E478" s="21"/>
    </row>
    <row r="479">
      <c r="A479" s="42"/>
      <c r="D479" s="21"/>
      <c r="E479" s="21"/>
    </row>
    <row r="480">
      <c r="A480" s="42"/>
      <c r="D480" s="21"/>
      <c r="E480" s="21"/>
    </row>
    <row r="481">
      <c r="A481" s="42"/>
      <c r="D481" s="21"/>
      <c r="E481" s="21"/>
    </row>
    <row r="482">
      <c r="A482" s="42"/>
      <c r="D482" s="21"/>
      <c r="E482" s="21"/>
    </row>
    <row r="483">
      <c r="A483" s="42"/>
      <c r="D483" s="21"/>
      <c r="E483" s="21"/>
    </row>
    <row r="484">
      <c r="A484" s="42"/>
      <c r="D484" s="21"/>
      <c r="E484" s="21"/>
    </row>
    <row r="485">
      <c r="A485" s="42"/>
      <c r="D485" s="21"/>
      <c r="E485" s="21"/>
    </row>
    <row r="486">
      <c r="A486" s="42"/>
      <c r="D486" s="21"/>
      <c r="E486" s="21"/>
    </row>
    <row r="487">
      <c r="A487" s="42"/>
      <c r="D487" s="21"/>
      <c r="E487" s="21"/>
    </row>
    <row r="488">
      <c r="A488" s="42"/>
      <c r="D488" s="21"/>
      <c r="E488" s="21"/>
    </row>
    <row r="489">
      <c r="A489" s="42"/>
      <c r="D489" s="21"/>
      <c r="E489" s="21"/>
    </row>
    <row r="490">
      <c r="A490" s="42"/>
      <c r="D490" s="21"/>
      <c r="E490" s="21"/>
    </row>
    <row r="491">
      <c r="A491" s="42"/>
      <c r="D491" s="21"/>
      <c r="E491" s="21"/>
    </row>
    <row r="492">
      <c r="A492" s="42"/>
      <c r="D492" s="21"/>
      <c r="E492" s="21"/>
    </row>
    <row r="493">
      <c r="A493" s="42"/>
      <c r="D493" s="21"/>
      <c r="E493" s="21"/>
    </row>
    <row r="494">
      <c r="A494" s="42"/>
      <c r="D494" s="21"/>
      <c r="E494" s="21"/>
    </row>
    <row r="495">
      <c r="A495" s="42"/>
      <c r="D495" s="21"/>
      <c r="E495" s="21"/>
    </row>
    <row r="496">
      <c r="A496" s="42"/>
      <c r="D496" s="21"/>
      <c r="E496" s="21"/>
    </row>
    <row r="497">
      <c r="A497" s="42"/>
      <c r="D497" s="21"/>
      <c r="E497" s="21"/>
    </row>
    <row r="498">
      <c r="A498" s="42"/>
      <c r="D498" s="21"/>
      <c r="E498" s="21"/>
    </row>
    <row r="499">
      <c r="A499" s="42"/>
      <c r="D499" s="21"/>
      <c r="E499" s="21"/>
    </row>
    <row r="500">
      <c r="A500" s="42"/>
      <c r="D500" s="21"/>
      <c r="E500" s="21"/>
    </row>
    <row r="501">
      <c r="A501" s="42"/>
      <c r="D501" s="21"/>
      <c r="E501" s="21"/>
    </row>
    <row r="502">
      <c r="A502" s="42"/>
      <c r="D502" s="21"/>
      <c r="E502" s="21"/>
    </row>
    <row r="503">
      <c r="A503" s="42"/>
      <c r="D503" s="21"/>
      <c r="E503" s="21"/>
    </row>
    <row r="504">
      <c r="A504" s="42"/>
      <c r="D504" s="21"/>
      <c r="E504" s="21"/>
    </row>
    <row r="505">
      <c r="A505" s="42"/>
      <c r="D505" s="21"/>
      <c r="E505" s="21"/>
    </row>
    <row r="506">
      <c r="A506" s="42"/>
      <c r="D506" s="21"/>
      <c r="E506" s="21"/>
    </row>
    <row r="507">
      <c r="A507" s="42"/>
      <c r="D507" s="21"/>
      <c r="E507" s="21"/>
    </row>
    <row r="508">
      <c r="A508" s="42"/>
      <c r="D508" s="21"/>
      <c r="E508" s="21"/>
    </row>
    <row r="509">
      <c r="A509" s="42"/>
      <c r="D509" s="21"/>
      <c r="E509" s="21"/>
    </row>
    <row r="510">
      <c r="A510" s="42"/>
      <c r="D510" s="21"/>
      <c r="E510" s="21"/>
    </row>
    <row r="511">
      <c r="A511" s="42"/>
      <c r="D511" s="21"/>
      <c r="E511" s="21"/>
    </row>
    <row r="512">
      <c r="A512" s="42"/>
      <c r="D512" s="21"/>
      <c r="E512" s="21"/>
    </row>
    <row r="513">
      <c r="A513" s="42"/>
      <c r="D513" s="21"/>
      <c r="E513" s="21"/>
    </row>
    <row r="514">
      <c r="A514" s="42"/>
      <c r="D514" s="21"/>
      <c r="E514" s="21"/>
    </row>
    <row r="515">
      <c r="A515" s="42"/>
      <c r="D515" s="21"/>
      <c r="E515" s="21"/>
    </row>
    <row r="516">
      <c r="A516" s="42"/>
      <c r="D516" s="21"/>
      <c r="E516" s="21"/>
    </row>
    <row r="517">
      <c r="A517" s="42"/>
      <c r="D517" s="21"/>
      <c r="E517" s="21"/>
    </row>
    <row r="518">
      <c r="A518" s="42"/>
      <c r="D518" s="21"/>
      <c r="E518" s="21"/>
    </row>
    <row r="519">
      <c r="A519" s="42"/>
      <c r="D519" s="21"/>
      <c r="E519" s="21"/>
    </row>
    <row r="520">
      <c r="A520" s="42"/>
      <c r="D520" s="21"/>
      <c r="E520" s="21"/>
    </row>
    <row r="521">
      <c r="A521" s="42"/>
      <c r="D521" s="21"/>
      <c r="E521" s="21"/>
    </row>
    <row r="522">
      <c r="A522" s="42"/>
      <c r="D522" s="21"/>
      <c r="E522" s="21"/>
    </row>
    <row r="523">
      <c r="A523" s="42"/>
      <c r="D523" s="21"/>
      <c r="E523" s="21"/>
    </row>
    <row r="524">
      <c r="A524" s="42"/>
      <c r="D524" s="21"/>
      <c r="E524" s="21"/>
    </row>
    <row r="525">
      <c r="A525" s="42"/>
      <c r="D525" s="21"/>
      <c r="E525" s="21"/>
    </row>
    <row r="526">
      <c r="A526" s="42"/>
      <c r="D526" s="21"/>
      <c r="E526" s="21"/>
    </row>
    <row r="527">
      <c r="A527" s="42"/>
      <c r="D527" s="21"/>
      <c r="E527" s="21"/>
    </row>
    <row r="528">
      <c r="A528" s="42"/>
      <c r="D528" s="21"/>
      <c r="E528" s="21"/>
    </row>
    <row r="529">
      <c r="A529" s="42"/>
      <c r="D529" s="21"/>
      <c r="E529" s="21"/>
    </row>
    <row r="530">
      <c r="A530" s="42"/>
      <c r="D530" s="21"/>
      <c r="E530" s="21"/>
    </row>
    <row r="531">
      <c r="A531" s="42"/>
      <c r="D531" s="21"/>
      <c r="E531" s="21"/>
    </row>
    <row r="532">
      <c r="A532" s="42"/>
      <c r="D532" s="21"/>
      <c r="E532" s="21"/>
    </row>
    <row r="533">
      <c r="A533" s="42"/>
      <c r="D533" s="21"/>
      <c r="E533" s="21"/>
    </row>
    <row r="534">
      <c r="A534" s="42"/>
      <c r="D534" s="21"/>
      <c r="E534" s="21"/>
    </row>
    <row r="535">
      <c r="A535" s="42"/>
      <c r="D535" s="21"/>
      <c r="E535" s="21"/>
    </row>
    <row r="536">
      <c r="A536" s="42"/>
      <c r="D536" s="21"/>
      <c r="E536" s="21"/>
    </row>
    <row r="537">
      <c r="A537" s="42"/>
      <c r="D537" s="21"/>
      <c r="E537" s="21"/>
    </row>
    <row r="538">
      <c r="A538" s="42"/>
      <c r="D538" s="21"/>
      <c r="E538" s="21"/>
    </row>
    <row r="539">
      <c r="A539" s="42"/>
      <c r="D539" s="21"/>
      <c r="E539" s="21"/>
    </row>
    <row r="540">
      <c r="A540" s="42"/>
      <c r="D540" s="21"/>
      <c r="E540" s="21"/>
    </row>
    <row r="541">
      <c r="A541" s="42"/>
      <c r="D541" s="21"/>
      <c r="E541" s="21"/>
    </row>
    <row r="542">
      <c r="A542" s="42"/>
      <c r="D542" s="21"/>
      <c r="E542" s="21"/>
    </row>
    <row r="543">
      <c r="A543" s="42"/>
      <c r="D543" s="21"/>
      <c r="E543" s="21"/>
    </row>
    <row r="544">
      <c r="A544" s="42"/>
      <c r="D544" s="21"/>
      <c r="E544" s="21"/>
    </row>
    <row r="545">
      <c r="A545" s="42"/>
      <c r="D545" s="21"/>
      <c r="E545" s="21"/>
    </row>
    <row r="546">
      <c r="A546" s="42"/>
      <c r="D546" s="21"/>
      <c r="E546" s="21"/>
    </row>
    <row r="547">
      <c r="A547" s="42"/>
      <c r="D547" s="21"/>
      <c r="E547" s="21"/>
    </row>
    <row r="548">
      <c r="A548" s="42"/>
      <c r="D548" s="21"/>
      <c r="E548" s="21"/>
    </row>
    <row r="549">
      <c r="A549" s="42"/>
      <c r="D549" s="21"/>
      <c r="E549" s="21"/>
    </row>
    <row r="550">
      <c r="A550" s="42"/>
      <c r="D550" s="21"/>
      <c r="E550" s="21"/>
    </row>
    <row r="551">
      <c r="A551" s="42"/>
      <c r="D551" s="21"/>
      <c r="E551" s="21"/>
    </row>
    <row r="552">
      <c r="A552" s="42"/>
      <c r="D552" s="21"/>
      <c r="E552" s="21"/>
    </row>
    <row r="553">
      <c r="A553" s="42"/>
      <c r="D553" s="21"/>
      <c r="E553" s="21"/>
    </row>
    <row r="554">
      <c r="A554" s="42"/>
      <c r="D554" s="21"/>
      <c r="E554" s="21"/>
    </row>
    <row r="555">
      <c r="A555" s="42"/>
      <c r="D555" s="21"/>
      <c r="E555" s="21"/>
    </row>
    <row r="556">
      <c r="A556" s="42"/>
      <c r="D556" s="21"/>
      <c r="E556" s="21"/>
    </row>
    <row r="557">
      <c r="A557" s="42"/>
      <c r="D557" s="21"/>
      <c r="E557" s="21"/>
    </row>
    <row r="558">
      <c r="A558" s="42"/>
      <c r="D558" s="21"/>
      <c r="E558" s="21"/>
    </row>
    <row r="559">
      <c r="A559" s="42"/>
      <c r="D559" s="21"/>
      <c r="E559" s="21"/>
    </row>
    <row r="560">
      <c r="A560" s="42"/>
      <c r="D560" s="21"/>
      <c r="E560" s="21"/>
    </row>
    <row r="561">
      <c r="A561" s="42"/>
      <c r="D561" s="21"/>
      <c r="E561" s="21"/>
    </row>
    <row r="562">
      <c r="A562" s="42"/>
      <c r="D562" s="21"/>
      <c r="E562" s="21"/>
    </row>
    <row r="563">
      <c r="A563" s="42"/>
      <c r="D563" s="21"/>
      <c r="E563" s="21"/>
    </row>
    <row r="564">
      <c r="A564" s="42"/>
      <c r="D564" s="21"/>
      <c r="E564" s="21"/>
    </row>
    <row r="565">
      <c r="A565" s="42"/>
      <c r="D565" s="21"/>
      <c r="E565" s="21"/>
    </row>
    <row r="566">
      <c r="A566" s="42"/>
      <c r="D566" s="21"/>
      <c r="E566" s="21"/>
    </row>
    <row r="567">
      <c r="A567" s="42"/>
      <c r="D567" s="21"/>
      <c r="E567" s="21"/>
    </row>
    <row r="568">
      <c r="A568" s="42"/>
      <c r="D568" s="21"/>
      <c r="E568" s="21"/>
    </row>
    <row r="569">
      <c r="A569" s="42"/>
      <c r="D569" s="21"/>
      <c r="E569" s="21"/>
    </row>
    <row r="570">
      <c r="A570" s="42"/>
      <c r="D570" s="21"/>
      <c r="E570" s="21"/>
    </row>
    <row r="571">
      <c r="A571" s="42"/>
      <c r="D571" s="21"/>
      <c r="E571" s="21"/>
    </row>
    <row r="572">
      <c r="A572" s="42"/>
      <c r="D572" s="21"/>
      <c r="E572" s="21"/>
    </row>
    <row r="573">
      <c r="A573" s="42"/>
      <c r="D573" s="21"/>
      <c r="E573" s="21"/>
    </row>
    <row r="574">
      <c r="A574" s="42"/>
      <c r="D574" s="21"/>
      <c r="E574" s="21"/>
    </row>
    <row r="575">
      <c r="A575" s="42"/>
      <c r="D575" s="21"/>
      <c r="E575" s="21"/>
    </row>
    <row r="576">
      <c r="A576" s="42"/>
      <c r="D576" s="21"/>
      <c r="E576" s="21"/>
    </row>
    <row r="577">
      <c r="A577" s="42"/>
      <c r="D577" s="21"/>
      <c r="E577" s="21"/>
    </row>
    <row r="578">
      <c r="A578" s="42"/>
      <c r="D578" s="21"/>
      <c r="E578" s="21"/>
    </row>
    <row r="579">
      <c r="A579" s="42"/>
      <c r="D579" s="21"/>
      <c r="E579" s="21"/>
    </row>
    <row r="580">
      <c r="A580" s="42"/>
      <c r="D580" s="21"/>
      <c r="E580" s="21"/>
    </row>
    <row r="581">
      <c r="A581" s="42"/>
      <c r="D581" s="21"/>
      <c r="E581" s="21"/>
    </row>
    <row r="582">
      <c r="A582" s="42"/>
      <c r="D582" s="21"/>
      <c r="E582" s="21"/>
    </row>
    <row r="583">
      <c r="A583" s="42"/>
      <c r="D583" s="21"/>
      <c r="E583" s="21"/>
    </row>
    <row r="584">
      <c r="A584" s="42"/>
      <c r="D584" s="21"/>
      <c r="E584" s="21"/>
    </row>
    <row r="585">
      <c r="A585" s="42"/>
      <c r="D585" s="21"/>
      <c r="E585" s="21"/>
    </row>
    <row r="586">
      <c r="A586" s="42"/>
      <c r="D586" s="21"/>
      <c r="E586" s="21"/>
    </row>
    <row r="587">
      <c r="A587" s="42"/>
      <c r="D587" s="21"/>
      <c r="E587" s="21"/>
    </row>
    <row r="588">
      <c r="A588" s="42"/>
      <c r="D588" s="21"/>
      <c r="E588" s="21"/>
    </row>
    <row r="589">
      <c r="A589" s="42"/>
      <c r="D589" s="21"/>
      <c r="E589" s="21"/>
    </row>
    <row r="590">
      <c r="A590" s="42"/>
      <c r="D590" s="21"/>
      <c r="E590" s="21"/>
    </row>
    <row r="591">
      <c r="A591" s="42"/>
      <c r="D591" s="21"/>
      <c r="E591" s="21"/>
    </row>
    <row r="592">
      <c r="A592" s="42"/>
      <c r="D592" s="21"/>
      <c r="E592" s="21"/>
    </row>
    <row r="593">
      <c r="A593" s="42"/>
      <c r="D593" s="21"/>
      <c r="E593" s="21"/>
    </row>
    <row r="594">
      <c r="A594" s="42"/>
      <c r="D594" s="21"/>
      <c r="E594" s="21"/>
    </row>
    <row r="595">
      <c r="A595" s="42"/>
      <c r="D595" s="21"/>
      <c r="E595" s="21"/>
    </row>
    <row r="596">
      <c r="A596" s="42"/>
      <c r="D596" s="21"/>
      <c r="E596" s="21"/>
    </row>
    <row r="597">
      <c r="A597" s="42"/>
      <c r="D597" s="21"/>
      <c r="E597" s="21"/>
    </row>
    <row r="598">
      <c r="A598" s="42"/>
      <c r="D598" s="21"/>
      <c r="E598" s="21"/>
    </row>
    <row r="599">
      <c r="A599" s="42"/>
      <c r="D599" s="21"/>
      <c r="E599" s="21"/>
    </row>
    <row r="600">
      <c r="A600" s="42"/>
      <c r="D600" s="21"/>
      <c r="E600" s="21"/>
    </row>
    <row r="601">
      <c r="A601" s="42"/>
      <c r="D601" s="21"/>
      <c r="E601" s="21"/>
    </row>
    <row r="602">
      <c r="A602" s="42"/>
      <c r="D602" s="21"/>
      <c r="E602" s="21"/>
    </row>
    <row r="603">
      <c r="A603" s="42"/>
      <c r="D603" s="21"/>
      <c r="E603" s="21"/>
    </row>
    <row r="604">
      <c r="A604" s="42"/>
      <c r="D604" s="21"/>
      <c r="E604" s="21"/>
    </row>
    <row r="605">
      <c r="A605" s="42"/>
      <c r="D605" s="21"/>
      <c r="E605" s="21"/>
    </row>
    <row r="606">
      <c r="A606" s="42"/>
      <c r="D606" s="21"/>
      <c r="E606" s="21"/>
    </row>
    <row r="607">
      <c r="A607" s="42"/>
      <c r="D607" s="21"/>
      <c r="E607" s="21"/>
    </row>
    <row r="608">
      <c r="A608" s="42"/>
      <c r="D608" s="21"/>
      <c r="E608" s="21"/>
    </row>
    <row r="609">
      <c r="A609" s="42"/>
      <c r="D609" s="21"/>
      <c r="E609" s="21"/>
    </row>
    <row r="610">
      <c r="A610" s="42"/>
      <c r="D610" s="21"/>
      <c r="E610" s="21"/>
    </row>
    <row r="611">
      <c r="A611" s="42"/>
      <c r="D611" s="21"/>
      <c r="E611" s="21"/>
    </row>
    <row r="612">
      <c r="A612" s="42"/>
      <c r="D612" s="21"/>
      <c r="E612" s="21"/>
    </row>
    <row r="613">
      <c r="A613" s="42"/>
      <c r="D613" s="21"/>
      <c r="E613" s="21"/>
    </row>
    <row r="614">
      <c r="A614" s="42"/>
      <c r="D614" s="21"/>
      <c r="E614" s="21"/>
    </row>
    <row r="615">
      <c r="A615" s="42"/>
      <c r="D615" s="21"/>
      <c r="E615" s="21"/>
    </row>
    <row r="616">
      <c r="A616" s="42"/>
      <c r="D616" s="21"/>
      <c r="E616" s="21"/>
    </row>
    <row r="617">
      <c r="A617" s="42"/>
      <c r="D617" s="21"/>
      <c r="E617" s="21"/>
    </row>
    <row r="618">
      <c r="A618" s="42"/>
      <c r="D618" s="21"/>
      <c r="E618" s="21"/>
    </row>
    <row r="619">
      <c r="A619" s="42"/>
      <c r="D619" s="21"/>
      <c r="E619" s="21"/>
    </row>
    <row r="620">
      <c r="A620" s="42"/>
      <c r="D620" s="21"/>
      <c r="E620" s="21"/>
    </row>
    <row r="621">
      <c r="A621" s="42"/>
      <c r="D621" s="21"/>
      <c r="E621" s="21"/>
    </row>
    <row r="622">
      <c r="A622" s="42"/>
      <c r="D622" s="21"/>
      <c r="E622" s="21"/>
    </row>
    <row r="623">
      <c r="A623" s="42"/>
      <c r="D623" s="21"/>
      <c r="E623" s="21"/>
    </row>
    <row r="624">
      <c r="A624" s="42"/>
      <c r="D624" s="21"/>
      <c r="E624" s="21"/>
    </row>
    <row r="625">
      <c r="A625" s="42"/>
      <c r="D625" s="21"/>
      <c r="E625" s="21"/>
    </row>
    <row r="626">
      <c r="A626" s="42"/>
      <c r="D626" s="21"/>
      <c r="E626" s="21"/>
    </row>
    <row r="627">
      <c r="A627" s="42"/>
      <c r="D627" s="21"/>
      <c r="E627" s="21"/>
    </row>
    <row r="628">
      <c r="A628" s="42"/>
      <c r="D628" s="21"/>
      <c r="E628" s="21"/>
    </row>
    <row r="629">
      <c r="A629" s="42"/>
      <c r="D629" s="21"/>
      <c r="E629" s="21"/>
    </row>
    <row r="630">
      <c r="A630" s="42"/>
      <c r="D630" s="21"/>
      <c r="E630" s="21"/>
    </row>
    <row r="631">
      <c r="A631" s="42"/>
      <c r="D631" s="21"/>
      <c r="E631" s="21"/>
    </row>
    <row r="632">
      <c r="A632" s="42"/>
      <c r="D632" s="21"/>
      <c r="E632" s="21"/>
    </row>
    <row r="633">
      <c r="A633" s="42"/>
      <c r="D633" s="21"/>
      <c r="E633" s="21"/>
    </row>
    <row r="634">
      <c r="A634" s="42"/>
      <c r="D634" s="21"/>
      <c r="E634" s="21"/>
    </row>
    <row r="635">
      <c r="A635" s="42"/>
      <c r="D635" s="21"/>
      <c r="E635" s="21"/>
    </row>
    <row r="636">
      <c r="A636" s="42"/>
      <c r="D636" s="21"/>
      <c r="E636" s="21"/>
    </row>
    <row r="637">
      <c r="A637" s="42"/>
      <c r="D637" s="21"/>
      <c r="E637" s="21"/>
    </row>
    <row r="638">
      <c r="A638" s="42"/>
      <c r="D638" s="21"/>
      <c r="E638" s="21"/>
    </row>
    <row r="639">
      <c r="A639" s="42"/>
      <c r="D639" s="21"/>
      <c r="E639" s="21"/>
    </row>
    <row r="640">
      <c r="A640" s="42"/>
      <c r="D640" s="21"/>
      <c r="E640" s="21"/>
    </row>
    <row r="641">
      <c r="A641" s="42"/>
      <c r="D641" s="21"/>
      <c r="E641" s="21"/>
    </row>
    <row r="642">
      <c r="A642" s="42"/>
      <c r="D642" s="21"/>
      <c r="E642" s="21"/>
    </row>
    <row r="643">
      <c r="A643" s="42"/>
      <c r="D643" s="21"/>
      <c r="E643" s="21"/>
    </row>
    <row r="644">
      <c r="A644" s="42"/>
      <c r="D644" s="21"/>
      <c r="E644" s="21"/>
    </row>
    <row r="645">
      <c r="A645" s="42"/>
      <c r="D645" s="21"/>
      <c r="E645" s="21"/>
    </row>
    <row r="646">
      <c r="A646" s="42"/>
      <c r="D646" s="21"/>
      <c r="E646" s="21"/>
    </row>
    <row r="647">
      <c r="A647" s="42"/>
      <c r="D647" s="21"/>
      <c r="E647" s="21"/>
    </row>
    <row r="648">
      <c r="A648" s="42"/>
      <c r="D648" s="21"/>
      <c r="E648" s="21"/>
    </row>
    <row r="649">
      <c r="A649" s="42"/>
      <c r="D649" s="21"/>
      <c r="E649" s="21"/>
    </row>
    <row r="650">
      <c r="A650" s="42"/>
      <c r="D650" s="21"/>
      <c r="E650" s="21"/>
    </row>
    <row r="651">
      <c r="A651" s="42"/>
      <c r="D651" s="21"/>
      <c r="E651" s="21"/>
    </row>
    <row r="652">
      <c r="A652" s="42"/>
      <c r="D652" s="21"/>
      <c r="E652" s="21"/>
    </row>
    <row r="653">
      <c r="A653" s="42"/>
      <c r="D653" s="21"/>
      <c r="E653" s="21"/>
    </row>
    <row r="654">
      <c r="A654" s="42"/>
      <c r="D654" s="21"/>
      <c r="E654" s="21"/>
    </row>
    <row r="655">
      <c r="A655" s="42"/>
      <c r="D655" s="21"/>
      <c r="E655" s="21"/>
    </row>
    <row r="656">
      <c r="A656" s="42"/>
      <c r="D656" s="21"/>
      <c r="E656" s="21"/>
    </row>
    <row r="657">
      <c r="A657" s="42"/>
      <c r="D657" s="21"/>
      <c r="E657" s="21"/>
    </row>
    <row r="658">
      <c r="A658" s="42"/>
      <c r="D658" s="21"/>
      <c r="E658" s="21"/>
    </row>
    <row r="659">
      <c r="A659" s="42"/>
      <c r="D659" s="21"/>
      <c r="E659" s="21"/>
    </row>
    <row r="660">
      <c r="A660" s="42"/>
      <c r="D660" s="21"/>
      <c r="E660" s="21"/>
    </row>
    <row r="661">
      <c r="A661" s="42"/>
      <c r="D661" s="21"/>
      <c r="E661" s="21"/>
    </row>
    <row r="662">
      <c r="A662" s="42"/>
      <c r="D662" s="21"/>
      <c r="E662" s="21"/>
    </row>
    <row r="663">
      <c r="A663" s="42"/>
      <c r="D663" s="21"/>
      <c r="E663" s="21"/>
    </row>
    <row r="664">
      <c r="A664" s="42"/>
      <c r="D664" s="21"/>
      <c r="E664" s="21"/>
    </row>
    <row r="665">
      <c r="A665" s="42"/>
      <c r="D665" s="21"/>
      <c r="E665" s="21"/>
    </row>
    <row r="666">
      <c r="A666" s="42"/>
      <c r="D666" s="21"/>
      <c r="E666" s="21"/>
    </row>
    <row r="667">
      <c r="A667" s="42"/>
      <c r="D667" s="21"/>
      <c r="E667" s="21"/>
    </row>
    <row r="668">
      <c r="A668" s="42"/>
      <c r="D668" s="21"/>
      <c r="E668" s="21"/>
    </row>
    <row r="669">
      <c r="A669" s="42"/>
      <c r="D669" s="21"/>
      <c r="E669" s="21"/>
    </row>
    <row r="670">
      <c r="A670" s="42"/>
      <c r="D670" s="21"/>
      <c r="E670" s="21"/>
    </row>
    <row r="671">
      <c r="A671" s="42"/>
      <c r="D671" s="21"/>
      <c r="E671" s="21"/>
    </row>
    <row r="672">
      <c r="A672" s="42"/>
      <c r="D672" s="21"/>
      <c r="E672" s="21"/>
    </row>
    <row r="673">
      <c r="A673" s="42"/>
      <c r="D673" s="21"/>
      <c r="E673" s="21"/>
    </row>
    <row r="674">
      <c r="A674" s="42"/>
      <c r="D674" s="21"/>
      <c r="E674" s="21"/>
    </row>
    <row r="675">
      <c r="A675" s="42"/>
      <c r="D675" s="21"/>
      <c r="E675" s="21"/>
    </row>
    <row r="676">
      <c r="A676" s="42"/>
      <c r="D676" s="21"/>
      <c r="E676" s="21"/>
    </row>
    <row r="677">
      <c r="A677" s="42"/>
      <c r="D677" s="21"/>
      <c r="E677" s="21"/>
    </row>
    <row r="678">
      <c r="A678" s="42"/>
      <c r="D678" s="21"/>
      <c r="E678" s="21"/>
    </row>
    <row r="679">
      <c r="A679" s="42"/>
      <c r="D679" s="21"/>
      <c r="E679" s="21"/>
    </row>
    <row r="680">
      <c r="A680" s="42"/>
      <c r="D680" s="21"/>
      <c r="E680" s="21"/>
    </row>
    <row r="681">
      <c r="A681" s="42"/>
      <c r="D681" s="21"/>
      <c r="E681" s="21"/>
    </row>
    <row r="682">
      <c r="A682" s="42"/>
      <c r="D682" s="21"/>
      <c r="E682" s="21"/>
    </row>
    <row r="683">
      <c r="A683" s="42"/>
      <c r="D683" s="21"/>
      <c r="E683" s="21"/>
    </row>
    <row r="684">
      <c r="A684" s="42"/>
      <c r="D684" s="21"/>
      <c r="E684" s="21"/>
    </row>
    <row r="685">
      <c r="A685" s="42"/>
      <c r="D685" s="21"/>
      <c r="E685" s="21"/>
    </row>
    <row r="686">
      <c r="A686" s="42"/>
      <c r="D686" s="21"/>
      <c r="E686" s="21"/>
    </row>
    <row r="687">
      <c r="A687" s="42"/>
      <c r="D687" s="21"/>
      <c r="E687" s="21"/>
    </row>
    <row r="688">
      <c r="A688" s="42"/>
      <c r="D688" s="21"/>
      <c r="E688" s="21"/>
    </row>
    <row r="689">
      <c r="A689" s="42"/>
      <c r="D689" s="21"/>
      <c r="E689" s="21"/>
    </row>
    <row r="690">
      <c r="A690" s="42"/>
      <c r="D690" s="21"/>
      <c r="E690" s="21"/>
    </row>
    <row r="691">
      <c r="A691" s="42"/>
      <c r="D691" s="21"/>
      <c r="E691" s="21"/>
    </row>
    <row r="692">
      <c r="A692" s="42"/>
      <c r="D692" s="21"/>
      <c r="E692" s="21"/>
    </row>
    <row r="693">
      <c r="A693" s="42"/>
      <c r="D693" s="21"/>
      <c r="E693" s="21"/>
    </row>
    <row r="694">
      <c r="A694" s="42"/>
      <c r="D694" s="21"/>
      <c r="E694" s="21"/>
    </row>
    <row r="695">
      <c r="A695" s="42"/>
      <c r="D695" s="21"/>
      <c r="E695" s="21"/>
    </row>
    <row r="696">
      <c r="A696" s="42"/>
      <c r="D696" s="21"/>
      <c r="E696" s="21"/>
    </row>
    <row r="697">
      <c r="A697" s="42"/>
      <c r="D697" s="21"/>
      <c r="E697" s="21"/>
    </row>
    <row r="698">
      <c r="A698" s="42"/>
      <c r="D698" s="21"/>
      <c r="E698" s="21"/>
    </row>
    <row r="699">
      <c r="A699" s="42"/>
      <c r="D699" s="21"/>
      <c r="E699" s="21"/>
    </row>
    <row r="700">
      <c r="A700" s="42"/>
      <c r="D700" s="21"/>
      <c r="E700" s="21"/>
    </row>
    <row r="701">
      <c r="A701" s="42"/>
      <c r="D701" s="21"/>
      <c r="E701" s="21"/>
    </row>
    <row r="702">
      <c r="A702" s="42"/>
      <c r="D702" s="21"/>
      <c r="E702" s="21"/>
    </row>
    <row r="703">
      <c r="A703" s="42"/>
      <c r="D703" s="21"/>
      <c r="E703" s="21"/>
    </row>
    <row r="704">
      <c r="A704" s="42"/>
      <c r="D704" s="21"/>
      <c r="E704" s="21"/>
    </row>
    <row r="705">
      <c r="A705" s="42"/>
      <c r="D705" s="21"/>
      <c r="E705" s="21"/>
    </row>
    <row r="706">
      <c r="A706" s="42"/>
      <c r="D706" s="21"/>
      <c r="E706" s="21"/>
    </row>
    <row r="707">
      <c r="A707" s="42"/>
      <c r="D707" s="21"/>
      <c r="E707" s="21"/>
    </row>
    <row r="708">
      <c r="A708" s="42"/>
      <c r="D708" s="21"/>
      <c r="E708" s="21"/>
    </row>
    <row r="709">
      <c r="A709" s="42"/>
      <c r="D709" s="21"/>
      <c r="E709" s="21"/>
    </row>
    <row r="710">
      <c r="A710" s="42"/>
      <c r="D710" s="21"/>
      <c r="E710" s="21"/>
    </row>
    <row r="711">
      <c r="A711" s="42"/>
      <c r="D711" s="21"/>
      <c r="E711" s="21"/>
    </row>
    <row r="712">
      <c r="A712" s="42"/>
      <c r="D712" s="21"/>
      <c r="E712" s="21"/>
    </row>
    <row r="713">
      <c r="A713" s="42"/>
      <c r="D713" s="21"/>
      <c r="E713" s="21"/>
    </row>
    <row r="714">
      <c r="A714" s="42"/>
      <c r="D714" s="21"/>
      <c r="E714" s="21"/>
    </row>
    <row r="715">
      <c r="A715" s="42"/>
      <c r="D715" s="21"/>
      <c r="E715" s="21"/>
    </row>
    <row r="716">
      <c r="A716" s="42"/>
      <c r="D716" s="21"/>
      <c r="E716" s="21"/>
    </row>
    <row r="717">
      <c r="A717" s="42"/>
      <c r="D717" s="21"/>
      <c r="E717" s="21"/>
    </row>
    <row r="718">
      <c r="A718" s="42"/>
      <c r="D718" s="21"/>
      <c r="E718" s="21"/>
    </row>
    <row r="719">
      <c r="A719" s="42"/>
      <c r="D719" s="21"/>
      <c r="E719" s="21"/>
    </row>
    <row r="720">
      <c r="A720" s="42"/>
      <c r="D720" s="21"/>
      <c r="E720" s="21"/>
    </row>
    <row r="721">
      <c r="A721" s="42"/>
      <c r="D721" s="21"/>
      <c r="E721" s="21"/>
    </row>
    <row r="722">
      <c r="A722" s="42"/>
      <c r="D722" s="21"/>
      <c r="E722" s="21"/>
    </row>
    <row r="723">
      <c r="A723" s="42"/>
      <c r="D723" s="21"/>
      <c r="E723" s="21"/>
    </row>
    <row r="724">
      <c r="A724" s="42"/>
      <c r="D724" s="21"/>
      <c r="E724" s="21"/>
    </row>
    <row r="725">
      <c r="A725" s="42"/>
      <c r="D725" s="21"/>
      <c r="E725" s="21"/>
    </row>
    <row r="726">
      <c r="A726" s="42"/>
      <c r="D726" s="21"/>
      <c r="E726" s="21"/>
    </row>
    <row r="727">
      <c r="A727" s="42"/>
      <c r="D727" s="21"/>
      <c r="E727" s="21"/>
    </row>
    <row r="728">
      <c r="A728" s="42"/>
      <c r="D728" s="21"/>
      <c r="E728" s="21"/>
    </row>
    <row r="729">
      <c r="A729" s="42"/>
      <c r="D729" s="21"/>
      <c r="E729" s="21"/>
    </row>
    <row r="730">
      <c r="A730" s="42"/>
      <c r="D730" s="21"/>
      <c r="E730" s="21"/>
    </row>
    <row r="731">
      <c r="A731" s="42"/>
      <c r="D731" s="21"/>
      <c r="E731" s="21"/>
    </row>
    <row r="732">
      <c r="A732" s="42"/>
      <c r="D732" s="21"/>
      <c r="E732" s="21"/>
    </row>
    <row r="733">
      <c r="A733" s="42"/>
      <c r="D733" s="21"/>
      <c r="E733" s="21"/>
    </row>
    <row r="734">
      <c r="A734" s="42"/>
      <c r="D734" s="21"/>
      <c r="E734" s="21"/>
    </row>
    <row r="735">
      <c r="A735" s="42"/>
      <c r="D735" s="21"/>
      <c r="E735" s="21"/>
    </row>
    <row r="736">
      <c r="A736" s="42"/>
      <c r="D736" s="21"/>
      <c r="E736" s="21"/>
    </row>
    <row r="737">
      <c r="A737" s="42"/>
      <c r="D737" s="21"/>
      <c r="E737" s="21"/>
    </row>
    <row r="738">
      <c r="A738" s="42"/>
      <c r="D738" s="21"/>
      <c r="E738" s="21"/>
    </row>
    <row r="739">
      <c r="A739" s="42"/>
      <c r="D739" s="21"/>
      <c r="E739" s="21"/>
    </row>
    <row r="740">
      <c r="A740" s="42"/>
      <c r="D740" s="21"/>
      <c r="E740" s="21"/>
    </row>
    <row r="741">
      <c r="A741" s="42"/>
      <c r="D741" s="21"/>
      <c r="E741" s="21"/>
    </row>
    <row r="742">
      <c r="A742" s="42"/>
      <c r="D742" s="21"/>
      <c r="E742" s="21"/>
    </row>
    <row r="743">
      <c r="A743" s="42"/>
      <c r="D743" s="21"/>
      <c r="E743" s="21"/>
    </row>
    <row r="744">
      <c r="A744" s="42"/>
      <c r="D744" s="21"/>
      <c r="E744" s="21"/>
    </row>
    <row r="745">
      <c r="A745" s="42"/>
      <c r="D745" s="21"/>
      <c r="E745" s="21"/>
    </row>
    <row r="746">
      <c r="A746" s="42"/>
      <c r="D746" s="21"/>
      <c r="E746" s="21"/>
    </row>
    <row r="747">
      <c r="A747" s="42"/>
      <c r="D747" s="21"/>
      <c r="E747" s="21"/>
    </row>
    <row r="748">
      <c r="A748" s="42"/>
      <c r="D748" s="21"/>
      <c r="E748" s="21"/>
    </row>
    <row r="749">
      <c r="A749" s="42"/>
      <c r="D749" s="21"/>
      <c r="E749" s="21"/>
    </row>
    <row r="750">
      <c r="A750" s="42"/>
      <c r="D750" s="21"/>
      <c r="E750" s="21"/>
    </row>
    <row r="751">
      <c r="A751" s="42"/>
      <c r="D751" s="21"/>
      <c r="E751" s="21"/>
    </row>
    <row r="752">
      <c r="A752" s="42"/>
      <c r="D752" s="21"/>
      <c r="E752" s="21"/>
    </row>
    <row r="753">
      <c r="A753" s="42"/>
      <c r="D753" s="21"/>
      <c r="E753" s="21"/>
    </row>
    <row r="754">
      <c r="A754" s="42"/>
      <c r="D754" s="21"/>
      <c r="E754" s="21"/>
    </row>
    <row r="755">
      <c r="A755" s="42"/>
      <c r="D755" s="21"/>
      <c r="E755" s="21"/>
    </row>
    <row r="756">
      <c r="A756" s="42"/>
      <c r="D756" s="21"/>
      <c r="E756" s="21"/>
    </row>
    <row r="757">
      <c r="A757" s="42"/>
      <c r="D757" s="21"/>
      <c r="E757" s="21"/>
    </row>
    <row r="758">
      <c r="A758" s="42"/>
      <c r="D758" s="21"/>
      <c r="E758" s="21"/>
    </row>
    <row r="759">
      <c r="A759" s="42"/>
      <c r="D759" s="21"/>
      <c r="E759" s="21"/>
    </row>
    <row r="760">
      <c r="A760" s="42"/>
      <c r="D760" s="21"/>
      <c r="E760" s="21"/>
    </row>
    <row r="761">
      <c r="A761" s="42"/>
      <c r="D761" s="21"/>
      <c r="E761" s="21"/>
    </row>
    <row r="762">
      <c r="A762" s="42"/>
      <c r="D762" s="21"/>
      <c r="E762" s="21"/>
    </row>
    <row r="763">
      <c r="A763" s="42"/>
      <c r="D763" s="21"/>
      <c r="E763" s="21"/>
    </row>
    <row r="764">
      <c r="A764" s="42"/>
      <c r="D764" s="21"/>
      <c r="E764" s="21"/>
    </row>
    <row r="765">
      <c r="A765" s="42"/>
      <c r="D765" s="21"/>
      <c r="E765" s="21"/>
    </row>
    <row r="766">
      <c r="A766" s="42"/>
      <c r="D766" s="21"/>
      <c r="E766" s="21"/>
    </row>
    <row r="767">
      <c r="A767" s="42"/>
      <c r="D767" s="21"/>
      <c r="E767" s="21"/>
    </row>
    <row r="768">
      <c r="A768" s="42"/>
      <c r="D768" s="21"/>
      <c r="E768" s="21"/>
    </row>
    <row r="769">
      <c r="A769" s="42"/>
      <c r="D769" s="21"/>
      <c r="E769" s="21"/>
    </row>
    <row r="770">
      <c r="A770" s="42"/>
      <c r="D770" s="21"/>
      <c r="E770" s="21"/>
    </row>
    <row r="771">
      <c r="A771" s="42"/>
      <c r="D771" s="21"/>
      <c r="E771" s="21"/>
    </row>
    <row r="772">
      <c r="A772" s="42"/>
      <c r="D772" s="21"/>
      <c r="E772" s="21"/>
    </row>
    <row r="773">
      <c r="A773" s="42"/>
      <c r="D773" s="21"/>
      <c r="E773" s="21"/>
    </row>
    <row r="774">
      <c r="A774" s="42"/>
      <c r="D774" s="21"/>
      <c r="E774" s="21"/>
    </row>
    <row r="775">
      <c r="A775" s="42"/>
      <c r="D775" s="21"/>
      <c r="E775" s="21"/>
    </row>
    <row r="776">
      <c r="A776" s="42"/>
      <c r="D776" s="21"/>
      <c r="E776" s="21"/>
    </row>
    <row r="777">
      <c r="A777" s="42"/>
      <c r="D777" s="21"/>
      <c r="E777" s="21"/>
    </row>
    <row r="778">
      <c r="A778" s="42"/>
      <c r="D778" s="21"/>
      <c r="E778" s="21"/>
    </row>
    <row r="779">
      <c r="A779" s="42"/>
      <c r="D779" s="21"/>
      <c r="E779" s="21"/>
    </row>
    <row r="780">
      <c r="A780" s="42"/>
      <c r="D780" s="21"/>
      <c r="E780" s="21"/>
    </row>
    <row r="781">
      <c r="A781" s="42"/>
      <c r="D781" s="21"/>
      <c r="E781" s="21"/>
    </row>
    <row r="782">
      <c r="A782" s="42"/>
      <c r="D782" s="21"/>
      <c r="E782" s="21"/>
    </row>
    <row r="783">
      <c r="A783" s="42"/>
      <c r="D783" s="21"/>
      <c r="E783" s="21"/>
    </row>
    <row r="784">
      <c r="A784" s="42"/>
      <c r="D784" s="21"/>
      <c r="E784" s="21"/>
    </row>
    <row r="785">
      <c r="A785" s="42"/>
      <c r="D785" s="21"/>
      <c r="E785" s="21"/>
    </row>
    <row r="786">
      <c r="A786" s="42"/>
      <c r="D786" s="21"/>
      <c r="E786" s="21"/>
    </row>
    <row r="787">
      <c r="A787" s="42"/>
      <c r="D787" s="21"/>
      <c r="E787" s="21"/>
    </row>
    <row r="788">
      <c r="A788" s="42"/>
      <c r="D788" s="21"/>
      <c r="E788" s="21"/>
    </row>
    <row r="789">
      <c r="A789" s="42"/>
      <c r="D789" s="21"/>
      <c r="E789" s="21"/>
    </row>
    <row r="790">
      <c r="A790" s="42"/>
      <c r="D790" s="21"/>
      <c r="E790" s="21"/>
    </row>
    <row r="791">
      <c r="A791" s="42"/>
      <c r="D791" s="21"/>
      <c r="E791" s="21"/>
    </row>
    <row r="792">
      <c r="A792" s="42"/>
      <c r="D792" s="21"/>
      <c r="E792" s="21"/>
    </row>
    <row r="793">
      <c r="A793" s="42"/>
      <c r="D793" s="21"/>
      <c r="E793" s="21"/>
    </row>
    <row r="794">
      <c r="A794" s="42"/>
      <c r="D794" s="21"/>
      <c r="E794" s="21"/>
    </row>
    <row r="795">
      <c r="A795" s="42"/>
      <c r="D795" s="21"/>
      <c r="E795" s="21"/>
    </row>
    <row r="796">
      <c r="A796" s="42"/>
      <c r="D796" s="21"/>
      <c r="E796" s="21"/>
    </row>
    <row r="797">
      <c r="A797" s="42"/>
      <c r="D797" s="21"/>
      <c r="E797" s="21"/>
    </row>
    <row r="798">
      <c r="A798" s="42"/>
      <c r="D798" s="21"/>
      <c r="E798" s="21"/>
    </row>
    <row r="799">
      <c r="A799" s="42"/>
      <c r="D799" s="21"/>
      <c r="E799" s="21"/>
    </row>
    <row r="800">
      <c r="A800" s="42"/>
      <c r="D800" s="21"/>
      <c r="E800" s="21"/>
    </row>
    <row r="801">
      <c r="A801" s="42"/>
      <c r="D801" s="21"/>
      <c r="E801" s="21"/>
    </row>
    <row r="802">
      <c r="A802" s="42"/>
      <c r="D802" s="21"/>
      <c r="E802" s="21"/>
    </row>
    <row r="803">
      <c r="A803" s="42"/>
      <c r="D803" s="21"/>
      <c r="E803" s="21"/>
    </row>
    <row r="804">
      <c r="A804" s="42"/>
      <c r="D804" s="21"/>
      <c r="E804" s="21"/>
    </row>
    <row r="805">
      <c r="A805" s="42"/>
      <c r="D805" s="21"/>
      <c r="E805" s="21"/>
    </row>
    <row r="806">
      <c r="A806" s="42"/>
      <c r="D806" s="21"/>
      <c r="E806" s="21"/>
    </row>
    <row r="807">
      <c r="A807" s="42"/>
      <c r="D807" s="21"/>
      <c r="E807" s="21"/>
    </row>
    <row r="808">
      <c r="A808" s="42"/>
      <c r="D808" s="21"/>
      <c r="E808" s="21"/>
    </row>
    <row r="809">
      <c r="A809" s="42"/>
      <c r="D809" s="21"/>
      <c r="E809" s="21"/>
    </row>
    <row r="810">
      <c r="A810" s="42"/>
      <c r="D810" s="21"/>
      <c r="E810" s="21"/>
    </row>
    <row r="811">
      <c r="A811" s="42"/>
      <c r="D811" s="21"/>
      <c r="E811" s="21"/>
    </row>
    <row r="812">
      <c r="A812" s="42"/>
      <c r="D812" s="21"/>
      <c r="E812" s="21"/>
    </row>
    <row r="813">
      <c r="A813" s="42"/>
      <c r="D813" s="21"/>
      <c r="E813" s="21"/>
    </row>
    <row r="814">
      <c r="A814" s="42"/>
      <c r="D814" s="21"/>
      <c r="E814" s="21"/>
    </row>
    <row r="815">
      <c r="A815" s="42"/>
      <c r="D815" s="21"/>
      <c r="E815" s="21"/>
    </row>
    <row r="816">
      <c r="A816" s="42"/>
      <c r="D816" s="21"/>
      <c r="E816" s="21"/>
    </row>
    <row r="817">
      <c r="A817" s="42"/>
      <c r="D817" s="21"/>
      <c r="E817" s="21"/>
    </row>
    <row r="818">
      <c r="A818" s="42"/>
      <c r="D818" s="21"/>
      <c r="E818" s="21"/>
    </row>
    <row r="819">
      <c r="A819" s="42"/>
      <c r="D819" s="21"/>
      <c r="E819" s="21"/>
    </row>
    <row r="820">
      <c r="A820" s="42"/>
      <c r="D820" s="21"/>
      <c r="E820" s="21"/>
    </row>
    <row r="821">
      <c r="A821" s="42"/>
      <c r="D821" s="21"/>
      <c r="E821" s="21"/>
    </row>
    <row r="822">
      <c r="A822" s="42"/>
      <c r="D822" s="21"/>
      <c r="E822" s="21"/>
    </row>
    <row r="823">
      <c r="A823" s="42"/>
      <c r="D823" s="21"/>
      <c r="E823" s="21"/>
    </row>
    <row r="824">
      <c r="A824" s="42"/>
      <c r="D824" s="21"/>
      <c r="E824" s="21"/>
    </row>
    <row r="825">
      <c r="A825" s="42"/>
      <c r="D825" s="21"/>
      <c r="E825" s="21"/>
    </row>
    <row r="826">
      <c r="A826" s="42"/>
      <c r="D826" s="21"/>
      <c r="E826" s="21"/>
    </row>
    <row r="827">
      <c r="A827" s="42"/>
      <c r="D827" s="21"/>
      <c r="E827" s="21"/>
    </row>
    <row r="828">
      <c r="A828" s="42"/>
      <c r="D828" s="21"/>
      <c r="E828" s="21"/>
    </row>
    <row r="829">
      <c r="A829" s="42"/>
      <c r="D829" s="21"/>
      <c r="E829" s="21"/>
    </row>
    <row r="830">
      <c r="A830" s="42"/>
      <c r="D830" s="21"/>
      <c r="E830" s="21"/>
    </row>
    <row r="831">
      <c r="A831" s="42"/>
      <c r="D831" s="21"/>
      <c r="E831" s="21"/>
    </row>
    <row r="832">
      <c r="A832" s="42"/>
      <c r="D832" s="21"/>
      <c r="E832" s="21"/>
    </row>
    <row r="833">
      <c r="A833" s="42"/>
      <c r="D833" s="21"/>
      <c r="E833" s="21"/>
    </row>
    <row r="834">
      <c r="A834" s="42"/>
      <c r="D834" s="21"/>
      <c r="E834" s="21"/>
    </row>
    <row r="835">
      <c r="A835" s="42"/>
      <c r="D835" s="21"/>
      <c r="E835" s="21"/>
    </row>
    <row r="836">
      <c r="A836" s="42"/>
      <c r="D836" s="21"/>
      <c r="E836" s="21"/>
    </row>
    <row r="837">
      <c r="A837" s="42"/>
      <c r="D837" s="21"/>
      <c r="E837" s="21"/>
    </row>
    <row r="838">
      <c r="A838" s="42"/>
      <c r="D838" s="21"/>
      <c r="E838" s="21"/>
    </row>
    <row r="839">
      <c r="A839" s="42"/>
      <c r="D839" s="21"/>
      <c r="E839" s="21"/>
    </row>
    <row r="840">
      <c r="A840" s="42"/>
      <c r="D840" s="21"/>
      <c r="E840" s="21"/>
    </row>
    <row r="841">
      <c r="A841" s="42"/>
      <c r="D841" s="21"/>
      <c r="E841" s="21"/>
    </row>
    <row r="842">
      <c r="A842" s="42"/>
      <c r="D842" s="21"/>
      <c r="E842" s="21"/>
    </row>
    <row r="843">
      <c r="A843" s="42"/>
      <c r="D843" s="21"/>
      <c r="E843" s="21"/>
    </row>
    <row r="844">
      <c r="A844" s="42"/>
      <c r="D844" s="21"/>
      <c r="E844" s="21"/>
    </row>
    <row r="845">
      <c r="A845" s="42"/>
      <c r="D845" s="21"/>
      <c r="E845" s="21"/>
    </row>
    <row r="846">
      <c r="A846" s="42"/>
      <c r="D846" s="21"/>
      <c r="E846" s="21"/>
    </row>
    <row r="847">
      <c r="A847" s="42"/>
      <c r="D847" s="21"/>
      <c r="E847" s="21"/>
    </row>
    <row r="848">
      <c r="A848" s="42"/>
      <c r="D848" s="21"/>
      <c r="E848" s="21"/>
    </row>
    <row r="849">
      <c r="A849" s="42"/>
      <c r="D849" s="21"/>
      <c r="E849" s="21"/>
    </row>
    <row r="850">
      <c r="A850" s="42"/>
      <c r="D850" s="21"/>
      <c r="E850" s="21"/>
    </row>
    <row r="851">
      <c r="A851" s="42"/>
      <c r="D851" s="21"/>
      <c r="E851" s="21"/>
    </row>
    <row r="852">
      <c r="A852" s="42"/>
      <c r="D852" s="21"/>
      <c r="E852" s="21"/>
    </row>
    <row r="853">
      <c r="A853" s="42"/>
      <c r="D853" s="21"/>
      <c r="E853" s="21"/>
    </row>
    <row r="854">
      <c r="A854" s="42"/>
      <c r="D854" s="21"/>
      <c r="E854" s="21"/>
    </row>
    <row r="855">
      <c r="A855" s="42"/>
      <c r="D855" s="21"/>
      <c r="E855" s="21"/>
    </row>
    <row r="856">
      <c r="A856" s="42"/>
      <c r="D856" s="21"/>
      <c r="E856" s="21"/>
    </row>
    <row r="857">
      <c r="A857" s="42"/>
      <c r="D857" s="21"/>
      <c r="E857" s="21"/>
    </row>
    <row r="858">
      <c r="A858" s="42"/>
      <c r="D858" s="21"/>
      <c r="E858" s="21"/>
    </row>
    <row r="859">
      <c r="A859" s="42"/>
      <c r="D859" s="21"/>
      <c r="E859" s="21"/>
    </row>
    <row r="860">
      <c r="A860" s="42"/>
      <c r="D860" s="21"/>
      <c r="E860" s="21"/>
    </row>
    <row r="861">
      <c r="A861" s="42"/>
      <c r="D861" s="21"/>
      <c r="E861" s="21"/>
    </row>
    <row r="862">
      <c r="A862" s="42"/>
      <c r="D862" s="21"/>
      <c r="E862" s="21"/>
    </row>
    <row r="863">
      <c r="A863" s="42"/>
      <c r="D863" s="21"/>
      <c r="E863" s="21"/>
    </row>
    <row r="864">
      <c r="A864" s="42"/>
      <c r="D864" s="21"/>
      <c r="E864" s="21"/>
    </row>
    <row r="865">
      <c r="A865" s="42"/>
      <c r="D865" s="21"/>
      <c r="E865" s="21"/>
    </row>
    <row r="866">
      <c r="A866" s="42"/>
      <c r="D866" s="21"/>
      <c r="E866" s="21"/>
    </row>
    <row r="867">
      <c r="A867" s="42"/>
      <c r="D867" s="21"/>
      <c r="E867" s="21"/>
    </row>
    <row r="868">
      <c r="A868" s="42"/>
      <c r="D868" s="21"/>
      <c r="E868" s="21"/>
    </row>
    <row r="869">
      <c r="A869" s="42"/>
      <c r="D869" s="21"/>
      <c r="E869" s="21"/>
    </row>
    <row r="870">
      <c r="A870" s="42"/>
      <c r="D870" s="21"/>
      <c r="E870" s="21"/>
    </row>
    <row r="871">
      <c r="A871" s="42"/>
      <c r="D871" s="21"/>
      <c r="E871" s="21"/>
    </row>
    <row r="872">
      <c r="A872" s="42"/>
      <c r="D872" s="21"/>
      <c r="E872" s="21"/>
    </row>
    <row r="873">
      <c r="A873" s="42"/>
      <c r="D873" s="21"/>
      <c r="E873" s="21"/>
    </row>
    <row r="874">
      <c r="A874" s="42"/>
      <c r="D874" s="21"/>
      <c r="E874" s="21"/>
    </row>
    <row r="875">
      <c r="A875" s="42"/>
      <c r="D875" s="21"/>
      <c r="E875" s="21"/>
    </row>
    <row r="876">
      <c r="A876" s="42"/>
      <c r="D876" s="21"/>
      <c r="E876" s="21"/>
    </row>
    <row r="877">
      <c r="A877" s="42"/>
      <c r="D877" s="21"/>
      <c r="E877" s="21"/>
    </row>
    <row r="878">
      <c r="A878" s="42"/>
      <c r="D878" s="21"/>
      <c r="E878" s="21"/>
    </row>
    <row r="879">
      <c r="A879" s="42"/>
      <c r="D879" s="21"/>
      <c r="E879" s="21"/>
    </row>
    <row r="880">
      <c r="A880" s="42"/>
      <c r="D880" s="21"/>
      <c r="E880" s="21"/>
    </row>
    <row r="881">
      <c r="A881" s="42"/>
      <c r="D881" s="21"/>
      <c r="E881" s="21"/>
    </row>
    <row r="882">
      <c r="A882" s="42"/>
      <c r="D882" s="21"/>
      <c r="E882" s="21"/>
    </row>
    <row r="883">
      <c r="A883" s="42"/>
      <c r="D883" s="21"/>
      <c r="E883" s="21"/>
    </row>
    <row r="884">
      <c r="A884" s="42"/>
      <c r="D884" s="21"/>
      <c r="E884" s="21"/>
    </row>
    <row r="885">
      <c r="A885" s="42"/>
      <c r="D885" s="21"/>
      <c r="E885" s="21"/>
    </row>
    <row r="886">
      <c r="A886" s="42"/>
      <c r="D886" s="21"/>
      <c r="E886" s="21"/>
    </row>
    <row r="887">
      <c r="A887" s="42"/>
      <c r="D887" s="21"/>
      <c r="E887" s="21"/>
    </row>
    <row r="888">
      <c r="A888" s="42"/>
      <c r="D888" s="21"/>
      <c r="E888" s="21"/>
    </row>
    <row r="889">
      <c r="A889" s="42"/>
      <c r="D889" s="21"/>
      <c r="E889" s="21"/>
    </row>
    <row r="890">
      <c r="A890" s="42"/>
      <c r="D890" s="21"/>
      <c r="E890" s="21"/>
    </row>
    <row r="891">
      <c r="A891" s="42"/>
      <c r="D891" s="21"/>
      <c r="E891" s="21"/>
    </row>
    <row r="892">
      <c r="A892" s="42"/>
      <c r="D892" s="21"/>
      <c r="E892" s="21"/>
    </row>
    <row r="893">
      <c r="A893" s="42"/>
      <c r="D893" s="21"/>
      <c r="E893" s="21"/>
    </row>
    <row r="894">
      <c r="A894" s="42"/>
      <c r="D894" s="21"/>
      <c r="E894" s="21"/>
    </row>
    <row r="895">
      <c r="A895" s="42"/>
      <c r="D895" s="21"/>
      <c r="E895" s="21"/>
    </row>
    <row r="896">
      <c r="A896" s="42"/>
      <c r="D896" s="21"/>
      <c r="E896" s="21"/>
    </row>
    <row r="897">
      <c r="A897" s="42"/>
      <c r="D897" s="21"/>
      <c r="E897" s="21"/>
    </row>
    <row r="898">
      <c r="A898" s="42"/>
      <c r="D898" s="21"/>
      <c r="E898" s="21"/>
    </row>
    <row r="899">
      <c r="A899" s="42"/>
      <c r="D899" s="21"/>
      <c r="E899" s="21"/>
    </row>
    <row r="900">
      <c r="A900" s="42"/>
      <c r="D900" s="21"/>
      <c r="E900" s="21"/>
    </row>
    <row r="901">
      <c r="A901" s="42"/>
      <c r="D901" s="21"/>
      <c r="E901" s="21"/>
    </row>
    <row r="902">
      <c r="A902" s="42"/>
      <c r="D902" s="21"/>
      <c r="E902" s="21"/>
    </row>
    <row r="903">
      <c r="A903" s="42"/>
      <c r="D903" s="21"/>
      <c r="E903" s="21"/>
    </row>
    <row r="904">
      <c r="A904" s="42"/>
      <c r="D904" s="21"/>
      <c r="E904" s="21"/>
    </row>
    <row r="905">
      <c r="A905" s="42"/>
      <c r="D905" s="21"/>
      <c r="E905" s="21"/>
    </row>
    <row r="906">
      <c r="A906" s="42"/>
      <c r="D906" s="21"/>
      <c r="E906" s="21"/>
    </row>
    <row r="907">
      <c r="A907" s="42"/>
      <c r="D907" s="21"/>
      <c r="E907" s="21"/>
    </row>
    <row r="908">
      <c r="A908" s="42"/>
      <c r="D908" s="21"/>
      <c r="E908" s="21"/>
    </row>
    <row r="909">
      <c r="A909" s="42"/>
      <c r="D909" s="21"/>
      <c r="E909" s="21"/>
    </row>
    <row r="910">
      <c r="A910" s="42"/>
      <c r="D910" s="21"/>
      <c r="E910" s="21"/>
    </row>
    <row r="911">
      <c r="A911" s="42"/>
      <c r="D911" s="21"/>
      <c r="E911" s="21"/>
    </row>
    <row r="912">
      <c r="A912" s="42"/>
      <c r="D912" s="21"/>
      <c r="E912" s="21"/>
    </row>
    <row r="913">
      <c r="A913" s="42"/>
      <c r="D913" s="21"/>
      <c r="E913" s="21"/>
    </row>
    <row r="914">
      <c r="A914" s="42"/>
      <c r="D914" s="21"/>
      <c r="E914" s="21"/>
    </row>
    <row r="915">
      <c r="A915" s="42"/>
      <c r="D915" s="21"/>
      <c r="E915" s="21"/>
    </row>
    <row r="916">
      <c r="A916" s="42"/>
      <c r="D916" s="21"/>
      <c r="E916" s="21"/>
    </row>
    <row r="917">
      <c r="A917" s="42"/>
      <c r="D917" s="21"/>
      <c r="E917" s="21"/>
    </row>
    <row r="918">
      <c r="A918" s="42"/>
      <c r="D918" s="21"/>
      <c r="E918" s="21"/>
    </row>
    <row r="919">
      <c r="A919" s="42"/>
      <c r="D919" s="21"/>
      <c r="E919" s="21"/>
    </row>
    <row r="920">
      <c r="A920" s="42"/>
      <c r="D920" s="21"/>
      <c r="E920" s="21"/>
    </row>
    <row r="921">
      <c r="A921" s="42"/>
      <c r="D921" s="21"/>
      <c r="E921" s="21"/>
    </row>
    <row r="922">
      <c r="A922" s="42"/>
      <c r="D922" s="21"/>
      <c r="E922" s="21"/>
    </row>
    <row r="923">
      <c r="A923" s="42"/>
      <c r="D923" s="21"/>
      <c r="E923" s="21"/>
    </row>
    <row r="924">
      <c r="A924" s="42"/>
      <c r="D924" s="21"/>
      <c r="E924" s="21"/>
    </row>
    <row r="925">
      <c r="A925" s="42"/>
      <c r="D925" s="21"/>
      <c r="E925" s="21"/>
    </row>
    <row r="926">
      <c r="A926" s="42"/>
      <c r="D926" s="21"/>
      <c r="E926" s="21"/>
    </row>
    <row r="927">
      <c r="A927" s="42"/>
      <c r="D927" s="21"/>
      <c r="E927" s="21"/>
    </row>
    <row r="928">
      <c r="A928" s="42"/>
      <c r="D928" s="21"/>
      <c r="E928" s="21"/>
    </row>
    <row r="929">
      <c r="A929" s="42"/>
      <c r="D929" s="21"/>
      <c r="E929" s="21"/>
    </row>
    <row r="930">
      <c r="A930" s="42"/>
      <c r="D930" s="21"/>
      <c r="E930" s="21"/>
    </row>
    <row r="931">
      <c r="A931" s="42"/>
      <c r="D931" s="21"/>
      <c r="E931" s="21"/>
    </row>
    <row r="932">
      <c r="A932" s="42"/>
      <c r="D932" s="21"/>
      <c r="E932" s="21"/>
    </row>
    <row r="933">
      <c r="A933" s="42"/>
      <c r="D933" s="21"/>
      <c r="E933" s="21"/>
    </row>
    <row r="934">
      <c r="A934" s="42"/>
      <c r="D934" s="21"/>
      <c r="E934" s="21"/>
    </row>
    <row r="935">
      <c r="A935" s="42"/>
      <c r="D935" s="21"/>
      <c r="E935" s="21"/>
    </row>
    <row r="936">
      <c r="A936" s="42"/>
      <c r="D936" s="21"/>
      <c r="E936" s="21"/>
    </row>
    <row r="937">
      <c r="A937" s="42"/>
      <c r="D937" s="21"/>
      <c r="E937" s="21"/>
    </row>
    <row r="938">
      <c r="A938" s="42"/>
      <c r="D938" s="21"/>
      <c r="E938" s="21"/>
    </row>
    <row r="939">
      <c r="A939" s="42"/>
      <c r="D939" s="21"/>
      <c r="E939" s="21"/>
    </row>
    <row r="940">
      <c r="A940" s="42"/>
      <c r="D940" s="21"/>
      <c r="E940" s="21"/>
    </row>
    <row r="941">
      <c r="A941" s="42"/>
      <c r="D941" s="21"/>
      <c r="E941" s="21"/>
    </row>
    <row r="942">
      <c r="A942" s="42"/>
      <c r="D942" s="21"/>
      <c r="E942" s="21"/>
    </row>
    <row r="943">
      <c r="A943" s="42"/>
      <c r="D943" s="21"/>
      <c r="E943" s="21"/>
    </row>
    <row r="944">
      <c r="A944" s="42"/>
      <c r="D944" s="21"/>
      <c r="E944" s="21"/>
    </row>
    <row r="945">
      <c r="A945" s="42"/>
      <c r="D945" s="21"/>
      <c r="E945" s="21"/>
    </row>
    <row r="946">
      <c r="A946" s="42"/>
      <c r="D946" s="21"/>
      <c r="E946" s="21"/>
    </row>
    <row r="947">
      <c r="A947" s="42"/>
      <c r="D947" s="21"/>
      <c r="E947" s="21"/>
    </row>
    <row r="948">
      <c r="A948" s="42"/>
      <c r="D948" s="21"/>
      <c r="E948" s="21"/>
    </row>
    <row r="949">
      <c r="A949" s="42"/>
      <c r="D949" s="21"/>
      <c r="E949" s="21"/>
    </row>
    <row r="950">
      <c r="A950" s="42"/>
      <c r="D950" s="21"/>
      <c r="E950" s="21"/>
    </row>
    <row r="951">
      <c r="A951" s="42"/>
      <c r="D951" s="21"/>
      <c r="E951" s="21"/>
    </row>
    <row r="952">
      <c r="A952" s="42"/>
      <c r="D952" s="21"/>
      <c r="E952" s="21"/>
    </row>
    <row r="953">
      <c r="A953" s="42"/>
      <c r="D953" s="21"/>
      <c r="E953" s="21"/>
    </row>
    <row r="954">
      <c r="A954" s="42"/>
      <c r="D954" s="21"/>
      <c r="E954" s="21"/>
    </row>
    <row r="955">
      <c r="A955" s="42"/>
      <c r="D955" s="21"/>
      <c r="E955" s="21"/>
    </row>
    <row r="956">
      <c r="A956" s="42"/>
      <c r="D956" s="21"/>
      <c r="E956" s="21"/>
    </row>
    <row r="957">
      <c r="A957" s="42"/>
      <c r="D957" s="21"/>
      <c r="E957" s="21"/>
    </row>
    <row r="958">
      <c r="A958" s="42"/>
      <c r="D958" s="21"/>
      <c r="E958" s="21"/>
    </row>
    <row r="959">
      <c r="A959" s="42"/>
      <c r="D959" s="21"/>
      <c r="E959" s="21"/>
    </row>
    <row r="960">
      <c r="A960" s="42"/>
      <c r="D960" s="21"/>
      <c r="E960" s="21"/>
    </row>
    <row r="961">
      <c r="A961" s="42"/>
      <c r="D961" s="21"/>
      <c r="E961" s="21"/>
    </row>
    <row r="962">
      <c r="A962" s="42"/>
      <c r="D962" s="21"/>
      <c r="E962" s="21"/>
    </row>
    <row r="963">
      <c r="A963" s="42"/>
      <c r="D963" s="21"/>
      <c r="E963" s="21"/>
    </row>
    <row r="964">
      <c r="A964" s="42"/>
      <c r="D964" s="21"/>
      <c r="E964" s="21"/>
    </row>
    <row r="965">
      <c r="A965" s="42"/>
      <c r="D965" s="21"/>
      <c r="E965" s="21"/>
    </row>
    <row r="966">
      <c r="A966" s="42"/>
      <c r="D966" s="21"/>
      <c r="E966" s="21"/>
    </row>
    <row r="967">
      <c r="A967" s="42"/>
      <c r="D967" s="21"/>
      <c r="E967" s="21"/>
    </row>
    <row r="968">
      <c r="A968" s="42"/>
      <c r="D968" s="21"/>
      <c r="E968" s="21"/>
    </row>
    <row r="969">
      <c r="A969" s="42"/>
      <c r="D969" s="21"/>
      <c r="E969" s="21"/>
    </row>
    <row r="970">
      <c r="A970" s="42"/>
      <c r="D970" s="21"/>
      <c r="E970" s="21"/>
    </row>
    <row r="971">
      <c r="A971" s="42"/>
      <c r="D971" s="21"/>
      <c r="E971" s="21"/>
    </row>
    <row r="972">
      <c r="A972" s="42"/>
      <c r="D972" s="21"/>
      <c r="E972" s="21"/>
    </row>
    <row r="973">
      <c r="A973" s="42"/>
      <c r="D973" s="21"/>
      <c r="E973" s="21"/>
    </row>
    <row r="974">
      <c r="A974" s="42"/>
      <c r="D974" s="21"/>
      <c r="E974" s="21"/>
    </row>
    <row r="975">
      <c r="A975" s="42"/>
      <c r="D975" s="21"/>
      <c r="E975" s="21"/>
    </row>
    <row r="976">
      <c r="A976" s="42"/>
      <c r="D976" s="21"/>
      <c r="E976" s="21"/>
    </row>
    <row r="977">
      <c r="A977" s="42"/>
      <c r="D977" s="21"/>
      <c r="E977" s="21"/>
    </row>
    <row r="978">
      <c r="A978" s="42"/>
      <c r="D978" s="21"/>
      <c r="E978" s="21"/>
    </row>
    <row r="979">
      <c r="A979" s="42"/>
      <c r="D979" s="21"/>
      <c r="E979" s="21"/>
    </row>
    <row r="980">
      <c r="A980" s="42"/>
      <c r="D980" s="21"/>
      <c r="E980" s="21"/>
    </row>
    <row r="981">
      <c r="A981" s="42"/>
      <c r="D981" s="21"/>
      <c r="E981" s="21"/>
    </row>
    <row r="982">
      <c r="A982" s="42"/>
      <c r="D982" s="21"/>
      <c r="E982" s="21"/>
    </row>
    <row r="983">
      <c r="A983" s="42"/>
      <c r="D983" s="21"/>
      <c r="E983" s="21"/>
    </row>
    <row r="984">
      <c r="A984" s="42"/>
      <c r="D984" s="21"/>
      <c r="E984" s="21"/>
    </row>
    <row r="985">
      <c r="A985" s="42"/>
      <c r="D985" s="21"/>
      <c r="E985" s="21"/>
    </row>
    <row r="986">
      <c r="A986" s="42"/>
      <c r="D986" s="21"/>
      <c r="E986" s="21"/>
    </row>
    <row r="987">
      <c r="A987" s="42"/>
      <c r="D987" s="21"/>
      <c r="E987" s="21"/>
    </row>
    <row r="988">
      <c r="A988" s="42"/>
      <c r="D988" s="21"/>
      <c r="E988" s="21"/>
    </row>
    <row r="989">
      <c r="A989" s="42"/>
      <c r="D989" s="21"/>
      <c r="E989" s="21"/>
    </row>
    <row r="990">
      <c r="A990" s="42"/>
      <c r="D990" s="21"/>
      <c r="E990" s="21"/>
    </row>
    <row r="991">
      <c r="A991" s="42"/>
      <c r="D991" s="21"/>
      <c r="E991" s="21"/>
    </row>
    <row r="992">
      <c r="A992" s="42"/>
      <c r="D992" s="21"/>
      <c r="E992" s="21"/>
    </row>
    <row r="993">
      <c r="A993" s="42"/>
      <c r="D993" s="21"/>
      <c r="E993" s="21"/>
    </row>
    <row r="994">
      <c r="A994" s="42"/>
      <c r="D994" s="21"/>
      <c r="E994" s="2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0"/>
    <col customWidth="1" min="9" max="9" width="18.88"/>
    <col customWidth="1" min="10" max="10" width="32.63"/>
  </cols>
  <sheetData>
    <row r="1">
      <c r="A1" s="4" t="s">
        <v>5291</v>
      </c>
      <c r="B1" s="4" t="s">
        <v>2092</v>
      </c>
      <c r="C1" s="4" t="s">
        <v>5292</v>
      </c>
      <c r="D1" s="4" t="s">
        <v>2095</v>
      </c>
      <c r="E1" s="4" t="s">
        <v>5293</v>
      </c>
      <c r="F1" s="4" t="s">
        <v>5294</v>
      </c>
      <c r="G1" s="4" t="s">
        <v>5295</v>
      </c>
      <c r="H1" s="4" t="s">
        <v>5296</v>
      </c>
      <c r="I1" s="4" t="s">
        <v>5297</v>
      </c>
      <c r="J1" s="4" t="s">
        <v>5298</v>
      </c>
      <c r="K1" s="4" t="s">
        <v>13</v>
      </c>
    </row>
    <row r="2">
      <c r="A2" s="4" t="s">
        <v>5299</v>
      </c>
      <c r="B2" s="4">
        <v>1.0</v>
      </c>
      <c r="C2" s="4" t="s">
        <v>2105</v>
      </c>
      <c r="D2" s="6">
        <v>45450.0</v>
      </c>
      <c r="E2" s="6">
        <v>45572.0</v>
      </c>
      <c r="F2" s="4">
        <v>1.25</v>
      </c>
      <c r="G2" s="4" t="s">
        <v>5300</v>
      </c>
      <c r="H2" s="4">
        <v>475000.0</v>
      </c>
      <c r="I2" s="4" t="s">
        <v>5301</v>
      </c>
    </row>
    <row r="3">
      <c r="A3" s="4">
        <v>2.0</v>
      </c>
      <c r="B3" s="4">
        <v>2.0</v>
      </c>
      <c r="C3" s="4" t="s">
        <v>2105</v>
      </c>
      <c r="D3" s="6">
        <v>45505.0</v>
      </c>
      <c r="E3" s="6">
        <v>45626.0</v>
      </c>
      <c r="F3" s="4">
        <v>1.25</v>
      </c>
      <c r="G3" s="4" t="s">
        <v>5300</v>
      </c>
      <c r="H3" s="4">
        <v>360000.0</v>
      </c>
      <c r="I3" s="4"/>
      <c r="J3" s="4"/>
      <c r="K3" s="4"/>
    </row>
    <row r="4">
      <c r="A4" s="4" t="s">
        <v>5302</v>
      </c>
      <c r="B4" s="4">
        <v>3.0</v>
      </c>
      <c r="C4" s="4" t="s">
        <v>5303</v>
      </c>
      <c r="D4" s="6">
        <v>45428.0</v>
      </c>
      <c r="E4" s="17">
        <v>45642.0</v>
      </c>
      <c r="G4" s="4" t="s">
        <v>5300</v>
      </c>
      <c r="H4" s="4">
        <v>250000.0</v>
      </c>
      <c r="K4" s="4" t="s">
        <v>26</v>
      </c>
    </row>
    <row r="5">
      <c r="A5" s="4" t="s">
        <v>5304</v>
      </c>
      <c r="B5" s="7" t="s">
        <v>2148</v>
      </c>
      <c r="C5" s="4" t="s">
        <v>5303</v>
      </c>
      <c r="D5" s="6">
        <v>44871.0</v>
      </c>
      <c r="E5" s="17">
        <v>47848.0</v>
      </c>
      <c r="F5" s="4">
        <v>1.25</v>
      </c>
      <c r="G5" s="4" t="s">
        <v>5300</v>
      </c>
      <c r="K5" s="4" t="s">
        <v>26</v>
      </c>
    </row>
    <row r="6">
      <c r="A6" s="13"/>
      <c r="B6" s="13"/>
      <c r="C6" s="13"/>
      <c r="D6" s="43"/>
      <c r="E6" s="43"/>
      <c r="F6" s="4"/>
      <c r="G6" s="4"/>
      <c r="K6" s="4"/>
    </row>
    <row r="7">
      <c r="A7" s="4" t="s">
        <v>5305</v>
      </c>
      <c r="B7" s="7" t="s">
        <v>2147</v>
      </c>
      <c r="D7" s="6">
        <v>45572.0</v>
      </c>
      <c r="E7" s="6">
        <v>45695.0</v>
      </c>
      <c r="F7" s="4">
        <v>1.25</v>
      </c>
      <c r="G7" s="4" t="s">
        <v>5300</v>
      </c>
      <c r="H7" s="4">
        <v>565000.0</v>
      </c>
      <c r="I7" s="4" t="s">
        <v>5306</v>
      </c>
      <c r="J7" s="4" t="s">
        <v>5307</v>
      </c>
      <c r="K7" s="4" t="s">
        <v>26</v>
      </c>
    </row>
    <row r="8">
      <c r="A8" s="4" t="s">
        <v>5308</v>
      </c>
      <c r="B8" s="7" t="s">
        <v>2154</v>
      </c>
      <c r="C8" s="4" t="s">
        <v>2105</v>
      </c>
      <c r="D8" s="6">
        <v>45627.0</v>
      </c>
      <c r="E8" s="6">
        <v>45748.0</v>
      </c>
      <c r="F8" s="4">
        <v>1.25</v>
      </c>
      <c r="G8" s="4" t="s">
        <v>5300</v>
      </c>
      <c r="H8" s="4">
        <v>660000.0</v>
      </c>
      <c r="I8" s="4" t="s">
        <v>5309</v>
      </c>
      <c r="J8" s="4" t="s">
        <v>5310</v>
      </c>
      <c r="K8" s="4" t="s">
        <v>26</v>
      </c>
    </row>
    <row r="9">
      <c r="A9" s="4" t="s">
        <v>5311</v>
      </c>
      <c r="B9" s="4" t="s">
        <v>5186</v>
      </c>
      <c r="C9" s="4" t="s">
        <v>2105</v>
      </c>
      <c r="D9" s="6">
        <v>44409.0</v>
      </c>
      <c r="E9" s="17">
        <v>47407.0</v>
      </c>
      <c r="F9" s="4">
        <v>1.25</v>
      </c>
      <c r="G9" s="4" t="s">
        <v>5300</v>
      </c>
      <c r="H9" s="4">
        <v>1.0</v>
      </c>
    </row>
    <row r="10">
      <c r="A10" s="4" t="s">
        <v>5312</v>
      </c>
      <c r="B10" s="7" t="s">
        <v>2147</v>
      </c>
      <c r="C10" s="4" t="s">
        <v>2105</v>
      </c>
      <c r="D10" s="6">
        <v>45695.0</v>
      </c>
      <c r="E10" s="6">
        <v>45815.0</v>
      </c>
      <c r="F10" s="4">
        <v>1.25</v>
      </c>
      <c r="G10" s="4" t="s">
        <v>5300</v>
      </c>
      <c r="H10" s="4">
        <v>630000.0</v>
      </c>
      <c r="I10" s="4" t="s">
        <v>5313</v>
      </c>
      <c r="J10" s="4" t="s">
        <v>5314</v>
      </c>
      <c r="K10" s="4" t="s">
        <v>26</v>
      </c>
    </row>
    <row r="11">
      <c r="A11" s="4" t="s">
        <v>5315</v>
      </c>
      <c r="B11" s="7" t="s">
        <v>2154</v>
      </c>
      <c r="C11" s="4" t="s">
        <v>2105</v>
      </c>
      <c r="D11" s="6">
        <v>45748.0</v>
      </c>
      <c r="E11" s="6">
        <v>45870.0</v>
      </c>
      <c r="F11" s="4">
        <v>1.25</v>
      </c>
      <c r="G11" s="4" t="s">
        <v>5300</v>
      </c>
      <c r="H11" s="4">
        <v>710000.0</v>
      </c>
      <c r="I11" s="4" t="s">
        <v>5316</v>
      </c>
      <c r="J11" s="4" t="s">
        <v>5317</v>
      </c>
      <c r="K11" s="4" t="s">
        <v>26</v>
      </c>
    </row>
    <row r="12">
      <c r="A12" s="4" t="s">
        <v>5318</v>
      </c>
      <c r="B12" s="7" t="s">
        <v>2147</v>
      </c>
      <c r="C12" s="4" t="s">
        <v>2105</v>
      </c>
      <c r="D12" s="6">
        <v>45784.0</v>
      </c>
      <c r="E12" s="6">
        <v>45907.0</v>
      </c>
      <c r="F12" s="4">
        <v>1.25</v>
      </c>
      <c r="G12" s="4" t="s">
        <v>5300</v>
      </c>
      <c r="H12" s="4">
        <v>820000.0</v>
      </c>
      <c r="I12" s="4" t="s">
        <v>5319</v>
      </c>
      <c r="K12" s="4" t="s">
        <v>26</v>
      </c>
    </row>
    <row r="13">
      <c r="A13" s="4" t="s">
        <v>5320</v>
      </c>
      <c r="B13" s="4" t="s">
        <v>5217</v>
      </c>
      <c r="C13" s="4" t="s">
        <v>2105</v>
      </c>
      <c r="D13" s="6">
        <v>45809.0</v>
      </c>
      <c r="E13" s="6">
        <v>45931.0</v>
      </c>
      <c r="F13" s="4">
        <v>1.25</v>
      </c>
      <c r="G13" s="4" t="s">
        <v>5300</v>
      </c>
      <c r="H13" s="4">
        <v>530000.0</v>
      </c>
      <c r="I13" s="4" t="s">
        <v>5321</v>
      </c>
      <c r="J13" s="4" t="s">
        <v>5322</v>
      </c>
      <c r="K13" s="4" t="s">
        <v>26</v>
      </c>
    </row>
    <row r="14">
      <c r="A14" s="4" t="s">
        <v>5323</v>
      </c>
      <c r="B14" s="7" t="s">
        <v>2154</v>
      </c>
      <c r="C14" s="4" t="s">
        <v>2105</v>
      </c>
      <c r="D14" s="6">
        <v>45870.0</v>
      </c>
      <c r="E14" s="6">
        <v>46023.0</v>
      </c>
      <c r="F14" s="4">
        <v>1.25</v>
      </c>
      <c r="G14" s="4" t="s">
        <v>5300</v>
      </c>
      <c r="H14" s="4">
        <v>800000.0</v>
      </c>
      <c r="I14" s="4" t="s">
        <v>5324</v>
      </c>
      <c r="J14" s="4" t="s">
        <v>5325</v>
      </c>
      <c r="K14" s="4" t="s">
        <v>26</v>
      </c>
    </row>
    <row r="15">
      <c r="A15" s="4" t="s">
        <v>5326</v>
      </c>
      <c r="B15" s="7" t="s">
        <v>2147</v>
      </c>
      <c r="C15" s="4" t="s">
        <v>2105</v>
      </c>
      <c r="D15" s="6">
        <v>45907.0</v>
      </c>
      <c r="E15" s="6">
        <v>46029.0</v>
      </c>
      <c r="F15" s="4">
        <v>1.25</v>
      </c>
      <c r="G15" s="4" t="s">
        <v>5300</v>
      </c>
      <c r="H15" s="4">
        <v>820000.0</v>
      </c>
      <c r="I15" s="4" t="s">
        <v>5327</v>
      </c>
      <c r="J15" s="4" t="s">
        <v>5328</v>
      </c>
      <c r="K15" s="4" t="s">
        <v>26</v>
      </c>
    </row>
    <row r="16">
      <c r="A16" s="4" t="s">
        <v>5329</v>
      </c>
      <c r="B16" s="4" t="s">
        <v>5217</v>
      </c>
      <c r="C16" s="4" t="s">
        <v>2105</v>
      </c>
      <c r="D16" s="6">
        <v>45931.0</v>
      </c>
      <c r="E16" s="6">
        <v>46054.0</v>
      </c>
      <c r="F16" s="4">
        <v>1.25</v>
      </c>
      <c r="G16" s="4" t="s">
        <v>5300</v>
      </c>
      <c r="H16" s="4">
        <v>570000.0</v>
      </c>
      <c r="I16" s="4" t="s">
        <v>5330</v>
      </c>
      <c r="J16" s="4" t="s">
        <v>5331</v>
      </c>
      <c r="K16" s="4" t="s">
        <v>26</v>
      </c>
    </row>
    <row r="17">
      <c r="A17" s="4" t="s">
        <v>5332</v>
      </c>
      <c r="B17" s="4" t="s">
        <v>2117</v>
      </c>
      <c r="D17" s="6">
        <v>46054.0</v>
      </c>
      <c r="E17" s="6">
        <v>46174.0</v>
      </c>
      <c r="F17" s="4">
        <v>1.25</v>
      </c>
      <c r="G17" s="4" t="s">
        <v>5300</v>
      </c>
      <c r="H17" s="4">
        <v>700000.0</v>
      </c>
      <c r="I17" s="4" t="s">
        <v>5333</v>
      </c>
      <c r="J17" s="4" t="s">
        <v>5334</v>
      </c>
      <c r="K17" s="4" t="s">
        <v>26</v>
      </c>
    </row>
    <row r="18">
      <c r="A18" s="4" t="s">
        <v>5335</v>
      </c>
      <c r="B18" s="7" t="s">
        <v>2147</v>
      </c>
      <c r="C18" s="4" t="s">
        <v>2105</v>
      </c>
      <c r="D18" s="6">
        <v>46029.0</v>
      </c>
      <c r="E18" s="6">
        <v>46119.0</v>
      </c>
      <c r="F18" s="4">
        <v>1.25</v>
      </c>
      <c r="G18" s="4" t="s">
        <v>5300</v>
      </c>
      <c r="H18" s="4">
        <v>820000.0</v>
      </c>
      <c r="I18" s="4" t="s">
        <v>5336</v>
      </c>
      <c r="J18" s="4" t="s">
        <v>5337</v>
      </c>
      <c r="K18" s="4" t="s">
        <v>26</v>
      </c>
    </row>
    <row r="19">
      <c r="A19" s="4" t="s">
        <v>5338</v>
      </c>
      <c r="B19" s="7" t="s">
        <v>2154</v>
      </c>
      <c r="C19" s="4" t="s">
        <v>2105</v>
      </c>
      <c r="D19" s="6">
        <v>46023.0</v>
      </c>
      <c r="E19" s="6">
        <v>46204.0</v>
      </c>
      <c r="F19" s="4">
        <v>1.25</v>
      </c>
      <c r="G19" s="4" t="s">
        <v>5300</v>
      </c>
      <c r="H19" s="4">
        <v>890000.0</v>
      </c>
      <c r="I19" s="4" t="s">
        <v>5339</v>
      </c>
      <c r="J19" s="4" t="s">
        <v>5340</v>
      </c>
      <c r="K19" s="4" t="s">
        <v>26</v>
      </c>
    </row>
    <row r="20">
      <c r="A20" s="4" t="s">
        <v>5341</v>
      </c>
      <c r="B20" s="4" t="s">
        <v>2121</v>
      </c>
      <c r="C20" s="4" t="s">
        <v>2105</v>
      </c>
      <c r="D20" s="6">
        <v>46113.0</v>
      </c>
      <c r="E20" s="6">
        <v>46235.0</v>
      </c>
      <c r="F20" s="4">
        <v>1.25</v>
      </c>
      <c r="G20" s="4" t="s">
        <v>5300</v>
      </c>
      <c r="H20" s="4">
        <v>560000.0</v>
      </c>
      <c r="I20" s="4" t="s">
        <v>5342</v>
      </c>
      <c r="J20" s="4" t="s">
        <v>5343</v>
      </c>
      <c r="K20" s="4" t="s">
        <v>26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6.75"/>
    <col customWidth="1" min="7" max="7" width="16.25"/>
    <col customWidth="1" min="8" max="8" width="14.38"/>
    <col customWidth="1" min="9" max="9" width="40.38"/>
    <col customWidth="1" min="11" max="11" width="10.38"/>
    <col customWidth="1" min="13" max="13" width="16.5"/>
    <col customWidth="1" min="14" max="14" width="24.13"/>
    <col customWidth="1" min="16" max="17" width="15.88"/>
    <col customWidth="1" min="18" max="18" width="15.0"/>
    <col customWidth="1" min="19" max="19" width="21.38"/>
    <col customWidth="1" min="20" max="20" width="16.25"/>
    <col customWidth="1" min="21" max="21" width="14.5"/>
    <col customWidth="1" min="23" max="24" width="14.38"/>
    <col customWidth="1" min="26" max="26" width="15.38"/>
    <col customWidth="1" min="27" max="27" width="25.13"/>
    <col customWidth="1" min="28" max="28" width="21.38"/>
    <col customWidth="1" min="29" max="29" width="19.75"/>
  </cols>
  <sheetData>
    <row r="1">
      <c r="A1" s="4" t="s">
        <v>5344</v>
      </c>
      <c r="B1" s="44" t="s">
        <v>5345</v>
      </c>
      <c r="C1" s="4" t="s">
        <v>13</v>
      </c>
      <c r="D1" s="4" t="s">
        <v>1407</v>
      </c>
      <c r="E1" s="4" t="s">
        <v>5346</v>
      </c>
      <c r="F1" s="4" t="s">
        <v>1692</v>
      </c>
      <c r="G1" s="4" t="s">
        <v>5347</v>
      </c>
      <c r="H1" s="4" t="s">
        <v>5348</v>
      </c>
      <c r="I1" s="4" t="s">
        <v>5349</v>
      </c>
      <c r="J1" s="4" t="s">
        <v>2243</v>
      </c>
      <c r="K1" s="4" t="s">
        <v>5350</v>
      </c>
      <c r="L1" s="4" t="s">
        <v>5351</v>
      </c>
      <c r="M1" s="4" t="s">
        <v>5352</v>
      </c>
      <c r="N1" s="4" t="s">
        <v>5353</v>
      </c>
      <c r="O1" s="4" t="s">
        <v>5354</v>
      </c>
      <c r="P1" s="4" t="s">
        <v>5355</v>
      </c>
      <c r="Q1" s="45" t="s">
        <v>5356</v>
      </c>
      <c r="R1" s="4" t="s">
        <v>5357</v>
      </c>
      <c r="S1" s="4" t="s">
        <v>5358</v>
      </c>
      <c r="T1" s="4" t="s">
        <v>5359</v>
      </c>
      <c r="U1" s="4" t="s">
        <v>5360</v>
      </c>
      <c r="V1" s="4" t="s">
        <v>5361</v>
      </c>
      <c r="W1" s="4" t="s">
        <v>5362</v>
      </c>
      <c r="X1" s="4" t="s">
        <v>5363</v>
      </c>
      <c r="Y1" s="4" t="s">
        <v>5364</v>
      </c>
      <c r="Z1" s="8" t="s">
        <v>5365</v>
      </c>
      <c r="AA1" s="4" t="s">
        <v>5366</v>
      </c>
      <c r="AB1" s="4" t="s">
        <v>5367</v>
      </c>
      <c r="AC1" s="1" t="s">
        <v>5368</v>
      </c>
      <c r="AD1" s="4"/>
      <c r="AE1" s="4"/>
      <c r="AF1" s="4"/>
    </row>
    <row r="2" hidden="1">
      <c r="A2" s="4" t="s">
        <v>2161</v>
      </c>
      <c r="B2" s="4" t="s">
        <v>1427</v>
      </c>
      <c r="C2" s="4">
        <v>9.0</v>
      </c>
      <c r="D2" s="4" t="s">
        <v>1426</v>
      </c>
      <c r="E2" s="4" t="s">
        <v>2265</v>
      </c>
      <c r="F2" s="6">
        <v>44840.0</v>
      </c>
      <c r="H2" s="4" t="s">
        <v>5369</v>
      </c>
      <c r="I2" s="4" t="s">
        <v>5370</v>
      </c>
      <c r="K2" s="4" t="s">
        <v>5371</v>
      </c>
      <c r="L2" s="4" t="s">
        <v>5372</v>
      </c>
      <c r="N2" s="7" t="s">
        <v>5373</v>
      </c>
      <c r="O2" s="7" t="s">
        <v>2345</v>
      </c>
      <c r="P2" s="6">
        <v>45236.0</v>
      </c>
      <c r="Q2" s="6">
        <v>45814.0</v>
      </c>
      <c r="R2" s="4" t="s">
        <v>5374</v>
      </c>
      <c r="V2" s="4">
        <v>60.0</v>
      </c>
      <c r="W2" s="7" t="s">
        <v>5375</v>
      </c>
      <c r="X2" s="4" t="s">
        <v>5376</v>
      </c>
      <c r="Z2" s="21"/>
      <c r="AA2" s="6">
        <v>45541.0</v>
      </c>
      <c r="AB2" s="4">
        <v>1.0</v>
      </c>
      <c r="AC2" s="7" t="s">
        <v>2366</v>
      </c>
    </row>
    <row r="3" hidden="1">
      <c r="A3" s="4" t="s">
        <v>2145</v>
      </c>
      <c r="B3" s="4" t="s">
        <v>5377</v>
      </c>
      <c r="C3" s="4">
        <v>9.0</v>
      </c>
      <c r="D3" s="4" t="s">
        <v>1433</v>
      </c>
      <c r="E3" s="4" t="s">
        <v>2410</v>
      </c>
      <c r="F3" s="6">
        <v>44845.0</v>
      </c>
      <c r="H3" s="4" t="s">
        <v>5369</v>
      </c>
      <c r="I3" s="4" t="s">
        <v>5378</v>
      </c>
      <c r="K3" s="4" t="s">
        <v>5372</v>
      </c>
      <c r="L3" s="4" t="s">
        <v>5371</v>
      </c>
      <c r="N3" s="7" t="s">
        <v>5379</v>
      </c>
      <c r="O3" s="7" t="s">
        <v>2345</v>
      </c>
      <c r="P3" s="6">
        <v>44899.0</v>
      </c>
      <c r="Q3" s="6">
        <v>45720.0</v>
      </c>
      <c r="R3" s="4" t="s">
        <v>5374</v>
      </c>
      <c r="V3" s="4">
        <v>24.0</v>
      </c>
      <c r="W3" s="7" t="s">
        <v>5380</v>
      </c>
      <c r="X3" s="4" t="s">
        <v>5376</v>
      </c>
      <c r="Y3" s="4" t="s">
        <v>5381</v>
      </c>
      <c r="Z3" s="8">
        <v>537.0</v>
      </c>
      <c r="AA3" s="6">
        <v>45630.0</v>
      </c>
      <c r="AB3" s="4">
        <v>2.0</v>
      </c>
      <c r="AC3" s="7" t="s">
        <v>2106</v>
      </c>
    </row>
    <row r="4" hidden="1">
      <c r="A4" s="4" t="s">
        <v>5382</v>
      </c>
      <c r="B4" s="4" t="s">
        <v>5383</v>
      </c>
      <c r="C4" s="4">
        <v>7.0</v>
      </c>
      <c r="D4" s="4" t="s">
        <v>1419</v>
      </c>
      <c r="E4" s="4" t="s">
        <v>3998</v>
      </c>
      <c r="F4" s="6">
        <v>45119.0</v>
      </c>
      <c r="H4" s="4" t="s">
        <v>5369</v>
      </c>
      <c r="I4" s="4" t="s">
        <v>5370</v>
      </c>
      <c r="P4" s="6"/>
      <c r="Q4" s="6"/>
      <c r="R4" s="4" t="s">
        <v>5374</v>
      </c>
      <c r="Z4" s="21"/>
      <c r="AC4" s="7" t="s">
        <v>2377</v>
      </c>
    </row>
    <row r="5" hidden="1">
      <c r="A5" s="4" t="s">
        <v>2174</v>
      </c>
      <c r="B5" s="4" t="s">
        <v>5384</v>
      </c>
      <c r="C5" s="4">
        <v>9.0</v>
      </c>
      <c r="D5" s="4" t="s">
        <v>1419</v>
      </c>
      <c r="E5" s="4" t="s">
        <v>2495</v>
      </c>
      <c r="F5" s="6">
        <v>45119.0</v>
      </c>
      <c r="G5" s="6"/>
      <c r="H5" s="4" t="s">
        <v>5369</v>
      </c>
      <c r="I5" s="4" t="s">
        <v>5385</v>
      </c>
      <c r="K5" s="4" t="s">
        <v>5371</v>
      </c>
      <c r="L5" s="4" t="s">
        <v>5371</v>
      </c>
      <c r="M5" s="4"/>
      <c r="N5" s="7" t="s">
        <v>5386</v>
      </c>
      <c r="O5" s="7" t="s">
        <v>2345</v>
      </c>
      <c r="P5" s="6">
        <v>45180.0</v>
      </c>
      <c r="Q5" s="6">
        <v>45941.0</v>
      </c>
      <c r="R5" s="4" t="s">
        <v>5374</v>
      </c>
      <c r="V5" s="4">
        <v>24.0</v>
      </c>
      <c r="W5" s="7" t="s">
        <v>5387</v>
      </c>
      <c r="X5" s="4" t="s">
        <v>5376</v>
      </c>
      <c r="Y5" s="4" t="s">
        <v>5381</v>
      </c>
      <c r="Z5" s="8">
        <v>567.0</v>
      </c>
      <c r="AA5" s="6">
        <v>45911.0</v>
      </c>
      <c r="AB5" s="4">
        <v>1.0</v>
      </c>
    </row>
    <row r="6" hidden="1">
      <c r="A6" s="4" t="s">
        <v>2150</v>
      </c>
      <c r="B6" s="4" t="s">
        <v>1438</v>
      </c>
      <c r="C6" s="4">
        <v>9.0</v>
      </c>
      <c r="D6" s="4" t="s">
        <v>1437</v>
      </c>
      <c r="E6" s="4" t="s">
        <v>2589</v>
      </c>
      <c r="F6" s="6">
        <v>45153.0</v>
      </c>
      <c r="G6" s="6"/>
      <c r="H6" s="4" t="s">
        <v>5369</v>
      </c>
      <c r="I6" s="4" t="s">
        <v>5370</v>
      </c>
      <c r="K6" s="4" t="s">
        <v>5371</v>
      </c>
      <c r="L6" s="4" t="s">
        <v>5371</v>
      </c>
      <c r="N6" s="7" t="s">
        <v>5388</v>
      </c>
      <c r="O6" s="7" t="s">
        <v>2345</v>
      </c>
      <c r="P6" s="6">
        <v>45161.0</v>
      </c>
      <c r="Q6" s="6">
        <v>45861.0</v>
      </c>
      <c r="R6" s="4" t="s">
        <v>5374</v>
      </c>
      <c r="V6" s="4">
        <v>40.0</v>
      </c>
      <c r="W6" s="7" t="s">
        <v>5389</v>
      </c>
      <c r="X6" s="4" t="s">
        <v>5376</v>
      </c>
      <c r="Y6" s="4" t="s">
        <v>5381</v>
      </c>
      <c r="Z6" s="8">
        <v>769.0</v>
      </c>
      <c r="AA6" s="6">
        <v>45922.0</v>
      </c>
      <c r="AB6" s="4">
        <v>2.0</v>
      </c>
    </row>
    <row r="7" hidden="1">
      <c r="A7" s="4" t="s">
        <v>4035</v>
      </c>
      <c r="B7" s="4" t="s">
        <v>1472</v>
      </c>
      <c r="C7" s="4">
        <v>9.0</v>
      </c>
      <c r="D7" s="4" t="s">
        <v>1471</v>
      </c>
      <c r="E7" s="4" t="s">
        <v>2528</v>
      </c>
      <c r="F7" s="6">
        <v>45160.0</v>
      </c>
      <c r="G7" s="6"/>
      <c r="H7" s="4" t="s">
        <v>5369</v>
      </c>
      <c r="I7" s="4" t="s">
        <v>5370</v>
      </c>
      <c r="J7" s="4" t="s">
        <v>5390</v>
      </c>
      <c r="K7" s="4" t="s">
        <v>5371</v>
      </c>
      <c r="L7" s="4" t="s">
        <v>5371</v>
      </c>
      <c r="M7" s="4"/>
      <c r="N7" s="7" t="s">
        <v>5391</v>
      </c>
      <c r="O7" s="7" t="s">
        <v>2345</v>
      </c>
      <c r="P7" s="6">
        <v>45275.0</v>
      </c>
      <c r="Q7" s="6">
        <v>45762.0</v>
      </c>
      <c r="R7" s="4" t="s">
        <v>5374</v>
      </c>
      <c r="V7" s="4">
        <v>24.0</v>
      </c>
      <c r="W7" s="7" t="s">
        <v>5392</v>
      </c>
      <c r="X7" s="4" t="s">
        <v>5376</v>
      </c>
      <c r="Y7" s="4" t="s">
        <v>5381</v>
      </c>
      <c r="Z7" s="8">
        <v>522.0</v>
      </c>
      <c r="AA7" s="6">
        <v>45731.0</v>
      </c>
      <c r="AB7" s="4">
        <v>1.0</v>
      </c>
    </row>
    <row r="8" hidden="1">
      <c r="A8" s="4" t="s">
        <v>5393</v>
      </c>
      <c r="B8" s="4" t="s">
        <v>5394</v>
      </c>
      <c r="C8" s="4">
        <v>9.0</v>
      </c>
      <c r="D8" s="7" t="s">
        <v>1443</v>
      </c>
      <c r="E8" s="4" t="s">
        <v>5395</v>
      </c>
      <c r="F8" s="6">
        <v>45164.0</v>
      </c>
      <c r="H8" s="4" t="s">
        <v>5396</v>
      </c>
      <c r="I8" s="4" t="s">
        <v>5397</v>
      </c>
      <c r="N8" s="7" t="s">
        <v>5398</v>
      </c>
      <c r="O8" s="7" t="s">
        <v>2345</v>
      </c>
      <c r="P8" s="6"/>
      <c r="Q8" s="6"/>
      <c r="R8" s="4" t="s">
        <v>26</v>
      </c>
      <c r="S8" s="6">
        <v>45330.0</v>
      </c>
      <c r="T8" s="4">
        <v>9.0</v>
      </c>
      <c r="U8" s="4" t="s">
        <v>5399</v>
      </c>
      <c r="Z8" s="21"/>
    </row>
    <row r="9" hidden="1">
      <c r="A9" s="7" t="s">
        <v>5400</v>
      </c>
      <c r="B9" s="4" t="s">
        <v>5401</v>
      </c>
      <c r="C9" s="4">
        <v>9.0</v>
      </c>
      <c r="D9" s="4" t="s">
        <v>1426</v>
      </c>
      <c r="E9" s="4" t="s">
        <v>2265</v>
      </c>
      <c r="F9" s="6">
        <v>45164.0</v>
      </c>
      <c r="H9" s="4" t="s">
        <v>5369</v>
      </c>
      <c r="I9" s="4" t="s">
        <v>5402</v>
      </c>
      <c r="P9" s="6"/>
      <c r="Q9" s="6"/>
      <c r="R9" s="4" t="s">
        <v>5374</v>
      </c>
      <c r="Z9" s="21"/>
    </row>
    <row r="10" hidden="1">
      <c r="A10" s="4" t="s">
        <v>5403</v>
      </c>
      <c r="B10" s="4" t="s">
        <v>5404</v>
      </c>
      <c r="C10" s="4">
        <v>9.0</v>
      </c>
      <c r="D10" s="4" t="s">
        <v>1419</v>
      </c>
      <c r="E10" s="4" t="s">
        <v>3998</v>
      </c>
      <c r="F10" s="6">
        <v>45164.0</v>
      </c>
      <c r="H10" s="4" t="s">
        <v>5369</v>
      </c>
      <c r="I10" s="4" t="s">
        <v>5402</v>
      </c>
      <c r="P10" s="6"/>
      <c r="Q10" s="6"/>
      <c r="R10" s="4" t="s">
        <v>5374</v>
      </c>
      <c r="Z10" s="21"/>
    </row>
    <row r="11" hidden="1">
      <c r="A11" s="4" t="s">
        <v>5405</v>
      </c>
      <c r="B11" s="4" t="s">
        <v>5406</v>
      </c>
      <c r="C11" s="4">
        <v>9.0</v>
      </c>
      <c r="D11" s="4" t="s">
        <v>1419</v>
      </c>
      <c r="E11" s="4" t="s">
        <v>3998</v>
      </c>
      <c r="F11" s="6">
        <v>45164.0</v>
      </c>
      <c r="H11" s="4" t="s">
        <v>5369</v>
      </c>
      <c r="I11" s="4" t="s">
        <v>5407</v>
      </c>
      <c r="P11" s="6"/>
      <c r="Q11" s="6"/>
      <c r="R11" s="4" t="s">
        <v>5374</v>
      </c>
      <c r="Z11" s="21"/>
    </row>
    <row r="12" hidden="1">
      <c r="A12" s="4" t="s">
        <v>5408</v>
      </c>
      <c r="B12" s="4" t="s">
        <v>5409</v>
      </c>
      <c r="C12" s="4">
        <v>7.0</v>
      </c>
      <c r="D12" s="4" t="s">
        <v>1419</v>
      </c>
      <c r="E12" s="4" t="s">
        <v>3998</v>
      </c>
      <c r="F12" s="6">
        <v>45164.0</v>
      </c>
      <c r="H12" s="4" t="s">
        <v>5369</v>
      </c>
      <c r="I12" s="4" t="s">
        <v>5385</v>
      </c>
      <c r="J12" s="4"/>
      <c r="P12" s="6"/>
      <c r="Q12" s="6"/>
      <c r="R12" s="4" t="s">
        <v>5374</v>
      </c>
      <c r="Z12" s="21"/>
    </row>
    <row r="13" hidden="1">
      <c r="A13" s="4" t="s">
        <v>5410</v>
      </c>
      <c r="B13" s="4" t="s">
        <v>5411</v>
      </c>
      <c r="C13" s="4">
        <v>7.0</v>
      </c>
      <c r="D13" s="4" t="s">
        <v>1453</v>
      </c>
      <c r="E13" s="4" t="s">
        <v>5412</v>
      </c>
      <c r="F13" s="6">
        <v>45164.0</v>
      </c>
      <c r="H13" s="4" t="s">
        <v>5396</v>
      </c>
      <c r="I13" s="4" t="s">
        <v>5370</v>
      </c>
      <c r="N13" s="7" t="s">
        <v>5413</v>
      </c>
      <c r="O13" s="7" t="s">
        <v>2335</v>
      </c>
      <c r="P13" s="6"/>
      <c r="Q13" s="6"/>
      <c r="R13" s="4" t="s">
        <v>26</v>
      </c>
      <c r="S13" s="6">
        <v>45330.0</v>
      </c>
      <c r="T13" s="4">
        <v>9.0</v>
      </c>
      <c r="U13" s="4" t="s">
        <v>5399</v>
      </c>
      <c r="Z13" s="21"/>
    </row>
    <row r="14" hidden="1">
      <c r="A14" s="4" t="s">
        <v>5414</v>
      </c>
      <c r="B14" s="4" t="s">
        <v>1458</v>
      </c>
      <c r="C14" s="4">
        <v>7.0</v>
      </c>
      <c r="D14" s="4" t="s">
        <v>1457</v>
      </c>
      <c r="E14" s="4" t="s">
        <v>5415</v>
      </c>
      <c r="F14" s="6">
        <v>45164.0</v>
      </c>
      <c r="H14" s="4" t="s">
        <v>5369</v>
      </c>
      <c r="I14" s="4" t="s">
        <v>5370</v>
      </c>
      <c r="P14" s="6"/>
      <c r="Q14" s="6"/>
      <c r="R14" s="4" t="s">
        <v>5374</v>
      </c>
      <c r="Z14" s="21"/>
    </row>
    <row r="15" hidden="1">
      <c r="A15" s="4" t="s">
        <v>5416</v>
      </c>
      <c r="B15" s="4" t="s">
        <v>5417</v>
      </c>
      <c r="C15" s="4">
        <v>6.0</v>
      </c>
      <c r="D15" s="4" t="s">
        <v>1460</v>
      </c>
      <c r="E15" s="4" t="s">
        <v>5418</v>
      </c>
      <c r="F15" s="6">
        <v>45164.0</v>
      </c>
      <c r="H15" s="4" t="s">
        <v>5419</v>
      </c>
      <c r="I15" s="4" t="s">
        <v>5385</v>
      </c>
      <c r="N15" s="7" t="s">
        <v>5420</v>
      </c>
      <c r="O15" s="7" t="s">
        <v>2804</v>
      </c>
      <c r="P15" s="6"/>
      <c r="Q15" s="6"/>
      <c r="R15" s="4" t="s">
        <v>26</v>
      </c>
      <c r="S15" s="6">
        <v>45330.0</v>
      </c>
      <c r="T15" s="4">
        <v>9.0</v>
      </c>
      <c r="U15" s="4" t="s">
        <v>5399</v>
      </c>
      <c r="Z15" s="21"/>
    </row>
    <row r="16" hidden="1">
      <c r="A16" s="4" t="s">
        <v>5421</v>
      </c>
      <c r="B16" s="4" t="s">
        <v>5422</v>
      </c>
      <c r="C16" s="4">
        <v>6.0</v>
      </c>
      <c r="D16" s="4" t="s">
        <v>1464</v>
      </c>
      <c r="E16" s="4" t="s">
        <v>5423</v>
      </c>
      <c r="F16" s="6">
        <v>45164.0</v>
      </c>
      <c r="H16" s="4" t="s">
        <v>5369</v>
      </c>
      <c r="I16" s="4" t="s">
        <v>5370</v>
      </c>
      <c r="P16" s="6"/>
      <c r="Q16" s="6"/>
      <c r="R16" s="4" t="s">
        <v>5374</v>
      </c>
      <c r="Z16" s="21"/>
    </row>
    <row r="17" hidden="1">
      <c r="A17" s="4" t="s">
        <v>5424</v>
      </c>
      <c r="B17" s="4" t="s">
        <v>5425</v>
      </c>
      <c r="C17" s="4">
        <v>7.0</v>
      </c>
      <c r="D17" s="4" t="s">
        <v>1468</v>
      </c>
      <c r="E17" s="7" t="s">
        <v>5426</v>
      </c>
      <c r="F17" s="6">
        <v>45164.0</v>
      </c>
      <c r="G17" s="6"/>
      <c r="H17" s="4" t="s">
        <v>5419</v>
      </c>
      <c r="I17" s="4" t="s">
        <v>5427</v>
      </c>
      <c r="K17" s="4" t="s">
        <v>5372</v>
      </c>
      <c r="L17" s="4" t="s">
        <v>5372</v>
      </c>
      <c r="M17" s="4"/>
      <c r="N17" s="7" t="s">
        <v>5428</v>
      </c>
      <c r="O17" s="7" t="s">
        <v>2335</v>
      </c>
      <c r="P17" s="6"/>
      <c r="Q17" s="6"/>
      <c r="R17" s="4" t="s">
        <v>26</v>
      </c>
      <c r="S17" s="6">
        <v>45330.0</v>
      </c>
      <c r="T17" s="4">
        <v>9.0</v>
      </c>
      <c r="U17" s="4" t="s">
        <v>5429</v>
      </c>
      <c r="Z17" s="21"/>
    </row>
    <row r="18" hidden="1">
      <c r="A18" s="4" t="s">
        <v>5430</v>
      </c>
      <c r="B18" s="4" t="s">
        <v>5431</v>
      </c>
      <c r="C18" s="4">
        <v>9.0</v>
      </c>
      <c r="D18" s="4" t="s">
        <v>1450</v>
      </c>
      <c r="E18" s="4" t="s">
        <v>5432</v>
      </c>
      <c r="F18" s="6">
        <v>45168.0</v>
      </c>
      <c r="H18" s="4" t="s">
        <v>5419</v>
      </c>
      <c r="I18" s="4" t="s">
        <v>5385</v>
      </c>
      <c r="K18" s="4" t="s">
        <v>5433</v>
      </c>
      <c r="L18" s="4" t="s">
        <v>5372</v>
      </c>
      <c r="N18" s="7" t="s">
        <v>5434</v>
      </c>
      <c r="O18" s="7" t="s">
        <v>2345</v>
      </c>
      <c r="P18" s="6"/>
      <c r="Q18" s="6"/>
      <c r="R18" s="4" t="s">
        <v>5374</v>
      </c>
      <c r="Z18" s="21"/>
      <c r="AC18" s="7" t="s">
        <v>2366</v>
      </c>
    </row>
    <row r="19" hidden="1">
      <c r="A19" s="4" t="s">
        <v>5435</v>
      </c>
      <c r="B19" s="4" t="s">
        <v>5436</v>
      </c>
      <c r="C19" s="4">
        <v>6.0</v>
      </c>
      <c r="D19" s="4" t="s">
        <v>1474</v>
      </c>
      <c r="E19" s="4" t="s">
        <v>5437</v>
      </c>
      <c r="F19" s="6">
        <v>45182.0</v>
      </c>
      <c r="G19" s="6"/>
      <c r="H19" s="4" t="s">
        <v>5369</v>
      </c>
      <c r="I19" s="4" t="s">
        <v>5438</v>
      </c>
      <c r="J19" s="4" t="s">
        <v>5439</v>
      </c>
      <c r="K19" s="4" t="s">
        <v>5371</v>
      </c>
      <c r="L19" s="4" t="s">
        <v>5372</v>
      </c>
      <c r="M19" s="4"/>
      <c r="N19" s="7" t="s">
        <v>5440</v>
      </c>
      <c r="O19" s="7" t="s">
        <v>2804</v>
      </c>
      <c r="P19" s="6"/>
      <c r="Q19" s="6"/>
      <c r="R19" s="4" t="s">
        <v>5374</v>
      </c>
      <c r="Z19" s="21"/>
      <c r="AC19" s="7" t="s">
        <v>2366</v>
      </c>
    </row>
    <row r="20" hidden="1">
      <c r="A20" s="4" t="s">
        <v>5441</v>
      </c>
      <c r="B20" s="4" t="s">
        <v>5442</v>
      </c>
      <c r="C20" s="4">
        <v>7.0</v>
      </c>
      <c r="D20" s="4" t="s">
        <v>1450</v>
      </c>
      <c r="E20" s="4" t="s">
        <v>5432</v>
      </c>
      <c r="F20" s="17">
        <v>45196.0</v>
      </c>
      <c r="G20" s="17"/>
      <c r="H20" s="4" t="s">
        <v>5369</v>
      </c>
      <c r="I20" s="4" t="s">
        <v>5443</v>
      </c>
      <c r="J20" s="4" t="s">
        <v>5444</v>
      </c>
      <c r="K20" s="4" t="s">
        <v>5371</v>
      </c>
      <c r="L20" s="4" t="s">
        <v>5372</v>
      </c>
      <c r="M20" s="4"/>
      <c r="N20" s="7" t="s">
        <v>5445</v>
      </c>
      <c r="O20" s="7" t="s">
        <v>2335</v>
      </c>
      <c r="P20" s="6"/>
      <c r="Q20" s="6"/>
      <c r="R20" s="4" t="s">
        <v>5374</v>
      </c>
      <c r="Z20" s="21"/>
    </row>
    <row r="21" hidden="1">
      <c r="A21" s="4" t="s">
        <v>5446</v>
      </c>
      <c r="B21" s="4" t="s">
        <v>5447</v>
      </c>
      <c r="C21" s="4">
        <v>7.0</v>
      </c>
      <c r="D21" s="4" t="s">
        <v>1476</v>
      </c>
      <c r="E21" s="4" t="s">
        <v>5448</v>
      </c>
      <c r="F21" s="17">
        <v>45202.0</v>
      </c>
      <c r="G21" s="17"/>
      <c r="H21" s="4" t="s">
        <v>5449</v>
      </c>
      <c r="I21" s="4" t="s">
        <v>5450</v>
      </c>
      <c r="J21" s="4" t="s">
        <v>5451</v>
      </c>
      <c r="K21" s="4" t="s">
        <v>5372</v>
      </c>
      <c r="L21" s="4" t="s">
        <v>5372</v>
      </c>
      <c r="M21" s="4"/>
      <c r="N21" s="7" t="s">
        <v>5452</v>
      </c>
      <c r="O21" s="7" t="s">
        <v>2335</v>
      </c>
      <c r="P21" s="6"/>
      <c r="Q21" s="6"/>
      <c r="R21" s="4" t="s">
        <v>26</v>
      </c>
      <c r="S21" s="6">
        <v>45330.0</v>
      </c>
      <c r="T21" s="4">
        <v>9.0</v>
      </c>
      <c r="U21" s="4" t="s">
        <v>5399</v>
      </c>
      <c r="Z21" s="21"/>
    </row>
    <row r="22" hidden="1">
      <c r="A22" s="4" t="s">
        <v>5453</v>
      </c>
      <c r="B22" s="4" t="s">
        <v>1483</v>
      </c>
      <c r="C22" s="4">
        <v>7.0</v>
      </c>
      <c r="D22" s="4" t="s">
        <v>1482</v>
      </c>
      <c r="E22" s="4" t="s">
        <v>5454</v>
      </c>
      <c r="F22" s="17">
        <v>45240.0</v>
      </c>
      <c r="G22" s="6"/>
      <c r="H22" s="4" t="s">
        <v>5369</v>
      </c>
      <c r="I22" s="4" t="s">
        <v>5427</v>
      </c>
      <c r="J22" s="4" t="s">
        <v>5455</v>
      </c>
      <c r="K22" s="4" t="s">
        <v>5433</v>
      </c>
      <c r="L22" s="4" t="s">
        <v>5372</v>
      </c>
      <c r="M22" s="4"/>
      <c r="N22" s="7" t="s">
        <v>5456</v>
      </c>
      <c r="O22" s="7" t="s">
        <v>2335</v>
      </c>
      <c r="P22" s="6"/>
      <c r="Q22" s="6"/>
      <c r="R22" s="4" t="s">
        <v>26</v>
      </c>
      <c r="S22" s="6">
        <v>45330.0</v>
      </c>
      <c r="T22" s="4">
        <v>9.0</v>
      </c>
      <c r="U22" s="4" t="s">
        <v>5429</v>
      </c>
      <c r="Z22" s="21"/>
    </row>
    <row r="23" hidden="1">
      <c r="A23" s="4" t="s">
        <v>4009</v>
      </c>
      <c r="B23" s="4" t="s">
        <v>5457</v>
      </c>
      <c r="C23" s="4">
        <v>9.0</v>
      </c>
      <c r="D23" s="4" t="s">
        <v>1437</v>
      </c>
      <c r="E23" s="4" t="s">
        <v>2517</v>
      </c>
      <c r="F23" s="6">
        <v>45243.0</v>
      </c>
      <c r="G23" s="6"/>
      <c r="H23" s="4" t="s">
        <v>5419</v>
      </c>
      <c r="I23" s="4" t="s">
        <v>5397</v>
      </c>
      <c r="J23" s="4" t="s">
        <v>5458</v>
      </c>
      <c r="K23" s="4" t="s">
        <v>5371</v>
      </c>
      <c r="L23" s="4" t="s">
        <v>5372</v>
      </c>
      <c r="M23" s="4"/>
      <c r="N23" s="7" t="s">
        <v>5459</v>
      </c>
      <c r="O23" s="7" t="s">
        <v>2345</v>
      </c>
      <c r="P23" s="6">
        <v>45244.0</v>
      </c>
      <c r="Q23" s="6">
        <v>45640.0</v>
      </c>
      <c r="R23" s="4" t="s">
        <v>5374</v>
      </c>
      <c r="V23" s="4">
        <v>16.0</v>
      </c>
      <c r="W23" s="7" t="s">
        <v>5460</v>
      </c>
      <c r="X23" s="4" t="s">
        <v>5376</v>
      </c>
      <c r="Y23" s="4" t="s">
        <v>5381</v>
      </c>
      <c r="Z23" s="8">
        <v>317.0</v>
      </c>
      <c r="AA23" s="6">
        <v>45549.0</v>
      </c>
      <c r="AB23" s="4">
        <v>1.0</v>
      </c>
    </row>
    <row r="24" hidden="1">
      <c r="A24" s="4" t="s">
        <v>5461</v>
      </c>
      <c r="B24" s="4" t="s">
        <v>5462</v>
      </c>
      <c r="C24" s="4">
        <v>7.0</v>
      </c>
      <c r="D24" s="4" t="s">
        <v>1479</v>
      </c>
      <c r="E24" s="4" t="s">
        <v>5463</v>
      </c>
      <c r="F24" s="17">
        <v>45245.0</v>
      </c>
      <c r="G24" s="17"/>
      <c r="H24" s="4" t="s">
        <v>5464</v>
      </c>
      <c r="I24" s="4" t="s">
        <v>5402</v>
      </c>
      <c r="J24" s="4" t="s">
        <v>5465</v>
      </c>
      <c r="K24" s="4" t="s">
        <v>5372</v>
      </c>
      <c r="L24" s="4" t="s">
        <v>5372</v>
      </c>
      <c r="M24" s="4"/>
      <c r="N24" s="7" t="s">
        <v>5466</v>
      </c>
      <c r="O24" s="7" t="s">
        <v>2335</v>
      </c>
      <c r="P24" s="6"/>
      <c r="Q24" s="6"/>
      <c r="R24" s="4" t="s">
        <v>26</v>
      </c>
      <c r="S24" s="6">
        <v>45330.0</v>
      </c>
      <c r="T24" s="4">
        <v>9.0</v>
      </c>
      <c r="U24" s="4" t="s">
        <v>5399</v>
      </c>
      <c r="Z24" s="21"/>
    </row>
    <row r="25" hidden="1">
      <c r="A25" s="4" t="s">
        <v>5467</v>
      </c>
      <c r="B25" s="4" t="s">
        <v>5468</v>
      </c>
      <c r="C25" s="4">
        <v>7.0</v>
      </c>
      <c r="D25" s="4" t="s">
        <v>1447</v>
      </c>
      <c r="E25" s="4" t="s">
        <v>5469</v>
      </c>
      <c r="F25" s="6">
        <v>45251.0</v>
      </c>
      <c r="G25" s="6">
        <v>45327.0</v>
      </c>
      <c r="H25" s="4" t="s">
        <v>5369</v>
      </c>
      <c r="I25" s="4" t="s">
        <v>5438</v>
      </c>
      <c r="K25" s="4" t="s">
        <v>5372</v>
      </c>
      <c r="L25" s="4" t="s">
        <v>5371</v>
      </c>
      <c r="M25" s="4"/>
      <c r="N25" s="7" t="s">
        <v>5470</v>
      </c>
      <c r="O25" s="7" t="s">
        <v>2335</v>
      </c>
      <c r="P25" s="6"/>
      <c r="Q25" s="6"/>
      <c r="R25" s="4" t="s">
        <v>26</v>
      </c>
      <c r="S25" s="6">
        <v>45330.0</v>
      </c>
      <c r="T25" s="4">
        <v>9.0</v>
      </c>
      <c r="U25" s="4" t="s">
        <v>5399</v>
      </c>
      <c r="Z25" s="21"/>
      <c r="AC25" s="7" t="s">
        <v>2377</v>
      </c>
    </row>
    <row r="26" hidden="1">
      <c r="A26" s="4" t="s">
        <v>5471</v>
      </c>
      <c r="B26" s="4" t="s">
        <v>5472</v>
      </c>
      <c r="C26" s="4">
        <v>7.0</v>
      </c>
      <c r="D26" s="4" t="s">
        <v>1489</v>
      </c>
      <c r="E26" s="4" t="s">
        <v>5473</v>
      </c>
      <c r="F26" s="6">
        <v>45314.0</v>
      </c>
      <c r="G26" s="6">
        <v>45328.0</v>
      </c>
      <c r="H26" s="4" t="s">
        <v>5474</v>
      </c>
      <c r="I26" s="4" t="s">
        <v>5475</v>
      </c>
      <c r="J26" s="4" t="s">
        <v>5476</v>
      </c>
      <c r="K26" s="4" t="s">
        <v>5371</v>
      </c>
      <c r="L26" s="4" t="s">
        <v>5372</v>
      </c>
      <c r="M26" s="4" t="s">
        <v>5477</v>
      </c>
      <c r="N26" s="7" t="s">
        <v>5478</v>
      </c>
      <c r="O26" s="7" t="s">
        <v>2335</v>
      </c>
      <c r="R26" s="4" t="s">
        <v>26</v>
      </c>
      <c r="S26" s="6">
        <v>45330.0</v>
      </c>
      <c r="T26" s="4">
        <v>9.0</v>
      </c>
      <c r="U26" s="4" t="s">
        <v>5399</v>
      </c>
      <c r="Z26" s="21"/>
    </row>
    <row r="27" hidden="1">
      <c r="A27" s="4" t="s">
        <v>4078</v>
      </c>
      <c r="B27" s="4" t="s">
        <v>1492</v>
      </c>
      <c r="C27" s="4">
        <v>9.0</v>
      </c>
      <c r="D27" s="4" t="s">
        <v>1491</v>
      </c>
      <c r="E27" s="7" t="s">
        <v>2425</v>
      </c>
      <c r="F27" s="6">
        <v>45314.0</v>
      </c>
      <c r="G27" s="6">
        <v>45516.0</v>
      </c>
      <c r="H27" s="4" t="s">
        <v>5369</v>
      </c>
      <c r="I27" s="4" t="s">
        <v>5378</v>
      </c>
      <c r="J27" s="4" t="s">
        <v>5479</v>
      </c>
      <c r="K27" s="4" t="s">
        <v>5433</v>
      </c>
      <c r="L27" s="4" t="s">
        <v>5372</v>
      </c>
      <c r="M27" s="4"/>
      <c r="N27" s="7" t="s">
        <v>5480</v>
      </c>
      <c r="O27" s="7" t="s">
        <v>2345</v>
      </c>
      <c r="P27" s="6">
        <v>45377.0</v>
      </c>
      <c r="Q27" s="6">
        <v>45530.0</v>
      </c>
      <c r="R27" s="4" t="s">
        <v>26</v>
      </c>
      <c r="S27" s="6">
        <v>45330.0</v>
      </c>
      <c r="T27" s="4">
        <v>9.0</v>
      </c>
      <c r="U27" s="4" t="s">
        <v>5399</v>
      </c>
      <c r="V27" s="4">
        <v>16.0</v>
      </c>
      <c r="Z27" s="21"/>
    </row>
    <row r="28" hidden="1">
      <c r="A28" s="7" t="s">
        <v>5481</v>
      </c>
      <c r="B28" s="4" t="s">
        <v>5482</v>
      </c>
      <c r="C28" s="4">
        <v>7.0</v>
      </c>
      <c r="D28" s="7" t="s">
        <v>1498</v>
      </c>
      <c r="E28" s="4" t="s">
        <v>5483</v>
      </c>
      <c r="F28" s="6">
        <v>45341.0</v>
      </c>
      <c r="G28" s="6"/>
      <c r="H28" s="4" t="s">
        <v>5474</v>
      </c>
      <c r="I28" s="4" t="s">
        <v>5484</v>
      </c>
      <c r="J28" s="4" t="s">
        <v>5485</v>
      </c>
      <c r="K28" s="4" t="s">
        <v>5372</v>
      </c>
      <c r="L28" s="4" t="s">
        <v>5371</v>
      </c>
      <c r="M28" s="4"/>
      <c r="N28" s="7" t="s">
        <v>5486</v>
      </c>
      <c r="O28" s="7" t="s">
        <v>2335</v>
      </c>
      <c r="R28" s="4" t="s">
        <v>26</v>
      </c>
      <c r="S28" s="6">
        <v>45341.0</v>
      </c>
      <c r="T28" s="4">
        <v>9.0</v>
      </c>
      <c r="U28" s="4" t="s">
        <v>5429</v>
      </c>
      <c r="Z28" s="21"/>
    </row>
    <row r="29" hidden="1">
      <c r="A29" s="4" t="s">
        <v>5487</v>
      </c>
      <c r="B29" s="4" t="s">
        <v>5488</v>
      </c>
      <c r="C29" s="4">
        <v>7.0</v>
      </c>
      <c r="D29" s="4" t="s">
        <v>1501</v>
      </c>
      <c r="E29" s="4" t="s">
        <v>5489</v>
      </c>
      <c r="F29" s="6">
        <v>45345.0</v>
      </c>
      <c r="G29" s="6">
        <v>45369.0</v>
      </c>
      <c r="H29" s="4" t="s">
        <v>5474</v>
      </c>
      <c r="I29" s="4" t="s">
        <v>5484</v>
      </c>
      <c r="J29" s="4" t="s">
        <v>5490</v>
      </c>
      <c r="K29" s="4" t="s">
        <v>5371</v>
      </c>
      <c r="L29" s="4" t="s">
        <v>5372</v>
      </c>
      <c r="M29" s="4" t="s">
        <v>5491</v>
      </c>
      <c r="N29" s="7" t="s">
        <v>5492</v>
      </c>
      <c r="O29" s="7" t="s">
        <v>2335</v>
      </c>
      <c r="R29" s="4" t="s">
        <v>26</v>
      </c>
      <c r="S29" s="6">
        <v>45345.0</v>
      </c>
      <c r="T29" s="4">
        <v>9.0</v>
      </c>
      <c r="U29" s="4" t="s">
        <v>5429</v>
      </c>
      <c r="Z29" s="21"/>
    </row>
    <row r="30" hidden="1">
      <c r="A30" s="4" t="s">
        <v>5493</v>
      </c>
      <c r="B30" s="4" t="s">
        <v>5494</v>
      </c>
      <c r="C30" s="4">
        <v>7.0</v>
      </c>
      <c r="D30" s="4" t="s">
        <v>1504</v>
      </c>
      <c r="E30" s="4" t="s">
        <v>5495</v>
      </c>
      <c r="F30" s="6">
        <v>45356.0</v>
      </c>
      <c r="G30" s="6"/>
      <c r="H30" s="4" t="s">
        <v>5474</v>
      </c>
      <c r="I30" s="4" t="s">
        <v>5484</v>
      </c>
      <c r="J30" s="4" t="s">
        <v>5496</v>
      </c>
      <c r="K30" s="4" t="s">
        <v>5371</v>
      </c>
      <c r="L30" s="4" t="s">
        <v>5371</v>
      </c>
      <c r="M30" s="4"/>
      <c r="N30" s="7" t="s">
        <v>5497</v>
      </c>
      <c r="O30" s="7" t="s">
        <v>2335</v>
      </c>
      <c r="R30" s="4" t="s">
        <v>26</v>
      </c>
      <c r="S30" s="6">
        <v>45356.0</v>
      </c>
      <c r="T30" s="4">
        <v>9.0</v>
      </c>
      <c r="U30" s="4" t="s">
        <v>5429</v>
      </c>
      <c r="Z30" s="21"/>
    </row>
    <row r="31" hidden="1">
      <c r="A31" s="4" t="s">
        <v>5498</v>
      </c>
      <c r="B31" s="4" t="s">
        <v>5499</v>
      </c>
      <c r="C31" s="4">
        <v>7.0</v>
      </c>
      <c r="D31" s="4" t="s">
        <v>1507</v>
      </c>
      <c r="E31" s="4" t="s">
        <v>5500</v>
      </c>
      <c r="F31" s="6">
        <v>45358.0</v>
      </c>
      <c r="G31" s="6"/>
      <c r="H31" s="4" t="s">
        <v>5474</v>
      </c>
      <c r="I31" s="4" t="s">
        <v>5427</v>
      </c>
      <c r="J31" s="4" t="s">
        <v>5501</v>
      </c>
      <c r="K31" s="4" t="s">
        <v>5371</v>
      </c>
      <c r="L31" s="4" t="s">
        <v>5371</v>
      </c>
      <c r="M31" s="4"/>
      <c r="N31" s="7" t="s">
        <v>5502</v>
      </c>
      <c r="O31" s="7" t="s">
        <v>2335</v>
      </c>
      <c r="R31" s="4" t="s">
        <v>26</v>
      </c>
      <c r="S31" s="6">
        <v>45358.0</v>
      </c>
      <c r="T31" s="4">
        <v>9.0</v>
      </c>
      <c r="U31" s="4" t="s">
        <v>5399</v>
      </c>
      <c r="Z31" s="21"/>
    </row>
    <row r="32" hidden="1">
      <c r="A32" s="4" t="s">
        <v>5503</v>
      </c>
      <c r="B32" s="4" t="s">
        <v>5504</v>
      </c>
      <c r="C32" s="4">
        <v>7.0</v>
      </c>
      <c r="D32" s="4" t="s">
        <v>1509</v>
      </c>
      <c r="E32" s="4" t="s">
        <v>5505</v>
      </c>
      <c r="F32" s="6">
        <v>45363.0</v>
      </c>
      <c r="G32" s="6"/>
      <c r="H32" s="4" t="s">
        <v>5474</v>
      </c>
      <c r="I32" s="4" t="s">
        <v>5475</v>
      </c>
      <c r="J32" s="4" t="s">
        <v>5506</v>
      </c>
      <c r="K32" s="4" t="s">
        <v>5372</v>
      </c>
      <c r="L32" s="4" t="s">
        <v>5371</v>
      </c>
      <c r="M32" s="4"/>
      <c r="N32" s="7" t="s">
        <v>5507</v>
      </c>
      <c r="O32" s="7" t="s">
        <v>2335</v>
      </c>
      <c r="R32" s="4" t="s">
        <v>26</v>
      </c>
      <c r="S32" s="6">
        <v>45363.0</v>
      </c>
      <c r="T32" s="4">
        <v>9.0</v>
      </c>
      <c r="U32" s="4" t="s">
        <v>5399</v>
      </c>
      <c r="Z32" s="21"/>
    </row>
    <row r="33" hidden="1">
      <c r="A33" s="4" t="s">
        <v>5508</v>
      </c>
      <c r="B33" s="4" t="s">
        <v>5509</v>
      </c>
      <c r="C33" s="4">
        <v>5.0</v>
      </c>
      <c r="D33" s="4" t="s">
        <v>1512</v>
      </c>
      <c r="E33" s="4" t="s">
        <v>5510</v>
      </c>
      <c r="F33" s="6">
        <v>45364.0</v>
      </c>
      <c r="H33" s="4" t="s">
        <v>5474</v>
      </c>
      <c r="I33" s="4" t="s">
        <v>5511</v>
      </c>
      <c r="K33" s="4" t="s">
        <v>5371</v>
      </c>
      <c r="L33" s="4" t="s">
        <v>5371</v>
      </c>
      <c r="R33" s="4" t="s">
        <v>26</v>
      </c>
      <c r="S33" s="6">
        <v>45364.0</v>
      </c>
      <c r="T33" s="4">
        <v>9.0</v>
      </c>
      <c r="U33" s="4" t="s">
        <v>5399</v>
      </c>
      <c r="Z33" s="21"/>
    </row>
    <row r="34" hidden="1">
      <c r="A34" s="4" t="s">
        <v>4586</v>
      </c>
      <c r="B34" s="4" t="s">
        <v>1516</v>
      </c>
      <c r="C34" s="4">
        <v>9.0</v>
      </c>
      <c r="D34" s="4" t="s">
        <v>1515</v>
      </c>
      <c r="E34" s="4" t="s">
        <v>4584</v>
      </c>
      <c r="F34" s="6">
        <v>45379.0</v>
      </c>
      <c r="G34" s="6"/>
      <c r="H34" s="4" t="s">
        <v>5512</v>
      </c>
      <c r="I34" s="4" t="s">
        <v>5513</v>
      </c>
      <c r="J34" s="4" t="s">
        <v>5514</v>
      </c>
      <c r="K34" s="4" t="s">
        <v>5372</v>
      </c>
      <c r="L34" s="4" t="s">
        <v>5372</v>
      </c>
      <c r="M34" s="4"/>
      <c r="N34" s="7" t="s">
        <v>5515</v>
      </c>
      <c r="O34" s="7" t="s">
        <v>2345</v>
      </c>
      <c r="P34" s="6">
        <v>45936.0</v>
      </c>
      <c r="Q34" s="6">
        <v>46059.0</v>
      </c>
      <c r="R34" s="4" t="s">
        <v>26</v>
      </c>
      <c r="S34" s="6">
        <v>45379.0</v>
      </c>
      <c r="T34" s="4">
        <v>9.0</v>
      </c>
      <c r="U34" s="4" t="s">
        <v>5429</v>
      </c>
      <c r="V34" s="4">
        <v>24.0</v>
      </c>
      <c r="X34" s="4" t="s">
        <v>5376</v>
      </c>
      <c r="Y34" s="4" t="s">
        <v>5381</v>
      </c>
      <c r="Z34" s="8">
        <v>407.0</v>
      </c>
      <c r="AA34" s="6">
        <v>46301.0</v>
      </c>
      <c r="AB34" s="4">
        <v>3.0</v>
      </c>
      <c r="AC34" s="4">
        <v>20.0</v>
      </c>
    </row>
    <row r="35" hidden="1">
      <c r="A35" s="4" t="s">
        <v>5516</v>
      </c>
      <c r="B35" s="4" t="s">
        <v>5517</v>
      </c>
      <c r="C35" s="4">
        <v>7.0</v>
      </c>
      <c r="D35" s="4" t="s">
        <v>1517</v>
      </c>
      <c r="E35" s="4" t="s">
        <v>4207</v>
      </c>
      <c r="F35" s="6">
        <v>45380.0</v>
      </c>
      <c r="G35" s="6"/>
      <c r="H35" s="4" t="s">
        <v>5369</v>
      </c>
      <c r="I35" s="4" t="s">
        <v>5397</v>
      </c>
      <c r="J35" s="4" t="s">
        <v>5518</v>
      </c>
      <c r="K35" s="4" t="s">
        <v>5371</v>
      </c>
      <c r="L35" s="4" t="s">
        <v>5372</v>
      </c>
      <c r="M35" s="4"/>
      <c r="N35" s="7" t="s">
        <v>5519</v>
      </c>
      <c r="O35" s="7" t="s">
        <v>2335</v>
      </c>
      <c r="R35" s="4" t="s">
        <v>26</v>
      </c>
      <c r="S35" s="6">
        <v>45380.0</v>
      </c>
      <c r="T35" s="4">
        <v>9.0</v>
      </c>
      <c r="U35" s="4" t="s">
        <v>5399</v>
      </c>
      <c r="Z35" s="21"/>
    </row>
    <row r="36" hidden="1">
      <c r="A36" s="4" t="s">
        <v>5520</v>
      </c>
      <c r="B36" s="4" t="s">
        <v>5521</v>
      </c>
      <c r="C36" s="4">
        <v>7.0</v>
      </c>
      <c r="D36" s="4" t="s">
        <v>1522</v>
      </c>
      <c r="E36" s="4" t="s">
        <v>5522</v>
      </c>
      <c r="F36" s="6">
        <v>45394.0</v>
      </c>
      <c r="G36" s="6"/>
      <c r="H36" s="4" t="s">
        <v>5474</v>
      </c>
      <c r="I36" s="4" t="s">
        <v>5370</v>
      </c>
      <c r="K36" s="4" t="s">
        <v>5371</v>
      </c>
      <c r="L36" s="4" t="s">
        <v>5371</v>
      </c>
      <c r="M36" s="4"/>
      <c r="N36" s="7" t="s">
        <v>5523</v>
      </c>
      <c r="O36" s="7" t="s">
        <v>2335</v>
      </c>
      <c r="R36" s="4" t="s">
        <v>5374</v>
      </c>
      <c r="S36" s="6">
        <v>45394.0</v>
      </c>
      <c r="T36" s="4">
        <v>0.0</v>
      </c>
      <c r="Z36" s="21"/>
    </row>
    <row r="37" hidden="1">
      <c r="A37" s="4" t="s">
        <v>5524</v>
      </c>
      <c r="B37" s="4" t="s">
        <v>5525</v>
      </c>
      <c r="C37" s="4">
        <v>7.0</v>
      </c>
      <c r="D37" s="4" t="s">
        <v>1524</v>
      </c>
      <c r="E37" s="4" t="s">
        <v>5526</v>
      </c>
      <c r="F37" s="6">
        <v>45397.0</v>
      </c>
      <c r="G37" s="6"/>
      <c r="H37" s="4" t="s">
        <v>5474</v>
      </c>
      <c r="I37" s="4" t="s">
        <v>5397</v>
      </c>
      <c r="K37" s="4" t="s">
        <v>5371</v>
      </c>
      <c r="L37" s="4" t="s">
        <v>5372</v>
      </c>
      <c r="M37" s="4"/>
      <c r="N37" s="7" t="s">
        <v>5527</v>
      </c>
      <c r="O37" s="7" t="s">
        <v>2335</v>
      </c>
      <c r="R37" s="4" t="s">
        <v>26</v>
      </c>
      <c r="S37" s="6">
        <v>45397.0</v>
      </c>
      <c r="T37" s="4">
        <v>9.0</v>
      </c>
      <c r="U37" s="4" t="s">
        <v>5399</v>
      </c>
      <c r="Z37" s="21"/>
    </row>
    <row r="38" hidden="1">
      <c r="A38" s="4" t="s">
        <v>5528</v>
      </c>
      <c r="B38" s="4" t="s">
        <v>5529</v>
      </c>
      <c r="C38" s="4">
        <v>7.0</v>
      </c>
      <c r="D38" s="4" t="s">
        <v>1526</v>
      </c>
      <c r="E38" s="4" t="s">
        <v>5530</v>
      </c>
      <c r="F38" s="6">
        <v>45397.0</v>
      </c>
      <c r="G38" s="6"/>
      <c r="H38" s="4" t="s">
        <v>5474</v>
      </c>
      <c r="I38" s="4" t="s">
        <v>5513</v>
      </c>
      <c r="J38" s="4" t="s">
        <v>5531</v>
      </c>
      <c r="K38" s="4" t="s">
        <v>5372</v>
      </c>
      <c r="L38" s="4" t="s">
        <v>5372</v>
      </c>
      <c r="M38" s="4"/>
      <c r="N38" s="7" t="s">
        <v>5532</v>
      </c>
      <c r="O38" s="7" t="s">
        <v>2335</v>
      </c>
      <c r="R38" s="4" t="s">
        <v>5374</v>
      </c>
      <c r="S38" s="6">
        <v>45397.0</v>
      </c>
      <c r="T38" s="4">
        <v>0.0</v>
      </c>
      <c r="Z38" s="21"/>
    </row>
    <row r="39" hidden="1">
      <c r="A39" s="4" t="s">
        <v>2198</v>
      </c>
      <c r="B39" s="4" t="s">
        <v>5533</v>
      </c>
      <c r="C39" s="4">
        <v>9.0</v>
      </c>
      <c r="D39" s="4" t="s">
        <v>1433</v>
      </c>
      <c r="E39" s="4" t="s">
        <v>2410</v>
      </c>
      <c r="F39" s="6">
        <v>45399.0</v>
      </c>
      <c r="G39" s="6"/>
      <c r="H39" s="4" t="s">
        <v>5</v>
      </c>
      <c r="I39" s="4" t="s">
        <v>5385</v>
      </c>
      <c r="J39" s="4" t="s">
        <v>5534</v>
      </c>
      <c r="M39" s="4" t="s">
        <v>5535</v>
      </c>
      <c r="N39" s="7" t="s">
        <v>5536</v>
      </c>
      <c r="O39" s="7" t="s">
        <v>2345</v>
      </c>
      <c r="P39" s="6">
        <v>45432.0</v>
      </c>
      <c r="Q39" s="6">
        <v>45704.0</v>
      </c>
      <c r="R39" s="4" t="s">
        <v>5374</v>
      </c>
      <c r="S39" s="6">
        <v>45399.0</v>
      </c>
      <c r="T39" s="4">
        <v>0.0</v>
      </c>
      <c r="V39" s="4">
        <v>24.0</v>
      </c>
      <c r="W39" s="7" t="s">
        <v>5380</v>
      </c>
      <c r="X39" s="4" t="s">
        <v>5376</v>
      </c>
      <c r="Y39" s="4" t="s">
        <v>5381</v>
      </c>
      <c r="Z39" s="8">
        <v>488.0</v>
      </c>
      <c r="AA39" s="6">
        <v>45704.0</v>
      </c>
      <c r="AB39" s="4">
        <v>2.0</v>
      </c>
    </row>
    <row r="40" hidden="1">
      <c r="A40" s="4" t="s">
        <v>2186</v>
      </c>
      <c r="B40" s="4" t="s">
        <v>5537</v>
      </c>
      <c r="C40" s="4">
        <v>9.0</v>
      </c>
      <c r="D40" s="4" t="s">
        <v>1535</v>
      </c>
      <c r="E40" s="4" t="s">
        <v>2887</v>
      </c>
      <c r="F40" s="6">
        <v>45439.0</v>
      </c>
      <c r="G40" s="6"/>
      <c r="H40" s="4" t="s">
        <v>5369</v>
      </c>
      <c r="I40" s="4" t="s">
        <v>5438</v>
      </c>
      <c r="K40" s="4" t="s">
        <v>5371</v>
      </c>
      <c r="L40" s="4" t="s">
        <v>5371</v>
      </c>
      <c r="M40" s="4"/>
      <c r="N40" s="7" t="s">
        <v>5538</v>
      </c>
      <c r="O40" s="7" t="s">
        <v>2345</v>
      </c>
      <c r="P40" s="17">
        <v>45593.0</v>
      </c>
      <c r="Q40" s="17">
        <v>45928.0</v>
      </c>
      <c r="R40" s="4" t="s">
        <v>5374</v>
      </c>
      <c r="S40" s="6">
        <v>45439.0</v>
      </c>
      <c r="T40" s="4">
        <v>0.0</v>
      </c>
      <c r="V40" s="4">
        <v>20.0</v>
      </c>
      <c r="X40" s="4" t="s">
        <v>5376</v>
      </c>
      <c r="Y40" s="4" t="s">
        <v>5381</v>
      </c>
      <c r="Z40" s="8">
        <v>441.0</v>
      </c>
      <c r="AA40" s="17">
        <v>45897.0</v>
      </c>
      <c r="AB40" s="4">
        <v>1.0</v>
      </c>
      <c r="AC40" s="7" t="s">
        <v>2366</v>
      </c>
    </row>
    <row r="41" hidden="1">
      <c r="A41" s="4" t="s">
        <v>2152</v>
      </c>
      <c r="B41" s="4" t="s">
        <v>1540</v>
      </c>
      <c r="C41" s="4">
        <v>9.0</v>
      </c>
      <c r="D41" s="4" t="s">
        <v>1539</v>
      </c>
      <c r="E41" s="4" t="s">
        <v>2782</v>
      </c>
      <c r="F41" s="6">
        <v>45454.0</v>
      </c>
      <c r="H41" s="4" t="s">
        <v>5512</v>
      </c>
      <c r="I41" s="4" t="s">
        <v>5378</v>
      </c>
      <c r="J41" s="4" t="s">
        <v>5539</v>
      </c>
      <c r="K41" s="4" t="s">
        <v>5372</v>
      </c>
      <c r="L41" s="4" t="s">
        <v>5371</v>
      </c>
      <c r="N41" s="7" t="s">
        <v>5540</v>
      </c>
      <c r="O41" s="7" t="s">
        <v>2345</v>
      </c>
      <c r="P41" s="6">
        <v>45450.0</v>
      </c>
      <c r="Q41" s="6">
        <v>45876.0</v>
      </c>
      <c r="R41" s="4" t="s">
        <v>5374</v>
      </c>
      <c r="S41" s="6">
        <v>45439.0</v>
      </c>
      <c r="T41" s="4">
        <v>0.0</v>
      </c>
      <c r="V41" s="4">
        <v>24.0</v>
      </c>
      <c r="W41" s="7" t="s">
        <v>5541</v>
      </c>
      <c r="X41" s="4" t="s">
        <v>5376</v>
      </c>
      <c r="Y41" s="4" t="s">
        <v>5381</v>
      </c>
      <c r="Z41" s="8">
        <v>429.0</v>
      </c>
      <c r="AA41" s="6">
        <v>45815.0</v>
      </c>
      <c r="AB41" s="4">
        <v>1.0</v>
      </c>
      <c r="AC41" s="4">
        <v>15.0</v>
      </c>
    </row>
    <row r="42" hidden="1">
      <c r="A42" s="4" t="s">
        <v>5542</v>
      </c>
      <c r="B42" s="4" t="s">
        <v>1544</v>
      </c>
      <c r="C42" s="4">
        <v>7.0</v>
      </c>
      <c r="D42" s="4" t="s">
        <v>1543</v>
      </c>
      <c r="E42" s="4" t="s">
        <v>5543</v>
      </c>
      <c r="F42" s="6">
        <v>45457.0</v>
      </c>
      <c r="G42" s="6"/>
      <c r="H42" s="4" t="s">
        <v>5512</v>
      </c>
      <c r="I42" s="4" t="s">
        <v>5378</v>
      </c>
      <c r="J42" s="4" t="s">
        <v>5544</v>
      </c>
      <c r="K42" s="4" t="s">
        <v>5372</v>
      </c>
      <c r="L42" s="4" t="s">
        <v>5372</v>
      </c>
      <c r="M42" s="4"/>
      <c r="N42" s="7" t="s">
        <v>5545</v>
      </c>
      <c r="O42" s="7" t="s">
        <v>2335</v>
      </c>
      <c r="R42" s="4" t="s">
        <v>5374</v>
      </c>
      <c r="S42" s="6">
        <v>45457.0</v>
      </c>
      <c r="T42" s="4">
        <v>0.0</v>
      </c>
      <c r="Z42" s="21"/>
      <c r="AC42" s="7" t="s">
        <v>2366</v>
      </c>
    </row>
    <row r="43" hidden="1">
      <c r="A43" s="4" t="s">
        <v>5546</v>
      </c>
      <c r="B43" s="4" t="s">
        <v>1541</v>
      </c>
      <c r="C43" s="4">
        <v>11.0</v>
      </c>
      <c r="D43" s="4" t="s">
        <v>1545</v>
      </c>
      <c r="E43" s="4" t="s">
        <v>5547</v>
      </c>
      <c r="F43" s="6">
        <v>45480.0</v>
      </c>
      <c r="H43" s="4" t="s">
        <v>5512</v>
      </c>
      <c r="I43" s="4" t="s">
        <v>5548</v>
      </c>
      <c r="J43" s="4" t="s">
        <v>5549</v>
      </c>
      <c r="K43" s="4" t="s">
        <v>5372</v>
      </c>
      <c r="L43" s="4" t="s">
        <v>5433</v>
      </c>
      <c r="R43" s="4" t="s">
        <v>5374</v>
      </c>
      <c r="S43" s="6">
        <v>45480.0</v>
      </c>
      <c r="T43" s="4">
        <v>0.0</v>
      </c>
      <c r="Z43" s="21"/>
    </row>
    <row r="44" hidden="1">
      <c r="A44" s="4" t="s">
        <v>5550</v>
      </c>
      <c r="B44" s="4" t="s">
        <v>5551</v>
      </c>
      <c r="C44" s="4">
        <v>7.0</v>
      </c>
      <c r="D44" s="4" t="s">
        <v>1547</v>
      </c>
      <c r="E44" s="4" t="s">
        <v>5552</v>
      </c>
      <c r="F44" s="6">
        <v>45481.0</v>
      </c>
      <c r="G44" s="6"/>
      <c r="H44" s="4" t="s">
        <v>5512</v>
      </c>
      <c r="I44" s="4" t="s">
        <v>5475</v>
      </c>
      <c r="K44" s="4" t="s">
        <v>5371</v>
      </c>
      <c r="L44" s="4" t="s">
        <v>5371</v>
      </c>
      <c r="M44" s="4"/>
      <c r="N44" s="7" t="s">
        <v>5553</v>
      </c>
      <c r="O44" s="7" t="s">
        <v>2335</v>
      </c>
      <c r="R44" s="4" t="s">
        <v>5374</v>
      </c>
      <c r="S44" s="6">
        <v>45481.0</v>
      </c>
      <c r="T44" s="4">
        <v>0.0</v>
      </c>
      <c r="Z44" s="21"/>
    </row>
    <row r="45" hidden="1">
      <c r="A45" s="4" t="s">
        <v>5554</v>
      </c>
      <c r="B45" s="4" t="s">
        <v>5555</v>
      </c>
      <c r="C45" s="4">
        <v>7.0</v>
      </c>
      <c r="D45" s="4" t="s">
        <v>1549</v>
      </c>
      <c r="E45" s="4" t="s">
        <v>5556</v>
      </c>
      <c r="F45" s="6">
        <v>45504.0</v>
      </c>
      <c r="G45" s="6"/>
      <c r="H45" s="4" t="s">
        <v>5419</v>
      </c>
      <c r="I45" s="4" t="s">
        <v>5427</v>
      </c>
      <c r="J45" s="4" t="s">
        <v>5557</v>
      </c>
      <c r="K45" s="4" t="s">
        <v>5372</v>
      </c>
      <c r="L45" s="4" t="s">
        <v>5372</v>
      </c>
      <c r="M45" s="4"/>
      <c r="N45" s="7" t="s">
        <v>5558</v>
      </c>
      <c r="O45" s="7" t="s">
        <v>2335</v>
      </c>
      <c r="R45" s="4" t="s">
        <v>5374</v>
      </c>
      <c r="S45" s="6">
        <v>45504.0</v>
      </c>
      <c r="T45" s="4">
        <v>0.0</v>
      </c>
      <c r="V45" s="4">
        <v>16.0</v>
      </c>
      <c r="Z45" s="21"/>
    </row>
    <row r="46" hidden="1">
      <c r="A46" s="4" t="s">
        <v>2191</v>
      </c>
      <c r="B46" s="4" t="s">
        <v>5559</v>
      </c>
      <c r="C46" s="4">
        <v>9.0</v>
      </c>
      <c r="D46" s="4" t="s">
        <v>1559</v>
      </c>
      <c r="E46" s="4" t="s">
        <v>4206</v>
      </c>
      <c r="F46" s="6">
        <v>45504.0</v>
      </c>
      <c r="G46" s="6"/>
      <c r="H46" s="4" t="s">
        <v>5369</v>
      </c>
      <c r="I46" s="4" t="s">
        <v>5475</v>
      </c>
      <c r="J46" s="4" t="s">
        <v>5560</v>
      </c>
      <c r="K46" s="4" t="s">
        <v>5371</v>
      </c>
      <c r="L46" s="4" t="s">
        <v>5371</v>
      </c>
      <c r="M46" s="4"/>
      <c r="N46" s="7" t="s">
        <v>5561</v>
      </c>
      <c r="O46" s="7" t="s">
        <v>2345</v>
      </c>
      <c r="P46" s="6">
        <v>45539.0</v>
      </c>
      <c r="Q46" s="6">
        <v>45812.0</v>
      </c>
      <c r="R46" s="4" t="s">
        <v>5374</v>
      </c>
      <c r="S46" s="6">
        <v>45504.0</v>
      </c>
      <c r="T46" s="4">
        <v>0.0</v>
      </c>
      <c r="V46" s="4">
        <v>32.0</v>
      </c>
      <c r="W46" s="4">
        <v>648000.0</v>
      </c>
      <c r="X46" s="4" t="s">
        <v>5376</v>
      </c>
      <c r="Y46" s="4" t="s">
        <v>5381</v>
      </c>
      <c r="Z46" s="8">
        <v>594.0</v>
      </c>
      <c r="AA46" s="6">
        <v>45781.0</v>
      </c>
      <c r="AB46" s="4">
        <v>1.0</v>
      </c>
    </row>
    <row r="47" hidden="1">
      <c r="A47" s="4" t="s">
        <v>5562</v>
      </c>
      <c r="B47" s="4" t="s">
        <v>5563</v>
      </c>
      <c r="C47" s="4">
        <v>7.0</v>
      </c>
      <c r="D47" s="4" t="s">
        <v>1551</v>
      </c>
      <c r="E47" s="4" t="s">
        <v>5564</v>
      </c>
      <c r="F47" s="6">
        <v>45516.0</v>
      </c>
      <c r="G47" s="6"/>
      <c r="H47" s="4" t="s">
        <v>5512</v>
      </c>
      <c r="I47" s="4" t="s">
        <v>5484</v>
      </c>
      <c r="J47" s="4" t="s">
        <v>5565</v>
      </c>
      <c r="K47" s="4" t="s">
        <v>5372</v>
      </c>
      <c r="L47" s="4" t="s">
        <v>5371</v>
      </c>
      <c r="M47" s="4"/>
      <c r="N47" s="7" t="s">
        <v>5566</v>
      </c>
      <c r="O47" s="7" t="s">
        <v>2335</v>
      </c>
      <c r="R47" s="4" t="s">
        <v>26</v>
      </c>
      <c r="S47" s="6">
        <v>45516.0</v>
      </c>
      <c r="T47" s="4">
        <v>9.0</v>
      </c>
      <c r="Z47" s="21"/>
      <c r="AC47" s="7" t="s">
        <v>2377</v>
      </c>
    </row>
    <row r="48" hidden="1">
      <c r="A48" s="4" t="s">
        <v>2183</v>
      </c>
      <c r="B48" s="4" t="s">
        <v>1554</v>
      </c>
      <c r="C48" s="4">
        <v>9.0</v>
      </c>
      <c r="D48" s="4" t="s">
        <v>1553</v>
      </c>
      <c r="E48" s="4" t="s">
        <v>3988</v>
      </c>
      <c r="F48" s="6">
        <v>45523.0</v>
      </c>
      <c r="H48" s="4" t="s">
        <v>5474</v>
      </c>
      <c r="I48" s="4" t="s">
        <v>5484</v>
      </c>
      <c r="J48" s="4" t="s">
        <v>5567</v>
      </c>
      <c r="K48" s="4" t="s">
        <v>5433</v>
      </c>
      <c r="L48" s="4" t="s">
        <v>5371</v>
      </c>
      <c r="N48" s="7" t="s">
        <v>5568</v>
      </c>
      <c r="O48" s="7" t="s">
        <v>2345</v>
      </c>
      <c r="P48" s="6">
        <v>45526.0</v>
      </c>
      <c r="Q48" s="6">
        <v>45679.0</v>
      </c>
      <c r="R48" s="4" t="s">
        <v>5374</v>
      </c>
      <c r="S48" s="6">
        <v>45523.0</v>
      </c>
      <c r="T48" s="4">
        <v>0.0</v>
      </c>
      <c r="V48" s="4">
        <v>16.0</v>
      </c>
      <c r="W48" s="7" t="s">
        <v>5569</v>
      </c>
      <c r="X48" s="4" t="s">
        <v>5376</v>
      </c>
      <c r="Y48" s="4" t="s">
        <v>5381</v>
      </c>
      <c r="Z48" s="8">
        <v>271.0</v>
      </c>
      <c r="AA48" s="6">
        <v>45618.0</v>
      </c>
      <c r="AB48" s="4">
        <v>3.0</v>
      </c>
    </row>
    <row r="49" hidden="1">
      <c r="A49" s="4" t="s">
        <v>4220</v>
      </c>
      <c r="B49" s="4" t="s">
        <v>1557</v>
      </c>
      <c r="C49" s="4">
        <v>9.0</v>
      </c>
      <c r="D49" s="4" t="s">
        <v>1556</v>
      </c>
      <c r="E49" s="4" t="s">
        <v>4216</v>
      </c>
      <c r="F49" s="6">
        <v>45526.0</v>
      </c>
      <c r="G49" s="6"/>
      <c r="H49" s="4" t="s">
        <v>5512</v>
      </c>
      <c r="I49" s="4" t="s">
        <v>5484</v>
      </c>
      <c r="K49" s="4" t="s">
        <v>5372</v>
      </c>
      <c r="L49" s="4" t="s">
        <v>5371</v>
      </c>
      <c r="M49" s="4"/>
      <c r="N49" s="7" t="s">
        <v>5570</v>
      </c>
      <c r="O49" s="7" t="s">
        <v>2345</v>
      </c>
      <c r="P49" s="6">
        <v>45548.0</v>
      </c>
      <c r="Q49" s="6">
        <v>45609.0</v>
      </c>
      <c r="R49" s="4" t="s">
        <v>5374</v>
      </c>
      <c r="S49" s="6">
        <v>45526.0</v>
      </c>
      <c r="T49" s="4">
        <v>0.0</v>
      </c>
      <c r="V49" s="4">
        <v>16.0</v>
      </c>
      <c r="W49" s="4">
        <v>397000.0</v>
      </c>
      <c r="X49" s="4" t="s">
        <v>5376</v>
      </c>
      <c r="Y49" s="4" t="s">
        <v>5381</v>
      </c>
      <c r="Z49" s="8">
        <v>332.0</v>
      </c>
      <c r="AA49" s="6">
        <v>45609.0</v>
      </c>
      <c r="AB49" s="4">
        <v>3.0</v>
      </c>
      <c r="AC49" s="7" t="s">
        <v>2257</v>
      </c>
    </row>
    <row r="50" hidden="1">
      <c r="A50" s="4" t="s">
        <v>2195</v>
      </c>
      <c r="B50" s="4" t="s">
        <v>5571</v>
      </c>
      <c r="C50" s="4">
        <v>9.0</v>
      </c>
      <c r="D50" s="4" t="s">
        <v>1491</v>
      </c>
      <c r="E50" s="7" t="s">
        <v>2425</v>
      </c>
      <c r="F50" s="6">
        <v>45532.0</v>
      </c>
      <c r="H50" s="4" t="s">
        <v>5369</v>
      </c>
      <c r="I50" s="4" t="s">
        <v>5475</v>
      </c>
      <c r="K50" s="4" t="s">
        <v>5372</v>
      </c>
      <c r="L50" s="4" t="s">
        <v>5372</v>
      </c>
      <c r="N50" s="7" t="s">
        <v>5572</v>
      </c>
      <c r="O50" s="7" t="s">
        <v>2345</v>
      </c>
      <c r="P50" s="6">
        <v>45532.0</v>
      </c>
      <c r="Q50" s="6">
        <v>45685.0</v>
      </c>
      <c r="R50" s="4" t="s">
        <v>5374</v>
      </c>
      <c r="S50" s="6">
        <v>45532.0</v>
      </c>
      <c r="T50" s="4">
        <v>0.0</v>
      </c>
      <c r="V50" s="4">
        <v>16.0</v>
      </c>
      <c r="W50" s="7" t="s">
        <v>5573</v>
      </c>
      <c r="X50" s="4" t="s">
        <v>5376</v>
      </c>
      <c r="Y50" s="4" t="s">
        <v>5381</v>
      </c>
      <c r="Z50" s="8">
        <v>290.0</v>
      </c>
      <c r="AA50" s="6">
        <v>45654.0</v>
      </c>
      <c r="AB50" s="4">
        <v>1.0</v>
      </c>
      <c r="AC50" s="7" t="s">
        <v>2257</v>
      </c>
    </row>
    <row r="51" hidden="1">
      <c r="A51" s="4" t="s">
        <v>5574</v>
      </c>
      <c r="B51" s="4" t="s">
        <v>1564</v>
      </c>
      <c r="C51" s="4">
        <v>7.0</v>
      </c>
      <c r="D51" s="4" t="s">
        <v>1563</v>
      </c>
      <c r="E51" s="4" t="s">
        <v>5575</v>
      </c>
      <c r="F51" s="17">
        <v>45637.0</v>
      </c>
      <c r="G51" s="6"/>
      <c r="H51" s="4" t="s">
        <v>5512</v>
      </c>
      <c r="I51" s="4" t="s">
        <v>5378</v>
      </c>
      <c r="J51" s="4" t="s">
        <v>5576</v>
      </c>
      <c r="K51" s="4" t="s">
        <v>5371</v>
      </c>
      <c r="L51" s="4" t="s">
        <v>5371</v>
      </c>
      <c r="M51" s="4"/>
      <c r="N51" s="7" t="s">
        <v>5577</v>
      </c>
      <c r="O51" s="7" t="s">
        <v>2335</v>
      </c>
      <c r="R51" s="4" t="s">
        <v>5374</v>
      </c>
      <c r="S51" s="17">
        <v>45593.0</v>
      </c>
      <c r="T51" s="4">
        <v>0.0</v>
      </c>
      <c r="Z51" s="21"/>
      <c r="AC51" s="7" t="s">
        <v>2377</v>
      </c>
    </row>
    <row r="52" hidden="1">
      <c r="A52" s="4" t="s">
        <v>2156</v>
      </c>
      <c r="B52" s="4" t="s">
        <v>5578</v>
      </c>
      <c r="C52" s="4">
        <v>8.0</v>
      </c>
      <c r="D52" s="4" t="s">
        <v>1437</v>
      </c>
      <c r="E52" s="4" t="s">
        <v>2517</v>
      </c>
      <c r="F52" s="17">
        <v>45637.0</v>
      </c>
      <c r="H52" s="4" t="s">
        <v>5369</v>
      </c>
      <c r="I52" s="4" t="s">
        <v>5579</v>
      </c>
      <c r="J52" s="4" t="s">
        <v>5580</v>
      </c>
      <c r="K52" s="4" t="s">
        <v>5372</v>
      </c>
      <c r="L52" s="4" t="s">
        <v>5372</v>
      </c>
      <c r="N52" s="7" t="s">
        <v>5581</v>
      </c>
      <c r="O52" s="7" t="s">
        <v>2342</v>
      </c>
      <c r="P52" s="17">
        <v>45855.0</v>
      </c>
      <c r="Q52" s="6">
        <v>46130.0</v>
      </c>
      <c r="R52" s="4" t="s">
        <v>5374</v>
      </c>
      <c r="S52" s="17">
        <v>45607.0</v>
      </c>
      <c r="T52" s="4">
        <v>0.0</v>
      </c>
      <c r="V52" s="4">
        <v>0.0</v>
      </c>
      <c r="X52" s="4" t="s">
        <v>5376</v>
      </c>
      <c r="Y52" s="4" t="s">
        <v>5381</v>
      </c>
      <c r="Z52" s="8">
        <v>94.0</v>
      </c>
      <c r="AA52" s="6">
        <v>46129.0</v>
      </c>
      <c r="AB52" s="4">
        <v>1.0</v>
      </c>
    </row>
    <row r="53" hidden="1">
      <c r="A53" s="4" t="s">
        <v>5582</v>
      </c>
      <c r="B53" s="4" t="s">
        <v>1567</v>
      </c>
      <c r="C53" s="4">
        <v>7.0</v>
      </c>
      <c r="D53" s="4" t="s">
        <v>1566</v>
      </c>
      <c r="E53" s="4" t="s">
        <v>5583</v>
      </c>
      <c r="F53" s="17">
        <v>45637.0</v>
      </c>
      <c r="G53" s="6">
        <v>45663.0</v>
      </c>
      <c r="H53" s="4" t="s">
        <v>5512</v>
      </c>
      <c r="I53" s="4" t="s">
        <v>5427</v>
      </c>
      <c r="J53" s="4" t="s">
        <v>5584</v>
      </c>
      <c r="K53" s="4" t="s">
        <v>5371</v>
      </c>
      <c r="L53" s="4" t="s">
        <v>5371</v>
      </c>
      <c r="M53" s="4" t="s">
        <v>5491</v>
      </c>
      <c r="N53" s="7" t="s">
        <v>5585</v>
      </c>
      <c r="O53" s="7" t="s">
        <v>2335</v>
      </c>
      <c r="P53" s="17"/>
      <c r="Q53" s="17"/>
      <c r="R53" s="4" t="s">
        <v>5374</v>
      </c>
      <c r="S53" s="17">
        <v>45632.0</v>
      </c>
      <c r="T53" s="4">
        <v>0.0</v>
      </c>
      <c r="V53" s="4"/>
      <c r="X53" s="4"/>
      <c r="Y53" s="4"/>
      <c r="Z53" s="8"/>
      <c r="AA53" s="17"/>
      <c r="AB53" s="4"/>
      <c r="AC53" s="4">
        <v>90.0</v>
      </c>
    </row>
    <row r="54" hidden="1">
      <c r="A54" s="4" t="s">
        <v>5586</v>
      </c>
      <c r="B54" s="4" t="s">
        <v>5587</v>
      </c>
      <c r="C54" s="4">
        <v>7.0</v>
      </c>
      <c r="D54" s="4" t="s">
        <v>1437</v>
      </c>
      <c r="E54" s="4" t="s">
        <v>2517</v>
      </c>
      <c r="F54" s="17">
        <v>45644.0</v>
      </c>
      <c r="G54" s="17">
        <v>45684.0</v>
      </c>
      <c r="H54" s="4" t="s">
        <v>5369</v>
      </c>
      <c r="I54" s="4" t="s">
        <v>5370</v>
      </c>
      <c r="K54" s="4" t="s">
        <v>5371</v>
      </c>
      <c r="L54" s="4" t="s">
        <v>5372</v>
      </c>
      <c r="M54" s="4" t="s">
        <v>5491</v>
      </c>
      <c r="N54" s="7" t="s">
        <v>5588</v>
      </c>
      <c r="O54" s="7" t="s">
        <v>2335</v>
      </c>
      <c r="R54" s="4" t="s">
        <v>5374</v>
      </c>
      <c r="S54" s="17">
        <v>45644.0</v>
      </c>
      <c r="T54" s="4">
        <v>0.0</v>
      </c>
      <c r="Z54" s="21"/>
      <c r="AC54" s="4"/>
    </row>
    <row r="55" hidden="1">
      <c r="A55" s="4" t="s">
        <v>5589</v>
      </c>
      <c r="B55" s="4" t="s">
        <v>5590</v>
      </c>
      <c r="C55" s="4">
        <v>7.0</v>
      </c>
      <c r="D55" s="4" t="s">
        <v>1569</v>
      </c>
      <c r="E55" s="4" t="s">
        <v>5591</v>
      </c>
      <c r="F55" s="17">
        <v>45646.0</v>
      </c>
      <c r="G55" s="6">
        <v>45663.0</v>
      </c>
      <c r="H55" s="4" t="s">
        <v>5419</v>
      </c>
      <c r="I55" s="4" t="s">
        <v>5592</v>
      </c>
      <c r="K55" s="4" t="s">
        <v>5433</v>
      </c>
      <c r="L55" s="4" t="s">
        <v>5372</v>
      </c>
      <c r="M55" s="4" t="s">
        <v>5535</v>
      </c>
      <c r="N55" s="7" t="s">
        <v>5593</v>
      </c>
      <c r="O55" s="7" t="s">
        <v>2335</v>
      </c>
      <c r="R55" s="4" t="s">
        <v>5374</v>
      </c>
      <c r="S55" s="17">
        <v>45646.0</v>
      </c>
      <c r="T55" s="4">
        <v>0.0</v>
      </c>
      <c r="Z55" s="21"/>
    </row>
    <row r="56" hidden="1">
      <c r="A56" s="4" t="s">
        <v>4322</v>
      </c>
      <c r="B56" s="4" t="s">
        <v>5594</v>
      </c>
      <c r="C56" s="4">
        <v>9.0</v>
      </c>
      <c r="D56" s="4" t="s">
        <v>1437</v>
      </c>
      <c r="E56" s="4" t="s">
        <v>2517</v>
      </c>
      <c r="F56" s="46">
        <v>45687.0</v>
      </c>
      <c r="H56" s="4" t="s">
        <v>5369</v>
      </c>
      <c r="I56" s="4" t="s">
        <v>5397</v>
      </c>
      <c r="K56" s="4" t="s">
        <v>5372</v>
      </c>
      <c r="L56" s="4" t="s">
        <v>5372</v>
      </c>
      <c r="N56" s="7" t="s">
        <v>5595</v>
      </c>
      <c r="O56" s="7" t="s">
        <v>2345</v>
      </c>
      <c r="P56" s="6">
        <v>45663.0</v>
      </c>
      <c r="Q56" s="6">
        <v>45392.0</v>
      </c>
      <c r="R56" s="4" t="s">
        <v>5374</v>
      </c>
      <c r="S56" s="6">
        <v>45687.0</v>
      </c>
      <c r="T56" s="4">
        <v>0.0</v>
      </c>
      <c r="V56" s="4">
        <v>10.0</v>
      </c>
      <c r="X56" s="4" t="s">
        <v>5376</v>
      </c>
      <c r="Y56" s="4" t="s">
        <v>5381</v>
      </c>
      <c r="Z56" s="8">
        <v>22.0</v>
      </c>
      <c r="AA56" s="6">
        <v>47513.0</v>
      </c>
      <c r="AB56" s="4">
        <v>30.0</v>
      </c>
    </row>
    <row r="57" hidden="1">
      <c r="A57" s="4" t="s">
        <v>2216</v>
      </c>
      <c r="B57" s="4" t="s">
        <v>5596</v>
      </c>
      <c r="C57" s="4">
        <v>8.0</v>
      </c>
      <c r="D57" s="4" t="s">
        <v>1486</v>
      </c>
      <c r="E57" s="4" t="s">
        <v>4593</v>
      </c>
      <c r="F57" s="6">
        <v>45695.0</v>
      </c>
      <c r="H57" s="4" t="s">
        <v>5369</v>
      </c>
      <c r="I57" s="4" t="s">
        <v>5370</v>
      </c>
      <c r="K57" s="4" t="s">
        <v>5372</v>
      </c>
      <c r="L57" s="4" t="s">
        <v>5372</v>
      </c>
      <c r="N57" s="7" t="s">
        <v>5597</v>
      </c>
      <c r="O57" s="7" t="s">
        <v>2342</v>
      </c>
      <c r="P57" s="6">
        <v>45691.0</v>
      </c>
      <c r="Q57" s="6">
        <v>46425.0</v>
      </c>
      <c r="R57" s="4" t="s">
        <v>5374</v>
      </c>
      <c r="S57" s="6">
        <v>45695.0</v>
      </c>
      <c r="T57" s="4">
        <v>0.0</v>
      </c>
      <c r="V57" s="4">
        <v>24.0</v>
      </c>
      <c r="X57" s="4" t="s">
        <v>5376</v>
      </c>
      <c r="Y57" s="4" t="s">
        <v>5381</v>
      </c>
      <c r="Z57" s="8">
        <v>1.0</v>
      </c>
      <c r="AA57" s="6">
        <v>57017.0</v>
      </c>
      <c r="AB57" s="4">
        <v>12.0</v>
      </c>
    </row>
    <row r="58" hidden="1">
      <c r="A58" s="4" t="s">
        <v>4365</v>
      </c>
      <c r="B58" s="4" t="s">
        <v>5598</v>
      </c>
      <c r="C58" s="4">
        <v>9.0</v>
      </c>
      <c r="D58" s="4" t="s">
        <v>1433</v>
      </c>
      <c r="E58" s="4" t="s">
        <v>2583</v>
      </c>
      <c r="F58" s="46">
        <v>45699.0</v>
      </c>
      <c r="H58" s="4" t="s">
        <v>5369</v>
      </c>
      <c r="I58" s="4" t="s">
        <v>5599</v>
      </c>
      <c r="K58" s="4" t="s">
        <v>5371</v>
      </c>
      <c r="L58" s="4" t="s">
        <v>5371</v>
      </c>
      <c r="N58" s="7" t="s">
        <v>5600</v>
      </c>
      <c r="O58" s="7" t="s">
        <v>2345</v>
      </c>
      <c r="P58" s="6">
        <v>45692.0</v>
      </c>
      <c r="Q58" s="6">
        <v>46026.0</v>
      </c>
      <c r="R58" s="4" t="s">
        <v>5374</v>
      </c>
      <c r="S58" s="6">
        <v>45699.0</v>
      </c>
      <c r="T58" s="4">
        <v>0.0</v>
      </c>
      <c r="V58" s="4">
        <v>48.0</v>
      </c>
      <c r="X58" s="4" t="s">
        <v>5376</v>
      </c>
      <c r="Y58" s="4" t="s">
        <v>5381</v>
      </c>
      <c r="Z58" s="8">
        <v>1074.0</v>
      </c>
      <c r="AA58" s="6">
        <v>45717.0</v>
      </c>
      <c r="AB58" s="4">
        <v>3.0</v>
      </c>
      <c r="AC58" s="4">
        <v>30.0</v>
      </c>
    </row>
    <row r="59" hidden="1">
      <c r="A59" s="4" t="s">
        <v>5601</v>
      </c>
      <c r="B59" s="4" t="s">
        <v>5602</v>
      </c>
      <c r="C59" s="4">
        <v>7.0</v>
      </c>
      <c r="D59" s="4" t="s">
        <v>1571</v>
      </c>
      <c r="E59" s="4" t="s">
        <v>5603</v>
      </c>
      <c r="F59" s="6">
        <v>45706.0</v>
      </c>
      <c r="G59" s="6"/>
      <c r="H59" s="4" t="s">
        <v>5512</v>
      </c>
      <c r="I59" s="4" t="s">
        <v>5385</v>
      </c>
      <c r="J59" s="4" t="s">
        <v>5604</v>
      </c>
      <c r="K59" s="4" t="s">
        <v>5371</v>
      </c>
      <c r="L59" s="4" t="s">
        <v>5371</v>
      </c>
      <c r="M59" s="4"/>
      <c r="N59" s="7" t="s">
        <v>5605</v>
      </c>
      <c r="O59" s="7" t="s">
        <v>2335</v>
      </c>
      <c r="R59" s="4" t="s">
        <v>5374</v>
      </c>
      <c r="S59" s="6">
        <v>45706.0</v>
      </c>
      <c r="T59" s="4">
        <v>0.0</v>
      </c>
      <c r="Z59" s="21"/>
      <c r="AC59" s="4">
        <v>20.0</v>
      </c>
    </row>
    <row r="60" hidden="1">
      <c r="A60" s="4" t="s">
        <v>5606</v>
      </c>
      <c r="B60" s="4" t="s">
        <v>1576</v>
      </c>
      <c r="C60" s="4">
        <v>7.0</v>
      </c>
      <c r="D60" s="4" t="s">
        <v>1575</v>
      </c>
      <c r="E60" s="4" t="s">
        <v>5607</v>
      </c>
      <c r="F60" s="6">
        <v>45708.0</v>
      </c>
      <c r="G60" s="6">
        <v>45771.0</v>
      </c>
      <c r="H60" s="4" t="s">
        <v>5419</v>
      </c>
      <c r="I60" s="4" t="s">
        <v>5475</v>
      </c>
      <c r="J60" s="4" t="s">
        <v>5608</v>
      </c>
      <c r="K60" s="4" t="s">
        <v>5371</v>
      </c>
      <c r="L60" s="4" t="s">
        <v>5372</v>
      </c>
      <c r="M60" s="4" t="s">
        <v>5491</v>
      </c>
      <c r="N60" s="7" t="s">
        <v>5609</v>
      </c>
      <c r="O60" s="7" t="s">
        <v>2335</v>
      </c>
      <c r="R60" s="4" t="s">
        <v>5374</v>
      </c>
      <c r="S60" s="6">
        <v>45708.0</v>
      </c>
      <c r="T60" s="4">
        <v>0.0</v>
      </c>
      <c r="Z60" s="21"/>
    </row>
    <row r="61" hidden="1">
      <c r="A61" s="4" t="s">
        <v>5610</v>
      </c>
      <c r="B61" s="4" t="s">
        <v>5611</v>
      </c>
      <c r="C61" s="4">
        <v>7.0</v>
      </c>
      <c r="D61" s="4" t="s">
        <v>1578</v>
      </c>
      <c r="E61" s="4" t="s">
        <v>5612</v>
      </c>
      <c r="F61" s="6">
        <v>45716.0</v>
      </c>
      <c r="G61" s="6">
        <v>45755.0</v>
      </c>
      <c r="H61" s="4" t="s">
        <v>5464</v>
      </c>
      <c r="I61" s="4" t="s">
        <v>5443</v>
      </c>
      <c r="K61" s="4" t="s">
        <v>5371</v>
      </c>
      <c r="L61" s="4" t="s">
        <v>5372</v>
      </c>
      <c r="M61" s="4" t="s">
        <v>5491</v>
      </c>
      <c r="N61" s="7" t="s">
        <v>5613</v>
      </c>
      <c r="O61" s="7" t="s">
        <v>2335</v>
      </c>
      <c r="R61" s="4" t="s">
        <v>5374</v>
      </c>
      <c r="S61" s="6">
        <v>45716.0</v>
      </c>
      <c r="T61" s="4">
        <v>0.0</v>
      </c>
      <c r="Z61" s="21"/>
    </row>
    <row r="62" hidden="1">
      <c r="A62" s="4" t="s">
        <v>5614</v>
      </c>
      <c r="B62" s="4" t="s">
        <v>5615</v>
      </c>
      <c r="C62" s="4">
        <v>7.0</v>
      </c>
      <c r="D62" s="4" t="s">
        <v>1580</v>
      </c>
      <c r="E62" s="4" t="s">
        <v>5616</v>
      </c>
      <c r="F62" s="6">
        <v>45726.0</v>
      </c>
      <c r="G62" s="6"/>
      <c r="H62" s="4" t="s">
        <v>5512</v>
      </c>
      <c r="I62" s="4" t="s">
        <v>5617</v>
      </c>
      <c r="K62" s="4" t="s">
        <v>5371</v>
      </c>
      <c r="L62" s="4" t="s">
        <v>5372</v>
      </c>
      <c r="M62" s="4"/>
      <c r="N62" s="7" t="s">
        <v>5618</v>
      </c>
      <c r="O62" s="7" t="s">
        <v>2335</v>
      </c>
      <c r="R62" s="4" t="s">
        <v>5374</v>
      </c>
      <c r="S62" s="6">
        <v>45726.0</v>
      </c>
      <c r="T62" s="4">
        <v>0.0</v>
      </c>
      <c r="Z62" s="21"/>
    </row>
    <row r="63" hidden="1">
      <c r="A63" s="4" t="s">
        <v>4403</v>
      </c>
      <c r="B63" s="4" t="s">
        <v>5619</v>
      </c>
      <c r="C63" s="4">
        <v>9.0</v>
      </c>
      <c r="D63" s="4" t="s">
        <v>1437</v>
      </c>
      <c r="E63" s="4" t="s">
        <v>2517</v>
      </c>
      <c r="F63" s="46">
        <v>45734.0</v>
      </c>
      <c r="H63" s="4" t="s">
        <v>5369</v>
      </c>
      <c r="I63" s="4" t="s">
        <v>5407</v>
      </c>
      <c r="K63" s="4" t="s">
        <v>5372</v>
      </c>
      <c r="L63" s="4" t="s">
        <v>5372</v>
      </c>
      <c r="N63" s="7" t="s">
        <v>5620</v>
      </c>
      <c r="O63" s="7" t="s">
        <v>2345</v>
      </c>
      <c r="P63" s="6">
        <v>45734.0</v>
      </c>
      <c r="Q63" s="6">
        <v>45887.0</v>
      </c>
      <c r="R63" s="4" t="s">
        <v>5374</v>
      </c>
      <c r="S63" s="6">
        <v>45734.0</v>
      </c>
      <c r="T63" s="4">
        <v>0.0</v>
      </c>
      <c r="V63" s="4">
        <v>13.0</v>
      </c>
      <c r="X63" s="4" t="s">
        <v>5376</v>
      </c>
      <c r="Y63" s="4" t="s">
        <v>5381</v>
      </c>
      <c r="Z63" s="8">
        <v>22.0</v>
      </c>
      <c r="AA63" s="6">
        <v>45887.0</v>
      </c>
      <c r="AB63" s="4">
        <v>3.0</v>
      </c>
    </row>
    <row r="64" hidden="1">
      <c r="A64" s="4" t="s">
        <v>5621</v>
      </c>
      <c r="B64" s="4" t="s">
        <v>1586</v>
      </c>
      <c r="C64" s="4">
        <v>7.0</v>
      </c>
      <c r="D64" s="4" t="s">
        <v>1584</v>
      </c>
      <c r="E64" s="4" t="s">
        <v>5622</v>
      </c>
      <c r="F64" s="6">
        <v>45742.0</v>
      </c>
      <c r="G64" s="6">
        <v>45810.0</v>
      </c>
      <c r="H64" s="4" t="s">
        <v>5512</v>
      </c>
      <c r="I64" s="4" t="s">
        <v>5427</v>
      </c>
      <c r="K64" s="4" t="s">
        <v>5372</v>
      </c>
      <c r="L64" s="4" t="s">
        <v>5371</v>
      </c>
      <c r="M64" s="4" t="s">
        <v>5477</v>
      </c>
      <c r="N64" s="7" t="s">
        <v>5623</v>
      </c>
      <c r="O64" s="7" t="s">
        <v>2335</v>
      </c>
      <c r="R64" s="4" t="s">
        <v>5374</v>
      </c>
      <c r="S64" s="6">
        <v>45742.0</v>
      </c>
      <c r="T64" s="4">
        <v>0.0</v>
      </c>
      <c r="Z64" s="21"/>
      <c r="AC64" s="4">
        <v>20.0</v>
      </c>
    </row>
    <row r="65" hidden="1">
      <c r="A65" s="4" t="s">
        <v>5624</v>
      </c>
      <c r="B65" s="4" t="s">
        <v>5625</v>
      </c>
      <c r="C65" s="4">
        <v>7.0</v>
      </c>
      <c r="D65" s="4" t="s">
        <v>1419</v>
      </c>
      <c r="E65" s="4" t="s">
        <v>3998</v>
      </c>
      <c r="F65" s="6">
        <v>45744.0</v>
      </c>
      <c r="G65" s="6"/>
      <c r="H65" s="4" t="s">
        <v>5419</v>
      </c>
      <c r="I65" s="4" t="s">
        <v>5626</v>
      </c>
      <c r="K65" s="4" t="s">
        <v>5371</v>
      </c>
      <c r="L65" s="4" t="s">
        <v>5372</v>
      </c>
      <c r="M65" s="4"/>
      <c r="N65" s="7" t="s">
        <v>5627</v>
      </c>
      <c r="O65" s="7" t="s">
        <v>2335</v>
      </c>
      <c r="R65" s="4" t="s">
        <v>5374</v>
      </c>
      <c r="S65" s="6">
        <v>45744.0</v>
      </c>
      <c r="T65" s="4">
        <v>0.0</v>
      </c>
      <c r="Z65" s="21"/>
    </row>
    <row r="66" hidden="1">
      <c r="A66" s="4" t="s">
        <v>2225</v>
      </c>
      <c r="B66" s="4" t="s">
        <v>5628</v>
      </c>
      <c r="C66" s="4">
        <v>9.0</v>
      </c>
      <c r="D66" s="4" t="s">
        <v>1587</v>
      </c>
      <c r="E66" s="4" t="s">
        <v>4425</v>
      </c>
      <c r="F66" s="6">
        <v>45744.0</v>
      </c>
      <c r="G66" s="6"/>
      <c r="H66" s="4" t="s">
        <v>5512</v>
      </c>
      <c r="I66" s="4" t="s">
        <v>5475</v>
      </c>
      <c r="K66" s="4" t="s">
        <v>5371</v>
      </c>
      <c r="L66" s="4" t="s">
        <v>5372</v>
      </c>
      <c r="M66" s="4"/>
      <c r="N66" s="7" t="s">
        <v>5629</v>
      </c>
      <c r="O66" s="7" t="s">
        <v>2345</v>
      </c>
      <c r="P66" s="6">
        <v>45761.0</v>
      </c>
      <c r="Q66" s="6">
        <v>46126.0</v>
      </c>
      <c r="R66" s="4" t="s">
        <v>5374</v>
      </c>
      <c r="S66" s="6">
        <v>45744.0</v>
      </c>
      <c r="T66" s="4">
        <v>0.0</v>
      </c>
      <c r="V66" s="4">
        <v>24.0</v>
      </c>
      <c r="X66" s="4" t="s">
        <v>5630</v>
      </c>
      <c r="Y66" s="4" t="s">
        <v>5631</v>
      </c>
      <c r="Z66" s="8">
        <v>423.0</v>
      </c>
      <c r="AA66" s="6">
        <v>46766.0</v>
      </c>
      <c r="AB66" s="4">
        <v>3.0</v>
      </c>
    </row>
    <row r="67" hidden="1">
      <c r="A67" s="4" t="s">
        <v>5632</v>
      </c>
      <c r="B67" s="4" t="s">
        <v>5633</v>
      </c>
      <c r="C67" s="4">
        <v>7.0</v>
      </c>
      <c r="D67" s="4" t="s">
        <v>1590</v>
      </c>
      <c r="E67" s="4" t="s">
        <v>5634</v>
      </c>
      <c r="F67" s="6">
        <v>45751.0</v>
      </c>
      <c r="G67" s="6"/>
      <c r="H67" s="4" t="s">
        <v>5512</v>
      </c>
      <c r="I67" s="4" t="s">
        <v>5635</v>
      </c>
      <c r="K67" s="4" t="s">
        <v>5371</v>
      </c>
      <c r="L67" s="4" t="s">
        <v>5371</v>
      </c>
      <c r="M67" s="4"/>
      <c r="N67" s="7" t="s">
        <v>5636</v>
      </c>
      <c r="O67" s="7" t="s">
        <v>2335</v>
      </c>
      <c r="R67" s="4" t="s">
        <v>5374</v>
      </c>
      <c r="S67" s="6">
        <v>45751.0</v>
      </c>
      <c r="T67" s="4">
        <v>0.0</v>
      </c>
      <c r="Z67" s="21"/>
      <c r="AC67" s="4">
        <v>20.0</v>
      </c>
    </row>
    <row r="68" hidden="1">
      <c r="A68" s="4" t="s">
        <v>5637</v>
      </c>
      <c r="B68" s="4" t="s">
        <v>5638</v>
      </c>
      <c r="C68" s="4">
        <v>7.0</v>
      </c>
      <c r="D68" s="4" t="s">
        <v>1593</v>
      </c>
      <c r="E68" s="4" t="s">
        <v>5639</v>
      </c>
      <c r="F68" s="6">
        <v>45751.0</v>
      </c>
      <c r="G68" s="6"/>
      <c r="H68" s="4" t="s">
        <v>5512</v>
      </c>
      <c r="I68" s="4" t="s">
        <v>5438</v>
      </c>
      <c r="K68" s="4" t="s">
        <v>5371</v>
      </c>
      <c r="L68" s="4" t="s">
        <v>5371</v>
      </c>
      <c r="M68" s="4"/>
      <c r="N68" s="7" t="s">
        <v>5640</v>
      </c>
      <c r="O68" s="7" t="s">
        <v>2335</v>
      </c>
      <c r="R68" s="4" t="s">
        <v>26</v>
      </c>
      <c r="S68" s="6">
        <v>45751.0</v>
      </c>
      <c r="T68" s="4">
        <v>9.0</v>
      </c>
      <c r="U68" s="4" t="s">
        <v>5399</v>
      </c>
      <c r="Z68" s="21"/>
    </row>
    <row r="69" hidden="1">
      <c r="A69" s="4" t="s">
        <v>4444</v>
      </c>
      <c r="B69" s="4" t="s">
        <v>1597</v>
      </c>
      <c r="C69" s="4">
        <v>9.0</v>
      </c>
      <c r="D69" s="4" t="s">
        <v>1596</v>
      </c>
      <c r="E69" s="4" t="s">
        <v>4441</v>
      </c>
      <c r="F69" s="6">
        <v>45762.0</v>
      </c>
      <c r="G69" s="6"/>
      <c r="H69" s="4" t="s">
        <v>5512</v>
      </c>
      <c r="I69" s="4" t="s">
        <v>5438</v>
      </c>
      <c r="K69" s="4" t="s">
        <v>5372</v>
      </c>
      <c r="L69" s="4" t="s">
        <v>5372</v>
      </c>
      <c r="M69" s="4"/>
      <c r="N69" s="7" t="s">
        <v>5641</v>
      </c>
      <c r="O69" s="7" t="s">
        <v>2345</v>
      </c>
      <c r="P69" s="6">
        <v>45769.0</v>
      </c>
      <c r="Q69" s="6">
        <v>45983.0</v>
      </c>
      <c r="R69" s="4" t="s">
        <v>26</v>
      </c>
      <c r="S69" s="6">
        <v>45762.0</v>
      </c>
      <c r="T69" s="4">
        <v>9.0</v>
      </c>
      <c r="U69" s="4" t="s">
        <v>5399</v>
      </c>
      <c r="V69" s="4">
        <v>24.0</v>
      </c>
      <c r="X69" s="4" t="s">
        <v>5376</v>
      </c>
      <c r="Y69" s="4" t="s">
        <v>5381</v>
      </c>
      <c r="Z69" s="8">
        <v>436.0</v>
      </c>
      <c r="AA69" s="6">
        <v>46409.0</v>
      </c>
      <c r="AB69" s="4">
        <v>3.0</v>
      </c>
    </row>
    <row r="70" hidden="1">
      <c r="A70" s="4" t="s">
        <v>5642</v>
      </c>
      <c r="B70" s="4" t="s">
        <v>5643</v>
      </c>
      <c r="C70" s="4">
        <v>7.0</v>
      </c>
      <c r="D70" s="4" t="s">
        <v>1599</v>
      </c>
      <c r="E70" s="4" t="s">
        <v>5644</v>
      </c>
      <c r="F70" s="6">
        <v>45768.0</v>
      </c>
      <c r="G70" s="6"/>
      <c r="H70" s="4" t="s">
        <v>5512</v>
      </c>
      <c r="I70" s="4" t="s">
        <v>5475</v>
      </c>
      <c r="K70" s="4" t="s">
        <v>5371</v>
      </c>
      <c r="L70" s="4" t="s">
        <v>5372</v>
      </c>
      <c r="M70" s="4"/>
      <c r="N70" s="7" t="s">
        <v>5645</v>
      </c>
      <c r="O70" s="7" t="s">
        <v>2335</v>
      </c>
      <c r="R70" s="4" t="s">
        <v>26</v>
      </c>
      <c r="S70" s="6">
        <v>45768.0</v>
      </c>
      <c r="T70" s="4">
        <v>9.0</v>
      </c>
      <c r="U70" s="4" t="s">
        <v>5399</v>
      </c>
      <c r="Z70" s="21"/>
      <c r="AC70" s="4">
        <v>20.0</v>
      </c>
    </row>
    <row r="71" hidden="1">
      <c r="A71" s="4" t="s">
        <v>4466</v>
      </c>
      <c r="B71" s="4" t="s">
        <v>1603</v>
      </c>
      <c r="C71" s="4">
        <v>9.0</v>
      </c>
      <c r="D71" s="4" t="s">
        <v>1602</v>
      </c>
      <c r="E71" s="4" t="s">
        <v>4461</v>
      </c>
      <c r="F71" s="6">
        <v>45776.0</v>
      </c>
      <c r="H71" s="4" t="s">
        <v>5512</v>
      </c>
      <c r="I71" s="4" t="s">
        <v>5397</v>
      </c>
      <c r="K71" s="4" t="s">
        <v>5371</v>
      </c>
      <c r="L71" s="4" t="s">
        <v>5372</v>
      </c>
      <c r="N71" s="7" t="s">
        <v>5646</v>
      </c>
      <c r="O71" s="7" t="s">
        <v>2345</v>
      </c>
      <c r="P71" s="6">
        <v>45783.0</v>
      </c>
      <c r="Q71" s="6">
        <v>45844.0</v>
      </c>
      <c r="R71" s="4" t="s">
        <v>5374</v>
      </c>
      <c r="S71" s="6">
        <v>45776.0</v>
      </c>
      <c r="T71" s="4">
        <v>0.0</v>
      </c>
      <c r="V71" s="4">
        <v>24.0</v>
      </c>
      <c r="X71" s="4" t="s">
        <v>5376</v>
      </c>
      <c r="Y71" s="4" t="s">
        <v>5381</v>
      </c>
      <c r="Z71" s="8">
        <v>490.0</v>
      </c>
      <c r="AA71" s="6">
        <v>45967.0</v>
      </c>
      <c r="AB71" s="4">
        <v>3.0</v>
      </c>
    </row>
    <row r="72">
      <c r="A72" s="4" t="s">
        <v>4488</v>
      </c>
      <c r="B72" s="4" t="s">
        <v>5647</v>
      </c>
      <c r="C72" s="4">
        <v>9.0</v>
      </c>
      <c r="D72" s="4" t="s">
        <v>1606</v>
      </c>
      <c r="E72" s="4" t="s">
        <v>4486</v>
      </c>
      <c r="F72" s="6">
        <v>45785.0</v>
      </c>
      <c r="H72" s="4" t="s">
        <v>5512</v>
      </c>
      <c r="I72" s="4" t="s">
        <v>5385</v>
      </c>
      <c r="K72" s="4" t="s">
        <v>5372</v>
      </c>
      <c r="L72" s="4" t="s">
        <v>5371</v>
      </c>
      <c r="N72" s="7" t="s">
        <v>5648</v>
      </c>
      <c r="O72" s="7" t="s">
        <v>2345</v>
      </c>
      <c r="P72" s="6">
        <v>45819.0</v>
      </c>
      <c r="Q72" s="6">
        <v>46099.0</v>
      </c>
      <c r="R72" s="4" t="s">
        <v>26</v>
      </c>
      <c r="S72" s="6">
        <v>45785.0</v>
      </c>
      <c r="T72" s="4">
        <v>9.0</v>
      </c>
      <c r="V72" s="4">
        <v>18.0</v>
      </c>
      <c r="X72" s="4" t="s">
        <v>5376</v>
      </c>
      <c r="Y72" s="4" t="s">
        <v>5381</v>
      </c>
      <c r="Z72" s="8">
        <v>328.0</v>
      </c>
      <c r="AA72" s="6">
        <v>46042.0</v>
      </c>
      <c r="AB72" s="4">
        <v>4.0</v>
      </c>
      <c r="AC72" s="4">
        <v>20.0</v>
      </c>
    </row>
    <row r="73" hidden="1">
      <c r="A73" s="4" t="s">
        <v>5649</v>
      </c>
      <c r="B73" s="4" t="s">
        <v>5650</v>
      </c>
      <c r="D73" s="4" t="s">
        <v>1471</v>
      </c>
      <c r="E73" s="4" t="s">
        <v>2528</v>
      </c>
      <c r="F73" s="6">
        <v>45785.0</v>
      </c>
      <c r="H73" s="4" t="s">
        <v>5369</v>
      </c>
      <c r="I73" s="4" t="s">
        <v>5370</v>
      </c>
      <c r="K73" s="4" t="s">
        <v>5372</v>
      </c>
      <c r="L73" s="4" t="s">
        <v>5371</v>
      </c>
      <c r="R73" s="4" t="s">
        <v>5374</v>
      </c>
      <c r="S73" s="6">
        <v>45785.0</v>
      </c>
      <c r="T73" s="4">
        <v>0.0</v>
      </c>
      <c r="Z73" s="21"/>
      <c r="AC73" s="4">
        <v>15.0</v>
      </c>
    </row>
    <row r="74" hidden="1">
      <c r="A74" s="4" t="s">
        <v>5651</v>
      </c>
      <c r="B74" s="4" t="s">
        <v>5652</v>
      </c>
      <c r="C74" s="4">
        <v>9.0</v>
      </c>
      <c r="D74" s="4" t="s">
        <v>1471</v>
      </c>
      <c r="E74" s="4" t="s">
        <v>2528</v>
      </c>
      <c r="F74" s="6">
        <v>45785.0</v>
      </c>
      <c r="H74" s="4" t="s">
        <v>5369</v>
      </c>
      <c r="I74" s="4" t="s">
        <v>5370</v>
      </c>
      <c r="K74" s="4" t="s">
        <v>5372</v>
      </c>
      <c r="L74" s="4" t="s">
        <v>5371</v>
      </c>
      <c r="N74" s="7" t="s">
        <v>5653</v>
      </c>
      <c r="O74" s="7" t="s">
        <v>2345</v>
      </c>
      <c r="P74" s="6">
        <v>45762.0</v>
      </c>
      <c r="Q74" s="6">
        <v>45792.0</v>
      </c>
      <c r="R74" s="4" t="s">
        <v>5374</v>
      </c>
      <c r="S74" s="6">
        <v>45785.0</v>
      </c>
      <c r="T74" s="4">
        <v>0.0</v>
      </c>
      <c r="V74" s="4">
        <v>16.0</v>
      </c>
      <c r="X74" s="4" t="s">
        <v>5376</v>
      </c>
      <c r="Y74" s="4" t="s">
        <v>5381</v>
      </c>
      <c r="Z74" s="8">
        <v>331.0</v>
      </c>
      <c r="AA74" s="6">
        <v>45792.0</v>
      </c>
      <c r="AB74" s="4">
        <v>1.0</v>
      </c>
    </row>
    <row r="75" hidden="1">
      <c r="A75" s="4" t="s">
        <v>82</v>
      </c>
      <c r="B75" s="4" t="s">
        <v>1611</v>
      </c>
      <c r="C75" s="4">
        <v>8.0</v>
      </c>
      <c r="D75" s="4" t="s">
        <v>1610</v>
      </c>
      <c r="E75" s="4" t="s">
        <v>4492</v>
      </c>
      <c r="F75" s="6">
        <v>45789.0</v>
      </c>
      <c r="G75" s="6"/>
      <c r="H75" s="4" t="s">
        <v>5512</v>
      </c>
      <c r="I75" s="4" t="s">
        <v>5654</v>
      </c>
      <c r="K75" s="4" t="s">
        <v>5371</v>
      </c>
      <c r="L75" s="4" t="s">
        <v>5371</v>
      </c>
      <c r="M75" s="4"/>
      <c r="N75" s="7" t="s">
        <v>5655</v>
      </c>
      <c r="O75" s="7" t="s">
        <v>2342</v>
      </c>
      <c r="P75" s="6">
        <v>45826.0</v>
      </c>
      <c r="Q75" s="6">
        <v>46130.0</v>
      </c>
      <c r="R75" s="4" t="s">
        <v>26</v>
      </c>
      <c r="S75" s="6">
        <v>45789.0</v>
      </c>
      <c r="T75" s="4">
        <v>9.0</v>
      </c>
      <c r="U75" s="4" t="s">
        <v>5399</v>
      </c>
      <c r="V75" s="4">
        <v>40.0</v>
      </c>
      <c r="X75" s="4" t="s">
        <v>5376</v>
      </c>
      <c r="Y75" s="4" t="s">
        <v>5381</v>
      </c>
      <c r="Z75" s="8">
        <v>660.0</v>
      </c>
      <c r="AA75" s="6">
        <v>46283.0</v>
      </c>
      <c r="AB75" s="4">
        <v>3.0</v>
      </c>
      <c r="AC75" s="4">
        <v>20.0</v>
      </c>
    </row>
    <row r="76" hidden="1">
      <c r="A76" s="4" t="s">
        <v>4458</v>
      </c>
      <c r="B76" s="4" t="s">
        <v>5656</v>
      </c>
      <c r="C76" s="4">
        <v>8.0</v>
      </c>
      <c r="D76" s="4" t="s">
        <v>1426</v>
      </c>
      <c r="E76" s="4" t="s">
        <v>2265</v>
      </c>
      <c r="F76" s="6">
        <v>45796.0</v>
      </c>
      <c r="H76" s="4" t="s">
        <v>5369</v>
      </c>
      <c r="I76" s="4" t="s">
        <v>5370</v>
      </c>
      <c r="K76" s="4" t="s">
        <v>5371</v>
      </c>
      <c r="L76" s="4" t="s">
        <v>5371</v>
      </c>
      <c r="N76" s="7" t="s">
        <v>5657</v>
      </c>
      <c r="O76" s="7" t="s">
        <v>2342</v>
      </c>
      <c r="P76" s="6">
        <v>45783.0</v>
      </c>
      <c r="Q76" s="6">
        <v>46148.0</v>
      </c>
      <c r="R76" s="4" t="s">
        <v>5374</v>
      </c>
      <c r="S76" s="6">
        <v>45796.0</v>
      </c>
      <c r="T76" s="4">
        <v>0.0</v>
      </c>
      <c r="V76" s="4">
        <v>30.0</v>
      </c>
      <c r="X76" s="4" t="s">
        <v>5376</v>
      </c>
      <c r="Y76" s="4" t="s">
        <v>5381</v>
      </c>
      <c r="Z76" s="8">
        <v>408.0</v>
      </c>
      <c r="AA76" s="6">
        <v>46119.0</v>
      </c>
      <c r="AB76" s="4">
        <v>1.0</v>
      </c>
      <c r="AC76" s="4">
        <v>20.0</v>
      </c>
    </row>
    <row r="77" hidden="1">
      <c r="A77" s="4" t="s">
        <v>5658</v>
      </c>
      <c r="B77" s="4" t="s">
        <v>5659</v>
      </c>
      <c r="C77" s="4">
        <v>7.0</v>
      </c>
      <c r="D77" s="4" t="s">
        <v>1614</v>
      </c>
      <c r="E77" s="4" t="s">
        <v>5660</v>
      </c>
      <c r="F77" s="6">
        <v>45798.0</v>
      </c>
      <c r="G77" s="6"/>
      <c r="H77" s="4" t="s">
        <v>5661</v>
      </c>
      <c r="I77" s="4" t="s">
        <v>5475</v>
      </c>
      <c r="K77" s="4" t="s">
        <v>5371</v>
      </c>
      <c r="L77" s="4" t="s">
        <v>5371</v>
      </c>
      <c r="M77" s="4"/>
      <c r="N77" s="7" t="s">
        <v>5662</v>
      </c>
      <c r="O77" s="7" t="s">
        <v>2335</v>
      </c>
      <c r="R77" s="4" t="s">
        <v>26</v>
      </c>
      <c r="S77" s="6">
        <v>45798.0</v>
      </c>
      <c r="T77" s="4">
        <v>9.0</v>
      </c>
      <c r="U77" s="4" t="s">
        <v>5399</v>
      </c>
      <c r="Z77" s="21"/>
      <c r="AC77" s="4">
        <v>20.0</v>
      </c>
    </row>
    <row r="78" hidden="1">
      <c r="A78" s="4" t="s">
        <v>5663</v>
      </c>
      <c r="B78" s="4" t="s">
        <v>5664</v>
      </c>
      <c r="C78" s="4">
        <v>7.0</v>
      </c>
      <c r="D78" s="4" t="s">
        <v>1535</v>
      </c>
      <c r="E78" s="4" t="s">
        <v>5665</v>
      </c>
      <c r="F78" s="6">
        <v>45798.0</v>
      </c>
      <c r="G78" s="6"/>
      <c r="H78" s="4" t="s">
        <v>5419</v>
      </c>
      <c r="I78" s="4" t="s">
        <v>5666</v>
      </c>
      <c r="J78" s="4" t="s">
        <v>5667</v>
      </c>
      <c r="K78" s="4" t="s">
        <v>5371</v>
      </c>
      <c r="L78" s="4" t="s">
        <v>5371</v>
      </c>
      <c r="M78" s="4" t="s">
        <v>5477</v>
      </c>
      <c r="N78" s="7" t="s">
        <v>5668</v>
      </c>
      <c r="O78" s="7" t="s">
        <v>2335</v>
      </c>
      <c r="R78" s="4" t="s">
        <v>5374</v>
      </c>
      <c r="S78" s="6">
        <v>45798.0</v>
      </c>
      <c r="T78" s="4">
        <v>0.0</v>
      </c>
      <c r="Z78" s="21"/>
    </row>
    <row r="79" hidden="1">
      <c r="A79" s="4" t="s">
        <v>4515</v>
      </c>
      <c r="B79" s="4" t="s">
        <v>1617</v>
      </c>
      <c r="C79" s="4">
        <v>8.0</v>
      </c>
      <c r="D79" s="4" t="s">
        <v>1616</v>
      </c>
      <c r="E79" s="4" t="s">
        <v>4512</v>
      </c>
      <c r="F79" s="6">
        <v>45805.0</v>
      </c>
      <c r="G79" s="6"/>
      <c r="H79" s="4" t="s">
        <v>5419</v>
      </c>
      <c r="I79" s="4" t="s">
        <v>5402</v>
      </c>
      <c r="J79" s="4" t="s">
        <v>5669</v>
      </c>
      <c r="K79" s="4" t="s">
        <v>5371</v>
      </c>
      <c r="L79" s="4" t="s">
        <v>5371</v>
      </c>
      <c r="M79" s="4"/>
      <c r="N79" s="7" t="s">
        <v>5670</v>
      </c>
      <c r="O79" s="7" t="s">
        <v>2342</v>
      </c>
      <c r="P79" s="6">
        <v>45846.0</v>
      </c>
      <c r="Q79" s="6">
        <v>46120.0</v>
      </c>
      <c r="R79" s="4" t="s">
        <v>5374</v>
      </c>
      <c r="S79" s="6">
        <v>45805.0</v>
      </c>
      <c r="T79" s="4">
        <v>0.0</v>
      </c>
      <c r="V79" s="4">
        <v>40.0</v>
      </c>
      <c r="X79" s="4" t="s">
        <v>5376</v>
      </c>
      <c r="Y79" s="4" t="s">
        <v>5381</v>
      </c>
      <c r="Z79" s="8">
        <v>835.0</v>
      </c>
      <c r="AA79" s="6">
        <v>46395.0</v>
      </c>
      <c r="AB79" s="4">
        <v>3.0</v>
      </c>
    </row>
    <row r="80" hidden="1">
      <c r="A80" s="4" t="s">
        <v>5671</v>
      </c>
      <c r="B80" s="4" t="s">
        <v>5672</v>
      </c>
      <c r="C80" s="4">
        <v>7.0</v>
      </c>
      <c r="D80" s="4" t="s">
        <v>1491</v>
      </c>
      <c r="E80" s="7" t="s">
        <v>2425</v>
      </c>
      <c r="F80" s="6">
        <v>45833.0</v>
      </c>
      <c r="G80" s="6"/>
      <c r="H80" s="4" t="s">
        <v>5369</v>
      </c>
      <c r="I80" s="4" t="s">
        <v>5654</v>
      </c>
      <c r="J80" s="4" t="s">
        <v>5673</v>
      </c>
      <c r="K80" s="4" t="s">
        <v>5372</v>
      </c>
      <c r="L80" s="4" t="s">
        <v>5433</v>
      </c>
      <c r="M80" s="4"/>
      <c r="N80" s="7" t="s">
        <v>5674</v>
      </c>
      <c r="O80" s="7" t="s">
        <v>2335</v>
      </c>
      <c r="R80" s="4" t="s">
        <v>5374</v>
      </c>
      <c r="S80" s="6">
        <v>45833.0</v>
      </c>
      <c r="T80" s="4">
        <v>0.0</v>
      </c>
      <c r="Z80" s="21"/>
      <c r="AC80" s="4">
        <v>20.0</v>
      </c>
    </row>
    <row r="81" hidden="1">
      <c r="A81" s="4" t="s">
        <v>4504</v>
      </c>
      <c r="B81" s="4" t="s">
        <v>5675</v>
      </c>
      <c r="C81" s="4">
        <v>8.0</v>
      </c>
      <c r="D81" s="4" t="s">
        <v>1559</v>
      </c>
      <c r="E81" s="4" t="s">
        <v>4207</v>
      </c>
      <c r="F81" s="6">
        <v>45839.0</v>
      </c>
      <c r="H81" s="4" t="s">
        <v>5369</v>
      </c>
      <c r="I81" s="4" t="s">
        <v>5676</v>
      </c>
      <c r="K81" s="4" t="s">
        <v>5371</v>
      </c>
      <c r="L81" s="4" t="s">
        <v>5371</v>
      </c>
      <c r="N81" s="7" t="s">
        <v>5677</v>
      </c>
      <c r="O81" s="7" t="s">
        <v>2342</v>
      </c>
      <c r="P81" s="6">
        <v>45839.0</v>
      </c>
      <c r="Q81" s="6">
        <v>46143.0</v>
      </c>
      <c r="R81" s="4" t="s">
        <v>5374</v>
      </c>
      <c r="S81" s="6">
        <v>45839.0</v>
      </c>
      <c r="T81" s="4">
        <v>0.0</v>
      </c>
      <c r="V81" s="4">
        <v>32.0</v>
      </c>
      <c r="X81" s="4" t="s">
        <v>5376</v>
      </c>
      <c r="Y81" s="4" t="s">
        <v>5381</v>
      </c>
      <c r="Z81" s="8">
        <v>605.0</v>
      </c>
      <c r="AA81" s="6">
        <v>46661.0</v>
      </c>
      <c r="AB81" s="4">
        <v>3.0</v>
      </c>
      <c r="AC81" s="4">
        <v>20.0</v>
      </c>
    </row>
    <row r="82" hidden="1">
      <c r="A82" s="4" t="s">
        <v>4521</v>
      </c>
      <c r="B82" s="4" t="s">
        <v>5678</v>
      </c>
      <c r="C82" s="4">
        <v>8.0</v>
      </c>
      <c r="D82" s="4" t="s">
        <v>1491</v>
      </c>
      <c r="E82" s="7" t="s">
        <v>2425</v>
      </c>
      <c r="F82" s="6">
        <v>45846.0</v>
      </c>
      <c r="H82" s="4" t="s">
        <v>5369</v>
      </c>
      <c r="I82" s="4" t="s">
        <v>5475</v>
      </c>
      <c r="K82" s="4" t="s">
        <v>5372</v>
      </c>
      <c r="L82" s="4" t="s">
        <v>5372</v>
      </c>
      <c r="N82" s="7" t="s">
        <v>5679</v>
      </c>
      <c r="O82" s="7" t="s">
        <v>2342</v>
      </c>
      <c r="P82" s="6">
        <v>45851.0</v>
      </c>
      <c r="Q82" s="6">
        <v>46125.0</v>
      </c>
      <c r="R82" s="4" t="s">
        <v>5374</v>
      </c>
      <c r="S82" s="6">
        <v>45846.0</v>
      </c>
      <c r="T82" s="4">
        <v>0.0</v>
      </c>
      <c r="V82" s="4">
        <v>13.0</v>
      </c>
      <c r="X82" s="4" t="s">
        <v>5376</v>
      </c>
      <c r="Y82" s="4" t="s">
        <v>5381</v>
      </c>
      <c r="Z82" s="8">
        <v>286.0</v>
      </c>
      <c r="AA82" s="6">
        <v>46753.0</v>
      </c>
      <c r="AB82" s="4">
        <v>3.0</v>
      </c>
      <c r="AC82" s="4">
        <v>20.0</v>
      </c>
    </row>
    <row r="83" hidden="1">
      <c r="A83" s="4" t="s">
        <v>5680</v>
      </c>
      <c r="B83" s="4" t="s">
        <v>1621</v>
      </c>
      <c r="C83" s="4">
        <v>7.0</v>
      </c>
      <c r="D83" s="4" t="s">
        <v>1620</v>
      </c>
      <c r="E83" s="4" t="s">
        <v>5681</v>
      </c>
      <c r="F83" s="6">
        <v>45849.0</v>
      </c>
      <c r="G83" s="6"/>
      <c r="H83" s="4" t="s">
        <v>5369</v>
      </c>
      <c r="I83" s="4" t="s">
        <v>5397</v>
      </c>
      <c r="J83" s="4" t="s">
        <v>5682</v>
      </c>
      <c r="K83" s="4" t="s">
        <v>5371</v>
      </c>
      <c r="L83" s="4" t="s">
        <v>5372</v>
      </c>
      <c r="M83" s="4"/>
      <c r="N83" s="7" t="s">
        <v>5683</v>
      </c>
      <c r="O83" s="7" t="s">
        <v>2335</v>
      </c>
      <c r="R83" s="4" t="s">
        <v>5374</v>
      </c>
      <c r="S83" s="6">
        <v>45849.0</v>
      </c>
      <c r="T83" s="4">
        <v>0.0</v>
      </c>
      <c r="Z83" s="21"/>
      <c r="AC83" s="4">
        <v>20.0</v>
      </c>
    </row>
    <row r="84" hidden="1">
      <c r="A84" s="4" t="s">
        <v>4500</v>
      </c>
      <c r="B84" s="4" t="s">
        <v>5684</v>
      </c>
      <c r="C84" s="4">
        <v>8.0</v>
      </c>
      <c r="D84" s="4" t="s">
        <v>1437</v>
      </c>
      <c r="E84" s="4" t="s">
        <v>2589</v>
      </c>
      <c r="F84" s="6">
        <v>45852.0</v>
      </c>
      <c r="H84" s="4" t="s">
        <v>5419</v>
      </c>
      <c r="I84" s="4" t="s">
        <v>5402</v>
      </c>
      <c r="K84" s="4" t="s">
        <v>5371</v>
      </c>
      <c r="L84" s="4" t="s">
        <v>5372</v>
      </c>
      <c r="N84" s="7" t="s">
        <v>5685</v>
      </c>
      <c r="O84" s="7" t="s">
        <v>2342</v>
      </c>
      <c r="P84" s="6">
        <v>45831.0</v>
      </c>
      <c r="Q84" s="6">
        <v>46135.0</v>
      </c>
      <c r="R84" s="4" t="s">
        <v>5374</v>
      </c>
      <c r="S84" s="6">
        <v>45852.0</v>
      </c>
      <c r="T84" s="4">
        <v>0.0</v>
      </c>
      <c r="V84" s="4">
        <v>0.0</v>
      </c>
      <c r="X84" s="4" t="s">
        <v>5376</v>
      </c>
      <c r="Y84" s="4" t="s">
        <v>5381</v>
      </c>
      <c r="Z84" s="8">
        <v>209.0</v>
      </c>
      <c r="AA84" s="6">
        <v>46561.0</v>
      </c>
      <c r="AB84" s="4">
        <v>3.0</v>
      </c>
      <c r="AC84" s="4"/>
    </row>
    <row r="85" hidden="1">
      <c r="A85" s="4" t="s">
        <v>4508</v>
      </c>
      <c r="B85" s="4" t="s">
        <v>5686</v>
      </c>
      <c r="C85" s="4">
        <v>9.0</v>
      </c>
      <c r="D85" s="4" t="s">
        <v>1539</v>
      </c>
      <c r="E85" s="4" t="s">
        <v>2782</v>
      </c>
      <c r="F85" s="6">
        <v>45860.0</v>
      </c>
      <c r="H85" s="4" t="s">
        <v>5369</v>
      </c>
      <c r="I85" s="4" t="s">
        <v>5370</v>
      </c>
      <c r="K85" s="4" t="s">
        <v>5372</v>
      </c>
      <c r="L85" s="4" t="s">
        <v>5372</v>
      </c>
      <c r="N85" s="7" t="s">
        <v>5687</v>
      </c>
      <c r="O85" s="7" t="s">
        <v>2345</v>
      </c>
      <c r="P85" s="6">
        <v>45845.0</v>
      </c>
      <c r="Q85" s="6">
        <v>46060.0</v>
      </c>
      <c r="R85" s="4" t="s">
        <v>5374</v>
      </c>
      <c r="S85" s="6">
        <v>45860.0</v>
      </c>
      <c r="T85" s="4">
        <v>0.0</v>
      </c>
      <c r="V85" s="4">
        <v>16.0</v>
      </c>
      <c r="X85" s="4" t="s">
        <v>5376</v>
      </c>
      <c r="Z85" s="8">
        <v>286.0</v>
      </c>
      <c r="AA85" s="6">
        <v>46119.0</v>
      </c>
      <c r="AB85" s="4">
        <v>3.0</v>
      </c>
    </row>
    <row r="86" hidden="1">
      <c r="A86" s="4" t="s">
        <v>5688</v>
      </c>
      <c r="B86" s="4" t="s">
        <v>1623</v>
      </c>
      <c r="C86" s="4">
        <v>7.0</v>
      </c>
      <c r="D86" s="4" t="s">
        <v>1622</v>
      </c>
      <c r="E86" s="4" t="s">
        <v>5689</v>
      </c>
      <c r="F86" s="6">
        <v>45869.0</v>
      </c>
      <c r="G86" s="6"/>
      <c r="H86" s="4" t="s">
        <v>5512</v>
      </c>
      <c r="I86" s="4" t="s">
        <v>5690</v>
      </c>
      <c r="K86" s="4" t="s">
        <v>5372</v>
      </c>
      <c r="L86" s="4" t="s">
        <v>5371</v>
      </c>
      <c r="M86" s="4"/>
      <c r="N86" s="7" t="s">
        <v>5691</v>
      </c>
      <c r="O86" s="7" t="s">
        <v>2335</v>
      </c>
      <c r="R86" s="4" t="s">
        <v>5374</v>
      </c>
      <c r="S86" s="6">
        <v>45869.0</v>
      </c>
      <c r="T86" s="4">
        <v>0.0</v>
      </c>
      <c r="Z86" s="21"/>
      <c r="AC86" s="4">
        <v>100000.0</v>
      </c>
    </row>
    <row r="87" hidden="1">
      <c r="A87" s="4" t="s">
        <v>5692</v>
      </c>
      <c r="B87" s="4" t="s">
        <v>5693</v>
      </c>
      <c r="C87" s="4">
        <v>3.0</v>
      </c>
      <c r="D87" s="4" t="s">
        <v>1626</v>
      </c>
      <c r="E87" s="4" t="s">
        <v>5694</v>
      </c>
      <c r="F87" s="6">
        <v>45869.0</v>
      </c>
      <c r="G87" s="6">
        <v>46055.0</v>
      </c>
      <c r="H87" s="4" t="s">
        <v>5512</v>
      </c>
      <c r="I87" s="4" t="s">
        <v>5695</v>
      </c>
      <c r="K87" s="4" t="s">
        <v>5372</v>
      </c>
      <c r="L87" s="4" t="s">
        <v>5371</v>
      </c>
      <c r="M87" s="4" t="s">
        <v>5477</v>
      </c>
      <c r="N87" s="7" t="s">
        <v>5696</v>
      </c>
      <c r="O87" s="7" t="s">
        <v>2200</v>
      </c>
      <c r="R87" s="4" t="s">
        <v>5374</v>
      </c>
      <c r="S87" s="6">
        <v>45869.0</v>
      </c>
      <c r="T87" s="4">
        <v>0.0</v>
      </c>
      <c r="Z87" s="21"/>
      <c r="AC87" s="4">
        <v>15.0</v>
      </c>
    </row>
    <row r="88" hidden="1">
      <c r="A88" s="4" t="s">
        <v>5697</v>
      </c>
      <c r="B88" s="4" t="s">
        <v>2118</v>
      </c>
      <c r="C88" s="4">
        <v>7.0</v>
      </c>
      <c r="D88" s="4" t="s">
        <v>1628</v>
      </c>
      <c r="E88" s="4" t="s">
        <v>5698</v>
      </c>
      <c r="F88" s="6">
        <v>45883.0</v>
      </c>
      <c r="G88" s="6"/>
      <c r="H88" s="4" t="s">
        <v>5512</v>
      </c>
      <c r="I88" s="4" t="s">
        <v>5397</v>
      </c>
      <c r="K88" s="4" t="s">
        <v>5372</v>
      </c>
      <c r="L88" s="4" t="s">
        <v>5372</v>
      </c>
      <c r="M88" s="4" t="s">
        <v>5535</v>
      </c>
      <c r="N88" s="7" t="s">
        <v>5699</v>
      </c>
      <c r="O88" s="7" t="s">
        <v>2335</v>
      </c>
      <c r="R88" s="4" t="s">
        <v>5374</v>
      </c>
      <c r="S88" s="6">
        <v>45883.0</v>
      </c>
      <c r="T88" s="4">
        <v>0.0</v>
      </c>
      <c r="Z88" s="21"/>
    </row>
    <row r="89" hidden="1">
      <c r="A89" s="4" t="s">
        <v>5700</v>
      </c>
      <c r="B89" s="4" t="s">
        <v>1632</v>
      </c>
      <c r="C89" s="4">
        <v>7.0</v>
      </c>
      <c r="D89" s="4" t="s">
        <v>1630</v>
      </c>
      <c r="E89" s="4" t="s">
        <v>5701</v>
      </c>
      <c r="F89" s="6">
        <v>45887.0</v>
      </c>
      <c r="G89" s="6"/>
      <c r="H89" s="4" t="s">
        <v>5661</v>
      </c>
      <c r="I89" s="4" t="s">
        <v>5654</v>
      </c>
      <c r="K89" s="4" t="s">
        <v>5372</v>
      </c>
      <c r="L89" s="4" t="s">
        <v>5372</v>
      </c>
      <c r="M89" s="4"/>
      <c r="N89" s="7" t="s">
        <v>5702</v>
      </c>
      <c r="O89" s="7" t="s">
        <v>2335</v>
      </c>
      <c r="R89" s="4" t="s">
        <v>5374</v>
      </c>
      <c r="S89" s="6">
        <v>45887.0</v>
      </c>
      <c r="T89" s="4">
        <v>0.0</v>
      </c>
      <c r="Z89" s="21"/>
    </row>
    <row r="90" hidden="1">
      <c r="A90" s="4" t="s">
        <v>5703</v>
      </c>
      <c r="B90" s="4" t="s">
        <v>1634</v>
      </c>
      <c r="C90" s="4">
        <v>7.0</v>
      </c>
      <c r="D90" s="4" t="s">
        <v>1633</v>
      </c>
      <c r="E90" s="4" t="s">
        <v>5704</v>
      </c>
      <c r="F90" s="6">
        <v>45889.0</v>
      </c>
      <c r="G90" s="6"/>
      <c r="H90" s="4" t="s">
        <v>5661</v>
      </c>
      <c r="I90" s="4" t="s">
        <v>5705</v>
      </c>
      <c r="K90" s="4" t="s">
        <v>5372</v>
      </c>
      <c r="L90" s="4" t="s">
        <v>5372</v>
      </c>
      <c r="M90" s="4"/>
      <c r="N90" s="7" t="s">
        <v>5706</v>
      </c>
      <c r="O90" s="7" t="s">
        <v>2335</v>
      </c>
      <c r="R90" s="4" t="s">
        <v>5374</v>
      </c>
      <c r="S90" s="6">
        <v>45889.0</v>
      </c>
      <c r="T90" s="4">
        <v>0.0</v>
      </c>
      <c r="Z90" s="21"/>
    </row>
    <row r="91" hidden="1">
      <c r="A91" s="4" t="s">
        <v>4539</v>
      </c>
      <c r="B91" s="4" t="s">
        <v>1636</v>
      </c>
      <c r="C91" s="4">
        <v>9.0</v>
      </c>
      <c r="D91" s="4" t="s">
        <v>1635</v>
      </c>
      <c r="E91" s="4" t="s">
        <v>4538</v>
      </c>
      <c r="F91" s="6">
        <v>45890.0</v>
      </c>
      <c r="G91" s="6"/>
      <c r="H91" s="4" t="s">
        <v>5661</v>
      </c>
      <c r="I91" s="4" t="s">
        <v>5654</v>
      </c>
      <c r="K91" s="4" t="s">
        <v>5372</v>
      </c>
      <c r="L91" s="4" t="s">
        <v>5372</v>
      </c>
      <c r="M91" s="4"/>
      <c r="N91" s="7" t="s">
        <v>5707</v>
      </c>
      <c r="O91" s="7" t="s">
        <v>2345</v>
      </c>
      <c r="P91" s="6">
        <v>45916.0</v>
      </c>
      <c r="Q91" s="6">
        <v>46038.0</v>
      </c>
      <c r="R91" s="4" t="s">
        <v>5374</v>
      </c>
      <c r="S91" s="6">
        <v>45890.0</v>
      </c>
      <c r="T91" s="4">
        <v>0.0</v>
      </c>
      <c r="V91" s="4">
        <v>16.0</v>
      </c>
      <c r="X91" s="4" t="s">
        <v>5630</v>
      </c>
      <c r="Y91" s="4" t="s">
        <v>5631</v>
      </c>
      <c r="Z91" s="8">
        <v>160.0</v>
      </c>
      <c r="AA91" s="6">
        <v>46815.0</v>
      </c>
      <c r="AB91" s="4">
        <v>6.0</v>
      </c>
    </row>
    <row r="92" hidden="1">
      <c r="A92" s="4" t="s">
        <v>5708</v>
      </c>
      <c r="B92" s="4" t="s">
        <v>5709</v>
      </c>
      <c r="C92" s="4">
        <v>7.0</v>
      </c>
      <c r="D92" s="4" t="s">
        <v>1517</v>
      </c>
      <c r="E92" s="4" t="s">
        <v>5710</v>
      </c>
      <c r="F92" s="6">
        <v>45894.0</v>
      </c>
      <c r="G92" s="6"/>
      <c r="H92" s="4" t="s">
        <v>5369</v>
      </c>
      <c r="I92" s="4" t="s">
        <v>5711</v>
      </c>
      <c r="K92" s="4" t="s">
        <v>5372</v>
      </c>
      <c r="L92" s="4" t="s">
        <v>5372</v>
      </c>
      <c r="M92" s="4"/>
      <c r="N92" s="7" t="s">
        <v>5712</v>
      </c>
      <c r="O92" s="7" t="s">
        <v>2335</v>
      </c>
      <c r="R92" s="4" t="s">
        <v>5374</v>
      </c>
      <c r="S92" s="6">
        <v>45894.0</v>
      </c>
      <c r="T92" s="4">
        <v>0.0</v>
      </c>
      <c r="Z92" s="21"/>
    </row>
    <row r="93" hidden="1">
      <c r="A93" s="4" t="s">
        <v>5713</v>
      </c>
      <c r="B93" s="4" t="s">
        <v>5714</v>
      </c>
      <c r="C93" s="4">
        <v>7.0</v>
      </c>
      <c r="D93" s="4" t="s">
        <v>1638</v>
      </c>
      <c r="E93" s="4" t="s">
        <v>5715</v>
      </c>
      <c r="F93" s="6">
        <v>45894.0</v>
      </c>
      <c r="G93" s="6"/>
      <c r="H93" s="4" t="s">
        <v>5716</v>
      </c>
      <c r="I93" s="4" t="s">
        <v>5370</v>
      </c>
      <c r="K93" s="4" t="s">
        <v>5371</v>
      </c>
      <c r="L93" s="4" t="s">
        <v>5371</v>
      </c>
      <c r="M93" s="4"/>
      <c r="N93" s="7" t="s">
        <v>5717</v>
      </c>
      <c r="O93" s="7" t="s">
        <v>2335</v>
      </c>
      <c r="R93" s="4" t="s">
        <v>5374</v>
      </c>
      <c r="S93" s="6">
        <v>45894.0</v>
      </c>
      <c r="T93" s="4">
        <v>0.0</v>
      </c>
      <c r="Z93" s="21"/>
      <c r="AC93" s="4">
        <v>30.0</v>
      </c>
    </row>
    <row r="94" hidden="1">
      <c r="A94" s="4" t="s">
        <v>5718</v>
      </c>
      <c r="B94" s="4" t="s">
        <v>5719</v>
      </c>
      <c r="C94" s="4">
        <v>7.0</v>
      </c>
      <c r="D94" s="4" t="s">
        <v>1641</v>
      </c>
      <c r="E94" s="4" t="s">
        <v>5720</v>
      </c>
      <c r="F94" s="6">
        <v>45901.0</v>
      </c>
      <c r="G94" s="6"/>
      <c r="H94" s="4" t="s">
        <v>5419</v>
      </c>
      <c r="I94" s="4" t="s">
        <v>5721</v>
      </c>
      <c r="K94" s="4" t="s">
        <v>5371</v>
      </c>
      <c r="L94" s="4" t="s">
        <v>5372</v>
      </c>
      <c r="M94" s="4"/>
      <c r="N94" s="7" t="s">
        <v>5722</v>
      </c>
      <c r="O94" s="7" t="s">
        <v>2335</v>
      </c>
      <c r="R94" s="4" t="s">
        <v>5374</v>
      </c>
      <c r="S94" s="6">
        <v>45901.0</v>
      </c>
      <c r="T94" s="4">
        <v>0.0</v>
      </c>
      <c r="Z94" s="21"/>
    </row>
    <row r="95" hidden="1">
      <c r="A95" s="4" t="s">
        <v>4553</v>
      </c>
      <c r="B95" s="4" t="s">
        <v>5625</v>
      </c>
      <c r="C95" s="4">
        <v>8.0</v>
      </c>
      <c r="D95" s="4" t="s">
        <v>1419</v>
      </c>
      <c r="E95" s="4" t="s">
        <v>3998</v>
      </c>
      <c r="F95" s="6">
        <v>45908.0</v>
      </c>
      <c r="G95" s="6"/>
      <c r="H95" s="4" t="s">
        <v>5419</v>
      </c>
      <c r="I95" s="4" t="s">
        <v>5370</v>
      </c>
      <c r="J95" s="4" t="s">
        <v>5723</v>
      </c>
      <c r="K95" s="4" t="s">
        <v>5372</v>
      </c>
      <c r="L95" s="4" t="s">
        <v>5372</v>
      </c>
      <c r="M95" s="4"/>
      <c r="N95" s="7" t="s">
        <v>5724</v>
      </c>
      <c r="O95" s="7" t="s">
        <v>2342</v>
      </c>
      <c r="P95" s="6">
        <v>45911.0</v>
      </c>
      <c r="Q95" s="17">
        <v>46123.0</v>
      </c>
      <c r="R95" s="4" t="s">
        <v>5374</v>
      </c>
      <c r="S95" s="6">
        <v>45908.0</v>
      </c>
      <c r="T95" s="4">
        <v>0.0</v>
      </c>
      <c r="V95" s="4">
        <v>36.0</v>
      </c>
      <c r="X95" s="4" t="s">
        <v>5376</v>
      </c>
      <c r="Y95" s="4" t="s">
        <v>5381</v>
      </c>
      <c r="Z95" s="8">
        <v>713.0</v>
      </c>
      <c r="AA95" s="6">
        <v>46549.0</v>
      </c>
      <c r="AB95" s="4">
        <v>3.0</v>
      </c>
    </row>
    <row r="96" hidden="1">
      <c r="A96" s="4" t="s">
        <v>5725</v>
      </c>
      <c r="B96" s="4" t="s">
        <v>1645</v>
      </c>
      <c r="C96" s="4">
        <v>3.0</v>
      </c>
      <c r="D96" s="4" t="s">
        <v>1644</v>
      </c>
      <c r="E96" s="4" t="s">
        <v>5726</v>
      </c>
      <c r="F96" s="6">
        <v>45908.0</v>
      </c>
      <c r="G96" s="6"/>
      <c r="H96" s="4" t="s">
        <v>5464</v>
      </c>
      <c r="I96" s="4" t="s">
        <v>5727</v>
      </c>
      <c r="K96" s="4" t="s">
        <v>5371</v>
      </c>
      <c r="L96" s="4" t="s">
        <v>5372</v>
      </c>
      <c r="M96" s="4" t="s">
        <v>5491</v>
      </c>
      <c r="N96" s="7" t="s">
        <v>5728</v>
      </c>
      <c r="O96" s="7" t="s">
        <v>2200</v>
      </c>
      <c r="R96" s="4" t="s">
        <v>5374</v>
      </c>
      <c r="S96" s="6">
        <v>45908.0</v>
      </c>
      <c r="T96" s="4">
        <v>0.0</v>
      </c>
      <c r="Z96" s="21"/>
    </row>
    <row r="97" hidden="1">
      <c r="A97" s="4" t="s">
        <v>4559</v>
      </c>
      <c r="B97" s="4" t="s">
        <v>5729</v>
      </c>
      <c r="C97" s="4">
        <v>8.0</v>
      </c>
      <c r="D97" s="4" t="s">
        <v>1535</v>
      </c>
      <c r="E97" s="4" t="s">
        <v>2887</v>
      </c>
      <c r="F97" s="6">
        <v>45917.0</v>
      </c>
      <c r="G97" s="6"/>
      <c r="H97" s="4" t="s">
        <v>5369</v>
      </c>
      <c r="I97" s="4" t="s">
        <v>5397</v>
      </c>
      <c r="J97" s="4" t="s">
        <v>5730</v>
      </c>
      <c r="K97" s="4" t="s">
        <v>5371</v>
      </c>
      <c r="L97" s="4" t="s">
        <v>5372</v>
      </c>
      <c r="M97" s="4"/>
      <c r="N97" s="7" t="s">
        <v>5731</v>
      </c>
      <c r="O97" s="7" t="s">
        <v>2342</v>
      </c>
      <c r="P97" s="6">
        <v>45897.0</v>
      </c>
      <c r="Q97" s="17">
        <v>46109.0</v>
      </c>
      <c r="R97" s="4" t="s">
        <v>5374</v>
      </c>
      <c r="S97" s="6">
        <v>45917.0</v>
      </c>
      <c r="T97" s="4">
        <v>0.0</v>
      </c>
      <c r="V97" s="4">
        <v>30.0</v>
      </c>
      <c r="X97" s="4" t="s">
        <v>5376</v>
      </c>
      <c r="Y97" s="4" t="s">
        <v>5381</v>
      </c>
      <c r="Z97" s="8">
        <v>606.0</v>
      </c>
      <c r="AA97" s="6">
        <v>46535.0</v>
      </c>
      <c r="AB97" s="4">
        <v>3.0</v>
      </c>
      <c r="AC97" s="4">
        <v>20.0</v>
      </c>
    </row>
    <row r="98" hidden="1">
      <c r="A98" s="4" t="s">
        <v>5732</v>
      </c>
      <c r="B98" s="4" t="s">
        <v>1647</v>
      </c>
      <c r="C98" s="4">
        <v>3.0</v>
      </c>
      <c r="D98" s="4" t="s">
        <v>1646</v>
      </c>
      <c r="E98" s="4" t="s">
        <v>5733</v>
      </c>
      <c r="F98" s="6">
        <v>45917.0</v>
      </c>
      <c r="G98" s="6">
        <v>46034.0</v>
      </c>
      <c r="H98" s="4" t="s">
        <v>5369</v>
      </c>
      <c r="I98" s="4" t="s">
        <v>5734</v>
      </c>
      <c r="K98" s="4" t="s">
        <v>5371</v>
      </c>
      <c r="L98" s="4" t="s">
        <v>5372</v>
      </c>
      <c r="M98" s="4" t="s">
        <v>5477</v>
      </c>
      <c r="N98" s="7" t="s">
        <v>5735</v>
      </c>
      <c r="O98" s="7" t="s">
        <v>2200</v>
      </c>
      <c r="R98" s="4" t="s">
        <v>5374</v>
      </c>
      <c r="S98" s="6">
        <v>45917.0</v>
      </c>
      <c r="T98" s="4">
        <v>0.0</v>
      </c>
      <c r="Z98" s="21"/>
    </row>
    <row r="99" hidden="1">
      <c r="A99" s="7" t="s">
        <v>4567</v>
      </c>
      <c r="B99" s="4" t="s">
        <v>1649</v>
      </c>
      <c r="C99" s="4">
        <v>9.0</v>
      </c>
      <c r="D99" s="4" t="s">
        <v>1648</v>
      </c>
      <c r="E99" s="4" t="s">
        <v>4565</v>
      </c>
      <c r="F99" s="6">
        <v>45922.0</v>
      </c>
      <c r="G99" s="6"/>
      <c r="H99" s="4" t="s">
        <v>5512</v>
      </c>
      <c r="I99" s="4" t="s">
        <v>5370</v>
      </c>
      <c r="K99" s="4" t="s">
        <v>5371</v>
      </c>
      <c r="L99" s="4" t="s">
        <v>5372</v>
      </c>
      <c r="M99" s="4"/>
      <c r="N99" s="7" t="s">
        <v>5736</v>
      </c>
      <c r="O99" s="7" t="s">
        <v>2345</v>
      </c>
      <c r="P99" s="17">
        <v>45950.0</v>
      </c>
      <c r="Q99" s="17">
        <v>46042.0</v>
      </c>
      <c r="R99" s="4" t="s">
        <v>5374</v>
      </c>
      <c r="S99" s="6">
        <v>45922.0</v>
      </c>
      <c r="T99" s="4">
        <v>0.0</v>
      </c>
      <c r="V99" s="4">
        <v>24.0</v>
      </c>
      <c r="X99" s="4" t="s">
        <v>5376</v>
      </c>
      <c r="Y99" s="4" t="s">
        <v>5381</v>
      </c>
      <c r="Z99" s="8">
        <v>433.0</v>
      </c>
      <c r="AA99" s="17">
        <v>46132.0</v>
      </c>
      <c r="AB99" s="4">
        <v>3.0</v>
      </c>
      <c r="AC99" s="4">
        <v>20.0</v>
      </c>
    </row>
    <row r="100" hidden="1">
      <c r="A100" s="4" t="s">
        <v>5737</v>
      </c>
      <c r="B100" s="4" t="s">
        <v>1652</v>
      </c>
      <c r="C100" s="4">
        <v>3.0</v>
      </c>
      <c r="D100" s="4" t="s">
        <v>1651</v>
      </c>
      <c r="E100" s="4" t="s">
        <v>5738</v>
      </c>
      <c r="F100" s="17">
        <v>45950.0</v>
      </c>
      <c r="G100" s="17">
        <v>46037.0</v>
      </c>
      <c r="H100" s="4" t="s">
        <v>5512</v>
      </c>
      <c r="I100" s="4" t="s">
        <v>5385</v>
      </c>
      <c r="K100" s="4" t="s">
        <v>5371</v>
      </c>
      <c r="L100" s="4" t="s">
        <v>5372</v>
      </c>
      <c r="M100" s="4" t="s">
        <v>5491</v>
      </c>
      <c r="N100" s="7" t="s">
        <v>5739</v>
      </c>
      <c r="O100" s="7" t="s">
        <v>2200</v>
      </c>
      <c r="R100" s="4" t="s">
        <v>5374</v>
      </c>
      <c r="S100" s="17">
        <v>45950.0</v>
      </c>
      <c r="T100" s="4">
        <v>0.0</v>
      </c>
      <c r="Z100" s="21"/>
    </row>
    <row r="101" hidden="1">
      <c r="A101" s="4" t="s">
        <v>5740</v>
      </c>
      <c r="B101" s="4" t="s">
        <v>5741</v>
      </c>
      <c r="C101" s="4">
        <v>7.0</v>
      </c>
      <c r="D101" s="4" t="s">
        <v>1653</v>
      </c>
      <c r="E101" s="4" t="s">
        <v>5742</v>
      </c>
      <c r="F101" s="17">
        <v>45952.0</v>
      </c>
      <c r="G101" s="17"/>
      <c r="H101" s="4" t="s">
        <v>5661</v>
      </c>
      <c r="I101" s="4" t="s">
        <v>5654</v>
      </c>
      <c r="K101" s="4" t="s">
        <v>5371</v>
      </c>
      <c r="L101" s="4" t="s">
        <v>5371</v>
      </c>
      <c r="M101" s="4"/>
      <c r="N101" s="7" t="s">
        <v>5743</v>
      </c>
      <c r="O101" s="7" t="s">
        <v>2335</v>
      </c>
      <c r="R101" s="4" t="s">
        <v>5374</v>
      </c>
      <c r="S101" s="17">
        <v>45952.0</v>
      </c>
      <c r="T101" s="4">
        <v>0.0</v>
      </c>
      <c r="Z101" s="21"/>
      <c r="AC101" s="4">
        <v>20.0</v>
      </c>
    </row>
    <row r="102" hidden="1">
      <c r="A102" s="4" t="s">
        <v>5744</v>
      </c>
      <c r="B102" s="4" t="s">
        <v>5745</v>
      </c>
      <c r="C102" s="4">
        <v>7.0</v>
      </c>
      <c r="D102" s="4" t="s">
        <v>1495</v>
      </c>
      <c r="E102" s="4" t="s">
        <v>5746</v>
      </c>
      <c r="F102" s="6"/>
      <c r="G102" s="6"/>
      <c r="H102" s="4" t="s">
        <v>5474</v>
      </c>
      <c r="I102" s="4" t="s">
        <v>5370</v>
      </c>
      <c r="J102" s="4" t="s">
        <v>5747</v>
      </c>
      <c r="K102" s="4" t="s">
        <v>5372</v>
      </c>
      <c r="L102" s="4" t="s">
        <v>5372</v>
      </c>
      <c r="M102" s="4"/>
      <c r="N102" s="7" t="s">
        <v>5748</v>
      </c>
      <c r="O102" s="7" t="s">
        <v>2335</v>
      </c>
      <c r="R102" s="4" t="s">
        <v>26</v>
      </c>
      <c r="S102" s="6">
        <v>45330.0</v>
      </c>
      <c r="T102" s="4">
        <v>9.0</v>
      </c>
      <c r="U102" s="4" t="s">
        <v>5429</v>
      </c>
      <c r="Z102" s="21"/>
    </row>
    <row r="103" hidden="1">
      <c r="A103" s="4" t="s">
        <v>5749</v>
      </c>
      <c r="B103" s="4" t="s">
        <v>5750</v>
      </c>
      <c r="C103" s="4">
        <v>7.0</v>
      </c>
      <c r="D103" s="4" t="s">
        <v>1491</v>
      </c>
      <c r="E103" s="7" t="s">
        <v>2425</v>
      </c>
      <c r="F103" s="6">
        <v>45971.0</v>
      </c>
      <c r="G103" s="17"/>
      <c r="H103" s="4" t="s">
        <v>5369</v>
      </c>
      <c r="I103" s="4" t="s">
        <v>5385</v>
      </c>
      <c r="K103" s="4" t="s">
        <v>5372</v>
      </c>
      <c r="L103" s="4" t="s">
        <v>5372</v>
      </c>
      <c r="M103" s="4"/>
      <c r="N103" s="7" t="s">
        <v>5751</v>
      </c>
      <c r="O103" s="7" t="s">
        <v>2335</v>
      </c>
      <c r="P103" s="6"/>
      <c r="Q103" s="6"/>
      <c r="R103" s="4" t="s">
        <v>5374</v>
      </c>
      <c r="S103" s="6">
        <v>45971.0</v>
      </c>
      <c r="T103" s="4">
        <v>0.0</v>
      </c>
      <c r="V103" s="4"/>
      <c r="X103" s="4"/>
      <c r="Y103" s="4"/>
      <c r="Z103" s="8"/>
      <c r="AA103" s="6"/>
      <c r="AB103" s="4"/>
    </row>
    <row r="104" hidden="1">
      <c r="A104" s="4" t="s">
        <v>4664</v>
      </c>
      <c r="B104" s="4" t="s">
        <v>1657</v>
      </c>
      <c r="C104" s="4">
        <v>8.0</v>
      </c>
      <c r="D104" s="4" t="s">
        <v>1656</v>
      </c>
      <c r="E104" s="4" t="s">
        <v>5752</v>
      </c>
      <c r="F104" s="17">
        <v>45975.0</v>
      </c>
      <c r="G104" s="17"/>
      <c r="H104" s="4" t="s">
        <v>5512</v>
      </c>
      <c r="I104" s="4" t="s">
        <v>5753</v>
      </c>
      <c r="J104" s="4" t="s">
        <v>5754</v>
      </c>
      <c r="K104" s="4" t="s">
        <v>5371</v>
      </c>
      <c r="L104" s="4" t="s">
        <v>5372</v>
      </c>
      <c r="M104" s="4"/>
      <c r="N104" s="7" t="s">
        <v>5755</v>
      </c>
      <c r="O104" s="7" t="s">
        <v>2342</v>
      </c>
      <c r="P104" s="6">
        <v>46042.0</v>
      </c>
      <c r="Q104" s="6">
        <v>46132.0</v>
      </c>
      <c r="R104" s="4" t="s">
        <v>5374</v>
      </c>
      <c r="S104" s="17">
        <v>45975.0</v>
      </c>
      <c r="T104" s="4">
        <v>0.0</v>
      </c>
      <c r="V104" s="4">
        <v>24.0</v>
      </c>
      <c r="X104" s="4" t="s">
        <v>5376</v>
      </c>
      <c r="Y104" s="4" t="s">
        <v>5381</v>
      </c>
      <c r="Z104" s="8">
        <v>449.0</v>
      </c>
      <c r="AA104" s="6">
        <v>46223.0</v>
      </c>
      <c r="AB104" s="4">
        <v>3.0</v>
      </c>
      <c r="AC104" s="4">
        <v>15.0</v>
      </c>
    </row>
    <row r="105" hidden="1">
      <c r="A105" s="4" t="s">
        <v>5756</v>
      </c>
      <c r="B105" s="4" t="s">
        <v>1660</v>
      </c>
      <c r="C105" s="4">
        <v>7.0</v>
      </c>
      <c r="D105" s="4" t="s">
        <v>1659</v>
      </c>
      <c r="E105" s="4" t="s">
        <v>5757</v>
      </c>
      <c r="F105" s="17">
        <v>45975.0</v>
      </c>
      <c r="G105" s="17"/>
      <c r="H105" s="4" t="s">
        <v>5512</v>
      </c>
      <c r="I105" s="4" t="s">
        <v>5370</v>
      </c>
      <c r="J105" s="4" t="s">
        <v>5758</v>
      </c>
      <c r="K105" s="4" t="s">
        <v>5372</v>
      </c>
      <c r="L105" s="4" t="s">
        <v>5372</v>
      </c>
      <c r="M105" s="4"/>
      <c r="N105" s="7" t="s">
        <v>5759</v>
      </c>
      <c r="O105" s="7" t="s">
        <v>2335</v>
      </c>
      <c r="R105" s="4" t="s">
        <v>5374</v>
      </c>
      <c r="S105" s="17">
        <v>45975.0</v>
      </c>
      <c r="T105" s="4">
        <v>0.0</v>
      </c>
      <c r="Z105" s="21"/>
    </row>
    <row r="106" hidden="1">
      <c r="A106" s="4" t="s">
        <v>5760</v>
      </c>
      <c r="B106" s="4" t="s">
        <v>1662</v>
      </c>
      <c r="C106" s="4">
        <v>3.0</v>
      </c>
      <c r="D106" s="4" t="s">
        <v>1661</v>
      </c>
      <c r="E106" s="4" t="s">
        <v>5761</v>
      </c>
      <c r="F106" s="17">
        <v>45978.0</v>
      </c>
      <c r="G106" s="17">
        <v>46023.0</v>
      </c>
      <c r="H106" s="4" t="s">
        <v>5512</v>
      </c>
      <c r="I106" s="4" t="s">
        <v>5385</v>
      </c>
      <c r="K106" s="4" t="s">
        <v>5371</v>
      </c>
      <c r="L106" s="4" t="s">
        <v>5371</v>
      </c>
      <c r="M106" s="4" t="s">
        <v>5477</v>
      </c>
      <c r="N106" s="7" t="s">
        <v>5762</v>
      </c>
      <c r="O106" s="7" t="s">
        <v>2200</v>
      </c>
      <c r="R106" s="4" t="s">
        <v>5374</v>
      </c>
      <c r="S106" s="17">
        <v>45978.0</v>
      </c>
      <c r="T106" s="4">
        <v>0.0</v>
      </c>
      <c r="Z106" s="21"/>
    </row>
    <row r="107" hidden="1">
      <c r="A107" s="4" t="s">
        <v>5763</v>
      </c>
      <c r="B107" s="4" t="s">
        <v>5764</v>
      </c>
      <c r="C107" s="4">
        <v>3.0</v>
      </c>
      <c r="D107" s="4" t="s">
        <v>1663</v>
      </c>
      <c r="E107" s="4" t="s">
        <v>5765</v>
      </c>
      <c r="F107" s="17">
        <v>45979.0</v>
      </c>
      <c r="G107" s="17">
        <v>46037.0</v>
      </c>
      <c r="H107" s="4" t="s">
        <v>5512</v>
      </c>
      <c r="I107" s="4" t="s">
        <v>5370</v>
      </c>
      <c r="K107" s="4" t="s">
        <v>5371</v>
      </c>
      <c r="L107" s="4" t="s">
        <v>5371</v>
      </c>
      <c r="M107" s="4" t="s">
        <v>5491</v>
      </c>
      <c r="N107" s="7" t="s">
        <v>5766</v>
      </c>
      <c r="O107" s="7" t="s">
        <v>2200</v>
      </c>
      <c r="R107" s="4" t="s">
        <v>5374</v>
      </c>
      <c r="S107" s="17">
        <v>45979.0</v>
      </c>
      <c r="T107" s="4">
        <v>0.0</v>
      </c>
      <c r="Z107" s="21"/>
    </row>
    <row r="108" hidden="1">
      <c r="A108" s="4" t="s">
        <v>5767</v>
      </c>
      <c r="B108" s="4" t="s">
        <v>1666</v>
      </c>
      <c r="C108" s="4">
        <v>3.0</v>
      </c>
      <c r="D108" s="4" t="s">
        <v>1665</v>
      </c>
      <c r="E108" s="4" t="s">
        <v>5768</v>
      </c>
      <c r="F108" s="17">
        <v>45980.0</v>
      </c>
      <c r="G108" s="17">
        <v>46037.0</v>
      </c>
      <c r="H108" s="4" t="s">
        <v>5512</v>
      </c>
      <c r="I108" s="4" t="s">
        <v>5769</v>
      </c>
      <c r="K108" s="4" t="s">
        <v>5371</v>
      </c>
      <c r="L108" s="4" t="s">
        <v>5372</v>
      </c>
      <c r="M108" s="4" t="s">
        <v>5491</v>
      </c>
      <c r="N108" s="7" t="s">
        <v>5770</v>
      </c>
      <c r="O108" s="7" t="s">
        <v>2200</v>
      </c>
      <c r="R108" s="4" t="s">
        <v>5374</v>
      </c>
      <c r="S108" s="17">
        <v>45980.0</v>
      </c>
      <c r="T108" s="4">
        <v>0.0</v>
      </c>
      <c r="Z108" s="21"/>
    </row>
    <row r="109" hidden="1">
      <c r="A109" s="4" t="s">
        <v>5771</v>
      </c>
      <c r="B109" s="4" t="s">
        <v>5772</v>
      </c>
      <c r="D109" s="4" t="s">
        <v>1667</v>
      </c>
      <c r="E109" s="4" t="s">
        <v>5773</v>
      </c>
      <c r="F109" s="17">
        <v>45987.0</v>
      </c>
      <c r="H109" s="4" t="s">
        <v>5512</v>
      </c>
      <c r="I109" s="4" t="s">
        <v>5370</v>
      </c>
      <c r="K109" s="4" t="s">
        <v>5371</v>
      </c>
      <c r="L109" s="4" t="s">
        <v>5371</v>
      </c>
      <c r="R109" s="4" t="s">
        <v>5374</v>
      </c>
      <c r="S109" s="17">
        <v>45987.0</v>
      </c>
      <c r="T109" s="4">
        <v>0.0</v>
      </c>
      <c r="Z109" s="21"/>
    </row>
    <row r="110" hidden="1">
      <c r="A110" s="4" t="s">
        <v>5774</v>
      </c>
      <c r="B110" s="4" t="s">
        <v>1668</v>
      </c>
      <c r="C110" s="4">
        <v>3.0</v>
      </c>
      <c r="D110" s="4" t="s">
        <v>1669</v>
      </c>
      <c r="E110" s="7" t="s">
        <v>5775</v>
      </c>
      <c r="F110" s="17">
        <v>45987.0</v>
      </c>
      <c r="G110" s="6">
        <v>46013.0</v>
      </c>
      <c r="H110" s="4" t="s">
        <v>5512</v>
      </c>
      <c r="I110" s="4" t="s">
        <v>5548</v>
      </c>
      <c r="J110" s="4" t="s">
        <v>5776</v>
      </c>
      <c r="K110" s="4" t="s">
        <v>5371</v>
      </c>
      <c r="L110" s="4" t="s">
        <v>5371</v>
      </c>
      <c r="M110" s="4" t="s">
        <v>5477</v>
      </c>
      <c r="N110" s="7" t="s">
        <v>5777</v>
      </c>
      <c r="O110" s="7" t="s">
        <v>2200</v>
      </c>
      <c r="R110" s="4" t="s">
        <v>5374</v>
      </c>
      <c r="S110" s="17">
        <v>45987.0</v>
      </c>
      <c r="T110" s="4">
        <v>0.0</v>
      </c>
      <c r="Z110" s="21"/>
    </row>
    <row r="111" hidden="1">
      <c r="A111" s="4" t="s">
        <v>5778</v>
      </c>
      <c r="B111" s="4" t="s">
        <v>5779</v>
      </c>
      <c r="C111" s="4">
        <v>3.0</v>
      </c>
      <c r="D111" s="4" t="s">
        <v>1670</v>
      </c>
      <c r="E111" s="4" t="s">
        <v>5780</v>
      </c>
      <c r="F111" s="6">
        <v>46000.0</v>
      </c>
      <c r="G111" s="6">
        <v>46041.0</v>
      </c>
      <c r="H111" s="4" t="s">
        <v>5512</v>
      </c>
      <c r="I111" s="4" t="s">
        <v>5385</v>
      </c>
      <c r="J111" s="4" t="s">
        <v>5781</v>
      </c>
      <c r="K111" s="4" t="s">
        <v>5371</v>
      </c>
      <c r="L111" s="4" t="s">
        <v>5372</v>
      </c>
      <c r="M111" s="4" t="s">
        <v>5782</v>
      </c>
      <c r="N111" s="7" t="s">
        <v>5783</v>
      </c>
      <c r="O111" s="7" t="s">
        <v>2200</v>
      </c>
      <c r="R111" s="4" t="s">
        <v>5374</v>
      </c>
      <c r="S111" s="6">
        <v>46000.0</v>
      </c>
      <c r="T111" s="4">
        <v>0.0</v>
      </c>
      <c r="Z111" s="21"/>
    </row>
    <row r="112" hidden="1">
      <c r="A112" s="4" t="s">
        <v>5784</v>
      </c>
      <c r="B112" s="4" t="s">
        <v>5785</v>
      </c>
      <c r="C112" s="4">
        <v>3.0</v>
      </c>
      <c r="D112" s="4" t="s">
        <v>1673</v>
      </c>
      <c r="E112" s="4" t="s">
        <v>5786</v>
      </c>
      <c r="F112" s="17">
        <v>46013.0</v>
      </c>
      <c r="G112" s="17">
        <v>46020.0</v>
      </c>
      <c r="H112" s="4" t="s">
        <v>5512</v>
      </c>
      <c r="I112" s="4" t="s">
        <v>5787</v>
      </c>
      <c r="J112" s="4" t="s">
        <v>5788</v>
      </c>
      <c r="K112" s="4" t="s">
        <v>5371</v>
      </c>
      <c r="L112" s="4" t="s">
        <v>5371</v>
      </c>
      <c r="M112" s="4" t="s">
        <v>5535</v>
      </c>
      <c r="N112" s="7" t="s">
        <v>5789</v>
      </c>
      <c r="O112" s="7" t="s">
        <v>2200</v>
      </c>
      <c r="R112" s="4" t="s">
        <v>5374</v>
      </c>
      <c r="S112" s="17">
        <v>46013.0</v>
      </c>
      <c r="T112" s="4">
        <v>0.0</v>
      </c>
      <c r="Z112" s="21"/>
    </row>
    <row r="113" hidden="1">
      <c r="A113" s="4" t="s">
        <v>4626</v>
      </c>
      <c r="B113" s="4" t="s">
        <v>5790</v>
      </c>
      <c r="C113" s="4">
        <v>8.0</v>
      </c>
      <c r="D113" s="4" t="s">
        <v>1433</v>
      </c>
      <c r="E113" s="4" t="s">
        <v>2583</v>
      </c>
      <c r="F113" s="6">
        <v>46028.0</v>
      </c>
      <c r="H113" s="4" t="s">
        <v>5369</v>
      </c>
      <c r="I113" s="4" t="s">
        <v>5791</v>
      </c>
      <c r="J113" s="4" t="s">
        <v>5792</v>
      </c>
      <c r="K113" s="4" t="s">
        <v>5372</v>
      </c>
      <c r="L113" s="4" t="s">
        <v>5372</v>
      </c>
      <c r="N113" s="7" t="s">
        <v>5793</v>
      </c>
      <c r="O113" s="7" t="s">
        <v>2342</v>
      </c>
      <c r="P113" s="6">
        <v>46026.0</v>
      </c>
      <c r="Q113" s="6">
        <v>46146.0</v>
      </c>
      <c r="R113" s="4" t="s">
        <v>5374</v>
      </c>
      <c r="S113" s="6">
        <v>46028.0</v>
      </c>
      <c r="T113" s="4">
        <v>0.0</v>
      </c>
      <c r="V113" s="4">
        <v>44.0</v>
      </c>
      <c r="X113" s="4" t="s">
        <v>5376</v>
      </c>
      <c r="Y113" s="4" t="s">
        <v>5381</v>
      </c>
      <c r="Z113" s="8">
        <v>867.0</v>
      </c>
      <c r="AA113" s="6">
        <v>46146.0</v>
      </c>
      <c r="AB113" s="4">
        <v>1.0</v>
      </c>
      <c r="AC113" s="4">
        <v>20.0</v>
      </c>
    </row>
    <row r="114" hidden="1">
      <c r="A114" s="4" t="s">
        <v>5794</v>
      </c>
      <c r="B114" s="4" t="s">
        <v>5795</v>
      </c>
      <c r="C114" s="4">
        <v>8.0</v>
      </c>
      <c r="D114" s="4" t="s">
        <v>1486</v>
      </c>
      <c r="E114" s="4" t="s">
        <v>4593</v>
      </c>
      <c r="F114" s="6">
        <v>46029.0</v>
      </c>
      <c r="H114" s="4" t="s">
        <v>5419</v>
      </c>
      <c r="I114" s="4" t="s">
        <v>5796</v>
      </c>
      <c r="K114" s="4" t="s">
        <v>5372</v>
      </c>
      <c r="L114" s="4" t="s">
        <v>5372</v>
      </c>
      <c r="N114" s="7" t="s">
        <v>5797</v>
      </c>
      <c r="O114" s="7" t="s">
        <v>2342</v>
      </c>
      <c r="P114" s="6">
        <v>46029.0</v>
      </c>
      <c r="Q114" s="6">
        <v>47033.0</v>
      </c>
      <c r="R114" s="4" t="s">
        <v>5374</v>
      </c>
      <c r="S114" s="6">
        <v>46029.0</v>
      </c>
      <c r="T114" s="4">
        <v>0.0</v>
      </c>
      <c r="V114" s="4">
        <v>16.0</v>
      </c>
      <c r="X114" s="4" t="s">
        <v>5376</v>
      </c>
      <c r="Y114" s="4" t="s">
        <v>5381</v>
      </c>
      <c r="Z114" s="8">
        <v>1.0</v>
      </c>
      <c r="AA114" s="6">
        <v>47459.0</v>
      </c>
      <c r="AB114" s="4">
        <v>1.0</v>
      </c>
      <c r="AC114" s="4">
        <v>1000.0</v>
      </c>
    </row>
    <row r="115" hidden="1">
      <c r="A115" s="4" t="s">
        <v>4683</v>
      </c>
      <c r="B115" s="4" t="s">
        <v>5798</v>
      </c>
      <c r="C115" s="4">
        <v>8.0</v>
      </c>
      <c r="D115" s="4" t="s">
        <v>1676</v>
      </c>
      <c r="E115" s="4" t="s">
        <v>4682</v>
      </c>
      <c r="F115" s="6">
        <v>46034.0</v>
      </c>
      <c r="H115" s="4" t="s">
        <v>5369</v>
      </c>
      <c r="I115" s="4" t="s">
        <v>5799</v>
      </c>
      <c r="K115" s="4" t="s">
        <v>5372</v>
      </c>
      <c r="L115" s="4" t="s">
        <v>5372</v>
      </c>
      <c r="N115" s="7" t="s">
        <v>5800</v>
      </c>
      <c r="O115" s="7" t="s">
        <v>2342</v>
      </c>
      <c r="P115" s="6">
        <v>46057.0</v>
      </c>
      <c r="Q115" s="6">
        <v>46146.0</v>
      </c>
      <c r="R115" s="4" t="s">
        <v>5374</v>
      </c>
      <c r="S115" s="6">
        <v>46034.0</v>
      </c>
      <c r="T115" s="4">
        <v>0.0</v>
      </c>
      <c r="V115" s="4">
        <v>24.0</v>
      </c>
      <c r="X115" s="4" t="s">
        <v>5376</v>
      </c>
      <c r="Y115" s="4" t="s">
        <v>5381</v>
      </c>
      <c r="Z115" s="8">
        <v>444.0</v>
      </c>
      <c r="AA115" s="6">
        <v>46330.0</v>
      </c>
      <c r="AB115" s="4">
        <v>3.0</v>
      </c>
      <c r="AC115" s="4">
        <v>15.0</v>
      </c>
    </row>
    <row r="116" hidden="1">
      <c r="A116" s="4" t="s">
        <v>4659</v>
      </c>
      <c r="B116" s="4" t="s">
        <v>5801</v>
      </c>
      <c r="C116" s="4">
        <v>8.0</v>
      </c>
      <c r="D116" s="4" t="s">
        <v>1648</v>
      </c>
      <c r="E116" s="4" t="s">
        <v>4565</v>
      </c>
      <c r="F116" s="6">
        <v>46056.0</v>
      </c>
      <c r="H116" s="4" t="s">
        <v>5512</v>
      </c>
      <c r="I116" s="4" t="s">
        <v>5370</v>
      </c>
      <c r="K116" s="4" t="s">
        <v>5372</v>
      </c>
      <c r="L116" s="4" t="s">
        <v>5371</v>
      </c>
      <c r="N116" s="7" t="s">
        <v>5802</v>
      </c>
      <c r="O116" s="7" t="s">
        <v>2342</v>
      </c>
      <c r="P116" s="6">
        <v>46045.0</v>
      </c>
      <c r="Q116" s="6">
        <v>46165.0</v>
      </c>
      <c r="R116" s="4" t="s">
        <v>5374</v>
      </c>
      <c r="S116" s="6">
        <v>46056.0</v>
      </c>
      <c r="T116" s="4">
        <v>0.0</v>
      </c>
      <c r="V116" s="4">
        <v>24.0</v>
      </c>
      <c r="X116" s="4" t="s">
        <v>5376</v>
      </c>
      <c r="Y116" s="4" t="s">
        <v>5381</v>
      </c>
      <c r="Z116" s="8">
        <v>433.0</v>
      </c>
      <c r="AA116" s="17">
        <v>45950.0</v>
      </c>
      <c r="AB116" s="4">
        <v>3.0</v>
      </c>
      <c r="AC116" s="4">
        <v>20.0</v>
      </c>
    </row>
    <row r="117" hidden="1">
      <c r="A117" s="4" t="s">
        <v>4690</v>
      </c>
      <c r="B117" s="4" t="s">
        <v>5803</v>
      </c>
      <c r="C117" s="4">
        <v>8.0</v>
      </c>
      <c r="D117" s="4" t="s">
        <v>1535</v>
      </c>
      <c r="E117" s="4" t="s">
        <v>2887</v>
      </c>
      <c r="F117" s="6">
        <v>46059.0</v>
      </c>
      <c r="H117" s="4" t="s">
        <v>5369</v>
      </c>
      <c r="I117" s="4" t="s">
        <v>5548</v>
      </c>
      <c r="J117" s="4" t="s">
        <v>5804</v>
      </c>
      <c r="K117" s="4" t="s">
        <v>5371</v>
      </c>
      <c r="L117" s="4" t="s">
        <v>5372</v>
      </c>
      <c r="N117" s="7" t="s">
        <v>5805</v>
      </c>
      <c r="O117" s="7" t="s">
        <v>2342</v>
      </c>
      <c r="P117" s="6">
        <v>46064.0</v>
      </c>
      <c r="Q117" s="6">
        <v>46123.0</v>
      </c>
      <c r="R117" s="4" t="s">
        <v>5374</v>
      </c>
      <c r="S117" s="6">
        <v>46059.0</v>
      </c>
      <c r="T117" s="4">
        <v>0.0</v>
      </c>
      <c r="V117" s="4">
        <v>20.0</v>
      </c>
      <c r="X117" s="4" t="s">
        <v>5376</v>
      </c>
      <c r="Y117" s="4" t="s">
        <v>5381</v>
      </c>
      <c r="Z117" s="8">
        <v>450.0</v>
      </c>
      <c r="AA117" s="6">
        <v>46235.0</v>
      </c>
      <c r="AB117" s="4">
        <v>3.0</v>
      </c>
      <c r="AC117" s="4">
        <v>20.0</v>
      </c>
    </row>
    <row r="118" hidden="1">
      <c r="A118" s="4" t="s">
        <v>4710</v>
      </c>
      <c r="B118" s="4" t="s">
        <v>5806</v>
      </c>
      <c r="C118" s="4">
        <v>8.0</v>
      </c>
      <c r="D118" s="4" t="s">
        <v>1539</v>
      </c>
      <c r="E118" s="4" t="s">
        <v>2782</v>
      </c>
      <c r="F118" s="6">
        <v>46066.0</v>
      </c>
      <c r="H118" s="4" t="s">
        <v>5369</v>
      </c>
      <c r="I118" s="4" t="s">
        <v>5407</v>
      </c>
      <c r="J118" s="4" t="s">
        <v>5807</v>
      </c>
      <c r="K118" s="4" t="s">
        <v>5433</v>
      </c>
      <c r="L118" s="4" t="s">
        <v>5371</v>
      </c>
      <c r="N118" s="7" t="s">
        <v>5808</v>
      </c>
      <c r="O118" s="7" t="s">
        <v>2342</v>
      </c>
      <c r="P118" s="6">
        <v>46060.0</v>
      </c>
      <c r="Q118" s="6">
        <v>46149.0</v>
      </c>
      <c r="R118" s="4" t="s">
        <v>5374</v>
      </c>
      <c r="S118" s="6">
        <v>46066.0</v>
      </c>
      <c r="T118" s="4">
        <v>0.0</v>
      </c>
      <c r="V118" s="4">
        <v>0.0</v>
      </c>
      <c r="X118" s="4" t="s">
        <v>5376</v>
      </c>
      <c r="Y118" s="4" t="s">
        <v>5381</v>
      </c>
      <c r="Z118" s="8">
        <v>83.0</v>
      </c>
      <c r="AA118" s="6">
        <v>46119.0</v>
      </c>
      <c r="AB118" s="4">
        <v>1.0</v>
      </c>
    </row>
    <row r="119" hidden="1">
      <c r="A119" s="4" t="s">
        <v>4698</v>
      </c>
      <c r="B119" s="4" t="s">
        <v>5809</v>
      </c>
      <c r="C119" s="4">
        <v>8.0</v>
      </c>
      <c r="D119" s="4" t="s">
        <v>1606</v>
      </c>
      <c r="E119" s="4" t="s">
        <v>4486</v>
      </c>
      <c r="F119" s="6">
        <v>46077.0</v>
      </c>
      <c r="H119" s="4" t="s">
        <v>5369</v>
      </c>
      <c r="I119" s="4" t="s">
        <v>5654</v>
      </c>
      <c r="J119" s="4" t="s">
        <v>5810</v>
      </c>
      <c r="K119" s="4" t="s">
        <v>5372</v>
      </c>
      <c r="L119" s="4" t="s">
        <v>5372</v>
      </c>
      <c r="N119" s="7" t="s">
        <v>5811</v>
      </c>
      <c r="O119" s="7" t="s">
        <v>2342</v>
      </c>
      <c r="P119" s="6">
        <v>46077.0</v>
      </c>
      <c r="Q119" s="6">
        <v>46136.0</v>
      </c>
      <c r="R119" s="4" t="s">
        <v>5374</v>
      </c>
      <c r="S119" s="6">
        <v>46077.0</v>
      </c>
      <c r="T119" s="4">
        <v>0.0</v>
      </c>
      <c r="V119" s="4">
        <v>0.0</v>
      </c>
      <c r="X119" s="4" t="s">
        <v>5376</v>
      </c>
      <c r="Y119" s="4" t="s">
        <v>5381</v>
      </c>
      <c r="Z119" s="8">
        <v>71.0</v>
      </c>
      <c r="AA119" s="6">
        <v>46136.0</v>
      </c>
      <c r="AB119" s="4">
        <v>1.0</v>
      </c>
      <c r="AC119" s="4">
        <v>10000.0</v>
      </c>
    </row>
    <row r="120" hidden="1">
      <c r="A120" s="4" t="s">
        <v>5812</v>
      </c>
      <c r="B120" s="4" t="s">
        <v>1680</v>
      </c>
      <c r="C120" s="4">
        <v>3.0</v>
      </c>
      <c r="D120" s="4" t="s">
        <v>1679</v>
      </c>
      <c r="E120" s="4" t="s">
        <v>5813</v>
      </c>
      <c r="F120" s="6">
        <v>46083.0</v>
      </c>
      <c r="G120" s="6">
        <v>46086.0</v>
      </c>
      <c r="H120" s="4" t="s">
        <v>5512</v>
      </c>
      <c r="I120" s="4" t="s">
        <v>5370</v>
      </c>
      <c r="K120" s="4" t="s">
        <v>5371</v>
      </c>
      <c r="L120" s="4" t="s">
        <v>5372</v>
      </c>
      <c r="M120" s="4" t="s">
        <v>5535</v>
      </c>
      <c r="N120" s="7" t="s">
        <v>5814</v>
      </c>
      <c r="O120" s="7" t="s">
        <v>2200</v>
      </c>
      <c r="R120" s="4" t="s">
        <v>5374</v>
      </c>
      <c r="S120" s="6">
        <v>46083.0</v>
      </c>
      <c r="T120" s="4">
        <v>0.0</v>
      </c>
      <c r="Z120" s="21"/>
    </row>
    <row r="121" hidden="1">
      <c r="A121" s="4" t="s">
        <v>5815</v>
      </c>
      <c r="B121" s="4" t="s">
        <v>5816</v>
      </c>
      <c r="C121" s="4">
        <v>8.0</v>
      </c>
      <c r="D121" s="4" t="s">
        <v>1587</v>
      </c>
      <c r="E121" s="4" t="s">
        <v>4425</v>
      </c>
      <c r="F121" s="6">
        <v>46100.0</v>
      </c>
      <c r="H121" s="4" t="s">
        <v>5512</v>
      </c>
      <c r="I121" s="4" t="s">
        <v>5475</v>
      </c>
      <c r="J121" s="4" t="s">
        <v>5817</v>
      </c>
      <c r="K121" s="4" t="s">
        <v>5372</v>
      </c>
      <c r="L121" s="4" t="s">
        <v>5372</v>
      </c>
      <c r="N121" s="7" t="s">
        <v>5818</v>
      </c>
      <c r="O121" s="7" t="s">
        <v>2342</v>
      </c>
      <c r="P121" s="6">
        <v>46179.0</v>
      </c>
      <c r="Q121" s="6">
        <v>46209.0</v>
      </c>
      <c r="R121" s="4" t="s">
        <v>5374</v>
      </c>
      <c r="S121" s="6">
        <v>46100.0</v>
      </c>
      <c r="T121" s="4">
        <v>0.0</v>
      </c>
      <c r="V121" s="4">
        <v>0.0</v>
      </c>
      <c r="X121" s="4" t="s">
        <v>5630</v>
      </c>
      <c r="Y121" s="4" t="s">
        <v>5631</v>
      </c>
      <c r="Z121" s="8">
        <v>110.0</v>
      </c>
      <c r="AA121" s="6">
        <v>46100.0</v>
      </c>
      <c r="AB121" s="4">
        <v>24.0</v>
      </c>
      <c r="AC121" s="4">
        <v>365.0</v>
      </c>
    </row>
    <row r="122" hidden="1">
      <c r="A122" s="4" t="s">
        <v>5819</v>
      </c>
      <c r="B122" s="4" t="s">
        <v>1682</v>
      </c>
      <c r="C122" s="4">
        <v>8.0</v>
      </c>
      <c r="D122" s="4" t="s">
        <v>1681</v>
      </c>
      <c r="E122" s="4" t="s">
        <v>5820</v>
      </c>
      <c r="F122" s="6">
        <v>46106.0</v>
      </c>
      <c r="G122" s="6"/>
      <c r="H122" s="4" t="s">
        <v>5419</v>
      </c>
      <c r="I122" s="4" t="s">
        <v>5821</v>
      </c>
      <c r="J122" s="4" t="s">
        <v>5822</v>
      </c>
      <c r="K122" s="4" t="s">
        <v>5371</v>
      </c>
      <c r="L122" s="4" t="s">
        <v>5371</v>
      </c>
      <c r="M122" s="4"/>
      <c r="N122" s="7" t="s">
        <v>5823</v>
      </c>
      <c r="O122" s="7" t="s">
        <v>2342</v>
      </c>
      <c r="P122" s="6">
        <v>46122.0</v>
      </c>
      <c r="Q122" s="6">
        <v>46152.0</v>
      </c>
      <c r="R122" s="4" t="s">
        <v>5374</v>
      </c>
      <c r="S122" s="6">
        <v>46106.0</v>
      </c>
      <c r="T122" s="4">
        <v>0.0</v>
      </c>
      <c r="V122" s="4">
        <v>32.0</v>
      </c>
      <c r="X122" s="4" t="s">
        <v>5630</v>
      </c>
      <c r="Y122" s="4" t="s">
        <v>5381</v>
      </c>
      <c r="Z122" s="8">
        <v>645.0</v>
      </c>
      <c r="AA122" s="6">
        <v>46122.0</v>
      </c>
      <c r="AB122" s="4">
        <v>3.0</v>
      </c>
      <c r="AC122" s="4">
        <v>20.0</v>
      </c>
    </row>
    <row r="123" hidden="1">
      <c r="Z123" s="21"/>
    </row>
    <row r="124" hidden="1">
      <c r="Z124" s="21"/>
    </row>
    <row r="125" hidden="1">
      <c r="Z125" s="21"/>
    </row>
    <row r="126" hidden="1">
      <c r="Z126" s="21"/>
    </row>
    <row r="127" hidden="1">
      <c r="Z127" s="21"/>
    </row>
    <row r="128" hidden="1">
      <c r="Z128" s="21"/>
    </row>
    <row r="129" hidden="1">
      <c r="Z129" s="21"/>
    </row>
    <row r="130" hidden="1">
      <c r="Z130" s="21"/>
    </row>
    <row r="131" hidden="1">
      <c r="Z131" s="21"/>
    </row>
    <row r="132" hidden="1">
      <c r="Z132" s="21"/>
    </row>
    <row r="133" hidden="1">
      <c r="Z133" s="21"/>
    </row>
    <row r="134" hidden="1">
      <c r="Z134" s="21"/>
    </row>
    <row r="135" hidden="1">
      <c r="Z135" s="21"/>
    </row>
    <row r="136" hidden="1">
      <c r="Z136" s="21"/>
    </row>
    <row r="137" hidden="1">
      <c r="Z137" s="21"/>
    </row>
    <row r="138" hidden="1">
      <c r="Z138" s="21"/>
    </row>
    <row r="139" hidden="1">
      <c r="Z139" s="21"/>
    </row>
    <row r="140" hidden="1">
      <c r="Z140" s="21"/>
    </row>
    <row r="141" hidden="1">
      <c r="Z141" s="21"/>
    </row>
    <row r="142" hidden="1">
      <c r="Z142" s="21"/>
    </row>
    <row r="143" hidden="1">
      <c r="Z143" s="21"/>
    </row>
    <row r="144" hidden="1">
      <c r="Z144" s="21"/>
    </row>
    <row r="145" hidden="1">
      <c r="Z145" s="21"/>
    </row>
    <row r="146" hidden="1">
      <c r="Z146" s="21"/>
    </row>
    <row r="147" hidden="1">
      <c r="Z147" s="21"/>
    </row>
    <row r="148" hidden="1">
      <c r="Z148" s="21"/>
    </row>
    <row r="149" hidden="1">
      <c r="Z149" s="21"/>
    </row>
    <row r="150" hidden="1">
      <c r="Z150" s="21"/>
    </row>
    <row r="151" hidden="1">
      <c r="Z151" s="21"/>
    </row>
    <row r="152" hidden="1">
      <c r="Z152" s="21"/>
    </row>
    <row r="153" hidden="1">
      <c r="Z153" s="21"/>
    </row>
    <row r="154" hidden="1">
      <c r="Z154" s="21"/>
    </row>
    <row r="155" hidden="1">
      <c r="Z155" s="21"/>
    </row>
    <row r="156" hidden="1">
      <c r="Z156" s="21"/>
    </row>
    <row r="157" hidden="1">
      <c r="Z157" s="21"/>
    </row>
    <row r="158" hidden="1">
      <c r="Z158" s="21"/>
    </row>
    <row r="159" hidden="1">
      <c r="Z159" s="21"/>
    </row>
    <row r="160" hidden="1">
      <c r="Z160" s="21"/>
    </row>
    <row r="161" hidden="1">
      <c r="Z161" s="21"/>
    </row>
    <row r="162" hidden="1">
      <c r="Z162" s="21"/>
    </row>
    <row r="163" hidden="1">
      <c r="Z163" s="21"/>
    </row>
    <row r="164" hidden="1">
      <c r="Z164" s="21"/>
    </row>
    <row r="165" hidden="1">
      <c r="Z165" s="21"/>
    </row>
    <row r="166" hidden="1">
      <c r="Z166" s="21"/>
    </row>
    <row r="167" hidden="1">
      <c r="Z167" s="21"/>
    </row>
    <row r="168" hidden="1">
      <c r="Z168" s="21"/>
    </row>
    <row r="169" hidden="1">
      <c r="Z169" s="21"/>
    </row>
    <row r="170" hidden="1">
      <c r="Z170" s="21"/>
    </row>
    <row r="171" hidden="1">
      <c r="Z171" s="21"/>
    </row>
    <row r="172" hidden="1">
      <c r="Z172" s="21"/>
    </row>
    <row r="173" hidden="1">
      <c r="Z173" s="21"/>
    </row>
    <row r="174" hidden="1">
      <c r="Z174" s="21"/>
    </row>
    <row r="175" hidden="1">
      <c r="Z175" s="21"/>
    </row>
    <row r="176" hidden="1">
      <c r="Z176" s="21"/>
    </row>
    <row r="177" hidden="1">
      <c r="Z177" s="21"/>
    </row>
    <row r="178" hidden="1">
      <c r="Z178" s="21"/>
    </row>
    <row r="179" hidden="1">
      <c r="Z179" s="21"/>
    </row>
    <row r="180" hidden="1">
      <c r="Z180" s="21"/>
    </row>
    <row r="181" hidden="1">
      <c r="Z181" s="21"/>
    </row>
    <row r="182" hidden="1">
      <c r="Z182" s="21"/>
    </row>
    <row r="183" hidden="1">
      <c r="Z183" s="21"/>
    </row>
    <row r="184" hidden="1">
      <c r="Z184" s="21"/>
    </row>
    <row r="185" hidden="1">
      <c r="Z185" s="21"/>
    </row>
    <row r="186" hidden="1">
      <c r="Z186" s="21"/>
    </row>
    <row r="187" hidden="1">
      <c r="Z187" s="21"/>
    </row>
    <row r="188" hidden="1">
      <c r="Z188" s="21"/>
    </row>
    <row r="189" hidden="1">
      <c r="Z189" s="21"/>
    </row>
    <row r="190" hidden="1">
      <c r="Z190" s="21"/>
    </row>
    <row r="191" hidden="1">
      <c r="Z191" s="21"/>
    </row>
    <row r="192" hidden="1">
      <c r="Z192" s="21"/>
    </row>
    <row r="193" hidden="1">
      <c r="Z193" s="21"/>
    </row>
    <row r="194" hidden="1">
      <c r="Z194" s="21"/>
    </row>
    <row r="195" hidden="1">
      <c r="Z195" s="21"/>
    </row>
    <row r="196" hidden="1">
      <c r="Z196" s="21"/>
    </row>
    <row r="197" hidden="1">
      <c r="Z197" s="21"/>
    </row>
    <row r="198" hidden="1">
      <c r="Z198" s="21"/>
    </row>
    <row r="199" hidden="1">
      <c r="Z199" s="21"/>
    </row>
    <row r="200" hidden="1">
      <c r="Z200" s="21"/>
    </row>
    <row r="201" hidden="1">
      <c r="Z201" s="21"/>
    </row>
    <row r="202" hidden="1">
      <c r="Z202" s="21"/>
    </row>
    <row r="203" hidden="1">
      <c r="Z203" s="21"/>
    </row>
    <row r="204" hidden="1">
      <c r="Z204" s="21"/>
    </row>
    <row r="205" hidden="1">
      <c r="Z205" s="21"/>
    </row>
    <row r="206" hidden="1">
      <c r="Z206" s="21"/>
    </row>
    <row r="207" hidden="1">
      <c r="Z207" s="21"/>
    </row>
    <row r="208" hidden="1">
      <c r="Z208" s="21"/>
    </row>
    <row r="209" hidden="1">
      <c r="Z209" s="21"/>
    </row>
    <row r="210" hidden="1">
      <c r="Z210" s="21"/>
    </row>
    <row r="211" hidden="1">
      <c r="Z211" s="21"/>
    </row>
    <row r="212" hidden="1">
      <c r="Z212" s="21"/>
    </row>
    <row r="213" hidden="1">
      <c r="Z213" s="21"/>
    </row>
    <row r="214" hidden="1">
      <c r="Z214" s="21"/>
    </row>
    <row r="215" hidden="1">
      <c r="Z215" s="21"/>
    </row>
    <row r="216" hidden="1">
      <c r="Z216" s="21"/>
    </row>
    <row r="217" hidden="1">
      <c r="Z217" s="21"/>
    </row>
    <row r="218" hidden="1">
      <c r="Z218" s="21"/>
    </row>
    <row r="219" hidden="1">
      <c r="Z219" s="21"/>
    </row>
    <row r="220" hidden="1">
      <c r="Z220" s="21"/>
    </row>
    <row r="221" hidden="1">
      <c r="Z221" s="21"/>
    </row>
    <row r="222" hidden="1">
      <c r="Z222" s="21"/>
    </row>
    <row r="223" hidden="1">
      <c r="Z223" s="21"/>
    </row>
    <row r="224" hidden="1">
      <c r="Z224" s="21"/>
    </row>
    <row r="225" hidden="1">
      <c r="Z225" s="21"/>
    </row>
    <row r="226" hidden="1">
      <c r="Z226" s="21"/>
    </row>
    <row r="227" hidden="1">
      <c r="Z227" s="21"/>
    </row>
    <row r="228" hidden="1">
      <c r="Z228" s="21"/>
    </row>
    <row r="229" hidden="1">
      <c r="Z229" s="21"/>
    </row>
    <row r="230" hidden="1">
      <c r="Z230" s="21"/>
    </row>
    <row r="231" hidden="1">
      <c r="Z231" s="21"/>
    </row>
    <row r="232" hidden="1">
      <c r="Z232" s="21"/>
    </row>
    <row r="233" hidden="1">
      <c r="Z233" s="21"/>
    </row>
    <row r="234" hidden="1">
      <c r="Z234" s="21"/>
    </row>
    <row r="235" hidden="1">
      <c r="Z235" s="21"/>
    </row>
    <row r="236" hidden="1">
      <c r="Z236" s="21"/>
    </row>
    <row r="237" hidden="1">
      <c r="Z237" s="21"/>
    </row>
    <row r="238" hidden="1">
      <c r="Z238" s="21"/>
    </row>
    <row r="239" hidden="1">
      <c r="Z239" s="21"/>
    </row>
    <row r="240" hidden="1">
      <c r="Z240" s="21"/>
    </row>
    <row r="241" hidden="1">
      <c r="Z241" s="21"/>
    </row>
    <row r="242" hidden="1">
      <c r="Z242" s="21"/>
    </row>
    <row r="243" hidden="1">
      <c r="Z243" s="21"/>
    </row>
    <row r="244" hidden="1">
      <c r="Z244" s="21"/>
    </row>
    <row r="245" hidden="1">
      <c r="Z245" s="21"/>
    </row>
    <row r="246" hidden="1">
      <c r="Z246" s="21"/>
    </row>
    <row r="247" hidden="1">
      <c r="Z247" s="21"/>
    </row>
    <row r="248" hidden="1">
      <c r="Z248" s="21"/>
    </row>
    <row r="249" hidden="1">
      <c r="Z249" s="21"/>
    </row>
    <row r="250" hidden="1">
      <c r="Z250" s="21"/>
    </row>
    <row r="251" hidden="1">
      <c r="Z251" s="21"/>
    </row>
    <row r="252" hidden="1">
      <c r="Z252" s="21"/>
    </row>
    <row r="253" hidden="1">
      <c r="Z253" s="21"/>
    </row>
    <row r="254" hidden="1">
      <c r="Z254" s="21"/>
    </row>
    <row r="255" hidden="1">
      <c r="Z255" s="21"/>
    </row>
    <row r="256" hidden="1">
      <c r="Z256" s="21"/>
    </row>
    <row r="257" hidden="1">
      <c r="Z257" s="21"/>
    </row>
    <row r="258" hidden="1">
      <c r="Z258" s="21"/>
    </row>
    <row r="259" hidden="1">
      <c r="Z259" s="21"/>
    </row>
    <row r="260" hidden="1">
      <c r="Z260" s="21"/>
    </row>
    <row r="261" hidden="1">
      <c r="Z261" s="21"/>
    </row>
    <row r="262" hidden="1">
      <c r="Z262" s="21"/>
    </row>
    <row r="263" hidden="1">
      <c r="Z263" s="21"/>
    </row>
    <row r="264" hidden="1">
      <c r="Z264" s="21"/>
    </row>
    <row r="265" hidden="1">
      <c r="Z265" s="21"/>
    </row>
    <row r="266" hidden="1">
      <c r="Z266" s="21"/>
    </row>
    <row r="267" hidden="1">
      <c r="Z267" s="21"/>
    </row>
    <row r="268" hidden="1">
      <c r="Z268" s="21"/>
    </row>
    <row r="269" hidden="1">
      <c r="Z269" s="21"/>
    </row>
    <row r="270" hidden="1">
      <c r="Z270" s="21"/>
    </row>
    <row r="271" hidden="1">
      <c r="Z271" s="21"/>
    </row>
    <row r="272" hidden="1">
      <c r="Z272" s="21"/>
    </row>
    <row r="273" hidden="1">
      <c r="Z273" s="21"/>
    </row>
    <row r="274" hidden="1">
      <c r="Z274" s="21"/>
    </row>
    <row r="275" hidden="1">
      <c r="Z275" s="21"/>
    </row>
    <row r="276" hidden="1">
      <c r="Z276" s="21"/>
    </row>
    <row r="277" hidden="1">
      <c r="Z277" s="21"/>
    </row>
    <row r="278" hidden="1">
      <c r="Z278" s="21"/>
    </row>
    <row r="279" hidden="1">
      <c r="Z279" s="21"/>
    </row>
    <row r="280" hidden="1">
      <c r="Z280" s="21"/>
    </row>
    <row r="281" hidden="1">
      <c r="Z281" s="21"/>
    </row>
    <row r="282" hidden="1">
      <c r="Z282" s="21"/>
    </row>
    <row r="283" hidden="1">
      <c r="Z283" s="21"/>
    </row>
    <row r="284" hidden="1">
      <c r="Z284" s="21"/>
    </row>
    <row r="285" hidden="1">
      <c r="Z285" s="21"/>
    </row>
    <row r="286" hidden="1">
      <c r="Z286" s="21"/>
    </row>
    <row r="287" hidden="1">
      <c r="Z287" s="21"/>
    </row>
    <row r="288" hidden="1">
      <c r="Z288" s="21"/>
    </row>
    <row r="289" hidden="1">
      <c r="Z289" s="21"/>
    </row>
    <row r="290" hidden="1">
      <c r="Z290" s="21"/>
    </row>
    <row r="291" hidden="1">
      <c r="Z291" s="21"/>
    </row>
    <row r="292" hidden="1">
      <c r="Z292" s="21"/>
    </row>
    <row r="293" hidden="1">
      <c r="Z293" s="21"/>
    </row>
    <row r="294" hidden="1">
      <c r="Z294" s="21"/>
    </row>
    <row r="295" hidden="1">
      <c r="Z295" s="21"/>
    </row>
    <row r="296" hidden="1">
      <c r="Z296" s="21"/>
    </row>
    <row r="297" hidden="1">
      <c r="Z297" s="21"/>
    </row>
    <row r="298" hidden="1">
      <c r="Z298" s="21"/>
    </row>
    <row r="299" hidden="1">
      <c r="Z299" s="21"/>
    </row>
    <row r="300" hidden="1">
      <c r="Z300" s="21"/>
    </row>
    <row r="301" hidden="1">
      <c r="Z301" s="21"/>
    </row>
    <row r="302" hidden="1">
      <c r="Z302" s="21"/>
    </row>
    <row r="303" hidden="1">
      <c r="Z303" s="21"/>
    </row>
    <row r="304" hidden="1">
      <c r="Z304" s="21"/>
    </row>
    <row r="305" hidden="1">
      <c r="Z305" s="21"/>
    </row>
    <row r="306" hidden="1">
      <c r="Z306" s="21"/>
    </row>
    <row r="307" hidden="1">
      <c r="Z307" s="21"/>
    </row>
    <row r="308" hidden="1">
      <c r="Z308" s="21"/>
    </row>
    <row r="309" hidden="1">
      <c r="Z309" s="21"/>
    </row>
    <row r="310" hidden="1">
      <c r="Z310" s="21"/>
    </row>
    <row r="311" hidden="1">
      <c r="Z311" s="21"/>
    </row>
    <row r="312" hidden="1">
      <c r="Z312" s="21"/>
    </row>
    <row r="313" hidden="1">
      <c r="Z313" s="21"/>
    </row>
    <row r="314" hidden="1">
      <c r="Z314" s="21"/>
    </row>
    <row r="315" hidden="1">
      <c r="Z315" s="21"/>
    </row>
    <row r="316" hidden="1">
      <c r="Z316" s="21"/>
    </row>
    <row r="317" hidden="1">
      <c r="Z317" s="21"/>
    </row>
    <row r="318" hidden="1">
      <c r="Z318" s="21"/>
    </row>
    <row r="319" hidden="1">
      <c r="Z319" s="21"/>
    </row>
    <row r="320" hidden="1">
      <c r="Z320" s="21"/>
    </row>
    <row r="321" hidden="1">
      <c r="Z321" s="21"/>
    </row>
    <row r="322" hidden="1">
      <c r="Z322" s="21"/>
    </row>
    <row r="323" hidden="1">
      <c r="Z323" s="21"/>
    </row>
    <row r="324" hidden="1">
      <c r="Z324" s="21"/>
    </row>
    <row r="325" hidden="1">
      <c r="Z325" s="21"/>
    </row>
    <row r="326" hidden="1">
      <c r="Z326" s="21"/>
    </row>
    <row r="327" hidden="1">
      <c r="Z327" s="21"/>
    </row>
    <row r="328" hidden="1">
      <c r="Z328" s="21"/>
    </row>
    <row r="329" hidden="1">
      <c r="Z329" s="21"/>
    </row>
    <row r="330" hidden="1">
      <c r="Z330" s="21"/>
    </row>
    <row r="331" hidden="1">
      <c r="Z331" s="21"/>
    </row>
    <row r="332" hidden="1">
      <c r="Z332" s="21"/>
    </row>
    <row r="333" hidden="1">
      <c r="Z333" s="21"/>
    </row>
    <row r="334" hidden="1">
      <c r="Z334" s="21"/>
    </row>
    <row r="335" hidden="1">
      <c r="Z335" s="21"/>
    </row>
    <row r="336" hidden="1">
      <c r="Z336" s="21"/>
    </row>
    <row r="337" hidden="1">
      <c r="Z337" s="21"/>
    </row>
    <row r="338" hidden="1">
      <c r="Z338" s="21"/>
    </row>
    <row r="339" hidden="1">
      <c r="Z339" s="21"/>
    </row>
    <row r="340" hidden="1">
      <c r="Z340" s="21"/>
    </row>
    <row r="341" hidden="1">
      <c r="Z341" s="21"/>
    </row>
    <row r="342" hidden="1">
      <c r="Z342" s="21"/>
    </row>
    <row r="343" hidden="1">
      <c r="Z343" s="21"/>
    </row>
    <row r="344" hidden="1">
      <c r="Z344" s="21"/>
    </row>
    <row r="345" hidden="1">
      <c r="Z345" s="21"/>
    </row>
    <row r="346" hidden="1">
      <c r="Z346" s="21"/>
    </row>
    <row r="347" hidden="1">
      <c r="Z347" s="21"/>
    </row>
    <row r="348" hidden="1">
      <c r="Z348" s="21"/>
    </row>
    <row r="349" hidden="1">
      <c r="Z349" s="21"/>
    </row>
    <row r="350" hidden="1">
      <c r="Z350" s="21"/>
    </row>
    <row r="351" hidden="1">
      <c r="Z351" s="21"/>
    </row>
    <row r="352" hidden="1">
      <c r="Z352" s="21"/>
    </row>
    <row r="353" hidden="1">
      <c r="Z353" s="21"/>
    </row>
    <row r="354" hidden="1">
      <c r="Z354" s="21"/>
    </row>
    <row r="355" hidden="1">
      <c r="Z355" s="21"/>
    </row>
    <row r="356" hidden="1">
      <c r="Z356" s="21"/>
    </row>
    <row r="357" hidden="1">
      <c r="Z357" s="21"/>
    </row>
    <row r="358" hidden="1">
      <c r="Z358" s="21"/>
    </row>
    <row r="359" hidden="1">
      <c r="Z359" s="21"/>
    </row>
    <row r="360" hidden="1">
      <c r="Z360" s="21"/>
    </row>
    <row r="361" hidden="1">
      <c r="Z361" s="21"/>
    </row>
    <row r="362" hidden="1">
      <c r="Z362" s="21"/>
    </row>
    <row r="363" hidden="1">
      <c r="Z363" s="21"/>
    </row>
    <row r="364" hidden="1">
      <c r="Z364" s="21"/>
    </row>
    <row r="365" hidden="1">
      <c r="Z365" s="21"/>
    </row>
    <row r="366" hidden="1">
      <c r="Z366" s="21"/>
    </row>
    <row r="367" hidden="1">
      <c r="Z367" s="21"/>
    </row>
    <row r="368" hidden="1">
      <c r="Z368" s="21"/>
    </row>
    <row r="369" hidden="1">
      <c r="Z369" s="21"/>
    </row>
    <row r="370" hidden="1">
      <c r="Z370" s="21"/>
    </row>
    <row r="371" hidden="1">
      <c r="Z371" s="21"/>
    </row>
    <row r="372" hidden="1">
      <c r="Z372" s="21"/>
    </row>
    <row r="373" hidden="1">
      <c r="Z373" s="21"/>
    </row>
    <row r="374" hidden="1">
      <c r="Z374" s="21"/>
    </row>
    <row r="375" hidden="1">
      <c r="Z375" s="21"/>
    </row>
    <row r="376" hidden="1">
      <c r="Z376" s="21"/>
    </row>
    <row r="377" hidden="1">
      <c r="Z377" s="21"/>
    </row>
    <row r="378" hidden="1">
      <c r="Z378" s="21"/>
    </row>
    <row r="379" hidden="1">
      <c r="Z379" s="21"/>
    </row>
    <row r="380" hidden="1">
      <c r="Z380" s="21"/>
    </row>
    <row r="381" hidden="1">
      <c r="Z381" s="21"/>
    </row>
    <row r="382" hidden="1">
      <c r="Z382" s="21"/>
    </row>
    <row r="383" hidden="1">
      <c r="Z383" s="21"/>
    </row>
    <row r="384" hidden="1">
      <c r="Z384" s="21"/>
    </row>
    <row r="385" hidden="1">
      <c r="Z385" s="21"/>
    </row>
    <row r="386" hidden="1">
      <c r="Z386" s="21"/>
    </row>
    <row r="387" hidden="1">
      <c r="Z387" s="21"/>
    </row>
    <row r="388" hidden="1">
      <c r="Z388" s="21"/>
    </row>
    <row r="389" hidden="1">
      <c r="Z389" s="21"/>
    </row>
    <row r="390" hidden="1">
      <c r="Z390" s="21"/>
    </row>
    <row r="391" hidden="1">
      <c r="Z391" s="21"/>
    </row>
    <row r="392" hidden="1">
      <c r="Z392" s="21"/>
    </row>
    <row r="393" hidden="1">
      <c r="Z393" s="21"/>
    </row>
    <row r="394" hidden="1">
      <c r="Z394" s="21"/>
    </row>
    <row r="395" hidden="1">
      <c r="Z395" s="21"/>
    </row>
    <row r="396" hidden="1">
      <c r="Z396" s="21"/>
    </row>
    <row r="397" hidden="1">
      <c r="Z397" s="21"/>
    </row>
    <row r="398" hidden="1">
      <c r="Z398" s="21"/>
    </row>
    <row r="399" hidden="1">
      <c r="Z399" s="21"/>
    </row>
    <row r="400" hidden="1">
      <c r="Z400" s="21"/>
    </row>
    <row r="401" hidden="1">
      <c r="Z401" s="21"/>
    </row>
    <row r="402" hidden="1">
      <c r="Z402" s="21"/>
    </row>
    <row r="403" hidden="1">
      <c r="Z403" s="21"/>
    </row>
    <row r="404" hidden="1">
      <c r="Z404" s="21"/>
    </row>
    <row r="405" hidden="1">
      <c r="Z405" s="21"/>
    </row>
    <row r="406" hidden="1">
      <c r="Z406" s="21"/>
    </row>
    <row r="407" hidden="1">
      <c r="Z407" s="21"/>
    </row>
    <row r="408" hidden="1">
      <c r="Z408" s="21"/>
    </row>
    <row r="409" hidden="1">
      <c r="Z409" s="21"/>
    </row>
    <row r="410" hidden="1">
      <c r="Z410" s="21"/>
    </row>
    <row r="411" hidden="1">
      <c r="Z411" s="21"/>
    </row>
    <row r="412" hidden="1">
      <c r="Z412" s="21"/>
    </row>
    <row r="413" hidden="1">
      <c r="Z413" s="21"/>
    </row>
    <row r="414" hidden="1">
      <c r="Z414" s="21"/>
    </row>
    <row r="415" hidden="1">
      <c r="Z415" s="21"/>
    </row>
    <row r="416" hidden="1">
      <c r="Z416" s="21"/>
    </row>
    <row r="417" hidden="1">
      <c r="Z417" s="21"/>
    </row>
    <row r="418" hidden="1">
      <c r="Z418" s="21"/>
    </row>
    <row r="419" hidden="1">
      <c r="Z419" s="21"/>
    </row>
    <row r="420" hidden="1">
      <c r="Z420" s="21"/>
    </row>
    <row r="421" hidden="1">
      <c r="Z421" s="21"/>
    </row>
    <row r="422" hidden="1">
      <c r="Z422" s="21"/>
    </row>
    <row r="423" hidden="1">
      <c r="Z423" s="21"/>
    </row>
    <row r="424" hidden="1">
      <c r="Z424" s="21"/>
    </row>
    <row r="425" hidden="1">
      <c r="Z425" s="21"/>
    </row>
    <row r="426" hidden="1">
      <c r="Z426" s="21"/>
    </row>
    <row r="427" hidden="1">
      <c r="Z427" s="21"/>
    </row>
    <row r="428" hidden="1">
      <c r="Z428" s="21"/>
    </row>
    <row r="429" hidden="1">
      <c r="Z429" s="21"/>
    </row>
    <row r="430" hidden="1">
      <c r="Z430" s="21"/>
    </row>
    <row r="431" hidden="1">
      <c r="Z431" s="21"/>
    </row>
    <row r="432" hidden="1">
      <c r="Z432" s="21"/>
    </row>
    <row r="433" hidden="1">
      <c r="Z433" s="21"/>
    </row>
    <row r="434" hidden="1">
      <c r="Z434" s="21"/>
    </row>
    <row r="435" hidden="1">
      <c r="Z435" s="21"/>
    </row>
    <row r="436" hidden="1">
      <c r="Z436" s="21"/>
    </row>
    <row r="437" hidden="1">
      <c r="Z437" s="21"/>
    </row>
    <row r="438" hidden="1">
      <c r="Z438" s="21"/>
    </row>
    <row r="439" hidden="1">
      <c r="Z439" s="21"/>
    </row>
    <row r="440" hidden="1">
      <c r="Z440" s="21"/>
    </row>
    <row r="441" hidden="1">
      <c r="Z441" s="21"/>
    </row>
    <row r="442" hidden="1">
      <c r="Z442" s="21"/>
    </row>
    <row r="443" hidden="1">
      <c r="Z443" s="21"/>
    </row>
    <row r="444" hidden="1">
      <c r="Z444" s="21"/>
    </row>
    <row r="445" hidden="1">
      <c r="Z445" s="21"/>
    </row>
    <row r="446" hidden="1">
      <c r="Z446" s="21"/>
    </row>
    <row r="447" hidden="1">
      <c r="Z447" s="21"/>
    </row>
    <row r="448" hidden="1">
      <c r="Z448" s="21"/>
    </row>
    <row r="449" hidden="1">
      <c r="Z449" s="21"/>
    </row>
    <row r="450" hidden="1">
      <c r="Z450" s="21"/>
    </row>
    <row r="451" hidden="1">
      <c r="Z451" s="21"/>
    </row>
    <row r="452" hidden="1">
      <c r="Z452" s="21"/>
    </row>
    <row r="453" hidden="1">
      <c r="Z453" s="21"/>
    </row>
    <row r="454" hidden="1">
      <c r="Z454" s="21"/>
    </row>
    <row r="455" hidden="1">
      <c r="Z455" s="21"/>
    </row>
    <row r="456" hidden="1">
      <c r="Z456" s="21"/>
    </row>
    <row r="457" hidden="1">
      <c r="Z457" s="21"/>
    </row>
    <row r="458" hidden="1">
      <c r="Z458" s="21"/>
    </row>
    <row r="459" hidden="1">
      <c r="Z459" s="21"/>
    </row>
    <row r="460" hidden="1">
      <c r="Z460" s="21"/>
    </row>
    <row r="461" hidden="1">
      <c r="Z461" s="21"/>
    </row>
    <row r="462" hidden="1">
      <c r="Z462" s="21"/>
    </row>
    <row r="463" hidden="1">
      <c r="Z463" s="21"/>
    </row>
    <row r="464" hidden="1">
      <c r="Z464" s="21"/>
    </row>
    <row r="465" hidden="1">
      <c r="Z465" s="21"/>
    </row>
    <row r="466" hidden="1">
      <c r="Z466" s="21"/>
    </row>
    <row r="467" hidden="1">
      <c r="Z467" s="21"/>
    </row>
    <row r="468" hidden="1">
      <c r="Z468" s="21"/>
    </row>
    <row r="469" hidden="1">
      <c r="Z469" s="21"/>
    </row>
    <row r="470" hidden="1">
      <c r="Z470" s="21"/>
    </row>
    <row r="471" hidden="1">
      <c r="Z471" s="21"/>
    </row>
    <row r="472" hidden="1">
      <c r="Z472" s="21"/>
    </row>
    <row r="473" hidden="1">
      <c r="Z473" s="21"/>
    </row>
    <row r="474" hidden="1">
      <c r="Z474" s="21"/>
    </row>
    <row r="475" hidden="1">
      <c r="Z475" s="21"/>
    </row>
    <row r="476" hidden="1">
      <c r="Z476" s="21"/>
    </row>
    <row r="477" hidden="1">
      <c r="Z477" s="21"/>
    </row>
    <row r="478" hidden="1">
      <c r="Z478" s="21"/>
    </row>
    <row r="479" hidden="1">
      <c r="Z479" s="21"/>
    </row>
    <row r="480" hidden="1">
      <c r="Z480" s="21"/>
    </row>
    <row r="481" hidden="1">
      <c r="Z481" s="21"/>
    </row>
    <row r="482" hidden="1">
      <c r="Z482" s="21"/>
    </row>
    <row r="483" hidden="1">
      <c r="Z483" s="21"/>
    </row>
    <row r="484" hidden="1">
      <c r="Z484" s="21"/>
    </row>
    <row r="485" hidden="1">
      <c r="Z485" s="21"/>
    </row>
    <row r="486" hidden="1">
      <c r="Z486" s="21"/>
    </row>
    <row r="487" hidden="1">
      <c r="Z487" s="21"/>
    </row>
    <row r="488" hidden="1">
      <c r="Z488" s="21"/>
    </row>
    <row r="489" hidden="1">
      <c r="Z489" s="21"/>
    </row>
    <row r="490" hidden="1">
      <c r="Z490" s="21"/>
    </row>
    <row r="491" hidden="1">
      <c r="Z491" s="21"/>
    </row>
    <row r="492" hidden="1">
      <c r="Z492" s="21"/>
    </row>
    <row r="493" hidden="1">
      <c r="Z493" s="21"/>
    </row>
    <row r="494" hidden="1">
      <c r="Z494" s="21"/>
    </row>
    <row r="495" hidden="1">
      <c r="Z495" s="21"/>
    </row>
    <row r="496" hidden="1">
      <c r="Z496" s="21"/>
    </row>
    <row r="497" hidden="1">
      <c r="Z497" s="21"/>
    </row>
    <row r="498" hidden="1">
      <c r="Z498" s="21"/>
    </row>
    <row r="499" hidden="1">
      <c r="Z499" s="21"/>
    </row>
    <row r="500" hidden="1">
      <c r="Z500" s="21"/>
    </row>
    <row r="501" hidden="1">
      <c r="Z501" s="21"/>
    </row>
    <row r="502" hidden="1">
      <c r="Z502" s="21"/>
    </row>
    <row r="503" hidden="1">
      <c r="Z503" s="21"/>
    </row>
    <row r="504" hidden="1">
      <c r="Z504" s="21"/>
    </row>
    <row r="505" hidden="1">
      <c r="Z505" s="21"/>
    </row>
    <row r="506" hidden="1">
      <c r="Z506" s="21"/>
    </row>
    <row r="507" hidden="1">
      <c r="Z507" s="21"/>
    </row>
    <row r="508" hidden="1">
      <c r="Z508" s="21"/>
    </row>
    <row r="509" hidden="1">
      <c r="Z509" s="21"/>
    </row>
    <row r="510" hidden="1">
      <c r="Z510" s="21"/>
    </row>
    <row r="511" hidden="1">
      <c r="Z511" s="21"/>
    </row>
    <row r="512" hidden="1">
      <c r="Z512" s="21"/>
    </row>
    <row r="513" hidden="1">
      <c r="Z513" s="21"/>
    </row>
    <row r="514" hidden="1">
      <c r="Z514" s="21"/>
    </row>
    <row r="515" hidden="1">
      <c r="Z515" s="21"/>
    </row>
    <row r="516" hidden="1">
      <c r="Z516" s="21"/>
    </row>
    <row r="517" hidden="1">
      <c r="Z517" s="21"/>
    </row>
    <row r="518" hidden="1">
      <c r="Z518" s="21"/>
    </row>
    <row r="519" hidden="1">
      <c r="Z519" s="21"/>
    </row>
    <row r="520" hidden="1">
      <c r="Z520" s="21"/>
    </row>
    <row r="521" hidden="1">
      <c r="Z521" s="21"/>
    </row>
    <row r="522" hidden="1">
      <c r="Z522" s="21"/>
    </row>
    <row r="523" hidden="1">
      <c r="Z523" s="21"/>
    </row>
    <row r="524" hidden="1">
      <c r="Z524" s="21"/>
    </row>
    <row r="525" hidden="1">
      <c r="Z525" s="21"/>
    </row>
    <row r="526" hidden="1">
      <c r="Z526" s="21"/>
    </row>
    <row r="527" hidden="1">
      <c r="Z527" s="21"/>
    </row>
    <row r="528" hidden="1">
      <c r="Z528" s="21"/>
    </row>
    <row r="529" hidden="1">
      <c r="Z529" s="21"/>
    </row>
    <row r="530" hidden="1">
      <c r="Z530" s="21"/>
    </row>
    <row r="531" hidden="1">
      <c r="Z531" s="21"/>
    </row>
    <row r="532" hidden="1">
      <c r="Z532" s="21"/>
    </row>
    <row r="533" hidden="1">
      <c r="Z533" s="21"/>
    </row>
    <row r="534" hidden="1">
      <c r="Z534" s="21"/>
    </row>
    <row r="535" hidden="1">
      <c r="Z535" s="21"/>
    </row>
    <row r="536" hidden="1">
      <c r="Z536" s="21"/>
    </row>
    <row r="537" hidden="1">
      <c r="Z537" s="21"/>
    </row>
    <row r="538" hidden="1">
      <c r="Z538" s="21"/>
    </row>
    <row r="539" hidden="1">
      <c r="Z539" s="21"/>
    </row>
    <row r="540" hidden="1">
      <c r="Z540" s="21"/>
    </row>
    <row r="541" hidden="1">
      <c r="Z541" s="21"/>
    </row>
    <row r="542" hidden="1">
      <c r="Z542" s="21"/>
    </row>
    <row r="543" hidden="1">
      <c r="Z543" s="21"/>
    </row>
    <row r="544" hidden="1">
      <c r="Z544" s="21"/>
    </row>
    <row r="545" hidden="1">
      <c r="Z545" s="21"/>
    </row>
    <row r="546" hidden="1">
      <c r="Z546" s="21"/>
    </row>
    <row r="547" hidden="1">
      <c r="Z547" s="21"/>
    </row>
    <row r="548" hidden="1">
      <c r="Z548" s="21"/>
    </row>
    <row r="549" hidden="1">
      <c r="Z549" s="21"/>
    </row>
    <row r="550" hidden="1">
      <c r="Z550" s="21"/>
    </row>
    <row r="551" hidden="1">
      <c r="Z551" s="21"/>
    </row>
    <row r="552" hidden="1">
      <c r="Z552" s="21"/>
    </row>
    <row r="553" hidden="1">
      <c r="Z553" s="21"/>
    </row>
    <row r="554" hidden="1">
      <c r="Z554" s="21"/>
    </row>
    <row r="555" hidden="1">
      <c r="Z555" s="21"/>
    </row>
    <row r="556" hidden="1">
      <c r="Z556" s="21"/>
    </row>
    <row r="557" hidden="1">
      <c r="Z557" s="21"/>
    </row>
    <row r="558" hidden="1">
      <c r="Z558" s="21"/>
    </row>
    <row r="559" hidden="1">
      <c r="Z559" s="21"/>
    </row>
    <row r="560" hidden="1">
      <c r="Z560" s="21"/>
    </row>
    <row r="561" hidden="1">
      <c r="Z561" s="21"/>
    </row>
    <row r="562" hidden="1">
      <c r="Z562" s="21"/>
    </row>
    <row r="563" hidden="1">
      <c r="Z563" s="21"/>
    </row>
    <row r="564" hidden="1">
      <c r="Z564" s="21"/>
    </row>
    <row r="565" hidden="1">
      <c r="Z565" s="21"/>
    </row>
    <row r="566" hidden="1">
      <c r="Z566" s="21"/>
    </row>
    <row r="567" hidden="1">
      <c r="Z567" s="21"/>
    </row>
    <row r="568" hidden="1">
      <c r="Z568" s="21"/>
    </row>
    <row r="569" hidden="1">
      <c r="Z569" s="21"/>
    </row>
    <row r="570" hidden="1">
      <c r="Z570" s="21"/>
    </row>
    <row r="571" hidden="1">
      <c r="Z571" s="21"/>
    </row>
    <row r="572" hidden="1">
      <c r="Z572" s="21"/>
    </row>
    <row r="573" hidden="1">
      <c r="Z573" s="21"/>
    </row>
    <row r="574" hidden="1">
      <c r="Z574" s="21"/>
    </row>
    <row r="575" hidden="1">
      <c r="Z575" s="21"/>
    </row>
    <row r="576" hidden="1">
      <c r="Z576" s="21"/>
    </row>
    <row r="577" hidden="1">
      <c r="Z577" s="21"/>
    </row>
    <row r="578" hidden="1">
      <c r="Z578" s="21"/>
    </row>
    <row r="579" hidden="1">
      <c r="Z579" s="21"/>
    </row>
    <row r="580" hidden="1">
      <c r="Z580" s="21"/>
    </row>
    <row r="581" hidden="1">
      <c r="Z581" s="21"/>
    </row>
    <row r="582" hidden="1">
      <c r="Z582" s="21"/>
    </row>
    <row r="583" hidden="1">
      <c r="Z583" s="21"/>
    </row>
    <row r="584" hidden="1">
      <c r="Z584" s="21"/>
    </row>
    <row r="585" hidden="1">
      <c r="Z585" s="21"/>
    </row>
    <row r="586" hidden="1">
      <c r="Z586" s="21"/>
    </row>
    <row r="587" hidden="1">
      <c r="Z587" s="21"/>
    </row>
    <row r="588" hidden="1">
      <c r="Z588" s="21"/>
    </row>
    <row r="589" hidden="1">
      <c r="Z589" s="21"/>
    </row>
    <row r="590" hidden="1">
      <c r="Z590" s="21"/>
    </row>
    <row r="591" hidden="1">
      <c r="Z591" s="21"/>
    </row>
    <row r="592" hidden="1">
      <c r="Z592" s="21"/>
    </row>
    <row r="593" hidden="1">
      <c r="Z593" s="21"/>
    </row>
    <row r="594" hidden="1">
      <c r="Z594" s="21"/>
    </row>
    <row r="595" hidden="1">
      <c r="Z595" s="21"/>
    </row>
    <row r="596" hidden="1">
      <c r="Z596" s="21"/>
    </row>
    <row r="597" hidden="1">
      <c r="Z597" s="21"/>
    </row>
    <row r="598" hidden="1">
      <c r="Z598" s="21"/>
    </row>
    <row r="599" hidden="1">
      <c r="Z599" s="21"/>
    </row>
    <row r="600" hidden="1">
      <c r="Z600" s="21"/>
    </row>
    <row r="601" hidden="1">
      <c r="Z601" s="21"/>
    </row>
    <row r="602" hidden="1">
      <c r="Z602" s="21"/>
    </row>
    <row r="603" hidden="1">
      <c r="Z603" s="21"/>
    </row>
    <row r="604" hidden="1">
      <c r="Z604" s="21"/>
    </row>
    <row r="605" hidden="1">
      <c r="Z605" s="21"/>
    </row>
    <row r="606" hidden="1">
      <c r="Z606" s="21"/>
    </row>
    <row r="607" hidden="1">
      <c r="Z607" s="21"/>
    </row>
    <row r="608" hidden="1">
      <c r="Z608" s="21"/>
    </row>
    <row r="609" hidden="1">
      <c r="Z609" s="21"/>
    </row>
    <row r="610" hidden="1">
      <c r="Z610" s="21"/>
    </row>
    <row r="611" hidden="1">
      <c r="Z611" s="21"/>
    </row>
    <row r="612" hidden="1">
      <c r="Z612" s="21"/>
    </row>
    <row r="613" hidden="1">
      <c r="Z613" s="21"/>
    </row>
    <row r="614" hidden="1">
      <c r="Z614" s="21"/>
    </row>
    <row r="615" hidden="1">
      <c r="Z615" s="21"/>
    </row>
    <row r="616" hidden="1">
      <c r="Z616" s="21"/>
    </row>
    <row r="617" hidden="1">
      <c r="Z617" s="21"/>
    </row>
    <row r="618" hidden="1">
      <c r="Z618" s="21"/>
    </row>
    <row r="619" hidden="1">
      <c r="Z619" s="21"/>
    </row>
    <row r="620" hidden="1">
      <c r="Z620" s="21"/>
    </row>
    <row r="621" hidden="1">
      <c r="Z621" s="21"/>
    </row>
    <row r="622" hidden="1">
      <c r="Z622" s="21"/>
    </row>
    <row r="623" hidden="1">
      <c r="Z623" s="21"/>
    </row>
    <row r="624" hidden="1">
      <c r="Z624" s="21"/>
    </row>
    <row r="625" hidden="1">
      <c r="Z625" s="21"/>
    </row>
    <row r="626" hidden="1">
      <c r="Z626" s="21"/>
    </row>
    <row r="627" hidden="1">
      <c r="Z627" s="21"/>
    </row>
    <row r="628" hidden="1">
      <c r="Z628" s="21"/>
    </row>
    <row r="629" hidden="1">
      <c r="Z629" s="21"/>
    </row>
    <row r="630" hidden="1">
      <c r="Z630" s="21"/>
    </row>
    <row r="631" hidden="1">
      <c r="Z631" s="21"/>
    </row>
    <row r="632" hidden="1">
      <c r="Z632" s="21"/>
    </row>
    <row r="633" hidden="1">
      <c r="Z633" s="21"/>
    </row>
    <row r="634" hidden="1">
      <c r="Z634" s="21"/>
    </row>
    <row r="635" hidden="1">
      <c r="Z635" s="21"/>
    </row>
    <row r="636" hidden="1">
      <c r="Z636" s="21"/>
    </row>
    <row r="637" hidden="1">
      <c r="Z637" s="21"/>
    </row>
    <row r="638" hidden="1">
      <c r="Z638" s="21"/>
    </row>
    <row r="639" hidden="1">
      <c r="Z639" s="21"/>
    </row>
    <row r="640" hidden="1">
      <c r="Z640" s="21"/>
    </row>
    <row r="641" hidden="1">
      <c r="Z641" s="21"/>
    </row>
    <row r="642" hidden="1">
      <c r="Z642" s="21"/>
    </row>
    <row r="643" hidden="1">
      <c r="Z643" s="21"/>
    </row>
    <row r="644" hidden="1">
      <c r="Z644" s="21"/>
    </row>
    <row r="645" hidden="1">
      <c r="Z645" s="21"/>
    </row>
    <row r="646" hidden="1">
      <c r="Z646" s="21"/>
    </row>
    <row r="647" hidden="1">
      <c r="Z647" s="21"/>
    </row>
    <row r="648" hidden="1">
      <c r="Z648" s="21"/>
    </row>
    <row r="649" hidden="1">
      <c r="Z649" s="21"/>
    </row>
    <row r="650" hidden="1">
      <c r="Z650" s="21"/>
    </row>
    <row r="651" hidden="1">
      <c r="Z651" s="21"/>
    </row>
    <row r="652" hidden="1">
      <c r="Z652" s="21"/>
    </row>
    <row r="653" hidden="1">
      <c r="Z653" s="21"/>
    </row>
    <row r="654" hidden="1">
      <c r="Z654" s="21"/>
    </row>
    <row r="655" hidden="1">
      <c r="Z655" s="21"/>
    </row>
    <row r="656" hidden="1">
      <c r="Z656" s="21"/>
    </row>
    <row r="657" hidden="1">
      <c r="Z657" s="21"/>
    </row>
    <row r="658" hidden="1">
      <c r="Z658" s="21"/>
    </row>
    <row r="659" hidden="1">
      <c r="Z659" s="21"/>
    </row>
    <row r="660" hidden="1">
      <c r="Z660" s="21"/>
    </row>
    <row r="661" hidden="1">
      <c r="Z661" s="21"/>
    </row>
    <row r="662" hidden="1">
      <c r="Z662" s="21"/>
    </row>
    <row r="663" hidden="1">
      <c r="Z663" s="21"/>
    </row>
    <row r="664" hidden="1">
      <c r="Z664" s="21"/>
    </row>
    <row r="665" hidden="1">
      <c r="Z665" s="21"/>
    </row>
    <row r="666" hidden="1">
      <c r="Z666" s="21"/>
    </row>
    <row r="667" hidden="1">
      <c r="Z667" s="21"/>
    </row>
    <row r="668" hidden="1">
      <c r="Z668" s="21"/>
    </row>
    <row r="669" hidden="1">
      <c r="Z669" s="21"/>
    </row>
    <row r="670" hidden="1">
      <c r="Z670" s="21"/>
    </row>
    <row r="671" hidden="1">
      <c r="Z671" s="21"/>
    </row>
    <row r="672" hidden="1">
      <c r="Z672" s="21"/>
    </row>
    <row r="673" hidden="1">
      <c r="Z673" s="21"/>
    </row>
    <row r="674" hidden="1">
      <c r="Z674" s="21"/>
    </row>
    <row r="675" hidden="1">
      <c r="Z675" s="21"/>
    </row>
    <row r="676" hidden="1">
      <c r="Z676" s="21"/>
    </row>
    <row r="677" hidden="1">
      <c r="Z677" s="21"/>
    </row>
    <row r="678" hidden="1">
      <c r="Z678" s="21"/>
    </row>
    <row r="679" hidden="1">
      <c r="Z679" s="21"/>
    </row>
    <row r="680" hidden="1">
      <c r="Z680" s="21"/>
    </row>
    <row r="681" hidden="1">
      <c r="Z681" s="21"/>
    </row>
    <row r="682" hidden="1">
      <c r="Z682" s="21"/>
    </row>
    <row r="683" hidden="1">
      <c r="Z683" s="21"/>
    </row>
    <row r="684" hidden="1">
      <c r="Z684" s="21"/>
    </row>
    <row r="685" hidden="1">
      <c r="Z685" s="21"/>
    </row>
    <row r="686" hidden="1">
      <c r="Z686" s="21"/>
    </row>
    <row r="687" hidden="1">
      <c r="Z687" s="21"/>
    </row>
    <row r="688" hidden="1">
      <c r="Z688" s="21"/>
    </row>
    <row r="689" hidden="1">
      <c r="Z689" s="21"/>
    </row>
    <row r="690" hidden="1">
      <c r="Z690" s="21"/>
    </row>
    <row r="691" hidden="1">
      <c r="Z691" s="21"/>
    </row>
    <row r="692" hidden="1">
      <c r="Z692" s="21"/>
    </row>
    <row r="693" hidden="1">
      <c r="Z693" s="21"/>
    </row>
    <row r="694" hidden="1">
      <c r="Z694" s="21"/>
    </row>
    <row r="695" hidden="1">
      <c r="Z695" s="21"/>
    </row>
    <row r="696" hidden="1">
      <c r="Z696" s="21"/>
    </row>
    <row r="697" hidden="1">
      <c r="Z697" s="21"/>
    </row>
    <row r="698" hidden="1">
      <c r="Z698" s="21"/>
    </row>
    <row r="699" hidden="1">
      <c r="Z699" s="21"/>
    </row>
    <row r="700" hidden="1">
      <c r="Z700" s="21"/>
    </row>
    <row r="701" hidden="1">
      <c r="Z701" s="21"/>
    </row>
    <row r="702" hidden="1">
      <c r="Z702" s="21"/>
    </row>
    <row r="703" hidden="1">
      <c r="Z703" s="21"/>
    </row>
    <row r="704" hidden="1">
      <c r="Z704" s="21"/>
    </row>
    <row r="705" hidden="1">
      <c r="Z705" s="21"/>
    </row>
    <row r="706" hidden="1">
      <c r="Z706" s="21"/>
    </row>
    <row r="707" hidden="1">
      <c r="Z707" s="21"/>
    </row>
    <row r="708" hidden="1">
      <c r="Z708" s="21"/>
    </row>
    <row r="709" hidden="1">
      <c r="Z709" s="21"/>
    </row>
    <row r="710" hidden="1">
      <c r="Z710" s="21"/>
    </row>
    <row r="711" hidden="1">
      <c r="Z711" s="21"/>
    </row>
    <row r="712" hidden="1">
      <c r="Z712" s="21"/>
    </row>
    <row r="713" hidden="1">
      <c r="Z713" s="21"/>
    </row>
    <row r="714" hidden="1">
      <c r="Z714" s="21"/>
    </row>
    <row r="715" hidden="1">
      <c r="Z715" s="21"/>
    </row>
    <row r="716" hidden="1">
      <c r="Z716" s="21"/>
    </row>
    <row r="717" hidden="1">
      <c r="Z717" s="21"/>
    </row>
    <row r="718" hidden="1">
      <c r="Z718" s="21"/>
    </row>
    <row r="719" hidden="1">
      <c r="Z719" s="21"/>
    </row>
    <row r="720" hidden="1">
      <c r="Z720" s="21"/>
    </row>
    <row r="721" hidden="1">
      <c r="Z721" s="21"/>
    </row>
    <row r="722" hidden="1">
      <c r="Z722" s="21"/>
    </row>
    <row r="723" hidden="1">
      <c r="Z723" s="21"/>
    </row>
    <row r="724" hidden="1">
      <c r="Z724" s="21"/>
    </row>
    <row r="725" hidden="1">
      <c r="Z725" s="21"/>
    </row>
    <row r="726" hidden="1">
      <c r="Z726" s="21"/>
    </row>
    <row r="727" hidden="1">
      <c r="Z727" s="21"/>
    </row>
    <row r="728" hidden="1">
      <c r="Z728" s="21"/>
    </row>
    <row r="729" hidden="1">
      <c r="Z729" s="21"/>
    </row>
    <row r="730" hidden="1">
      <c r="Z730" s="21"/>
    </row>
    <row r="731" hidden="1">
      <c r="Z731" s="21"/>
    </row>
    <row r="732" hidden="1">
      <c r="Z732" s="21"/>
    </row>
    <row r="733" hidden="1">
      <c r="Z733" s="21"/>
    </row>
    <row r="734" hidden="1">
      <c r="Z734" s="21"/>
    </row>
    <row r="735" hidden="1">
      <c r="Z735" s="21"/>
    </row>
    <row r="736" hidden="1">
      <c r="Z736" s="21"/>
    </row>
    <row r="737" hidden="1">
      <c r="Z737" s="21"/>
    </row>
    <row r="738" hidden="1">
      <c r="Z738" s="21"/>
    </row>
    <row r="739" hidden="1">
      <c r="Z739" s="21"/>
    </row>
    <row r="740" hidden="1">
      <c r="Z740" s="21"/>
    </row>
    <row r="741" hidden="1">
      <c r="Z741" s="21"/>
    </row>
    <row r="742" hidden="1">
      <c r="Z742" s="21"/>
    </row>
    <row r="743" hidden="1">
      <c r="Z743" s="21"/>
    </row>
    <row r="744" hidden="1">
      <c r="Z744" s="21"/>
    </row>
    <row r="745" hidden="1">
      <c r="Z745" s="21"/>
    </row>
    <row r="746" hidden="1">
      <c r="Z746" s="21"/>
    </row>
    <row r="747" hidden="1">
      <c r="Z747" s="21"/>
    </row>
    <row r="748" hidden="1">
      <c r="Z748" s="21"/>
    </row>
    <row r="749" hidden="1">
      <c r="Z749" s="21"/>
    </row>
    <row r="750" hidden="1">
      <c r="Z750" s="21"/>
    </row>
    <row r="751" hidden="1">
      <c r="Z751" s="21"/>
    </row>
    <row r="752" hidden="1">
      <c r="Z752" s="21"/>
    </row>
    <row r="753" hidden="1">
      <c r="Z753" s="21"/>
    </row>
    <row r="754" hidden="1">
      <c r="Z754" s="21"/>
    </row>
    <row r="755" hidden="1">
      <c r="Z755" s="21"/>
    </row>
    <row r="756" hidden="1">
      <c r="Z756" s="21"/>
    </row>
    <row r="757" hidden="1">
      <c r="Z757" s="21"/>
    </row>
    <row r="758" hidden="1">
      <c r="Z758" s="21"/>
    </row>
    <row r="759" hidden="1">
      <c r="Z759" s="21"/>
    </row>
    <row r="760" hidden="1">
      <c r="Z760" s="21"/>
    </row>
    <row r="761" hidden="1">
      <c r="Z761" s="21"/>
    </row>
    <row r="762" hidden="1">
      <c r="Z762" s="21"/>
    </row>
    <row r="763" hidden="1">
      <c r="Z763" s="21"/>
    </row>
    <row r="764" hidden="1">
      <c r="Z764" s="21"/>
    </row>
    <row r="765" hidden="1">
      <c r="Z765" s="21"/>
    </row>
    <row r="766" hidden="1">
      <c r="Z766" s="21"/>
    </row>
    <row r="767" hidden="1">
      <c r="Z767" s="21"/>
    </row>
    <row r="768" hidden="1">
      <c r="Z768" s="21"/>
    </row>
    <row r="769" hidden="1">
      <c r="Z769" s="21"/>
    </row>
    <row r="770" hidden="1">
      <c r="Z770" s="21"/>
    </row>
    <row r="771" hidden="1">
      <c r="Z771" s="21"/>
    </row>
    <row r="772" hidden="1">
      <c r="Z772" s="21"/>
    </row>
    <row r="773" hidden="1">
      <c r="Z773" s="21"/>
    </row>
    <row r="774" hidden="1">
      <c r="Z774" s="21"/>
    </row>
    <row r="775" hidden="1">
      <c r="Z775" s="21"/>
    </row>
    <row r="776" hidden="1">
      <c r="Z776" s="21"/>
    </row>
    <row r="777" hidden="1">
      <c r="Z777" s="21"/>
    </row>
    <row r="778" hidden="1">
      <c r="Z778" s="21"/>
    </row>
    <row r="779" hidden="1">
      <c r="Z779" s="21"/>
    </row>
    <row r="780" hidden="1">
      <c r="Z780" s="21"/>
    </row>
    <row r="781" hidden="1">
      <c r="Z781" s="21"/>
    </row>
    <row r="782" hidden="1">
      <c r="Z782" s="21"/>
    </row>
    <row r="783" hidden="1">
      <c r="Z783" s="21"/>
    </row>
    <row r="784" hidden="1">
      <c r="Z784" s="21"/>
    </row>
    <row r="785" hidden="1">
      <c r="Z785" s="21"/>
    </row>
    <row r="786" hidden="1">
      <c r="Z786" s="21"/>
    </row>
    <row r="787" hidden="1">
      <c r="Z787" s="21"/>
    </row>
    <row r="788" hidden="1">
      <c r="Z788" s="21"/>
    </row>
    <row r="789" hidden="1">
      <c r="Z789" s="21"/>
    </row>
    <row r="790" hidden="1">
      <c r="Z790" s="21"/>
    </row>
    <row r="791" hidden="1">
      <c r="Z791" s="21"/>
    </row>
    <row r="792" hidden="1">
      <c r="Z792" s="21"/>
    </row>
    <row r="793" hidden="1">
      <c r="Z793" s="21"/>
    </row>
    <row r="794" hidden="1">
      <c r="Z794" s="21"/>
    </row>
    <row r="795" hidden="1">
      <c r="Z795" s="21"/>
    </row>
    <row r="796" hidden="1">
      <c r="Z796" s="21"/>
    </row>
    <row r="797" hidden="1">
      <c r="Z797" s="21"/>
    </row>
    <row r="798" hidden="1">
      <c r="Z798" s="21"/>
    </row>
    <row r="799" hidden="1">
      <c r="Z799" s="21"/>
    </row>
    <row r="800" hidden="1">
      <c r="Z800" s="21"/>
    </row>
    <row r="801" hidden="1">
      <c r="Z801" s="21"/>
    </row>
    <row r="802" hidden="1">
      <c r="Z802" s="21"/>
    </row>
    <row r="803" hidden="1">
      <c r="Z803" s="21"/>
    </row>
    <row r="804" hidden="1">
      <c r="Z804" s="21"/>
    </row>
    <row r="805" hidden="1">
      <c r="Z805" s="21"/>
    </row>
    <row r="806" hidden="1">
      <c r="Z806" s="21"/>
    </row>
    <row r="807" hidden="1">
      <c r="Z807" s="21"/>
    </row>
    <row r="808" hidden="1">
      <c r="Z808" s="21"/>
    </row>
    <row r="809" hidden="1">
      <c r="Z809" s="21"/>
    </row>
    <row r="810" hidden="1">
      <c r="Z810" s="21"/>
    </row>
    <row r="811" hidden="1">
      <c r="Z811" s="21"/>
    </row>
    <row r="812" hidden="1">
      <c r="Z812" s="21"/>
    </row>
    <row r="813" hidden="1">
      <c r="Z813" s="21"/>
    </row>
    <row r="814" hidden="1">
      <c r="Z814" s="21"/>
    </row>
    <row r="815" hidden="1">
      <c r="Z815" s="21"/>
    </row>
    <row r="816" hidden="1">
      <c r="Z816" s="21"/>
    </row>
    <row r="817" hidden="1">
      <c r="Z817" s="21"/>
    </row>
    <row r="818" hidden="1">
      <c r="Z818" s="21"/>
    </row>
    <row r="819" hidden="1">
      <c r="Z819" s="21"/>
    </row>
    <row r="820" hidden="1">
      <c r="Z820" s="21"/>
    </row>
    <row r="821" hidden="1">
      <c r="Z821" s="21"/>
    </row>
    <row r="822" hidden="1">
      <c r="Z822" s="21"/>
    </row>
    <row r="823" hidden="1">
      <c r="Z823" s="21"/>
    </row>
    <row r="824" hidden="1">
      <c r="Z824" s="21"/>
    </row>
    <row r="825" hidden="1">
      <c r="Z825" s="21"/>
    </row>
    <row r="826" hidden="1">
      <c r="Z826" s="21"/>
    </row>
    <row r="827" hidden="1">
      <c r="Z827" s="21"/>
    </row>
    <row r="828" hidden="1">
      <c r="Z828" s="21"/>
    </row>
    <row r="829" hidden="1">
      <c r="Z829" s="21"/>
    </row>
    <row r="830" hidden="1">
      <c r="Z830" s="21"/>
    </row>
    <row r="831" hidden="1">
      <c r="Z831" s="21"/>
    </row>
    <row r="832" hidden="1">
      <c r="Z832" s="21"/>
    </row>
    <row r="833" hidden="1">
      <c r="Z833" s="21"/>
    </row>
    <row r="834" hidden="1">
      <c r="Z834" s="21"/>
    </row>
    <row r="835" hidden="1">
      <c r="Z835" s="21"/>
    </row>
    <row r="836" hidden="1">
      <c r="Z836" s="21"/>
    </row>
    <row r="837" hidden="1">
      <c r="Z837" s="21"/>
    </row>
    <row r="838" hidden="1">
      <c r="Z838" s="21"/>
    </row>
    <row r="839" hidden="1">
      <c r="Z839" s="21"/>
    </row>
    <row r="840" hidden="1">
      <c r="Z840" s="21"/>
    </row>
    <row r="841" hidden="1">
      <c r="Z841" s="21"/>
    </row>
    <row r="842" hidden="1">
      <c r="Z842" s="21"/>
    </row>
    <row r="843" hidden="1">
      <c r="Z843" s="21"/>
    </row>
    <row r="844" hidden="1">
      <c r="Z844" s="21"/>
    </row>
    <row r="845" hidden="1">
      <c r="Z845" s="21"/>
    </row>
    <row r="846" hidden="1">
      <c r="Z846" s="21"/>
    </row>
    <row r="847" hidden="1">
      <c r="Z847" s="21"/>
    </row>
    <row r="848" hidden="1">
      <c r="Z848" s="21"/>
    </row>
    <row r="849" hidden="1">
      <c r="Z849" s="21"/>
    </row>
    <row r="850" hidden="1">
      <c r="Z850" s="21"/>
    </row>
    <row r="851" hidden="1">
      <c r="Z851" s="21"/>
    </row>
    <row r="852" hidden="1">
      <c r="Z852" s="21"/>
    </row>
    <row r="853" hidden="1">
      <c r="Z853" s="21"/>
    </row>
    <row r="854" hidden="1">
      <c r="Z854" s="21"/>
    </row>
    <row r="855" hidden="1">
      <c r="Z855" s="21"/>
    </row>
    <row r="856" hidden="1">
      <c r="Z856" s="21"/>
    </row>
    <row r="857" hidden="1">
      <c r="Z857" s="21"/>
    </row>
    <row r="858" hidden="1">
      <c r="Z858" s="21"/>
    </row>
    <row r="859" hidden="1">
      <c r="Z859" s="21"/>
    </row>
    <row r="860" hidden="1">
      <c r="Z860" s="21"/>
    </row>
    <row r="861" hidden="1">
      <c r="Z861" s="21"/>
    </row>
    <row r="862" hidden="1">
      <c r="Z862" s="21"/>
    </row>
    <row r="863" hidden="1">
      <c r="Z863" s="21"/>
    </row>
    <row r="864" hidden="1">
      <c r="Z864" s="21"/>
    </row>
    <row r="865" hidden="1">
      <c r="Z865" s="21"/>
    </row>
    <row r="866" hidden="1">
      <c r="Z866" s="21"/>
    </row>
    <row r="867" hidden="1">
      <c r="Z867" s="21"/>
    </row>
    <row r="868" hidden="1">
      <c r="Z868" s="21"/>
    </row>
    <row r="869" hidden="1">
      <c r="Z869" s="21"/>
    </row>
    <row r="870" hidden="1">
      <c r="Z870" s="21"/>
    </row>
    <row r="871" hidden="1">
      <c r="Z871" s="21"/>
    </row>
    <row r="872" hidden="1">
      <c r="Z872" s="21"/>
    </row>
    <row r="873" hidden="1">
      <c r="Z873" s="21"/>
    </row>
    <row r="874" hidden="1">
      <c r="Z874" s="21"/>
    </row>
    <row r="875" hidden="1">
      <c r="Z875" s="21"/>
    </row>
    <row r="876" hidden="1">
      <c r="Z876" s="21"/>
    </row>
    <row r="877" hidden="1">
      <c r="Z877" s="21"/>
    </row>
    <row r="878" hidden="1">
      <c r="Z878" s="21"/>
    </row>
    <row r="879" hidden="1">
      <c r="Z879" s="21"/>
    </row>
    <row r="880" hidden="1">
      <c r="Z880" s="21"/>
    </row>
    <row r="881" hidden="1">
      <c r="Z881" s="21"/>
    </row>
    <row r="882" hidden="1">
      <c r="Z882" s="21"/>
    </row>
    <row r="883" hidden="1">
      <c r="Z883" s="21"/>
    </row>
    <row r="884" hidden="1">
      <c r="Z884" s="21"/>
    </row>
    <row r="885" hidden="1">
      <c r="Z885" s="21"/>
    </row>
    <row r="886" hidden="1">
      <c r="Z886" s="21"/>
    </row>
    <row r="887" hidden="1">
      <c r="Z887" s="21"/>
    </row>
    <row r="888" hidden="1">
      <c r="Z888" s="21"/>
    </row>
    <row r="889" hidden="1">
      <c r="Z889" s="21"/>
    </row>
    <row r="890" hidden="1">
      <c r="Z890" s="21"/>
    </row>
    <row r="891" hidden="1">
      <c r="Z891" s="21"/>
    </row>
    <row r="892" hidden="1">
      <c r="Z892" s="21"/>
    </row>
    <row r="893" hidden="1">
      <c r="Z893" s="21"/>
    </row>
    <row r="894" hidden="1">
      <c r="Z894" s="21"/>
    </row>
    <row r="895" hidden="1">
      <c r="Z895" s="21"/>
    </row>
    <row r="896" hidden="1">
      <c r="Z896" s="21"/>
    </row>
    <row r="897" hidden="1">
      <c r="Z897" s="21"/>
    </row>
    <row r="898" hidden="1">
      <c r="Z898" s="21"/>
    </row>
    <row r="899" hidden="1">
      <c r="Z899" s="21"/>
    </row>
    <row r="900" hidden="1">
      <c r="Z900" s="21"/>
    </row>
    <row r="901" hidden="1">
      <c r="Z901" s="21"/>
    </row>
    <row r="902" hidden="1">
      <c r="Z902" s="21"/>
    </row>
    <row r="903" hidden="1">
      <c r="Z903" s="21"/>
    </row>
    <row r="904" hidden="1">
      <c r="Z904" s="21"/>
    </row>
    <row r="905" hidden="1">
      <c r="Z905" s="21"/>
    </row>
    <row r="906" hidden="1">
      <c r="Z906" s="21"/>
    </row>
    <row r="907" hidden="1">
      <c r="Z907" s="21"/>
    </row>
    <row r="908" hidden="1">
      <c r="Z908" s="21"/>
    </row>
    <row r="909" hidden="1">
      <c r="Z909" s="21"/>
    </row>
    <row r="910" hidden="1">
      <c r="Z910" s="21"/>
    </row>
    <row r="911" hidden="1">
      <c r="Z911" s="21"/>
    </row>
    <row r="912" hidden="1">
      <c r="Z912" s="21"/>
    </row>
    <row r="913" hidden="1">
      <c r="Z913" s="21"/>
    </row>
    <row r="914" hidden="1">
      <c r="Z914" s="21"/>
    </row>
    <row r="915" hidden="1">
      <c r="Z915" s="21"/>
    </row>
    <row r="916" hidden="1">
      <c r="Z916" s="21"/>
    </row>
    <row r="917" hidden="1">
      <c r="Z917" s="21"/>
    </row>
    <row r="918" hidden="1">
      <c r="Z918" s="21"/>
    </row>
    <row r="919" hidden="1">
      <c r="Z919" s="21"/>
    </row>
    <row r="920" hidden="1">
      <c r="Z920" s="21"/>
    </row>
    <row r="921" hidden="1">
      <c r="Z921" s="21"/>
    </row>
    <row r="922" hidden="1">
      <c r="Z922" s="21"/>
    </row>
    <row r="923" hidden="1">
      <c r="Z923" s="21"/>
    </row>
    <row r="924" hidden="1">
      <c r="Z924" s="21"/>
    </row>
    <row r="925" hidden="1">
      <c r="Z925" s="21"/>
    </row>
    <row r="926" hidden="1">
      <c r="Z926" s="21"/>
    </row>
    <row r="927" hidden="1">
      <c r="Z927" s="21"/>
    </row>
    <row r="928" hidden="1">
      <c r="Z928" s="21"/>
    </row>
    <row r="929" hidden="1">
      <c r="Z929" s="21"/>
    </row>
    <row r="930" hidden="1">
      <c r="Z930" s="21"/>
    </row>
    <row r="931" hidden="1">
      <c r="Z931" s="21"/>
    </row>
    <row r="932" hidden="1">
      <c r="Z932" s="21"/>
    </row>
    <row r="933" hidden="1">
      <c r="Z933" s="21"/>
    </row>
    <row r="934" hidden="1">
      <c r="Z934" s="21"/>
    </row>
    <row r="935" hidden="1">
      <c r="Z935" s="21"/>
    </row>
    <row r="936" hidden="1">
      <c r="Z936" s="21"/>
    </row>
    <row r="937" hidden="1">
      <c r="Z937" s="21"/>
    </row>
    <row r="938" hidden="1">
      <c r="Z938" s="21"/>
    </row>
    <row r="939" hidden="1">
      <c r="Z939" s="21"/>
    </row>
    <row r="940" hidden="1">
      <c r="Z940" s="21"/>
    </row>
    <row r="941" hidden="1">
      <c r="Z941" s="21"/>
    </row>
    <row r="942" hidden="1">
      <c r="Z942" s="21"/>
    </row>
    <row r="943" hidden="1">
      <c r="Z943" s="21"/>
    </row>
    <row r="944" hidden="1">
      <c r="Z944" s="21"/>
    </row>
    <row r="945" hidden="1">
      <c r="Z945" s="21"/>
    </row>
    <row r="946" hidden="1">
      <c r="Z946" s="21"/>
    </row>
    <row r="947" hidden="1">
      <c r="Z947" s="21"/>
    </row>
    <row r="948" hidden="1">
      <c r="Z948" s="21"/>
    </row>
    <row r="949" hidden="1">
      <c r="Z949" s="21"/>
    </row>
    <row r="950" hidden="1">
      <c r="Z950" s="21"/>
    </row>
    <row r="951" hidden="1">
      <c r="Z951" s="21"/>
    </row>
    <row r="952" hidden="1">
      <c r="Z952" s="21"/>
    </row>
    <row r="953" hidden="1">
      <c r="Z953" s="21"/>
    </row>
    <row r="954" hidden="1">
      <c r="Z954" s="21"/>
    </row>
    <row r="955" hidden="1">
      <c r="Z955" s="21"/>
    </row>
    <row r="956" hidden="1">
      <c r="Z956" s="21"/>
    </row>
    <row r="957" hidden="1">
      <c r="Z957" s="21"/>
    </row>
    <row r="958" hidden="1">
      <c r="Z958" s="21"/>
    </row>
    <row r="959" hidden="1">
      <c r="Z959" s="21"/>
    </row>
    <row r="960" hidden="1">
      <c r="Z960" s="21"/>
    </row>
    <row r="961" hidden="1">
      <c r="Z961" s="21"/>
    </row>
    <row r="962" hidden="1">
      <c r="Z962" s="21"/>
    </row>
    <row r="963" hidden="1">
      <c r="Z963" s="21"/>
    </row>
    <row r="964" hidden="1">
      <c r="Z964" s="21"/>
    </row>
    <row r="965" hidden="1">
      <c r="Z965" s="21"/>
    </row>
    <row r="966" hidden="1">
      <c r="Z966" s="21"/>
    </row>
    <row r="967" hidden="1">
      <c r="Z967" s="21"/>
    </row>
    <row r="968" hidden="1">
      <c r="Z968" s="21"/>
    </row>
    <row r="969" hidden="1">
      <c r="Z969" s="21"/>
    </row>
    <row r="970" hidden="1">
      <c r="Z970" s="21"/>
    </row>
    <row r="971" hidden="1">
      <c r="Z971" s="21"/>
    </row>
    <row r="972" hidden="1">
      <c r="Z972" s="21"/>
    </row>
    <row r="973" hidden="1">
      <c r="Z973" s="21"/>
    </row>
    <row r="974" hidden="1">
      <c r="Z974" s="21"/>
    </row>
    <row r="975" hidden="1">
      <c r="Z975" s="21"/>
    </row>
    <row r="976" hidden="1">
      <c r="Z976" s="21"/>
    </row>
    <row r="977" hidden="1">
      <c r="Z977" s="21"/>
    </row>
    <row r="978" hidden="1">
      <c r="Z978" s="21"/>
    </row>
    <row r="979" hidden="1">
      <c r="Z979" s="21"/>
    </row>
    <row r="980" hidden="1">
      <c r="Z980" s="21"/>
    </row>
  </sheetData>
  <autoFilter ref="$A$1:$AB$980">
    <filterColumn colId="1">
      <filters>
        <filter val="CIATI"/>
        <filter val="Mantenimiento BOT Laboratorio"/>
        <filter val="Estudio Gustavo Echarte"/>
        <filter val="Mantenimiento Activos On The Road Viajes"/>
        <filter val="Asistente Laboratorio"/>
      </filters>
    </filterColumn>
    <sortState ref="A1:AB980">
      <sortCondition ref="F1:F980"/>
    </sortState>
  </autoFil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13"/>
    <col customWidth="1" min="4" max="4" width="38.38"/>
  </cols>
  <sheetData>
    <row r="1">
      <c r="A1" s="4" t="s">
        <v>3955</v>
      </c>
      <c r="B1" s="4" t="s">
        <v>3956</v>
      </c>
      <c r="C1" s="4" t="s">
        <v>5824</v>
      </c>
      <c r="D1" s="4" t="s">
        <v>5825</v>
      </c>
    </row>
    <row r="2">
      <c r="A2" s="6">
        <v>46094.0</v>
      </c>
      <c r="B2" s="6">
        <v>46125.0</v>
      </c>
      <c r="C2" s="4" t="s">
        <v>5826</v>
      </c>
      <c r="D2" s="4" t="s">
        <v>5678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3" width="21.25"/>
    <col customWidth="1" min="4" max="4" width="21.13"/>
    <col customWidth="1" min="5" max="5" width="21.25"/>
    <col customWidth="1" min="6" max="7" width="22.25"/>
    <col customWidth="1" min="8" max="8" width="24.38"/>
    <col customWidth="1" min="9" max="9" width="17.63"/>
    <col customWidth="1" min="10" max="10" width="24.38"/>
  </cols>
  <sheetData>
    <row r="1">
      <c r="A1" s="4" t="s">
        <v>5827</v>
      </c>
      <c r="B1" s="4" t="s">
        <v>5828</v>
      </c>
      <c r="C1" s="4" t="s">
        <v>5829</v>
      </c>
      <c r="D1" s="4" t="s">
        <v>5830</v>
      </c>
      <c r="E1" s="4" t="s">
        <v>5831</v>
      </c>
      <c r="F1" s="4" t="s">
        <v>5832</v>
      </c>
      <c r="G1" s="4" t="s">
        <v>5833</v>
      </c>
      <c r="H1" s="4" t="s">
        <v>5834</v>
      </c>
      <c r="I1" s="4" t="s">
        <v>5835</v>
      </c>
      <c r="J1" s="4" t="s">
        <v>5836</v>
      </c>
      <c r="K1" s="4" t="s">
        <v>3365</v>
      </c>
      <c r="L1" s="4" t="s">
        <v>5837</v>
      </c>
      <c r="M1" s="4" t="s">
        <v>5838</v>
      </c>
      <c r="N1" s="4" t="s">
        <v>5839</v>
      </c>
      <c r="O1" s="4" t="s">
        <v>5840</v>
      </c>
      <c r="P1" s="4" t="s">
        <v>5841</v>
      </c>
      <c r="Q1" s="4" t="s">
        <v>5842</v>
      </c>
    </row>
    <row r="2">
      <c r="A2" s="13">
        <v>2.0331228797E10</v>
      </c>
      <c r="B2" s="4" t="s">
        <v>5843</v>
      </c>
      <c r="C2" s="4"/>
      <c r="D2" s="4" t="s">
        <v>5844</v>
      </c>
      <c r="E2" s="4" t="s">
        <v>5845</v>
      </c>
      <c r="F2" s="4">
        <v>2.0331228797E10</v>
      </c>
      <c r="G2" s="4" t="s">
        <v>5846</v>
      </c>
      <c r="H2" s="4" t="s">
        <v>5847</v>
      </c>
      <c r="I2" s="4" t="s">
        <v>5848</v>
      </c>
      <c r="J2" s="4" t="s">
        <v>5849</v>
      </c>
      <c r="K2" s="4" t="s">
        <v>5850</v>
      </c>
    </row>
    <row r="3">
      <c r="A3" s="13">
        <v>2.0305727785E10</v>
      </c>
      <c r="B3" s="4" t="s">
        <v>5851</v>
      </c>
      <c r="C3" s="4"/>
      <c r="D3" s="4" t="s">
        <v>5844</v>
      </c>
      <c r="E3" s="4" t="s">
        <v>5852</v>
      </c>
      <c r="F3" s="4">
        <v>2.0305727785E10</v>
      </c>
      <c r="G3" s="4" t="s">
        <v>5853</v>
      </c>
      <c r="H3" s="4" t="s">
        <v>5854</v>
      </c>
      <c r="I3" s="4" t="s">
        <v>5855</v>
      </c>
      <c r="J3" s="4" t="s">
        <v>5854</v>
      </c>
      <c r="K3" s="4" t="s">
        <v>5850</v>
      </c>
    </row>
    <row r="4">
      <c r="A4" s="20" t="s">
        <v>3992</v>
      </c>
      <c r="B4" s="4" t="s">
        <v>5856</v>
      </c>
      <c r="C4" s="4"/>
      <c r="D4" s="4" t="s">
        <v>5844</v>
      </c>
      <c r="E4" s="4" t="s">
        <v>5857</v>
      </c>
      <c r="F4" s="20" t="s">
        <v>3992</v>
      </c>
      <c r="G4" s="4" t="s">
        <v>5858</v>
      </c>
      <c r="H4" s="4" t="s">
        <v>5859</v>
      </c>
      <c r="I4" s="4" t="s">
        <v>5860</v>
      </c>
      <c r="J4" s="4" t="s">
        <v>5849</v>
      </c>
      <c r="K4" s="4" t="s">
        <v>5850</v>
      </c>
    </row>
    <row r="5">
      <c r="A5" s="20" t="s">
        <v>4485</v>
      </c>
      <c r="B5" s="4" t="s">
        <v>4485</v>
      </c>
      <c r="C5" s="4"/>
      <c r="D5" s="4" t="s">
        <v>5844</v>
      </c>
      <c r="E5" s="4" t="s">
        <v>4485</v>
      </c>
      <c r="F5" s="41" t="s">
        <v>4347</v>
      </c>
      <c r="G5" s="4" t="s">
        <v>4485</v>
      </c>
      <c r="H5" s="4" t="s">
        <v>27</v>
      </c>
      <c r="I5" s="4" t="s">
        <v>4485</v>
      </c>
      <c r="J5" s="4" t="s">
        <v>4485</v>
      </c>
      <c r="K5" s="4" t="s">
        <v>5850</v>
      </c>
    </row>
    <row r="6">
      <c r="A6" s="4" t="s">
        <v>4427</v>
      </c>
      <c r="B6" s="4" t="s">
        <v>5861</v>
      </c>
      <c r="C6" s="4" t="s">
        <v>5862</v>
      </c>
      <c r="D6" s="4" t="s">
        <v>5863</v>
      </c>
      <c r="K6" s="4" t="s">
        <v>5864</v>
      </c>
      <c r="L6" s="4" t="s">
        <v>5865</v>
      </c>
      <c r="M6" s="4" t="s">
        <v>5866</v>
      </c>
    </row>
    <row r="7">
      <c r="A7" s="4" t="s">
        <v>4477</v>
      </c>
      <c r="B7" s="4" t="s">
        <v>5867</v>
      </c>
      <c r="C7" s="4" t="s">
        <v>5868</v>
      </c>
      <c r="D7" s="4" t="s">
        <v>5869</v>
      </c>
      <c r="H7" s="4" t="s">
        <v>27</v>
      </c>
      <c r="I7" s="4" t="s">
        <v>5870</v>
      </c>
      <c r="J7" s="4" t="s">
        <v>27</v>
      </c>
      <c r="K7" s="4" t="s">
        <v>5850</v>
      </c>
      <c r="N7" s="4" t="s">
        <v>5871</v>
      </c>
      <c r="O7" s="7" t="s">
        <v>5872</v>
      </c>
      <c r="P7" s="4" t="s">
        <v>5873</v>
      </c>
      <c r="Q7" s="4" t="s">
        <v>5874</v>
      </c>
    </row>
    <row r="8">
      <c r="A8" s="4" t="s">
        <v>4594</v>
      </c>
      <c r="B8" s="4" t="s">
        <v>5875</v>
      </c>
      <c r="C8" s="4" t="s">
        <v>5868</v>
      </c>
      <c r="D8" s="4" t="s">
        <v>5869</v>
      </c>
      <c r="H8" s="4" t="s">
        <v>5859</v>
      </c>
      <c r="I8" s="4" t="s">
        <v>5876</v>
      </c>
      <c r="J8" s="4" t="s">
        <v>5859</v>
      </c>
      <c r="K8" s="4" t="s">
        <v>5850</v>
      </c>
      <c r="N8" s="4" t="s">
        <v>5877</v>
      </c>
      <c r="O8" s="4">
        <v>1.01019644E8</v>
      </c>
      <c r="P8" s="4" t="s">
        <v>1592</v>
      </c>
      <c r="Q8" s="4">
        <v>2.12606055954E11</v>
      </c>
    </row>
  </sheetData>
  <autoFilter ref="$A$1:$Q$1000"/>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2.25"/>
  </cols>
  <sheetData>
    <row r="1">
      <c r="A1" s="4" t="s">
        <v>5878</v>
      </c>
      <c r="B1" s="4" t="s">
        <v>13</v>
      </c>
    </row>
    <row r="2">
      <c r="A2" s="4">
        <v>1.0</v>
      </c>
      <c r="B2" s="4" t="s">
        <v>5879</v>
      </c>
    </row>
    <row r="3">
      <c r="A3" s="4">
        <v>2.0</v>
      </c>
      <c r="B3" s="4" t="s">
        <v>5880</v>
      </c>
    </row>
    <row r="4">
      <c r="A4" s="4">
        <v>3.0</v>
      </c>
      <c r="B4" s="4" t="s">
        <v>5881</v>
      </c>
    </row>
    <row r="5">
      <c r="A5" s="4">
        <v>4.0</v>
      </c>
      <c r="B5" s="4" t="s">
        <v>5882</v>
      </c>
    </row>
    <row r="6">
      <c r="A6" s="4">
        <v>5.0</v>
      </c>
      <c r="B6" s="4" t="s">
        <v>5883</v>
      </c>
    </row>
    <row r="7">
      <c r="A7" s="4">
        <v>6.0</v>
      </c>
      <c r="B7" s="4" t="s">
        <v>5884</v>
      </c>
    </row>
    <row r="8">
      <c r="A8" s="4">
        <v>7.0</v>
      </c>
      <c r="B8" s="4" t="s">
        <v>5885</v>
      </c>
    </row>
    <row r="9">
      <c r="A9" s="4">
        <v>8.0</v>
      </c>
      <c r="B9" s="4" t="s">
        <v>5886</v>
      </c>
    </row>
    <row r="10">
      <c r="A10" s="4">
        <v>9.0</v>
      </c>
      <c r="B10" s="4" t="s">
        <v>5887</v>
      </c>
    </row>
    <row r="11">
      <c r="A11" s="4">
        <v>10.0</v>
      </c>
      <c r="B11" s="4" t="s">
        <v>5888</v>
      </c>
    </row>
    <row r="12">
      <c r="A12" s="4">
        <v>11.0</v>
      </c>
      <c r="B12" s="4" t="s">
        <v>5889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73.0"/>
  </cols>
  <sheetData>
    <row r="1">
      <c r="A1" s="47"/>
      <c r="B1" s="48" t="s">
        <v>5890</v>
      </c>
    </row>
    <row r="2" ht="16.5" customHeight="1">
      <c r="A2" s="47"/>
      <c r="B2" s="48" t="s">
        <v>5891</v>
      </c>
    </row>
    <row r="3">
      <c r="A3" s="47"/>
      <c r="B3" s="48" t="s">
        <v>5892</v>
      </c>
    </row>
    <row r="4">
      <c r="A4" s="47"/>
      <c r="B4" s="48" t="s">
        <v>5893</v>
      </c>
    </row>
    <row r="5">
      <c r="A5" s="47"/>
      <c r="B5" s="48" t="s">
        <v>5894</v>
      </c>
    </row>
    <row r="6">
      <c r="A6" s="47"/>
      <c r="B6" s="48" t="s">
        <v>5895</v>
      </c>
    </row>
    <row r="7">
      <c r="A7" s="47"/>
      <c r="B7" s="48" t="s">
        <v>5896</v>
      </c>
    </row>
    <row r="8">
      <c r="A8" s="47"/>
      <c r="B8" s="48" t="s">
        <v>5897</v>
      </c>
    </row>
    <row r="9">
      <c r="A9" s="47"/>
      <c r="B9" s="48" t="s">
        <v>5898</v>
      </c>
    </row>
    <row r="10">
      <c r="A10" s="47"/>
      <c r="B10" s="48" t="s">
        <v>5899</v>
      </c>
    </row>
    <row r="11">
      <c r="A11" s="47"/>
      <c r="B11" s="48" t="s">
        <v>5900</v>
      </c>
    </row>
    <row r="12">
      <c r="A12" s="47"/>
      <c r="B12" s="48" t="s">
        <v>5901</v>
      </c>
    </row>
    <row r="13">
      <c r="A13" s="47"/>
      <c r="B13" s="48" t="s">
        <v>5902</v>
      </c>
    </row>
    <row r="14">
      <c r="A14" s="47"/>
      <c r="B14" s="48" t="s">
        <v>5903</v>
      </c>
    </row>
    <row r="15">
      <c r="A15" s="47"/>
      <c r="B15" s="48" t="s">
        <v>5904</v>
      </c>
    </row>
    <row r="16">
      <c r="A16" s="47"/>
      <c r="B16" s="48" t="s">
        <v>5905</v>
      </c>
    </row>
    <row r="17">
      <c r="A17" s="47"/>
      <c r="B17" s="48" t="s">
        <v>5906</v>
      </c>
    </row>
    <row r="18">
      <c r="A18" s="47"/>
      <c r="B18" s="48" t="s">
        <v>5907</v>
      </c>
    </row>
    <row r="19">
      <c r="A19" s="47"/>
      <c r="B19" s="48" t="s">
        <v>5908</v>
      </c>
    </row>
    <row r="20">
      <c r="A20" s="47"/>
      <c r="B20" s="48" t="s">
        <v>5909</v>
      </c>
    </row>
    <row r="21">
      <c r="A21" s="47"/>
      <c r="B21" s="48" t="s">
        <v>5910</v>
      </c>
    </row>
    <row r="22">
      <c r="A22" s="47"/>
      <c r="B22" s="48" t="s">
        <v>5911</v>
      </c>
    </row>
    <row r="23">
      <c r="A23" s="47"/>
      <c r="B23" s="48" t="s">
        <v>5912</v>
      </c>
    </row>
    <row r="24">
      <c r="A24" s="47" t="s">
        <v>5913</v>
      </c>
      <c r="B24" s="48" t="s">
        <v>5914</v>
      </c>
    </row>
    <row r="25">
      <c r="A25" s="47" t="s">
        <v>5915</v>
      </c>
      <c r="B25" s="48" t="s">
        <v>5916</v>
      </c>
    </row>
    <row r="26">
      <c r="A26" s="47" t="s">
        <v>5917</v>
      </c>
      <c r="B26" s="48" t="s">
        <v>5918</v>
      </c>
      <c r="C26" s="22"/>
    </row>
    <row r="27">
      <c r="A27" s="47" t="s">
        <v>5919</v>
      </c>
      <c r="B27" s="48" t="s">
        <v>5920</v>
      </c>
    </row>
    <row r="28">
      <c r="A28" s="47" t="s">
        <v>5919</v>
      </c>
      <c r="B28" s="48" t="s">
        <v>5921</v>
      </c>
    </row>
    <row r="29">
      <c r="A29" s="47" t="s">
        <v>5919</v>
      </c>
      <c r="B29" s="48" t="s">
        <v>5922</v>
      </c>
    </row>
    <row r="30">
      <c r="A30" s="47" t="s">
        <v>5919</v>
      </c>
      <c r="B30" s="48" t="s">
        <v>5923</v>
      </c>
      <c r="C30" s="22"/>
      <c r="E30" s="4" t="s">
        <v>5924</v>
      </c>
    </row>
    <row r="31">
      <c r="A31" s="49"/>
      <c r="B31" s="48" t="s">
        <v>5925</v>
      </c>
    </row>
    <row r="32">
      <c r="A32" s="49"/>
      <c r="B32" s="48" t="s">
        <v>5926</v>
      </c>
    </row>
    <row r="33">
      <c r="A33" s="47"/>
      <c r="B33" s="4" t="s">
        <v>5927</v>
      </c>
    </row>
    <row r="34">
      <c r="A34" s="47"/>
      <c r="B34" s="4" t="s">
        <v>5928</v>
      </c>
    </row>
    <row r="35">
      <c r="A35" s="49"/>
      <c r="B35" s="4" t="s">
        <v>5929</v>
      </c>
    </row>
    <row r="36">
      <c r="A36" s="47" t="s">
        <v>5930</v>
      </c>
      <c r="B36" s="48" t="s">
        <v>5931</v>
      </c>
    </row>
    <row r="37">
      <c r="A37" s="47" t="s">
        <v>5930</v>
      </c>
      <c r="B37" s="48" t="s">
        <v>5932</v>
      </c>
    </row>
    <row r="38">
      <c r="A38" s="47" t="s">
        <v>5930</v>
      </c>
      <c r="B38" s="4" t="s">
        <v>5933</v>
      </c>
    </row>
    <row r="39">
      <c r="A39" s="47" t="s">
        <v>5930</v>
      </c>
      <c r="B39" s="48" t="s">
        <v>5934</v>
      </c>
      <c r="I39" s="6"/>
    </row>
    <row r="40">
      <c r="A40" s="47" t="s">
        <v>5930</v>
      </c>
      <c r="B40" s="48" t="s">
        <v>5935</v>
      </c>
      <c r="I40" s="6"/>
    </row>
    <row r="41">
      <c r="A41" s="49"/>
      <c r="B41" s="48" t="s">
        <v>5936</v>
      </c>
      <c r="I41" s="6"/>
    </row>
    <row r="42">
      <c r="A42" s="49"/>
      <c r="B42" s="48" t="s">
        <v>5937</v>
      </c>
    </row>
    <row r="43">
      <c r="A43" s="49"/>
      <c r="B43" s="48" t="s">
        <v>5938</v>
      </c>
    </row>
    <row r="44">
      <c r="A44" s="49"/>
      <c r="B44" s="48" t="s">
        <v>5939</v>
      </c>
    </row>
    <row r="45">
      <c r="A45" s="47" t="s">
        <v>3969</v>
      </c>
      <c r="B45" s="48" t="s">
        <v>5940</v>
      </c>
    </row>
    <row r="46">
      <c r="A46" s="47" t="s">
        <v>3969</v>
      </c>
      <c r="B46" s="48" t="s">
        <v>5941</v>
      </c>
    </row>
    <row r="47">
      <c r="A47" s="47" t="s">
        <v>5942</v>
      </c>
      <c r="B47" s="4" t="s">
        <v>5943</v>
      </c>
    </row>
    <row r="48">
      <c r="A48" s="49"/>
      <c r="B48" s="48" t="s">
        <v>5944</v>
      </c>
      <c r="D48" s="4" t="s">
        <v>5945</v>
      </c>
    </row>
    <row r="49">
      <c r="A49" s="49"/>
      <c r="B49" s="48" t="s">
        <v>5946</v>
      </c>
    </row>
    <row r="50">
      <c r="A50" s="49"/>
      <c r="B50" s="48" t="s">
        <v>5947</v>
      </c>
    </row>
    <row r="51">
      <c r="A51" s="49"/>
    </row>
    <row r="52">
      <c r="A52" s="49"/>
      <c r="B52" s="48" t="s">
        <v>5948</v>
      </c>
    </row>
    <row r="53">
      <c r="A53" s="49"/>
      <c r="B53" s="48" t="s">
        <v>5949</v>
      </c>
    </row>
    <row r="54">
      <c r="A54" s="49"/>
      <c r="B54" s="48" t="s">
        <v>5950</v>
      </c>
    </row>
    <row r="55">
      <c r="A55" s="49"/>
      <c r="B55" s="48" t="s">
        <v>5951</v>
      </c>
    </row>
    <row r="56">
      <c r="A56" s="49"/>
    </row>
    <row r="57">
      <c r="A57" s="50" t="s">
        <v>5952</v>
      </c>
    </row>
    <row r="58">
      <c r="A58" s="47" t="s">
        <v>5953</v>
      </c>
      <c r="B58" s="48" t="s">
        <v>5954</v>
      </c>
    </row>
    <row r="59">
      <c r="A59" s="47" t="s">
        <v>5955</v>
      </c>
      <c r="B59" s="48" t="s">
        <v>5956</v>
      </c>
    </row>
    <row r="60">
      <c r="A60" s="47" t="s">
        <v>5957</v>
      </c>
      <c r="B60" s="48" t="s">
        <v>5958</v>
      </c>
    </row>
    <row r="61">
      <c r="A61" s="49"/>
      <c r="B61" s="48" t="s">
        <v>5959</v>
      </c>
    </row>
    <row r="62">
      <c r="A62" s="49"/>
      <c r="B62" s="4" t="s">
        <v>5960</v>
      </c>
    </row>
    <row r="63">
      <c r="A63" s="49"/>
      <c r="B63" s="48" t="s">
        <v>5961</v>
      </c>
    </row>
    <row r="64">
      <c r="A64" s="49"/>
      <c r="B64" s="48" t="s">
        <v>5962</v>
      </c>
    </row>
    <row r="65">
      <c r="A65" s="49"/>
      <c r="B65" s="48" t="s">
        <v>5963</v>
      </c>
    </row>
    <row r="66">
      <c r="A66" s="49"/>
      <c r="B66" s="48" t="s">
        <v>5964</v>
      </c>
    </row>
    <row r="67">
      <c r="A67" s="49"/>
      <c r="B67" s="48" t="s">
        <v>5965</v>
      </c>
    </row>
    <row r="68">
      <c r="A68" s="49"/>
      <c r="B68" s="48" t="s">
        <v>5966</v>
      </c>
    </row>
    <row r="69">
      <c r="A69" s="49"/>
      <c r="B69" s="48" t="s">
        <v>5967</v>
      </c>
    </row>
    <row r="70">
      <c r="A70" s="49"/>
      <c r="B70" s="48" t="s">
        <v>5968</v>
      </c>
    </row>
    <row r="71">
      <c r="A71" s="49"/>
      <c r="B71" s="48" t="s">
        <v>5969</v>
      </c>
    </row>
    <row r="72">
      <c r="A72" s="49"/>
      <c r="B72" s="48" t="s">
        <v>5970</v>
      </c>
    </row>
    <row r="73">
      <c r="A73" s="49"/>
      <c r="B73" s="4" t="s">
        <v>5971</v>
      </c>
    </row>
    <row r="74">
      <c r="A74" s="49"/>
      <c r="B74" s="4" t="s">
        <v>5972</v>
      </c>
    </row>
    <row r="75">
      <c r="A75" s="49"/>
    </row>
    <row r="76">
      <c r="A76" s="49"/>
    </row>
    <row r="77">
      <c r="A77" s="49"/>
    </row>
    <row r="78">
      <c r="A78" s="49"/>
    </row>
    <row r="79">
      <c r="A79" s="49"/>
    </row>
    <row r="80">
      <c r="A80" s="49"/>
    </row>
    <row r="81">
      <c r="A81" s="49"/>
    </row>
    <row r="82">
      <c r="A82" s="49"/>
    </row>
    <row r="83">
      <c r="A83" s="49"/>
    </row>
    <row r="84">
      <c r="A84" s="49"/>
    </row>
    <row r="85">
      <c r="A85" s="49"/>
    </row>
    <row r="86">
      <c r="A86" s="49"/>
    </row>
    <row r="87">
      <c r="A87" s="49"/>
    </row>
    <row r="88">
      <c r="A88" s="49"/>
    </row>
    <row r="89">
      <c r="A89" s="49"/>
    </row>
    <row r="90">
      <c r="A90" s="49"/>
    </row>
    <row r="91">
      <c r="A91" s="49"/>
    </row>
    <row r="92">
      <c r="A92" s="49"/>
    </row>
    <row r="93">
      <c r="A93" s="49"/>
    </row>
    <row r="94">
      <c r="A94" s="49"/>
    </row>
    <row r="95">
      <c r="A95" s="49"/>
    </row>
    <row r="96">
      <c r="A96" s="49"/>
    </row>
    <row r="97">
      <c r="A97" s="49"/>
    </row>
    <row r="98">
      <c r="A98" s="49"/>
    </row>
    <row r="99">
      <c r="A99" s="49"/>
    </row>
    <row r="100">
      <c r="A100" s="49"/>
    </row>
    <row r="101">
      <c r="A101" s="49"/>
    </row>
    <row r="102">
      <c r="A102" s="49"/>
    </row>
    <row r="103">
      <c r="A103" s="49"/>
    </row>
    <row r="104">
      <c r="A104" s="49"/>
    </row>
    <row r="105">
      <c r="A105" s="49"/>
    </row>
    <row r="106">
      <c r="A106" s="49"/>
    </row>
    <row r="107">
      <c r="A107" s="49"/>
    </row>
    <row r="108">
      <c r="A108" s="49"/>
    </row>
    <row r="109">
      <c r="A109" s="49"/>
    </row>
    <row r="110">
      <c r="A110" s="49"/>
    </row>
    <row r="111">
      <c r="A111" s="49"/>
    </row>
    <row r="112">
      <c r="A112" s="49"/>
    </row>
    <row r="113">
      <c r="A113" s="49"/>
    </row>
    <row r="114">
      <c r="A114" s="49"/>
    </row>
    <row r="115">
      <c r="A115" s="49"/>
    </row>
    <row r="116">
      <c r="A116" s="49"/>
    </row>
    <row r="117">
      <c r="A117" s="49"/>
    </row>
    <row r="118">
      <c r="A118" s="49"/>
    </row>
    <row r="119">
      <c r="A119" s="49"/>
    </row>
    <row r="120">
      <c r="A120" s="49"/>
    </row>
    <row r="121">
      <c r="A121" s="49"/>
    </row>
    <row r="122">
      <c r="A122" s="49"/>
    </row>
    <row r="123">
      <c r="A123" s="49"/>
    </row>
    <row r="124">
      <c r="A124" s="49"/>
    </row>
    <row r="125">
      <c r="A125" s="49"/>
    </row>
    <row r="126">
      <c r="A126" s="49"/>
    </row>
    <row r="127">
      <c r="A127" s="49"/>
    </row>
    <row r="128">
      <c r="A128" s="49"/>
    </row>
    <row r="129">
      <c r="A129" s="49"/>
    </row>
    <row r="130">
      <c r="A130" s="49"/>
    </row>
    <row r="131">
      <c r="A131" s="49"/>
    </row>
    <row r="132">
      <c r="A132" s="49"/>
    </row>
    <row r="133">
      <c r="A133" s="49"/>
    </row>
    <row r="134">
      <c r="A134" s="49"/>
    </row>
    <row r="135">
      <c r="A135" s="49"/>
    </row>
    <row r="136">
      <c r="A136" s="49"/>
    </row>
    <row r="137">
      <c r="A137" s="49"/>
    </row>
    <row r="138">
      <c r="A138" s="49"/>
    </row>
    <row r="139">
      <c r="A139" s="49"/>
    </row>
    <row r="140">
      <c r="A140" s="49"/>
    </row>
    <row r="141">
      <c r="A141" s="49"/>
    </row>
    <row r="142">
      <c r="A142" s="49"/>
    </row>
    <row r="143">
      <c r="A143" s="49"/>
    </row>
    <row r="144">
      <c r="A144" s="49"/>
    </row>
    <row r="145">
      <c r="A145" s="49"/>
    </row>
    <row r="146">
      <c r="A146" s="49"/>
    </row>
    <row r="147">
      <c r="A147" s="49"/>
    </row>
    <row r="148">
      <c r="A148" s="49"/>
    </row>
    <row r="149">
      <c r="A149" s="49"/>
    </row>
    <row r="150">
      <c r="A150" s="49"/>
    </row>
    <row r="151">
      <c r="A151" s="49"/>
    </row>
    <row r="152">
      <c r="A152" s="49"/>
    </row>
    <row r="153">
      <c r="A153" s="49"/>
    </row>
    <row r="154">
      <c r="A154" s="49"/>
    </row>
    <row r="155">
      <c r="A155" s="49"/>
    </row>
    <row r="156">
      <c r="A156" s="49"/>
    </row>
    <row r="157">
      <c r="A157" s="49"/>
    </row>
    <row r="158">
      <c r="A158" s="49"/>
    </row>
    <row r="159">
      <c r="A159" s="49"/>
    </row>
    <row r="160">
      <c r="A160" s="49"/>
    </row>
    <row r="161">
      <c r="A161" s="49"/>
    </row>
    <row r="162">
      <c r="A162" s="49"/>
    </row>
    <row r="163">
      <c r="A163" s="49"/>
    </row>
    <row r="164">
      <c r="A164" s="49"/>
    </row>
    <row r="165">
      <c r="A165" s="49"/>
    </row>
    <row r="166">
      <c r="A166" s="49"/>
    </row>
    <row r="167">
      <c r="A167" s="49"/>
    </row>
    <row r="168">
      <c r="A168" s="49"/>
    </row>
    <row r="169">
      <c r="A169" s="49"/>
    </row>
    <row r="170">
      <c r="A170" s="49"/>
    </row>
    <row r="171">
      <c r="A171" s="49"/>
    </row>
    <row r="172">
      <c r="A172" s="49"/>
    </row>
    <row r="173">
      <c r="A173" s="49"/>
    </row>
    <row r="174">
      <c r="A174" s="49"/>
    </row>
    <row r="175">
      <c r="A175" s="49"/>
    </row>
    <row r="176">
      <c r="A176" s="49"/>
    </row>
    <row r="177">
      <c r="A177" s="49"/>
    </row>
    <row r="178">
      <c r="A178" s="49"/>
    </row>
    <row r="179">
      <c r="A179" s="49"/>
    </row>
    <row r="180">
      <c r="A180" s="49"/>
    </row>
    <row r="181">
      <c r="A181" s="49"/>
    </row>
    <row r="182">
      <c r="A182" s="49"/>
    </row>
    <row r="183">
      <c r="A183" s="49"/>
    </row>
    <row r="184">
      <c r="A184" s="49"/>
    </row>
    <row r="185">
      <c r="A185" s="49"/>
    </row>
    <row r="186">
      <c r="A186" s="49"/>
    </row>
    <row r="187">
      <c r="A187" s="49"/>
    </row>
    <row r="188">
      <c r="A188" s="49"/>
    </row>
    <row r="189">
      <c r="A189" s="49"/>
    </row>
    <row r="190">
      <c r="A190" s="49"/>
    </row>
    <row r="191">
      <c r="A191" s="49"/>
    </row>
    <row r="192">
      <c r="A192" s="49"/>
    </row>
    <row r="193">
      <c r="A193" s="49"/>
    </row>
    <row r="194">
      <c r="A194" s="49"/>
    </row>
    <row r="195">
      <c r="A195" s="49"/>
    </row>
    <row r="196">
      <c r="A196" s="49"/>
    </row>
    <row r="197">
      <c r="A197" s="49"/>
    </row>
    <row r="198">
      <c r="A198" s="49"/>
    </row>
    <row r="199">
      <c r="A199" s="49"/>
    </row>
    <row r="200">
      <c r="A200" s="49"/>
    </row>
    <row r="201">
      <c r="A201" s="49"/>
    </row>
    <row r="202">
      <c r="A202" s="49"/>
    </row>
    <row r="203">
      <c r="A203" s="49"/>
    </row>
    <row r="204">
      <c r="A204" s="49"/>
    </row>
    <row r="205">
      <c r="A205" s="49"/>
    </row>
    <row r="206">
      <c r="A206" s="49"/>
    </row>
    <row r="207">
      <c r="A207" s="49"/>
    </row>
    <row r="208">
      <c r="A208" s="49"/>
    </row>
    <row r="209">
      <c r="A209" s="49"/>
    </row>
    <row r="210">
      <c r="A210" s="49"/>
    </row>
    <row r="211">
      <c r="A211" s="49"/>
    </row>
    <row r="212">
      <c r="A212" s="49"/>
    </row>
    <row r="213">
      <c r="A213" s="49"/>
    </row>
    <row r="214">
      <c r="A214" s="49"/>
    </row>
    <row r="215">
      <c r="A215" s="49"/>
    </row>
    <row r="216">
      <c r="A216" s="49"/>
    </row>
    <row r="217">
      <c r="A217" s="49"/>
    </row>
    <row r="218">
      <c r="A218" s="49"/>
    </row>
    <row r="219">
      <c r="A219" s="49"/>
    </row>
    <row r="220">
      <c r="A220" s="49"/>
    </row>
    <row r="221">
      <c r="A221" s="49"/>
    </row>
    <row r="222">
      <c r="A222" s="49"/>
    </row>
    <row r="223">
      <c r="A223" s="49"/>
    </row>
    <row r="224">
      <c r="A224" s="49"/>
    </row>
    <row r="225">
      <c r="A225" s="49"/>
    </row>
    <row r="226">
      <c r="A226" s="49"/>
    </row>
    <row r="227">
      <c r="A227" s="49"/>
    </row>
    <row r="228">
      <c r="A228" s="49"/>
    </row>
    <row r="229">
      <c r="A229" s="49"/>
    </row>
    <row r="230">
      <c r="A230" s="49"/>
    </row>
    <row r="231">
      <c r="A231" s="49"/>
    </row>
    <row r="232">
      <c r="A232" s="49"/>
    </row>
    <row r="233">
      <c r="A233" s="49"/>
    </row>
    <row r="234">
      <c r="A234" s="49"/>
    </row>
    <row r="235">
      <c r="A235" s="49"/>
    </row>
    <row r="236">
      <c r="A236" s="49"/>
    </row>
    <row r="237">
      <c r="A237" s="49"/>
    </row>
    <row r="238">
      <c r="A238" s="49"/>
    </row>
    <row r="239">
      <c r="A239" s="49"/>
    </row>
    <row r="240">
      <c r="A240" s="49"/>
    </row>
    <row r="241">
      <c r="A241" s="49"/>
    </row>
    <row r="242">
      <c r="A242" s="49"/>
    </row>
    <row r="243">
      <c r="A243" s="49"/>
    </row>
    <row r="244">
      <c r="A244" s="49"/>
    </row>
    <row r="245">
      <c r="A245" s="49"/>
    </row>
    <row r="246">
      <c r="A246" s="49"/>
    </row>
    <row r="247">
      <c r="A247" s="49"/>
    </row>
    <row r="248">
      <c r="A248" s="49"/>
    </row>
    <row r="249">
      <c r="A249" s="49"/>
    </row>
    <row r="250">
      <c r="A250" s="49"/>
    </row>
    <row r="251">
      <c r="A251" s="49"/>
    </row>
    <row r="252">
      <c r="A252" s="49"/>
    </row>
    <row r="253">
      <c r="A253" s="49"/>
    </row>
    <row r="254">
      <c r="A254" s="49"/>
    </row>
    <row r="255">
      <c r="A255" s="49"/>
    </row>
    <row r="256">
      <c r="A256" s="49"/>
    </row>
    <row r="257">
      <c r="A257" s="49"/>
    </row>
    <row r="258">
      <c r="A258" s="49"/>
    </row>
    <row r="259">
      <c r="A259" s="49"/>
    </row>
    <row r="260">
      <c r="A260" s="49"/>
    </row>
    <row r="261">
      <c r="A261" s="49"/>
    </row>
    <row r="262">
      <c r="A262" s="49"/>
    </row>
    <row r="263">
      <c r="A263" s="49"/>
    </row>
    <row r="264">
      <c r="A264" s="49"/>
    </row>
    <row r="265">
      <c r="A265" s="49"/>
    </row>
    <row r="266">
      <c r="A266" s="49"/>
    </row>
    <row r="267">
      <c r="A267" s="49"/>
    </row>
    <row r="268">
      <c r="A268" s="49"/>
    </row>
    <row r="269">
      <c r="A269" s="49"/>
    </row>
    <row r="270">
      <c r="A270" s="49"/>
    </row>
    <row r="271">
      <c r="A271" s="49"/>
    </row>
    <row r="272">
      <c r="A272" s="49"/>
    </row>
    <row r="273">
      <c r="A273" s="49"/>
    </row>
    <row r="274">
      <c r="A274" s="49"/>
    </row>
    <row r="275">
      <c r="A275" s="49"/>
    </row>
    <row r="276">
      <c r="A276" s="49"/>
    </row>
    <row r="277">
      <c r="A277" s="49"/>
    </row>
    <row r="278">
      <c r="A278" s="49"/>
    </row>
    <row r="279">
      <c r="A279" s="49"/>
    </row>
    <row r="280">
      <c r="A280" s="49"/>
    </row>
    <row r="281">
      <c r="A281" s="49"/>
    </row>
    <row r="282">
      <c r="A282" s="49"/>
    </row>
    <row r="283">
      <c r="A283" s="49"/>
    </row>
    <row r="284">
      <c r="A284" s="49"/>
    </row>
    <row r="285">
      <c r="A285" s="49"/>
    </row>
    <row r="286">
      <c r="A286" s="49"/>
    </row>
    <row r="287">
      <c r="A287" s="49"/>
    </row>
    <row r="288">
      <c r="A288" s="49"/>
    </row>
    <row r="289">
      <c r="A289" s="49"/>
    </row>
    <row r="290">
      <c r="A290" s="49"/>
    </row>
    <row r="291">
      <c r="A291" s="49"/>
    </row>
    <row r="292">
      <c r="A292" s="49"/>
    </row>
    <row r="293">
      <c r="A293" s="49"/>
    </row>
    <row r="294">
      <c r="A294" s="49"/>
    </row>
    <row r="295">
      <c r="A295" s="49"/>
    </row>
    <row r="296">
      <c r="A296" s="49"/>
    </row>
    <row r="297">
      <c r="A297" s="49"/>
    </row>
    <row r="298">
      <c r="A298" s="49"/>
    </row>
    <row r="299">
      <c r="A299" s="49"/>
    </row>
    <row r="300">
      <c r="A300" s="49"/>
    </row>
    <row r="301">
      <c r="A301" s="49"/>
    </row>
    <row r="302">
      <c r="A302" s="49"/>
    </row>
    <row r="303">
      <c r="A303" s="49"/>
    </row>
    <row r="304">
      <c r="A304" s="49"/>
    </row>
    <row r="305">
      <c r="A305" s="49"/>
    </row>
    <row r="306">
      <c r="A306" s="49"/>
    </row>
    <row r="307">
      <c r="A307" s="49"/>
    </row>
    <row r="308">
      <c r="A308" s="49"/>
    </row>
    <row r="309">
      <c r="A309" s="49"/>
    </row>
    <row r="310">
      <c r="A310" s="49"/>
    </row>
    <row r="311">
      <c r="A311" s="49"/>
    </row>
    <row r="312">
      <c r="A312" s="49"/>
    </row>
    <row r="313">
      <c r="A313" s="49"/>
    </row>
    <row r="314">
      <c r="A314" s="49"/>
    </row>
    <row r="315">
      <c r="A315" s="49"/>
    </row>
    <row r="316">
      <c r="A316" s="49"/>
    </row>
    <row r="317">
      <c r="A317" s="49"/>
    </row>
    <row r="318">
      <c r="A318" s="49"/>
    </row>
    <row r="319">
      <c r="A319" s="49"/>
    </row>
    <row r="320">
      <c r="A320" s="49"/>
    </row>
    <row r="321">
      <c r="A321" s="49"/>
    </row>
    <row r="322">
      <c r="A322" s="49"/>
    </row>
    <row r="323">
      <c r="A323" s="49"/>
    </row>
    <row r="324">
      <c r="A324" s="49"/>
    </row>
    <row r="325">
      <c r="A325" s="49"/>
    </row>
    <row r="326">
      <c r="A326" s="49"/>
    </row>
    <row r="327">
      <c r="A327" s="49"/>
    </row>
    <row r="328">
      <c r="A328" s="49"/>
    </row>
    <row r="329">
      <c r="A329" s="49"/>
    </row>
    <row r="330">
      <c r="A330" s="49"/>
    </row>
    <row r="331">
      <c r="A331" s="49"/>
    </row>
    <row r="332">
      <c r="A332" s="49"/>
    </row>
    <row r="333">
      <c r="A333" s="49"/>
    </row>
    <row r="334">
      <c r="A334" s="49"/>
    </row>
    <row r="335">
      <c r="A335" s="49"/>
    </row>
    <row r="336">
      <c r="A336" s="49"/>
    </row>
    <row r="337">
      <c r="A337" s="49"/>
    </row>
    <row r="338">
      <c r="A338" s="49"/>
    </row>
    <row r="339">
      <c r="A339" s="49"/>
    </row>
    <row r="340">
      <c r="A340" s="49"/>
    </row>
    <row r="341">
      <c r="A341" s="49"/>
    </row>
    <row r="342">
      <c r="A342" s="49"/>
    </row>
    <row r="343">
      <c r="A343" s="49"/>
    </row>
    <row r="344">
      <c r="A344" s="49"/>
    </row>
    <row r="345">
      <c r="A345" s="49"/>
    </row>
    <row r="346">
      <c r="A346" s="49"/>
    </row>
    <row r="347">
      <c r="A347" s="49"/>
    </row>
    <row r="348">
      <c r="A348" s="49"/>
    </row>
    <row r="349">
      <c r="A349" s="49"/>
    </row>
    <row r="350">
      <c r="A350" s="49"/>
    </row>
    <row r="351">
      <c r="A351" s="49"/>
    </row>
    <row r="352">
      <c r="A352" s="49"/>
    </row>
    <row r="353">
      <c r="A353" s="49"/>
    </row>
    <row r="354">
      <c r="A354" s="49"/>
    </row>
    <row r="355">
      <c r="A355" s="49"/>
    </row>
    <row r="356">
      <c r="A356" s="49"/>
    </row>
    <row r="357">
      <c r="A357" s="49"/>
    </row>
    <row r="358">
      <c r="A358" s="49"/>
    </row>
    <row r="359">
      <c r="A359" s="49"/>
    </row>
    <row r="360">
      <c r="A360" s="49"/>
    </row>
    <row r="361">
      <c r="A361" s="49"/>
    </row>
    <row r="362">
      <c r="A362" s="49"/>
    </row>
    <row r="363">
      <c r="A363" s="49"/>
    </row>
    <row r="364">
      <c r="A364" s="49"/>
    </row>
    <row r="365">
      <c r="A365" s="49"/>
    </row>
    <row r="366">
      <c r="A366" s="49"/>
    </row>
    <row r="367">
      <c r="A367" s="49"/>
    </row>
    <row r="368">
      <c r="A368" s="49"/>
    </row>
    <row r="369">
      <c r="A369" s="49"/>
    </row>
    <row r="370">
      <c r="A370" s="49"/>
    </row>
    <row r="371">
      <c r="A371" s="49"/>
    </row>
    <row r="372">
      <c r="A372" s="49"/>
    </row>
    <row r="373">
      <c r="A373" s="49"/>
    </row>
    <row r="374">
      <c r="A374" s="49"/>
    </row>
    <row r="375">
      <c r="A375" s="49"/>
    </row>
    <row r="376">
      <c r="A376" s="49"/>
    </row>
    <row r="377">
      <c r="A377" s="49"/>
    </row>
    <row r="378">
      <c r="A378" s="49"/>
    </row>
    <row r="379">
      <c r="A379" s="49"/>
    </row>
    <row r="380">
      <c r="A380" s="49"/>
    </row>
    <row r="381">
      <c r="A381" s="49"/>
    </row>
    <row r="382">
      <c r="A382" s="49"/>
    </row>
    <row r="383">
      <c r="A383" s="49"/>
    </row>
    <row r="384">
      <c r="A384" s="49"/>
    </row>
    <row r="385">
      <c r="A385" s="49"/>
    </row>
    <row r="386">
      <c r="A386" s="49"/>
    </row>
    <row r="387">
      <c r="A387" s="49"/>
    </row>
    <row r="388">
      <c r="A388" s="49"/>
    </row>
    <row r="389">
      <c r="A389" s="49"/>
    </row>
    <row r="390">
      <c r="A390" s="49"/>
    </row>
    <row r="391">
      <c r="A391" s="49"/>
    </row>
    <row r="392">
      <c r="A392" s="49"/>
    </row>
    <row r="393">
      <c r="A393" s="49"/>
    </row>
    <row r="394">
      <c r="A394" s="49"/>
    </row>
    <row r="395">
      <c r="A395" s="49"/>
    </row>
    <row r="396">
      <c r="A396" s="49"/>
    </row>
    <row r="397">
      <c r="A397" s="49"/>
    </row>
    <row r="398">
      <c r="A398" s="49"/>
    </row>
    <row r="399">
      <c r="A399" s="49"/>
    </row>
    <row r="400">
      <c r="A400" s="49"/>
    </row>
    <row r="401">
      <c r="A401" s="49"/>
    </row>
    <row r="402">
      <c r="A402" s="49"/>
    </row>
    <row r="403">
      <c r="A403" s="49"/>
    </row>
    <row r="404">
      <c r="A404" s="49"/>
    </row>
    <row r="405">
      <c r="A405" s="49"/>
    </row>
    <row r="406">
      <c r="A406" s="49"/>
    </row>
    <row r="407">
      <c r="A407" s="49"/>
    </row>
    <row r="408">
      <c r="A408" s="49"/>
    </row>
    <row r="409">
      <c r="A409" s="49"/>
    </row>
    <row r="410">
      <c r="A410" s="49"/>
    </row>
    <row r="411">
      <c r="A411" s="49"/>
    </row>
    <row r="412">
      <c r="A412" s="49"/>
    </row>
    <row r="413">
      <c r="A413" s="49"/>
    </row>
    <row r="414">
      <c r="A414" s="49"/>
    </row>
    <row r="415">
      <c r="A415" s="49"/>
    </row>
    <row r="416">
      <c r="A416" s="49"/>
    </row>
    <row r="417">
      <c r="A417" s="49"/>
    </row>
    <row r="418">
      <c r="A418" s="49"/>
    </row>
    <row r="419">
      <c r="A419" s="49"/>
    </row>
    <row r="420">
      <c r="A420" s="49"/>
    </row>
    <row r="421">
      <c r="A421" s="49"/>
    </row>
    <row r="422">
      <c r="A422" s="49"/>
    </row>
    <row r="423">
      <c r="A423" s="49"/>
    </row>
    <row r="424">
      <c r="A424" s="49"/>
    </row>
    <row r="425">
      <c r="A425" s="49"/>
    </row>
    <row r="426">
      <c r="A426" s="49"/>
    </row>
    <row r="427">
      <c r="A427" s="49"/>
    </row>
    <row r="428">
      <c r="A428" s="49"/>
    </row>
    <row r="429">
      <c r="A429" s="49"/>
    </row>
    <row r="430">
      <c r="A430" s="49"/>
    </row>
    <row r="431">
      <c r="A431" s="49"/>
    </row>
    <row r="432">
      <c r="A432" s="49"/>
    </row>
    <row r="433">
      <c r="A433" s="49"/>
    </row>
    <row r="434">
      <c r="A434" s="49"/>
    </row>
    <row r="435">
      <c r="A435" s="49"/>
    </row>
    <row r="436">
      <c r="A436" s="49"/>
    </row>
    <row r="437">
      <c r="A437" s="49"/>
    </row>
    <row r="438">
      <c r="A438" s="49"/>
    </row>
    <row r="439">
      <c r="A439" s="49"/>
    </row>
    <row r="440">
      <c r="A440" s="49"/>
    </row>
    <row r="441">
      <c r="A441" s="49"/>
    </row>
    <row r="442">
      <c r="A442" s="49"/>
    </row>
    <row r="443">
      <c r="A443" s="49"/>
    </row>
    <row r="444">
      <c r="A444" s="49"/>
    </row>
    <row r="445">
      <c r="A445" s="49"/>
    </row>
    <row r="446">
      <c r="A446" s="49"/>
    </row>
    <row r="447">
      <c r="A447" s="49"/>
    </row>
    <row r="448">
      <c r="A448" s="49"/>
    </row>
    <row r="449">
      <c r="A449" s="49"/>
    </row>
    <row r="450">
      <c r="A450" s="49"/>
    </row>
    <row r="451">
      <c r="A451" s="49"/>
    </row>
    <row r="452">
      <c r="A452" s="49"/>
    </row>
    <row r="453">
      <c r="A453" s="49"/>
    </row>
    <row r="454">
      <c r="A454" s="49"/>
    </row>
    <row r="455">
      <c r="A455" s="49"/>
    </row>
    <row r="456">
      <c r="A456" s="49"/>
    </row>
    <row r="457">
      <c r="A457" s="49"/>
    </row>
    <row r="458">
      <c r="A458" s="49"/>
    </row>
    <row r="459">
      <c r="A459" s="49"/>
    </row>
    <row r="460">
      <c r="A460" s="49"/>
    </row>
    <row r="461">
      <c r="A461" s="49"/>
    </row>
    <row r="462">
      <c r="A462" s="49"/>
    </row>
    <row r="463">
      <c r="A463" s="49"/>
    </row>
    <row r="464">
      <c r="A464" s="49"/>
    </row>
    <row r="465">
      <c r="A465" s="49"/>
    </row>
    <row r="466">
      <c r="A466" s="49"/>
    </row>
    <row r="467">
      <c r="A467" s="49"/>
    </row>
    <row r="468">
      <c r="A468" s="49"/>
    </row>
    <row r="469">
      <c r="A469" s="49"/>
    </row>
    <row r="470">
      <c r="A470" s="49"/>
    </row>
    <row r="471">
      <c r="A471" s="49"/>
    </row>
    <row r="472">
      <c r="A472" s="49"/>
    </row>
    <row r="473">
      <c r="A473" s="49"/>
    </row>
    <row r="474">
      <c r="A474" s="49"/>
    </row>
    <row r="475">
      <c r="A475" s="49"/>
    </row>
    <row r="476">
      <c r="A476" s="49"/>
    </row>
    <row r="477">
      <c r="A477" s="49"/>
    </row>
    <row r="478">
      <c r="A478" s="49"/>
    </row>
    <row r="479">
      <c r="A479" s="49"/>
    </row>
    <row r="480">
      <c r="A480" s="49"/>
    </row>
    <row r="481">
      <c r="A481" s="49"/>
    </row>
    <row r="482">
      <c r="A482" s="49"/>
    </row>
    <row r="483">
      <c r="A483" s="49"/>
    </row>
    <row r="484">
      <c r="A484" s="49"/>
    </row>
    <row r="485">
      <c r="A485" s="49"/>
    </row>
    <row r="486">
      <c r="A486" s="49"/>
    </row>
    <row r="487">
      <c r="A487" s="49"/>
    </row>
    <row r="488">
      <c r="A488" s="49"/>
    </row>
    <row r="489">
      <c r="A489" s="49"/>
    </row>
    <row r="490">
      <c r="A490" s="49"/>
    </row>
    <row r="491">
      <c r="A491" s="49"/>
    </row>
    <row r="492">
      <c r="A492" s="49"/>
    </row>
    <row r="493">
      <c r="A493" s="49"/>
    </row>
    <row r="494">
      <c r="A494" s="49"/>
    </row>
    <row r="495">
      <c r="A495" s="49"/>
    </row>
    <row r="496">
      <c r="A496" s="49"/>
    </row>
    <row r="497">
      <c r="A497" s="49"/>
    </row>
    <row r="498">
      <c r="A498" s="49"/>
    </row>
    <row r="499">
      <c r="A499" s="49"/>
    </row>
    <row r="500">
      <c r="A500" s="49"/>
    </row>
    <row r="501">
      <c r="A501" s="49"/>
    </row>
    <row r="502">
      <c r="A502" s="49"/>
    </row>
    <row r="503">
      <c r="A503" s="49"/>
    </row>
    <row r="504">
      <c r="A504" s="49"/>
    </row>
    <row r="505">
      <c r="A505" s="49"/>
    </row>
    <row r="506">
      <c r="A506" s="49"/>
    </row>
    <row r="507">
      <c r="A507" s="49"/>
    </row>
    <row r="508">
      <c r="A508" s="49"/>
    </row>
    <row r="509">
      <c r="A509" s="49"/>
    </row>
    <row r="510">
      <c r="A510" s="49"/>
    </row>
    <row r="511">
      <c r="A511" s="49"/>
    </row>
    <row r="512">
      <c r="A512" s="49"/>
    </row>
    <row r="513">
      <c r="A513" s="49"/>
    </row>
    <row r="514">
      <c r="A514" s="49"/>
    </row>
    <row r="515">
      <c r="A515" s="49"/>
    </row>
    <row r="516">
      <c r="A516" s="49"/>
    </row>
    <row r="517">
      <c r="A517" s="49"/>
    </row>
    <row r="518">
      <c r="A518" s="49"/>
    </row>
    <row r="519">
      <c r="A519" s="49"/>
    </row>
    <row r="520">
      <c r="A520" s="49"/>
    </row>
    <row r="521">
      <c r="A521" s="49"/>
    </row>
    <row r="522">
      <c r="A522" s="49"/>
    </row>
    <row r="523">
      <c r="A523" s="49"/>
    </row>
    <row r="524">
      <c r="A524" s="49"/>
    </row>
    <row r="525">
      <c r="A525" s="49"/>
    </row>
    <row r="526">
      <c r="A526" s="49"/>
    </row>
    <row r="527">
      <c r="A527" s="49"/>
    </row>
    <row r="528">
      <c r="A528" s="49"/>
    </row>
    <row r="529">
      <c r="A529" s="49"/>
    </row>
    <row r="530">
      <c r="A530" s="49"/>
    </row>
    <row r="531">
      <c r="A531" s="49"/>
    </row>
    <row r="532">
      <c r="A532" s="49"/>
    </row>
    <row r="533">
      <c r="A533" s="49"/>
    </row>
    <row r="534">
      <c r="A534" s="49"/>
    </row>
    <row r="535">
      <c r="A535" s="49"/>
    </row>
    <row r="536">
      <c r="A536" s="49"/>
    </row>
    <row r="537">
      <c r="A537" s="49"/>
    </row>
    <row r="538">
      <c r="A538" s="49"/>
    </row>
    <row r="539">
      <c r="A539" s="49"/>
    </row>
    <row r="540">
      <c r="A540" s="49"/>
    </row>
    <row r="541">
      <c r="A541" s="49"/>
    </row>
    <row r="542">
      <c r="A542" s="49"/>
    </row>
    <row r="543">
      <c r="A543" s="49"/>
    </row>
    <row r="544">
      <c r="A544" s="49"/>
    </row>
    <row r="545">
      <c r="A545" s="49"/>
    </row>
    <row r="546">
      <c r="A546" s="49"/>
    </row>
    <row r="547">
      <c r="A547" s="49"/>
    </row>
    <row r="548">
      <c r="A548" s="49"/>
    </row>
    <row r="549">
      <c r="A549" s="49"/>
    </row>
    <row r="550">
      <c r="A550" s="49"/>
    </row>
    <row r="551">
      <c r="A551" s="49"/>
    </row>
    <row r="552">
      <c r="A552" s="49"/>
    </row>
    <row r="553">
      <c r="A553" s="49"/>
    </row>
    <row r="554">
      <c r="A554" s="49"/>
    </row>
    <row r="555">
      <c r="A555" s="49"/>
    </row>
    <row r="556">
      <c r="A556" s="49"/>
    </row>
    <row r="557">
      <c r="A557" s="49"/>
    </row>
    <row r="558">
      <c r="A558" s="49"/>
    </row>
    <row r="559">
      <c r="A559" s="49"/>
    </row>
    <row r="560">
      <c r="A560" s="49"/>
    </row>
    <row r="561">
      <c r="A561" s="49"/>
    </row>
    <row r="562">
      <c r="A562" s="49"/>
    </row>
    <row r="563">
      <c r="A563" s="49"/>
    </row>
    <row r="564">
      <c r="A564" s="49"/>
    </row>
    <row r="565">
      <c r="A565" s="49"/>
    </row>
    <row r="566">
      <c r="A566" s="49"/>
    </row>
    <row r="567">
      <c r="A567" s="49"/>
    </row>
    <row r="568">
      <c r="A568" s="49"/>
    </row>
    <row r="569">
      <c r="A569" s="49"/>
    </row>
    <row r="570">
      <c r="A570" s="49"/>
    </row>
    <row r="571">
      <c r="A571" s="49"/>
    </row>
    <row r="572">
      <c r="A572" s="49"/>
    </row>
    <row r="573">
      <c r="A573" s="49"/>
    </row>
    <row r="574">
      <c r="A574" s="49"/>
    </row>
    <row r="575">
      <c r="A575" s="49"/>
    </row>
    <row r="576">
      <c r="A576" s="49"/>
    </row>
    <row r="577">
      <c r="A577" s="49"/>
    </row>
    <row r="578">
      <c r="A578" s="49"/>
    </row>
    <row r="579">
      <c r="A579" s="49"/>
    </row>
    <row r="580">
      <c r="A580" s="49"/>
    </row>
    <row r="581">
      <c r="A581" s="49"/>
    </row>
    <row r="582">
      <c r="A582" s="49"/>
    </row>
    <row r="583">
      <c r="A583" s="49"/>
    </row>
    <row r="584">
      <c r="A584" s="49"/>
    </row>
    <row r="585">
      <c r="A585" s="49"/>
    </row>
    <row r="586">
      <c r="A586" s="49"/>
    </row>
    <row r="587">
      <c r="A587" s="49"/>
    </row>
    <row r="588">
      <c r="A588" s="49"/>
    </row>
    <row r="589">
      <c r="A589" s="49"/>
    </row>
    <row r="590">
      <c r="A590" s="49"/>
    </row>
    <row r="591">
      <c r="A591" s="49"/>
    </row>
    <row r="592">
      <c r="A592" s="49"/>
    </row>
    <row r="593">
      <c r="A593" s="49"/>
    </row>
    <row r="594">
      <c r="A594" s="49"/>
    </row>
    <row r="595">
      <c r="A595" s="49"/>
    </row>
    <row r="596">
      <c r="A596" s="49"/>
    </row>
    <row r="597">
      <c r="A597" s="49"/>
    </row>
    <row r="598">
      <c r="A598" s="49"/>
    </row>
    <row r="599">
      <c r="A599" s="49"/>
    </row>
    <row r="600">
      <c r="A600" s="49"/>
    </row>
    <row r="601">
      <c r="A601" s="49"/>
    </row>
    <row r="602">
      <c r="A602" s="49"/>
    </row>
    <row r="603">
      <c r="A603" s="49"/>
    </row>
    <row r="604">
      <c r="A604" s="49"/>
    </row>
    <row r="605">
      <c r="A605" s="49"/>
    </row>
    <row r="606">
      <c r="A606" s="49"/>
    </row>
    <row r="607">
      <c r="A607" s="49"/>
    </row>
    <row r="608">
      <c r="A608" s="49"/>
    </row>
    <row r="609">
      <c r="A609" s="49"/>
    </row>
    <row r="610">
      <c r="A610" s="49"/>
    </row>
    <row r="611">
      <c r="A611" s="49"/>
    </row>
    <row r="612">
      <c r="A612" s="49"/>
    </row>
    <row r="613">
      <c r="A613" s="49"/>
    </row>
    <row r="614">
      <c r="A614" s="49"/>
    </row>
    <row r="615">
      <c r="A615" s="49"/>
    </row>
    <row r="616">
      <c r="A616" s="49"/>
    </row>
    <row r="617">
      <c r="A617" s="49"/>
    </row>
    <row r="618">
      <c r="A618" s="49"/>
    </row>
    <row r="619">
      <c r="A619" s="49"/>
    </row>
    <row r="620">
      <c r="A620" s="49"/>
    </row>
    <row r="621">
      <c r="A621" s="49"/>
    </row>
    <row r="622">
      <c r="A622" s="49"/>
    </row>
    <row r="623">
      <c r="A623" s="49"/>
    </row>
    <row r="624">
      <c r="A624" s="49"/>
    </row>
    <row r="625">
      <c r="A625" s="49"/>
    </row>
    <row r="626">
      <c r="A626" s="49"/>
    </row>
    <row r="627">
      <c r="A627" s="49"/>
    </row>
    <row r="628">
      <c r="A628" s="49"/>
    </row>
    <row r="629">
      <c r="A629" s="49"/>
    </row>
    <row r="630">
      <c r="A630" s="49"/>
    </row>
    <row r="631">
      <c r="A631" s="49"/>
    </row>
    <row r="632">
      <c r="A632" s="49"/>
    </row>
    <row r="633">
      <c r="A633" s="49"/>
    </row>
    <row r="634">
      <c r="A634" s="49"/>
    </row>
    <row r="635">
      <c r="A635" s="49"/>
    </row>
    <row r="636">
      <c r="A636" s="49"/>
    </row>
    <row r="637">
      <c r="A637" s="49"/>
    </row>
    <row r="638">
      <c r="A638" s="49"/>
    </row>
    <row r="639">
      <c r="A639" s="49"/>
    </row>
    <row r="640">
      <c r="A640" s="49"/>
    </row>
    <row r="641">
      <c r="A641" s="49"/>
    </row>
    <row r="642">
      <c r="A642" s="49"/>
    </row>
    <row r="643">
      <c r="A643" s="49"/>
    </row>
    <row r="644">
      <c r="A644" s="49"/>
    </row>
    <row r="645">
      <c r="A645" s="49"/>
    </row>
    <row r="646">
      <c r="A646" s="49"/>
    </row>
    <row r="647">
      <c r="A647" s="49"/>
    </row>
    <row r="648">
      <c r="A648" s="49"/>
    </row>
    <row r="649">
      <c r="A649" s="49"/>
    </row>
    <row r="650">
      <c r="A650" s="49"/>
    </row>
    <row r="651">
      <c r="A651" s="49"/>
    </row>
    <row r="652">
      <c r="A652" s="49"/>
    </row>
    <row r="653">
      <c r="A653" s="49"/>
    </row>
    <row r="654">
      <c r="A654" s="49"/>
    </row>
    <row r="655">
      <c r="A655" s="49"/>
    </row>
    <row r="656">
      <c r="A656" s="49"/>
    </row>
    <row r="657">
      <c r="A657" s="49"/>
    </row>
    <row r="658">
      <c r="A658" s="49"/>
    </row>
    <row r="659">
      <c r="A659" s="49"/>
    </row>
    <row r="660">
      <c r="A660" s="49"/>
    </row>
    <row r="661">
      <c r="A661" s="49"/>
    </row>
    <row r="662">
      <c r="A662" s="49"/>
    </row>
    <row r="663">
      <c r="A663" s="49"/>
    </row>
    <row r="664">
      <c r="A664" s="49"/>
    </row>
    <row r="665">
      <c r="A665" s="49"/>
    </row>
    <row r="666">
      <c r="A666" s="49"/>
    </row>
    <row r="667">
      <c r="A667" s="49"/>
    </row>
    <row r="668">
      <c r="A668" s="49"/>
    </row>
    <row r="669">
      <c r="A669" s="49"/>
    </row>
    <row r="670">
      <c r="A670" s="49"/>
    </row>
    <row r="671">
      <c r="A671" s="49"/>
    </row>
    <row r="672">
      <c r="A672" s="49"/>
    </row>
    <row r="673">
      <c r="A673" s="49"/>
    </row>
    <row r="674">
      <c r="A674" s="49"/>
    </row>
    <row r="675">
      <c r="A675" s="49"/>
    </row>
    <row r="676">
      <c r="A676" s="49"/>
    </row>
    <row r="677">
      <c r="A677" s="49"/>
    </row>
    <row r="678">
      <c r="A678" s="49"/>
    </row>
    <row r="679">
      <c r="A679" s="49"/>
    </row>
    <row r="680">
      <c r="A680" s="49"/>
    </row>
    <row r="681">
      <c r="A681" s="49"/>
    </row>
    <row r="682">
      <c r="A682" s="49"/>
    </row>
    <row r="683">
      <c r="A683" s="49"/>
    </row>
    <row r="684">
      <c r="A684" s="49"/>
    </row>
    <row r="685">
      <c r="A685" s="49"/>
    </row>
    <row r="686">
      <c r="A686" s="49"/>
    </row>
    <row r="687">
      <c r="A687" s="49"/>
    </row>
    <row r="688">
      <c r="A688" s="49"/>
    </row>
    <row r="689">
      <c r="A689" s="49"/>
    </row>
    <row r="690">
      <c r="A690" s="49"/>
    </row>
    <row r="691">
      <c r="A691" s="49"/>
    </row>
    <row r="692">
      <c r="A692" s="49"/>
    </row>
    <row r="693">
      <c r="A693" s="49"/>
    </row>
    <row r="694">
      <c r="A694" s="49"/>
    </row>
    <row r="695">
      <c r="A695" s="49"/>
    </row>
    <row r="696">
      <c r="A696" s="49"/>
    </row>
    <row r="697">
      <c r="A697" s="49"/>
    </row>
    <row r="698">
      <c r="A698" s="49"/>
    </row>
    <row r="699">
      <c r="A699" s="49"/>
    </row>
    <row r="700">
      <c r="A700" s="49"/>
    </row>
    <row r="701">
      <c r="A701" s="49"/>
    </row>
    <row r="702">
      <c r="A702" s="49"/>
    </row>
    <row r="703">
      <c r="A703" s="49"/>
    </row>
    <row r="704">
      <c r="A704" s="49"/>
    </row>
    <row r="705">
      <c r="A705" s="49"/>
    </row>
    <row r="706">
      <c r="A706" s="49"/>
    </row>
    <row r="707">
      <c r="A707" s="49"/>
    </row>
    <row r="708">
      <c r="A708" s="49"/>
    </row>
    <row r="709">
      <c r="A709" s="49"/>
    </row>
    <row r="710">
      <c r="A710" s="49"/>
    </row>
    <row r="711">
      <c r="A711" s="49"/>
    </row>
    <row r="712">
      <c r="A712" s="49"/>
    </row>
    <row r="713">
      <c r="A713" s="49"/>
    </row>
    <row r="714">
      <c r="A714" s="49"/>
    </row>
    <row r="715">
      <c r="A715" s="49"/>
    </row>
    <row r="716">
      <c r="A716" s="49"/>
    </row>
    <row r="717">
      <c r="A717" s="49"/>
    </row>
    <row r="718">
      <c r="A718" s="49"/>
    </row>
    <row r="719">
      <c r="A719" s="49"/>
    </row>
    <row r="720">
      <c r="A720" s="49"/>
    </row>
    <row r="721">
      <c r="A721" s="49"/>
    </row>
    <row r="722">
      <c r="A722" s="49"/>
    </row>
    <row r="723">
      <c r="A723" s="49"/>
    </row>
    <row r="724">
      <c r="A724" s="49"/>
    </row>
    <row r="725">
      <c r="A725" s="49"/>
    </row>
    <row r="726">
      <c r="A726" s="49"/>
    </row>
    <row r="727">
      <c r="A727" s="49"/>
    </row>
    <row r="728">
      <c r="A728" s="49"/>
    </row>
    <row r="729">
      <c r="A729" s="49"/>
    </row>
    <row r="730">
      <c r="A730" s="49"/>
    </row>
    <row r="731">
      <c r="A731" s="49"/>
    </row>
    <row r="732">
      <c r="A732" s="49"/>
    </row>
    <row r="733">
      <c r="A733" s="49"/>
    </row>
    <row r="734">
      <c r="A734" s="49"/>
    </row>
    <row r="735">
      <c r="A735" s="49"/>
    </row>
    <row r="736">
      <c r="A736" s="49"/>
    </row>
    <row r="737">
      <c r="A737" s="49"/>
    </row>
    <row r="738">
      <c r="A738" s="49"/>
    </row>
    <row r="739">
      <c r="A739" s="49"/>
    </row>
    <row r="740">
      <c r="A740" s="49"/>
    </row>
    <row r="741">
      <c r="A741" s="49"/>
    </row>
    <row r="742">
      <c r="A742" s="49"/>
    </row>
    <row r="743">
      <c r="A743" s="49"/>
    </row>
    <row r="744">
      <c r="A744" s="49"/>
    </row>
    <row r="745">
      <c r="A745" s="49"/>
    </row>
    <row r="746">
      <c r="A746" s="49"/>
    </row>
    <row r="747">
      <c r="A747" s="49"/>
    </row>
    <row r="748">
      <c r="A748" s="49"/>
    </row>
    <row r="749">
      <c r="A749" s="49"/>
    </row>
    <row r="750">
      <c r="A750" s="49"/>
    </row>
    <row r="751">
      <c r="A751" s="49"/>
    </row>
    <row r="752">
      <c r="A752" s="49"/>
    </row>
    <row r="753">
      <c r="A753" s="49"/>
    </row>
    <row r="754">
      <c r="A754" s="49"/>
    </row>
    <row r="755">
      <c r="A755" s="49"/>
    </row>
    <row r="756">
      <c r="A756" s="49"/>
    </row>
    <row r="757">
      <c r="A757" s="49"/>
    </row>
    <row r="758">
      <c r="A758" s="49"/>
    </row>
    <row r="759">
      <c r="A759" s="49"/>
    </row>
    <row r="760">
      <c r="A760" s="49"/>
    </row>
    <row r="761">
      <c r="A761" s="49"/>
    </row>
    <row r="762">
      <c r="A762" s="49"/>
    </row>
    <row r="763">
      <c r="A763" s="49"/>
    </row>
    <row r="764">
      <c r="A764" s="49"/>
    </row>
    <row r="765">
      <c r="A765" s="49"/>
    </row>
    <row r="766">
      <c r="A766" s="49"/>
    </row>
    <row r="767">
      <c r="A767" s="49"/>
    </row>
    <row r="768">
      <c r="A768" s="49"/>
    </row>
    <row r="769">
      <c r="A769" s="49"/>
    </row>
    <row r="770">
      <c r="A770" s="49"/>
    </row>
    <row r="771">
      <c r="A771" s="49"/>
    </row>
    <row r="772">
      <c r="A772" s="49"/>
    </row>
    <row r="773">
      <c r="A773" s="49"/>
    </row>
    <row r="774">
      <c r="A774" s="49"/>
    </row>
    <row r="775">
      <c r="A775" s="49"/>
    </row>
    <row r="776">
      <c r="A776" s="49"/>
    </row>
    <row r="777">
      <c r="A777" s="49"/>
    </row>
    <row r="778">
      <c r="A778" s="49"/>
    </row>
    <row r="779">
      <c r="A779" s="49"/>
    </row>
    <row r="780">
      <c r="A780" s="49"/>
    </row>
    <row r="781">
      <c r="A781" s="49"/>
    </row>
    <row r="782">
      <c r="A782" s="49"/>
    </row>
    <row r="783">
      <c r="A783" s="49"/>
    </row>
    <row r="784">
      <c r="A784" s="49"/>
    </row>
    <row r="785">
      <c r="A785" s="49"/>
    </row>
    <row r="786">
      <c r="A786" s="49"/>
    </row>
    <row r="787">
      <c r="A787" s="49"/>
    </row>
    <row r="788">
      <c r="A788" s="49"/>
    </row>
    <row r="789">
      <c r="A789" s="49"/>
    </row>
    <row r="790">
      <c r="A790" s="49"/>
    </row>
    <row r="791">
      <c r="A791" s="49"/>
    </row>
    <row r="792">
      <c r="A792" s="49"/>
    </row>
    <row r="793">
      <c r="A793" s="49"/>
    </row>
    <row r="794">
      <c r="A794" s="49"/>
    </row>
    <row r="795">
      <c r="A795" s="49"/>
    </row>
    <row r="796">
      <c r="A796" s="49"/>
    </row>
    <row r="797">
      <c r="A797" s="49"/>
    </row>
    <row r="798">
      <c r="A798" s="49"/>
    </row>
    <row r="799">
      <c r="A799" s="49"/>
    </row>
    <row r="800">
      <c r="A800" s="49"/>
    </row>
    <row r="801">
      <c r="A801" s="49"/>
    </row>
    <row r="802">
      <c r="A802" s="49"/>
    </row>
    <row r="803">
      <c r="A803" s="49"/>
    </row>
    <row r="804">
      <c r="A804" s="49"/>
    </row>
    <row r="805">
      <c r="A805" s="49"/>
    </row>
    <row r="806">
      <c r="A806" s="49"/>
    </row>
    <row r="807">
      <c r="A807" s="49"/>
    </row>
    <row r="808">
      <c r="A808" s="49"/>
    </row>
    <row r="809">
      <c r="A809" s="49"/>
    </row>
    <row r="810">
      <c r="A810" s="49"/>
    </row>
    <row r="811">
      <c r="A811" s="49"/>
    </row>
    <row r="812">
      <c r="A812" s="49"/>
    </row>
    <row r="813">
      <c r="A813" s="49"/>
    </row>
    <row r="814">
      <c r="A814" s="49"/>
    </row>
    <row r="815">
      <c r="A815" s="49"/>
    </row>
    <row r="816">
      <c r="A816" s="49"/>
    </row>
    <row r="817">
      <c r="A817" s="49"/>
    </row>
    <row r="818">
      <c r="A818" s="49"/>
    </row>
    <row r="819">
      <c r="A819" s="49"/>
    </row>
    <row r="820">
      <c r="A820" s="49"/>
    </row>
    <row r="821">
      <c r="A821" s="49"/>
    </row>
    <row r="822">
      <c r="A822" s="49"/>
    </row>
    <row r="823">
      <c r="A823" s="49"/>
    </row>
    <row r="824">
      <c r="A824" s="49"/>
    </row>
    <row r="825">
      <c r="A825" s="49"/>
    </row>
    <row r="826">
      <c r="A826" s="49"/>
    </row>
    <row r="827">
      <c r="A827" s="49"/>
    </row>
    <row r="828">
      <c r="A828" s="49"/>
    </row>
    <row r="829">
      <c r="A829" s="49"/>
    </row>
    <row r="830">
      <c r="A830" s="49"/>
    </row>
    <row r="831">
      <c r="A831" s="49"/>
    </row>
    <row r="832">
      <c r="A832" s="49"/>
    </row>
    <row r="833">
      <c r="A833" s="49"/>
    </row>
    <row r="834">
      <c r="A834" s="49"/>
    </row>
    <row r="835">
      <c r="A835" s="49"/>
    </row>
    <row r="836">
      <c r="A836" s="49"/>
    </row>
    <row r="837">
      <c r="A837" s="49"/>
    </row>
    <row r="838">
      <c r="A838" s="49"/>
    </row>
    <row r="839">
      <c r="A839" s="49"/>
    </row>
    <row r="840">
      <c r="A840" s="49"/>
    </row>
    <row r="841">
      <c r="A841" s="49"/>
    </row>
    <row r="842">
      <c r="A842" s="49"/>
    </row>
    <row r="843">
      <c r="A843" s="49"/>
    </row>
    <row r="844">
      <c r="A844" s="49"/>
    </row>
    <row r="845">
      <c r="A845" s="49"/>
    </row>
    <row r="846">
      <c r="A846" s="49"/>
    </row>
    <row r="847">
      <c r="A847" s="49"/>
    </row>
    <row r="848">
      <c r="A848" s="49"/>
    </row>
    <row r="849">
      <c r="A849" s="49"/>
    </row>
    <row r="850">
      <c r="A850" s="49"/>
    </row>
    <row r="851">
      <c r="A851" s="49"/>
    </row>
    <row r="852">
      <c r="A852" s="49"/>
    </row>
    <row r="853">
      <c r="A853" s="49"/>
    </row>
    <row r="854">
      <c r="A854" s="49"/>
    </row>
    <row r="855">
      <c r="A855" s="49"/>
    </row>
    <row r="856">
      <c r="A856" s="49"/>
    </row>
    <row r="857">
      <c r="A857" s="49"/>
    </row>
    <row r="858">
      <c r="A858" s="49"/>
    </row>
    <row r="859">
      <c r="A859" s="49"/>
    </row>
    <row r="860">
      <c r="A860" s="49"/>
    </row>
    <row r="861">
      <c r="A861" s="49"/>
    </row>
    <row r="862">
      <c r="A862" s="49"/>
    </row>
    <row r="863">
      <c r="A863" s="49"/>
    </row>
    <row r="864">
      <c r="A864" s="49"/>
    </row>
    <row r="865">
      <c r="A865" s="49"/>
    </row>
    <row r="866">
      <c r="A866" s="49"/>
    </row>
    <row r="867">
      <c r="A867" s="49"/>
    </row>
    <row r="868">
      <c r="A868" s="49"/>
    </row>
    <row r="869">
      <c r="A869" s="49"/>
    </row>
    <row r="870">
      <c r="A870" s="49"/>
    </row>
    <row r="871">
      <c r="A871" s="49"/>
    </row>
    <row r="872">
      <c r="A872" s="49"/>
    </row>
    <row r="873">
      <c r="A873" s="49"/>
    </row>
    <row r="874">
      <c r="A874" s="49"/>
    </row>
    <row r="875">
      <c r="A875" s="49"/>
    </row>
    <row r="876">
      <c r="A876" s="49"/>
    </row>
    <row r="877">
      <c r="A877" s="49"/>
    </row>
    <row r="878">
      <c r="A878" s="49"/>
    </row>
    <row r="879">
      <c r="A879" s="49"/>
    </row>
    <row r="880">
      <c r="A880" s="49"/>
    </row>
    <row r="881">
      <c r="A881" s="49"/>
    </row>
    <row r="882">
      <c r="A882" s="49"/>
    </row>
    <row r="883">
      <c r="A883" s="49"/>
    </row>
    <row r="884">
      <c r="A884" s="49"/>
    </row>
    <row r="885">
      <c r="A885" s="49"/>
    </row>
    <row r="886">
      <c r="A886" s="49"/>
    </row>
    <row r="887">
      <c r="A887" s="49"/>
    </row>
    <row r="888">
      <c r="A888" s="49"/>
    </row>
    <row r="889">
      <c r="A889" s="49"/>
    </row>
    <row r="890">
      <c r="A890" s="49"/>
    </row>
    <row r="891">
      <c r="A891" s="49"/>
    </row>
    <row r="892">
      <c r="A892" s="49"/>
    </row>
    <row r="893">
      <c r="A893" s="49"/>
    </row>
    <row r="894">
      <c r="A894" s="49"/>
    </row>
    <row r="895">
      <c r="A895" s="49"/>
    </row>
    <row r="896">
      <c r="A896" s="49"/>
    </row>
    <row r="897">
      <c r="A897" s="49"/>
    </row>
    <row r="898">
      <c r="A898" s="49"/>
    </row>
    <row r="899">
      <c r="A899" s="49"/>
    </row>
    <row r="900">
      <c r="A900" s="49"/>
    </row>
    <row r="901">
      <c r="A901" s="49"/>
    </row>
    <row r="902">
      <c r="A902" s="49"/>
    </row>
    <row r="903">
      <c r="A903" s="49"/>
    </row>
    <row r="904">
      <c r="A904" s="49"/>
    </row>
    <row r="905">
      <c r="A905" s="49"/>
    </row>
    <row r="906">
      <c r="A906" s="49"/>
    </row>
    <row r="907">
      <c r="A907" s="49"/>
    </row>
    <row r="908">
      <c r="A908" s="49"/>
    </row>
    <row r="909">
      <c r="A909" s="49"/>
    </row>
    <row r="910">
      <c r="A910" s="49"/>
    </row>
    <row r="911">
      <c r="A911" s="49"/>
    </row>
    <row r="912">
      <c r="A912" s="49"/>
    </row>
    <row r="913">
      <c r="A913" s="49"/>
    </row>
    <row r="914">
      <c r="A914" s="49"/>
    </row>
    <row r="915">
      <c r="A915" s="49"/>
    </row>
    <row r="916">
      <c r="A916" s="49"/>
    </row>
    <row r="917">
      <c r="A917" s="49"/>
    </row>
    <row r="918">
      <c r="A918" s="49"/>
    </row>
    <row r="919">
      <c r="A919" s="49"/>
    </row>
    <row r="920">
      <c r="A920" s="49"/>
    </row>
    <row r="921">
      <c r="A921" s="49"/>
    </row>
    <row r="922">
      <c r="A922" s="49"/>
    </row>
    <row r="923">
      <c r="A923" s="49"/>
    </row>
    <row r="924">
      <c r="A924" s="49"/>
    </row>
    <row r="925">
      <c r="A925" s="49"/>
    </row>
    <row r="926">
      <c r="A926" s="49"/>
    </row>
    <row r="927">
      <c r="A927" s="49"/>
    </row>
    <row r="928">
      <c r="A928" s="49"/>
    </row>
    <row r="929">
      <c r="A929" s="49"/>
    </row>
    <row r="930">
      <c r="A930" s="49"/>
    </row>
    <row r="931">
      <c r="A931" s="49"/>
    </row>
    <row r="932">
      <c r="A932" s="49"/>
    </row>
    <row r="933">
      <c r="A933" s="49"/>
    </row>
    <row r="934">
      <c r="A934" s="49"/>
    </row>
    <row r="935">
      <c r="A935" s="49"/>
    </row>
    <row r="936">
      <c r="A936" s="49"/>
    </row>
    <row r="937">
      <c r="A937" s="49"/>
    </row>
    <row r="938">
      <c r="A938" s="49"/>
    </row>
    <row r="939">
      <c r="A939" s="49"/>
    </row>
    <row r="940">
      <c r="A940" s="49"/>
    </row>
    <row r="941">
      <c r="A941" s="49"/>
    </row>
    <row r="942">
      <c r="A942" s="49"/>
    </row>
    <row r="943">
      <c r="A943" s="49"/>
    </row>
    <row r="944">
      <c r="A944" s="49"/>
    </row>
    <row r="945">
      <c r="A945" s="49"/>
    </row>
    <row r="946">
      <c r="A946" s="49"/>
    </row>
    <row r="947">
      <c r="A947" s="49"/>
    </row>
    <row r="948">
      <c r="A948" s="49"/>
    </row>
    <row r="949">
      <c r="A949" s="49"/>
    </row>
    <row r="950">
      <c r="A950" s="49"/>
    </row>
    <row r="951">
      <c r="A951" s="49"/>
    </row>
    <row r="952">
      <c r="A952" s="49"/>
    </row>
    <row r="953">
      <c r="A953" s="49"/>
    </row>
    <row r="954">
      <c r="A954" s="49"/>
    </row>
    <row r="955">
      <c r="A955" s="49"/>
    </row>
    <row r="956">
      <c r="A956" s="49"/>
    </row>
    <row r="957">
      <c r="A957" s="49"/>
    </row>
    <row r="958">
      <c r="A958" s="49"/>
    </row>
    <row r="959">
      <c r="A959" s="49"/>
    </row>
    <row r="960">
      <c r="A960" s="49"/>
    </row>
    <row r="961">
      <c r="A961" s="49"/>
    </row>
    <row r="962">
      <c r="A962" s="49"/>
    </row>
    <row r="963">
      <c r="A963" s="49"/>
    </row>
    <row r="964">
      <c r="A964" s="49"/>
    </row>
    <row r="965">
      <c r="A965" s="49"/>
    </row>
    <row r="966">
      <c r="A966" s="49"/>
    </row>
    <row r="967">
      <c r="A967" s="49"/>
    </row>
    <row r="968">
      <c r="A968" s="49"/>
    </row>
    <row r="969">
      <c r="A969" s="49"/>
    </row>
    <row r="970">
      <c r="A970" s="49"/>
    </row>
    <row r="971">
      <c r="A971" s="49"/>
    </row>
    <row r="972">
      <c r="A972" s="49"/>
    </row>
    <row r="973">
      <c r="A973" s="49"/>
    </row>
    <row r="974">
      <c r="A974" s="49"/>
    </row>
    <row r="975">
      <c r="A975" s="49"/>
    </row>
    <row r="976">
      <c r="A976" s="49"/>
    </row>
    <row r="977">
      <c r="A977" s="49"/>
    </row>
    <row r="978">
      <c r="A978" s="49"/>
    </row>
    <row r="979">
      <c r="A979" s="49"/>
    </row>
    <row r="980">
      <c r="A980" s="49"/>
    </row>
    <row r="981">
      <c r="A981" s="49"/>
    </row>
    <row r="982">
      <c r="A982" s="49"/>
    </row>
    <row r="983">
      <c r="A983" s="49"/>
    </row>
    <row r="984">
      <c r="A984" s="49"/>
    </row>
    <row r="985">
      <c r="A985" s="49"/>
    </row>
    <row r="986">
      <c r="A986" s="49"/>
    </row>
    <row r="987">
      <c r="A987" s="49"/>
    </row>
    <row r="988">
      <c r="A988" s="49"/>
    </row>
    <row r="989">
      <c r="A989" s="49"/>
    </row>
    <row r="990">
      <c r="A990" s="49"/>
    </row>
    <row r="991">
      <c r="A991" s="49"/>
    </row>
    <row r="992">
      <c r="A992" s="49"/>
    </row>
    <row r="993">
      <c r="A993" s="49"/>
    </row>
    <row r="994">
      <c r="A994" s="49"/>
    </row>
    <row r="995">
      <c r="A995" s="49"/>
    </row>
    <row r="996">
      <c r="A996" s="49"/>
    </row>
    <row r="997">
      <c r="A997" s="49"/>
    </row>
    <row r="998">
      <c r="A998" s="49"/>
    </row>
    <row r="999">
      <c r="A999" s="49"/>
    </row>
  </sheetData>
  <mergeCells count="1">
    <mergeCell ref="A57:D57"/>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13"/>
  </cols>
  <sheetData>
    <row r="1">
      <c r="A1" s="4" t="s">
        <v>5973</v>
      </c>
      <c r="B1" s="4" t="s">
        <v>5974</v>
      </c>
      <c r="C1" s="4" t="s">
        <v>1693</v>
      </c>
      <c r="D1" s="4" t="s">
        <v>5975</v>
      </c>
      <c r="E1" s="4" t="s">
        <v>5976</v>
      </c>
      <c r="F1" s="4" t="s">
        <v>13</v>
      </c>
      <c r="G1" s="4" t="s">
        <v>5977</v>
      </c>
      <c r="H1" s="4" t="s">
        <v>5297</v>
      </c>
    </row>
    <row r="2">
      <c r="A2" s="4" t="s">
        <v>5978</v>
      </c>
      <c r="B2" s="4" t="s">
        <v>5979</v>
      </c>
      <c r="C2" s="4" t="s">
        <v>5980</v>
      </c>
      <c r="D2" s="4">
        <v>0.0</v>
      </c>
      <c r="E2" s="5" t="s">
        <v>5981</v>
      </c>
      <c r="F2" s="4" t="s">
        <v>26</v>
      </c>
      <c r="G2" s="4" t="s">
        <v>5399</v>
      </c>
      <c r="H2" s="4" t="s">
        <v>5982</v>
      </c>
    </row>
    <row r="3">
      <c r="A3" s="4" t="s">
        <v>5983</v>
      </c>
      <c r="B3" s="4" t="s">
        <v>5984</v>
      </c>
      <c r="C3" s="4" t="s">
        <v>5984</v>
      </c>
      <c r="D3" s="4">
        <v>0.0</v>
      </c>
      <c r="E3" s="5" t="s">
        <v>5985</v>
      </c>
      <c r="F3" s="4" t="s">
        <v>26</v>
      </c>
      <c r="G3" s="4" t="s">
        <v>5429</v>
      </c>
      <c r="H3" s="4" t="s">
        <v>5986</v>
      </c>
    </row>
    <row r="4">
      <c r="A4" s="4" t="s">
        <v>5987</v>
      </c>
      <c r="B4" s="4" t="s">
        <v>5988</v>
      </c>
      <c r="C4" s="4" t="s">
        <v>5989</v>
      </c>
      <c r="D4" s="4">
        <v>6.0</v>
      </c>
      <c r="E4" s="5" t="s">
        <v>5990</v>
      </c>
      <c r="F4" s="4" t="s">
        <v>26</v>
      </c>
      <c r="G4" s="4" t="s">
        <v>5429</v>
      </c>
    </row>
    <row r="5">
      <c r="A5" s="4" t="s">
        <v>5991</v>
      </c>
      <c r="B5" s="4" t="s">
        <v>5992</v>
      </c>
      <c r="C5" s="4" t="s">
        <v>5993</v>
      </c>
      <c r="D5" s="4">
        <v>6.0</v>
      </c>
      <c r="E5" s="5" t="s">
        <v>5994</v>
      </c>
      <c r="F5" s="4" t="s">
        <v>26</v>
      </c>
      <c r="G5" s="4" t="s">
        <v>5399</v>
      </c>
    </row>
    <row r="6">
      <c r="A6" s="4" t="s">
        <v>5995</v>
      </c>
      <c r="B6" s="4" t="s">
        <v>5996</v>
      </c>
      <c r="C6" s="4" t="s">
        <v>5997</v>
      </c>
      <c r="D6" s="4">
        <v>13.0</v>
      </c>
      <c r="E6" s="5" t="s">
        <v>5998</v>
      </c>
      <c r="F6" s="4" t="s">
        <v>26</v>
      </c>
      <c r="G6" s="4" t="s">
        <v>5999</v>
      </c>
    </row>
    <row r="7">
      <c r="A7" s="4" t="s">
        <v>6000</v>
      </c>
      <c r="B7" s="4" t="s">
        <v>6001</v>
      </c>
      <c r="C7" s="4" t="s">
        <v>6002</v>
      </c>
      <c r="D7" s="4">
        <v>20.0</v>
      </c>
      <c r="E7" s="5" t="s">
        <v>6003</v>
      </c>
      <c r="F7" s="4" t="s">
        <v>26</v>
      </c>
      <c r="G7" s="4" t="s">
        <v>5399</v>
      </c>
    </row>
    <row r="8">
      <c r="A8" s="4" t="s">
        <v>6004</v>
      </c>
      <c r="B8" s="4" t="s">
        <v>6005</v>
      </c>
      <c r="C8" s="4" t="s">
        <v>6006</v>
      </c>
      <c r="D8" s="4">
        <v>20.0</v>
      </c>
      <c r="E8" s="5" t="s">
        <v>6007</v>
      </c>
      <c r="F8" s="4" t="s">
        <v>26</v>
      </c>
      <c r="G8" s="4" t="s">
        <v>5429</v>
      </c>
    </row>
    <row r="9">
      <c r="A9" s="4" t="s">
        <v>6008</v>
      </c>
      <c r="B9" s="4" t="s">
        <v>6009</v>
      </c>
      <c r="C9" s="4" t="s">
        <v>6010</v>
      </c>
      <c r="D9" s="4">
        <v>27.0</v>
      </c>
      <c r="E9" s="5" t="s">
        <v>6011</v>
      </c>
      <c r="F9" s="4" t="s">
        <v>26</v>
      </c>
      <c r="G9" s="4" t="s">
        <v>5999</v>
      </c>
    </row>
    <row r="10">
      <c r="A10" s="4" t="s">
        <v>6012</v>
      </c>
      <c r="B10" s="4" t="s">
        <v>6013</v>
      </c>
      <c r="C10" s="4" t="s">
        <v>6014</v>
      </c>
      <c r="D10" s="4">
        <v>36.0</v>
      </c>
      <c r="E10" s="5" t="s">
        <v>6015</v>
      </c>
      <c r="F10" s="4" t="s">
        <v>26</v>
      </c>
      <c r="G10" s="4" t="s">
        <v>5999</v>
      </c>
    </row>
    <row r="11">
      <c r="A11" s="4" t="s">
        <v>6016</v>
      </c>
      <c r="B11" s="4" t="s">
        <v>6016</v>
      </c>
      <c r="C11" s="4" t="s">
        <v>6016</v>
      </c>
      <c r="D11" s="4">
        <v>0.0</v>
      </c>
      <c r="E11" s="5" t="s">
        <v>6017</v>
      </c>
      <c r="F11" s="4" t="s">
        <v>5374</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s>
  <drawing r:id="rId1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38"/>
    <col customWidth="1" min="3" max="3" width="30.5"/>
    <col customWidth="1" min="5" max="5" width="19.13"/>
    <col customWidth="1" min="6" max="6" width="35.25"/>
    <col customWidth="1" min="7" max="7" width="19.13"/>
    <col customWidth="1" min="8" max="8" width="16.88"/>
    <col customWidth="1" min="9" max="9" width="14.63"/>
    <col customWidth="1" min="10" max="10" width="17.88"/>
    <col customWidth="1" min="11" max="12" width="31.0"/>
    <col customWidth="1" min="13" max="13" width="16.75"/>
    <col customWidth="1" min="15" max="15" width="15.13"/>
  </cols>
  <sheetData>
    <row r="1">
      <c r="A1" s="51" t="s">
        <v>6018</v>
      </c>
      <c r="B1" s="52" t="s">
        <v>3969</v>
      </c>
      <c r="C1" s="52" t="s">
        <v>6019</v>
      </c>
      <c r="D1" s="53" t="s">
        <v>6020</v>
      </c>
      <c r="E1" s="52" t="s">
        <v>6021</v>
      </c>
      <c r="F1" s="52" t="s">
        <v>1693</v>
      </c>
      <c r="G1" s="52" t="s">
        <v>2144</v>
      </c>
      <c r="H1" s="4" t="s">
        <v>6022</v>
      </c>
      <c r="I1" s="4" t="s">
        <v>6023</v>
      </c>
      <c r="J1" s="4" t="s">
        <v>6024</v>
      </c>
      <c r="K1" s="4" t="s">
        <v>1911</v>
      </c>
      <c r="L1" s="4" t="s">
        <v>6025</v>
      </c>
      <c r="M1" s="4" t="s">
        <v>6026</v>
      </c>
      <c r="N1" s="4" t="s">
        <v>6027</v>
      </c>
      <c r="O1" s="4" t="s">
        <v>6028</v>
      </c>
    </row>
    <row r="2">
      <c r="A2" s="4" t="s">
        <v>6029</v>
      </c>
      <c r="B2" s="4" t="s">
        <v>5559</v>
      </c>
      <c r="C2" s="18">
        <v>45568.5</v>
      </c>
      <c r="D2" s="7" t="s">
        <v>2148</v>
      </c>
      <c r="E2" s="18">
        <v>45568.666666666664</v>
      </c>
      <c r="F2" s="4" t="s">
        <v>6030</v>
      </c>
      <c r="G2" s="4" t="s">
        <v>110</v>
      </c>
      <c r="H2" s="4" t="s">
        <v>1987</v>
      </c>
      <c r="K2" s="4" t="s">
        <v>6031</v>
      </c>
      <c r="L2" s="4" t="s">
        <v>6032</v>
      </c>
      <c r="N2" s="54"/>
    </row>
    <row r="3">
      <c r="A3" s="4" t="s">
        <v>6033</v>
      </c>
      <c r="B3" s="4" t="s">
        <v>5533</v>
      </c>
      <c r="C3" s="18">
        <v>45567.729166666664</v>
      </c>
      <c r="D3" s="7" t="s">
        <v>2154</v>
      </c>
      <c r="E3" s="18">
        <v>45567.8125</v>
      </c>
      <c r="F3" s="4" t="s">
        <v>6034</v>
      </c>
      <c r="G3" s="4" t="s">
        <v>6035</v>
      </c>
      <c r="H3" s="4" t="s">
        <v>1991</v>
      </c>
      <c r="K3" s="4" t="s">
        <v>6036</v>
      </c>
      <c r="L3" s="7" t="s">
        <v>6037</v>
      </c>
      <c r="N3" s="54"/>
    </row>
    <row r="4">
      <c r="A4" s="4" t="s">
        <v>6038</v>
      </c>
      <c r="B4" s="4" t="s">
        <v>5559</v>
      </c>
      <c r="C4" s="18">
        <v>45567.333333333336</v>
      </c>
      <c r="D4" s="7" t="s">
        <v>2148</v>
      </c>
      <c r="E4" s="18">
        <v>45567.5</v>
      </c>
      <c r="F4" s="4" t="s">
        <v>6030</v>
      </c>
      <c r="G4" s="4" t="s">
        <v>110</v>
      </c>
      <c r="H4" s="4" t="s">
        <v>1987</v>
      </c>
      <c r="K4" s="4" t="s">
        <v>6039</v>
      </c>
      <c r="L4" s="4"/>
      <c r="N4" s="54"/>
    </row>
    <row r="5">
      <c r="A5" s="4" t="s">
        <v>6040</v>
      </c>
      <c r="B5" s="4" t="s">
        <v>5533</v>
      </c>
      <c r="C5" s="18">
        <v>45566.729166666664</v>
      </c>
      <c r="D5" s="7" t="s">
        <v>2147</v>
      </c>
      <c r="E5" s="18">
        <v>45566.791666666664</v>
      </c>
      <c r="F5" s="4" t="s">
        <v>6041</v>
      </c>
      <c r="G5" s="4" t="s">
        <v>6035</v>
      </c>
      <c r="H5" s="4" t="s">
        <v>1991</v>
      </c>
      <c r="K5" s="4" t="s">
        <v>6042</v>
      </c>
      <c r="L5" s="4" t="s">
        <v>6043</v>
      </c>
      <c r="N5" s="54"/>
    </row>
    <row r="6">
      <c r="A6" s="55" t="s">
        <v>6044</v>
      </c>
      <c r="B6" s="53" t="s">
        <v>5377</v>
      </c>
      <c r="C6" s="56">
        <v>45566.5625</v>
      </c>
      <c r="D6" s="57" t="s">
        <v>2148</v>
      </c>
      <c r="E6" s="56">
        <v>45566.729166666664</v>
      </c>
      <c r="F6" s="53" t="s">
        <v>6045</v>
      </c>
      <c r="G6" s="4" t="s">
        <v>135</v>
      </c>
      <c r="H6" s="4" t="s">
        <v>1987</v>
      </c>
      <c r="K6" s="4" t="s">
        <v>6046</v>
      </c>
      <c r="N6" s="54"/>
    </row>
    <row r="7">
      <c r="A7" s="4" t="s">
        <v>6047</v>
      </c>
      <c r="B7" s="4" t="s">
        <v>1540</v>
      </c>
      <c r="C7" s="18">
        <v>45566.333333333336</v>
      </c>
      <c r="D7" s="7" t="s">
        <v>2148</v>
      </c>
      <c r="E7" s="18">
        <v>45566.416666666664</v>
      </c>
      <c r="F7" s="4" t="s">
        <v>6048</v>
      </c>
      <c r="G7" s="4" t="s">
        <v>110</v>
      </c>
      <c r="H7" s="4" t="s">
        <v>1987</v>
      </c>
      <c r="K7" s="4" t="s">
        <v>6049</v>
      </c>
      <c r="L7" s="4" t="s">
        <v>6050</v>
      </c>
    </row>
    <row r="8">
      <c r="A8" s="4" t="s">
        <v>6051</v>
      </c>
      <c r="B8" s="4" t="s">
        <v>1427</v>
      </c>
      <c r="C8" s="18">
        <v>45566.333333333336</v>
      </c>
      <c r="D8" s="7" t="s">
        <v>6052</v>
      </c>
      <c r="E8" s="18">
        <v>45566.520833333336</v>
      </c>
      <c r="F8" s="4" t="s">
        <v>6053</v>
      </c>
      <c r="G8" s="4" t="s">
        <v>27</v>
      </c>
      <c r="H8" s="4" t="s">
        <v>1991</v>
      </c>
      <c r="K8" s="4" t="s">
        <v>6054</v>
      </c>
      <c r="L8" s="4" t="s">
        <v>6055</v>
      </c>
    </row>
    <row r="9">
      <c r="A9" s="55" t="s">
        <v>6056</v>
      </c>
      <c r="B9" s="53" t="s">
        <v>6057</v>
      </c>
      <c r="C9" s="56">
        <v>45565.583333333336</v>
      </c>
      <c r="D9" s="57" t="s">
        <v>2148</v>
      </c>
      <c r="E9" s="56">
        <v>45565.75</v>
      </c>
      <c r="F9" s="53" t="s">
        <v>6053</v>
      </c>
      <c r="G9" s="4" t="s">
        <v>27</v>
      </c>
      <c r="H9" s="4" t="s">
        <v>1987</v>
      </c>
      <c r="K9" s="4" t="s">
        <v>6058</v>
      </c>
      <c r="L9" s="4" t="s">
        <v>6059</v>
      </c>
    </row>
    <row r="10">
      <c r="A10" s="4" t="s">
        <v>6060</v>
      </c>
      <c r="B10" s="4" t="s">
        <v>5377</v>
      </c>
      <c r="C10" s="18">
        <v>45565.5625</v>
      </c>
      <c r="D10" s="7" t="s">
        <v>2148</v>
      </c>
      <c r="E10" s="18">
        <v>45565.729166666664</v>
      </c>
      <c r="F10" s="4" t="s">
        <v>6045</v>
      </c>
      <c r="G10" s="4" t="s">
        <v>135</v>
      </c>
      <c r="H10" s="4" t="s">
        <v>1987</v>
      </c>
      <c r="K10" s="4" t="s">
        <v>6061</v>
      </c>
      <c r="L10" s="4"/>
    </row>
    <row r="11">
      <c r="A11" s="7" t="s">
        <v>6062</v>
      </c>
      <c r="B11" s="4" t="s">
        <v>1540</v>
      </c>
      <c r="C11" s="18">
        <v>45565.333333333336</v>
      </c>
      <c r="D11" s="7" t="s">
        <v>2148</v>
      </c>
      <c r="E11" s="18">
        <v>45565.416666666664</v>
      </c>
      <c r="F11" s="4" t="s">
        <v>6063</v>
      </c>
      <c r="G11" s="4" t="s">
        <v>110</v>
      </c>
      <c r="H11" s="4" t="s">
        <v>1987</v>
      </c>
      <c r="K11" s="4" t="s">
        <v>6064</v>
      </c>
      <c r="L11" s="4" t="s">
        <v>6065</v>
      </c>
    </row>
    <row r="12">
      <c r="A12" s="4" t="s">
        <v>6066</v>
      </c>
      <c r="B12" s="4" t="s">
        <v>6057</v>
      </c>
      <c r="C12" s="18">
        <v>45565.333333333336</v>
      </c>
      <c r="D12" s="7" t="s">
        <v>2154</v>
      </c>
      <c r="E12" s="18">
        <v>45565.416666666664</v>
      </c>
      <c r="F12" s="4" t="s">
        <v>6053</v>
      </c>
      <c r="G12" s="4" t="s">
        <v>27</v>
      </c>
      <c r="H12" s="4" t="s">
        <v>1987</v>
      </c>
      <c r="K12" s="4" t="s">
        <v>6067</v>
      </c>
      <c r="L12" s="4"/>
    </row>
    <row r="13">
      <c r="A13" s="4" t="s">
        <v>6068</v>
      </c>
      <c r="B13" s="4" t="s">
        <v>6069</v>
      </c>
      <c r="C13" s="18">
        <v>45563.375</v>
      </c>
      <c r="D13" s="7" t="s">
        <v>6052</v>
      </c>
      <c r="E13" s="18">
        <v>45563.583333333336</v>
      </c>
      <c r="F13" s="4" t="s">
        <v>6070</v>
      </c>
      <c r="G13" s="4" t="s">
        <v>135</v>
      </c>
      <c r="H13" s="4" t="s">
        <v>1987</v>
      </c>
      <c r="K13" s="4"/>
      <c r="L13" s="4" t="s">
        <v>6071</v>
      </c>
    </row>
    <row r="14">
      <c r="A14" s="4" t="s">
        <v>6072</v>
      </c>
      <c r="B14" s="4" t="s">
        <v>6057</v>
      </c>
      <c r="C14" s="18">
        <v>45563.375</v>
      </c>
      <c r="D14" s="7" t="s">
        <v>6052</v>
      </c>
      <c r="E14" s="18">
        <v>45563.583333333336</v>
      </c>
      <c r="F14" s="4" t="s">
        <v>6053</v>
      </c>
      <c r="G14" s="4" t="s">
        <v>27</v>
      </c>
      <c r="H14" s="4" t="s">
        <v>1987</v>
      </c>
      <c r="K14" s="4" t="s">
        <v>6073</v>
      </c>
      <c r="L14" s="4"/>
    </row>
    <row r="15">
      <c r="A15" s="4" t="s">
        <v>6074</v>
      </c>
      <c r="B15" s="4" t="s">
        <v>6057</v>
      </c>
      <c r="C15" s="18">
        <v>45562.6875</v>
      </c>
      <c r="D15" s="7" t="s">
        <v>2154</v>
      </c>
      <c r="E15" s="18">
        <v>45562.75</v>
      </c>
      <c r="F15" s="4" t="s">
        <v>6053</v>
      </c>
      <c r="G15" s="4" t="s">
        <v>27</v>
      </c>
      <c r="H15" s="4" t="s">
        <v>1987</v>
      </c>
      <c r="K15" s="4" t="s">
        <v>6075</v>
      </c>
      <c r="L15" s="4"/>
    </row>
    <row r="16">
      <c r="A16" s="4" t="s">
        <v>6076</v>
      </c>
      <c r="B16" s="4" t="s">
        <v>5571</v>
      </c>
      <c r="C16" s="58">
        <v>45562.645833333336</v>
      </c>
      <c r="D16" s="59" t="s">
        <v>6052</v>
      </c>
      <c r="E16" s="18">
        <v>45562.770833333336</v>
      </c>
      <c r="F16" s="4" t="s">
        <v>6070</v>
      </c>
      <c r="G16" s="4" t="s">
        <v>135</v>
      </c>
      <c r="H16" s="4" t="s">
        <v>1987</v>
      </c>
      <c r="K16" s="4" t="s">
        <v>6077</v>
      </c>
      <c r="L16" s="4" t="s">
        <v>6078</v>
      </c>
    </row>
    <row r="17">
      <c r="A17" s="4" t="s">
        <v>6079</v>
      </c>
      <c r="B17" s="4" t="s">
        <v>1540</v>
      </c>
      <c r="C17" s="18">
        <v>45562.604166666664</v>
      </c>
      <c r="D17" s="7" t="s">
        <v>2154</v>
      </c>
      <c r="E17" s="18">
        <v>45562.6875</v>
      </c>
      <c r="F17" s="4" t="s">
        <v>6080</v>
      </c>
      <c r="G17" s="4" t="s">
        <v>27</v>
      </c>
      <c r="H17" s="4" t="s">
        <v>1991</v>
      </c>
      <c r="K17" s="4" t="s">
        <v>6081</v>
      </c>
      <c r="L17" s="4"/>
    </row>
    <row r="18">
      <c r="A18" s="4" t="s">
        <v>6082</v>
      </c>
      <c r="B18" s="4" t="s">
        <v>5384</v>
      </c>
      <c r="C18" s="18">
        <v>45562.5625</v>
      </c>
      <c r="D18" s="7" t="s">
        <v>2154</v>
      </c>
      <c r="E18" s="18">
        <v>45562.645833333336</v>
      </c>
      <c r="F18" s="4" t="s">
        <v>6083</v>
      </c>
      <c r="G18" s="4" t="s">
        <v>135</v>
      </c>
      <c r="H18" s="4" t="s">
        <v>1987</v>
      </c>
      <c r="K18" s="4" t="s">
        <v>6084</v>
      </c>
      <c r="L18" s="4"/>
    </row>
    <row r="19">
      <c r="A19" s="4" t="s">
        <v>6085</v>
      </c>
      <c r="B19" s="4" t="s">
        <v>1540</v>
      </c>
      <c r="C19" s="18">
        <v>45562.541666666664</v>
      </c>
      <c r="D19" s="7" t="s">
        <v>2154</v>
      </c>
      <c r="E19" s="18">
        <v>45562.604166666664</v>
      </c>
      <c r="F19" s="4" t="s">
        <v>6086</v>
      </c>
      <c r="G19" s="4" t="s">
        <v>27</v>
      </c>
      <c r="H19" s="4" t="s">
        <v>1987</v>
      </c>
      <c r="K19" s="4" t="s">
        <v>6087</v>
      </c>
      <c r="L19" s="4"/>
    </row>
    <row r="20">
      <c r="A20" s="4" t="s">
        <v>6088</v>
      </c>
      <c r="B20" s="4" t="s">
        <v>6057</v>
      </c>
      <c r="C20" s="18">
        <v>45562.333333333336</v>
      </c>
      <c r="D20" s="7" t="s">
        <v>6052</v>
      </c>
      <c r="E20" s="18">
        <v>45562.541666666664</v>
      </c>
      <c r="F20" s="4" t="s">
        <v>6053</v>
      </c>
      <c r="G20" s="4" t="s">
        <v>27</v>
      </c>
      <c r="H20" s="4" t="s">
        <v>1987</v>
      </c>
      <c r="K20" s="4" t="s">
        <v>6089</v>
      </c>
      <c r="L20" s="4"/>
    </row>
    <row r="21">
      <c r="A21" s="4" t="s">
        <v>6090</v>
      </c>
      <c r="B21" s="4" t="s">
        <v>1540</v>
      </c>
      <c r="C21" s="18">
        <v>45562.333333333336</v>
      </c>
      <c r="D21" s="7" t="s">
        <v>2148</v>
      </c>
      <c r="E21" s="18">
        <v>45562.416666666664</v>
      </c>
      <c r="F21" s="4" t="s">
        <v>6091</v>
      </c>
      <c r="G21" s="4" t="s">
        <v>110</v>
      </c>
      <c r="H21" s="4" t="s">
        <v>1987</v>
      </c>
      <c r="K21" s="4" t="s">
        <v>6092</v>
      </c>
      <c r="L21" s="4" t="s">
        <v>6093</v>
      </c>
    </row>
    <row r="22">
      <c r="A22" s="4" t="s">
        <v>6094</v>
      </c>
      <c r="B22" s="4" t="s">
        <v>6057</v>
      </c>
      <c r="C22" s="18">
        <v>45561.666666666664</v>
      </c>
      <c r="D22" s="7" t="s">
        <v>2200</v>
      </c>
      <c r="E22" s="18">
        <v>45561.791666666664</v>
      </c>
      <c r="F22" s="4" t="s">
        <v>6053</v>
      </c>
      <c r="G22" s="4" t="s">
        <v>27</v>
      </c>
      <c r="H22" s="4" t="s">
        <v>1987</v>
      </c>
      <c r="K22" s="4"/>
      <c r="L22" s="4" t="s">
        <v>6095</v>
      </c>
    </row>
    <row r="23">
      <c r="A23" s="4" t="s">
        <v>6096</v>
      </c>
      <c r="B23" s="4" t="s">
        <v>5384</v>
      </c>
      <c r="C23" s="18">
        <v>45561.666666666664</v>
      </c>
      <c r="D23" s="7" t="s">
        <v>2154</v>
      </c>
      <c r="E23" s="18">
        <v>45561.770833333336</v>
      </c>
      <c r="F23" s="4" t="s">
        <v>6097</v>
      </c>
      <c r="G23" s="4" t="s">
        <v>135</v>
      </c>
      <c r="H23" s="4" t="s">
        <v>1987</v>
      </c>
      <c r="K23" s="4" t="s">
        <v>6098</v>
      </c>
      <c r="L23" s="4"/>
    </row>
    <row r="24">
      <c r="A24" s="4" t="s">
        <v>6099</v>
      </c>
      <c r="B24" s="4" t="s">
        <v>1554</v>
      </c>
      <c r="C24" s="18">
        <v>45561.583333333336</v>
      </c>
      <c r="D24" s="7" t="s">
        <v>2154</v>
      </c>
      <c r="E24" s="18">
        <v>45561.666666666664</v>
      </c>
      <c r="F24" s="4" t="s">
        <v>6100</v>
      </c>
      <c r="G24" s="4" t="s">
        <v>27</v>
      </c>
      <c r="H24" s="4" t="s">
        <v>1991</v>
      </c>
      <c r="K24" s="4" t="s">
        <v>6101</v>
      </c>
      <c r="L24" s="4"/>
    </row>
    <row r="25">
      <c r="A25" s="4" t="s">
        <v>6102</v>
      </c>
      <c r="B25" s="4" t="s">
        <v>5457</v>
      </c>
      <c r="C25" s="18">
        <v>45561.5625</v>
      </c>
      <c r="D25" s="7" t="s">
        <v>2154</v>
      </c>
      <c r="E25" s="18">
        <v>45561.666666666664</v>
      </c>
      <c r="F25" s="4" t="s">
        <v>6103</v>
      </c>
      <c r="G25" s="4" t="s">
        <v>135</v>
      </c>
      <c r="H25" s="4" t="s">
        <v>1987</v>
      </c>
      <c r="K25" s="4"/>
      <c r="L25" s="4" t="s">
        <v>6104</v>
      </c>
    </row>
    <row r="26">
      <c r="A26" s="4" t="s">
        <v>6105</v>
      </c>
      <c r="B26" s="4" t="s">
        <v>1427</v>
      </c>
      <c r="C26" s="18">
        <v>45561.333333333336</v>
      </c>
      <c r="D26" s="7" t="s">
        <v>2148</v>
      </c>
      <c r="E26" s="18">
        <v>45561.416666666664</v>
      </c>
      <c r="F26" s="4" t="s">
        <v>6106</v>
      </c>
      <c r="G26" s="4" t="s">
        <v>110</v>
      </c>
      <c r="H26" s="4" t="s">
        <v>1987</v>
      </c>
      <c r="K26" s="4" t="s">
        <v>6107</v>
      </c>
      <c r="L26" s="4" t="s">
        <v>6108</v>
      </c>
    </row>
    <row r="27">
      <c r="A27" s="7" t="s">
        <v>6109</v>
      </c>
      <c r="B27" s="4" t="s">
        <v>1427</v>
      </c>
      <c r="C27" s="18">
        <v>45561.333333333336</v>
      </c>
      <c r="D27" s="7" t="s">
        <v>6052</v>
      </c>
      <c r="E27" s="18">
        <v>45561.541666666664</v>
      </c>
      <c r="F27" s="4" t="s">
        <v>6053</v>
      </c>
      <c r="G27" s="4" t="s">
        <v>27</v>
      </c>
      <c r="H27" s="4" t="s">
        <v>1987</v>
      </c>
      <c r="K27" s="4" t="s">
        <v>6110</v>
      </c>
      <c r="L27" s="4"/>
    </row>
    <row r="28">
      <c r="A28" s="4" t="s">
        <v>6111</v>
      </c>
      <c r="B28" s="4" t="s">
        <v>5533</v>
      </c>
      <c r="C28" s="18">
        <v>45560.75</v>
      </c>
      <c r="D28" s="7" t="s">
        <v>2154</v>
      </c>
      <c r="E28" s="18">
        <v>45560.833333333336</v>
      </c>
      <c r="F28" s="4" t="s">
        <v>6112</v>
      </c>
      <c r="G28" s="4" t="s">
        <v>6035</v>
      </c>
      <c r="H28" s="4" t="s">
        <v>1987</v>
      </c>
      <c r="K28" s="7" t="s">
        <v>6113</v>
      </c>
      <c r="L28" s="4"/>
    </row>
    <row r="29">
      <c r="A29" s="4" t="s">
        <v>6114</v>
      </c>
      <c r="B29" s="4" t="s">
        <v>1557</v>
      </c>
      <c r="C29" s="18">
        <v>45560.6875</v>
      </c>
      <c r="D29" s="7" t="s">
        <v>2154</v>
      </c>
      <c r="E29" s="18">
        <v>45560.770833333336</v>
      </c>
      <c r="F29" s="4" t="s">
        <v>6115</v>
      </c>
      <c r="G29" s="4" t="s">
        <v>27</v>
      </c>
      <c r="H29" s="4" t="s">
        <v>1991</v>
      </c>
      <c r="K29" s="4" t="s">
        <v>6116</v>
      </c>
      <c r="L29" s="4"/>
    </row>
    <row r="30">
      <c r="A30" s="4" t="s">
        <v>6117</v>
      </c>
      <c r="B30" s="4" t="s">
        <v>5377</v>
      </c>
      <c r="C30" s="18">
        <v>45560.645833333336</v>
      </c>
      <c r="D30" s="7" t="s">
        <v>2147</v>
      </c>
      <c r="E30" s="18">
        <v>45560.6875</v>
      </c>
      <c r="F30" s="4" t="s">
        <v>6053</v>
      </c>
      <c r="G30" s="4" t="s">
        <v>27</v>
      </c>
      <c r="H30" s="4" t="s">
        <v>1991</v>
      </c>
      <c r="K30" s="4" t="s">
        <v>6118</v>
      </c>
      <c r="L30" s="4"/>
    </row>
    <row r="31">
      <c r="A31" s="4" t="s">
        <v>6119</v>
      </c>
      <c r="B31" s="4" t="s">
        <v>1427</v>
      </c>
      <c r="C31" s="18">
        <v>45560.416666666664</v>
      </c>
      <c r="D31" s="7" t="s">
        <v>2148</v>
      </c>
      <c r="E31" s="18">
        <v>45560.458333333336</v>
      </c>
      <c r="F31" s="4" t="s">
        <v>6120</v>
      </c>
      <c r="G31" s="4" t="s">
        <v>110</v>
      </c>
      <c r="H31" s="4" t="s">
        <v>1987</v>
      </c>
      <c r="K31" s="4" t="s">
        <v>6121</v>
      </c>
      <c r="L31" s="4" t="s">
        <v>6122</v>
      </c>
    </row>
    <row r="32">
      <c r="A32" s="4" t="s">
        <v>6123</v>
      </c>
      <c r="B32" s="4" t="s">
        <v>1472</v>
      </c>
      <c r="C32" s="18">
        <v>45560.416666666664</v>
      </c>
      <c r="D32" s="7" t="s">
        <v>2154</v>
      </c>
      <c r="E32" s="18">
        <v>45560.604166666664</v>
      </c>
      <c r="F32" s="4" t="s">
        <v>6053</v>
      </c>
      <c r="G32" s="4" t="s">
        <v>27</v>
      </c>
      <c r="H32" s="4" t="s">
        <v>1987</v>
      </c>
      <c r="K32" s="4" t="s">
        <v>6124</v>
      </c>
      <c r="L32" s="4" t="s">
        <v>6125</v>
      </c>
    </row>
    <row r="33">
      <c r="A33" s="4" t="s">
        <v>6126</v>
      </c>
      <c r="B33" s="4" t="s">
        <v>1540</v>
      </c>
      <c r="C33" s="18">
        <v>45560.333333333336</v>
      </c>
      <c r="D33" s="7" t="s">
        <v>2154</v>
      </c>
      <c r="E33" s="18">
        <v>45560.375</v>
      </c>
      <c r="F33" s="4" t="s">
        <v>5992</v>
      </c>
      <c r="G33" s="4" t="s">
        <v>110</v>
      </c>
      <c r="H33" s="4" t="s">
        <v>1987</v>
      </c>
      <c r="K33" s="4" t="s">
        <v>6127</v>
      </c>
      <c r="L33" s="4" t="s">
        <v>6128</v>
      </c>
    </row>
    <row r="34">
      <c r="A34" s="4" t="s">
        <v>6129</v>
      </c>
      <c r="B34" s="4" t="s">
        <v>1472</v>
      </c>
      <c r="C34" s="18">
        <v>45559.770833333336</v>
      </c>
      <c r="D34" s="7" t="s">
        <v>2154</v>
      </c>
      <c r="E34" s="18">
        <v>45559.854166666664</v>
      </c>
      <c r="F34" s="4" t="s">
        <v>6130</v>
      </c>
      <c r="G34" s="4" t="s">
        <v>27</v>
      </c>
      <c r="H34" s="4" t="s">
        <v>1991</v>
      </c>
      <c r="K34" s="4" t="s">
        <v>6131</v>
      </c>
      <c r="L34" s="4" t="s">
        <v>6132</v>
      </c>
    </row>
    <row r="35">
      <c r="A35" s="4" t="s">
        <v>6133</v>
      </c>
      <c r="B35" s="4" t="s">
        <v>5533</v>
      </c>
      <c r="C35" s="18">
        <v>45559.75</v>
      </c>
      <c r="D35" s="7" t="s">
        <v>2154</v>
      </c>
      <c r="E35" s="18">
        <v>45559.833333333336</v>
      </c>
      <c r="F35" s="4" t="s">
        <v>6112</v>
      </c>
      <c r="G35" s="4" t="s">
        <v>6035</v>
      </c>
      <c r="H35" s="4" t="s">
        <v>1987</v>
      </c>
      <c r="K35" s="4" t="s">
        <v>6134</v>
      </c>
      <c r="L35" s="7" t="s">
        <v>6135</v>
      </c>
    </row>
    <row r="36">
      <c r="A36" s="4" t="s">
        <v>6136</v>
      </c>
      <c r="B36" s="4" t="s">
        <v>5377</v>
      </c>
      <c r="C36" s="18">
        <v>45559.666666666664</v>
      </c>
      <c r="D36" s="7" t="s">
        <v>2147</v>
      </c>
      <c r="E36" s="18">
        <v>45559.708333333336</v>
      </c>
      <c r="F36" s="4" t="s">
        <v>6137</v>
      </c>
      <c r="G36" s="4" t="s">
        <v>27</v>
      </c>
      <c r="H36" s="4" t="s">
        <v>1987</v>
      </c>
      <c r="K36" s="4" t="s">
        <v>6138</v>
      </c>
      <c r="L36" s="4"/>
    </row>
    <row r="37">
      <c r="A37" s="4" t="s">
        <v>6139</v>
      </c>
      <c r="B37" s="4" t="s">
        <v>5384</v>
      </c>
      <c r="C37" s="18">
        <v>45559.5625</v>
      </c>
      <c r="D37" s="7" t="s">
        <v>6052</v>
      </c>
      <c r="E37" s="18">
        <v>45559.770833333336</v>
      </c>
      <c r="F37" s="4" t="s">
        <v>6140</v>
      </c>
      <c r="G37" s="4" t="s">
        <v>135</v>
      </c>
      <c r="H37" s="4" t="s">
        <v>1987</v>
      </c>
      <c r="K37" s="4" t="s">
        <v>6141</v>
      </c>
      <c r="L37" s="4" t="s">
        <v>6142</v>
      </c>
    </row>
    <row r="38">
      <c r="A38" s="4" t="s">
        <v>6143</v>
      </c>
      <c r="B38" s="4" t="s">
        <v>6057</v>
      </c>
      <c r="C38" s="18">
        <v>45559.541666666664</v>
      </c>
      <c r="D38" s="7" t="s">
        <v>2200</v>
      </c>
      <c r="E38" s="18">
        <v>45559.666666666664</v>
      </c>
      <c r="F38" s="4" t="s">
        <v>6053</v>
      </c>
      <c r="G38" s="4" t="s">
        <v>27</v>
      </c>
      <c r="H38" s="4" t="s">
        <v>1987</v>
      </c>
      <c r="K38" s="4"/>
      <c r="L38" s="4" t="s">
        <v>6144</v>
      </c>
    </row>
    <row r="39">
      <c r="A39" s="4" t="s">
        <v>6145</v>
      </c>
      <c r="B39" s="4" t="s">
        <v>1540</v>
      </c>
      <c r="C39" s="18">
        <v>45559.333333333336</v>
      </c>
      <c r="D39" s="7" t="s">
        <v>2148</v>
      </c>
      <c r="E39" s="18">
        <v>45559.416666666664</v>
      </c>
      <c r="F39" s="4" t="s">
        <v>6146</v>
      </c>
      <c r="G39" s="4" t="s">
        <v>110</v>
      </c>
      <c r="H39" s="4" t="s">
        <v>1987</v>
      </c>
      <c r="K39" s="4" t="s">
        <v>6147</v>
      </c>
      <c r="L39" s="4" t="s">
        <v>6148</v>
      </c>
    </row>
    <row r="40">
      <c r="A40" s="4" t="s">
        <v>6149</v>
      </c>
      <c r="B40" s="4" t="s">
        <v>1427</v>
      </c>
      <c r="C40" s="18">
        <v>45559.333333333336</v>
      </c>
      <c r="D40" s="7" t="s">
        <v>6052</v>
      </c>
      <c r="E40" s="18">
        <v>45559.541666666664</v>
      </c>
      <c r="F40" s="4" t="s">
        <v>6053</v>
      </c>
      <c r="G40" s="4" t="s">
        <v>27</v>
      </c>
      <c r="H40" s="4" t="s">
        <v>1987</v>
      </c>
      <c r="K40" s="4"/>
      <c r="L40" s="4" t="s">
        <v>6150</v>
      </c>
    </row>
    <row r="41">
      <c r="A41" s="4" t="s">
        <v>6151</v>
      </c>
      <c r="B41" s="4" t="s">
        <v>5384</v>
      </c>
      <c r="C41" s="18">
        <v>45558.5625</v>
      </c>
      <c r="D41" s="7" t="s">
        <v>6052</v>
      </c>
      <c r="E41" s="18">
        <v>45558.770833333336</v>
      </c>
      <c r="F41" s="4" t="s">
        <v>6152</v>
      </c>
      <c r="G41" s="4" t="s">
        <v>135</v>
      </c>
      <c r="H41" s="4" t="s">
        <v>1987</v>
      </c>
      <c r="K41" s="4" t="s">
        <v>6153</v>
      </c>
      <c r="L41" s="4"/>
    </row>
    <row r="42">
      <c r="A42" s="4" t="s">
        <v>6154</v>
      </c>
      <c r="B42" s="4" t="s">
        <v>5384</v>
      </c>
      <c r="C42" s="18">
        <v>45558.5625</v>
      </c>
      <c r="D42" s="7" t="s">
        <v>2154</v>
      </c>
      <c r="E42" s="18">
        <v>45558.770833333336</v>
      </c>
      <c r="F42" s="4" t="s">
        <v>6155</v>
      </c>
      <c r="G42" s="4" t="s">
        <v>27</v>
      </c>
      <c r="H42" s="4" t="s">
        <v>1987</v>
      </c>
      <c r="K42" s="4" t="s">
        <v>6156</v>
      </c>
      <c r="L42" s="4" t="s">
        <v>6157</v>
      </c>
    </row>
    <row r="43">
      <c r="A43" s="4" t="s">
        <v>6158</v>
      </c>
      <c r="B43" s="4" t="s">
        <v>6057</v>
      </c>
      <c r="C43" s="18">
        <v>45558.416666666664</v>
      </c>
      <c r="D43" s="7" t="s">
        <v>2154</v>
      </c>
      <c r="E43" s="18">
        <v>45558.5625</v>
      </c>
      <c r="F43" s="4" t="s">
        <v>6053</v>
      </c>
      <c r="G43" s="4" t="s">
        <v>27</v>
      </c>
      <c r="H43" s="4" t="s">
        <v>1987</v>
      </c>
      <c r="K43" s="4" t="s">
        <v>6159</v>
      </c>
      <c r="L43" s="4"/>
    </row>
    <row r="44">
      <c r="A44" s="4" t="s">
        <v>6160</v>
      </c>
      <c r="B44" s="4" t="s">
        <v>1540</v>
      </c>
      <c r="C44" s="18">
        <v>45558.333333333336</v>
      </c>
      <c r="D44" s="7" t="s">
        <v>2148</v>
      </c>
      <c r="E44" s="18">
        <v>45558.416666666664</v>
      </c>
      <c r="F44" s="4" t="s">
        <v>6146</v>
      </c>
      <c r="G44" s="4" t="s">
        <v>110</v>
      </c>
      <c r="H44" s="4" t="s">
        <v>1987</v>
      </c>
      <c r="K44" s="4" t="s">
        <v>6161</v>
      </c>
      <c r="L44" s="4" t="s">
        <v>6148</v>
      </c>
    </row>
    <row r="45">
      <c r="A45" s="4" t="s">
        <v>6162</v>
      </c>
      <c r="B45" s="4" t="s">
        <v>5384</v>
      </c>
      <c r="C45" s="18">
        <v>45556.5</v>
      </c>
      <c r="D45" s="7" t="s">
        <v>6052</v>
      </c>
      <c r="E45" s="18">
        <v>45556.583333333336</v>
      </c>
      <c r="F45" s="4" t="s">
        <v>5377</v>
      </c>
      <c r="G45" s="4" t="s">
        <v>135</v>
      </c>
      <c r="H45" s="4" t="s">
        <v>1987</v>
      </c>
      <c r="K45" s="4" t="s">
        <v>6163</v>
      </c>
      <c r="L45" s="4" t="s">
        <v>6164</v>
      </c>
    </row>
    <row r="46">
      <c r="A46" s="4" t="s">
        <v>6165</v>
      </c>
      <c r="B46" s="4" t="s">
        <v>5571</v>
      </c>
      <c r="C46" s="18">
        <v>45556.375</v>
      </c>
      <c r="D46" s="7" t="s">
        <v>2200</v>
      </c>
      <c r="E46" s="18">
        <v>45556.5</v>
      </c>
      <c r="F46" s="4" t="s">
        <v>6166</v>
      </c>
      <c r="G46" s="4" t="s">
        <v>135</v>
      </c>
      <c r="H46" s="4" t="s">
        <v>1987</v>
      </c>
      <c r="K46" s="4" t="s">
        <v>6167</v>
      </c>
      <c r="L46" s="4"/>
    </row>
    <row r="47">
      <c r="A47" s="4" t="s">
        <v>6168</v>
      </c>
      <c r="B47" s="4" t="s">
        <v>1554</v>
      </c>
      <c r="C47" s="18">
        <v>45555.5625</v>
      </c>
      <c r="D47" s="7" t="s">
        <v>2154</v>
      </c>
      <c r="E47" s="18">
        <v>45555.6875</v>
      </c>
      <c r="F47" s="4" t="s">
        <v>6169</v>
      </c>
      <c r="G47" s="4" t="s">
        <v>27</v>
      </c>
      <c r="H47" s="4" t="s">
        <v>1991</v>
      </c>
      <c r="K47" s="4" t="s">
        <v>6170</v>
      </c>
      <c r="L47" s="4" t="s">
        <v>6171</v>
      </c>
    </row>
    <row r="48">
      <c r="A48" s="4" t="s">
        <v>6172</v>
      </c>
      <c r="B48" s="4" t="s">
        <v>5571</v>
      </c>
      <c r="C48" s="18">
        <v>45555.5625</v>
      </c>
      <c r="D48" s="7" t="s">
        <v>6052</v>
      </c>
      <c r="E48" s="18">
        <v>45555.770833333336</v>
      </c>
      <c r="F48" s="4" t="s">
        <v>1420</v>
      </c>
      <c r="G48" s="4" t="s">
        <v>135</v>
      </c>
      <c r="H48" s="4" t="s">
        <v>1987</v>
      </c>
      <c r="K48" s="4" t="s">
        <v>6173</v>
      </c>
      <c r="L48" s="4" t="s">
        <v>6174</v>
      </c>
    </row>
    <row r="49">
      <c r="A49" s="4" t="s">
        <v>6175</v>
      </c>
      <c r="B49" s="4" t="s">
        <v>1557</v>
      </c>
      <c r="C49" s="18">
        <v>45555.458333333336</v>
      </c>
      <c r="D49" s="7" t="s">
        <v>2154</v>
      </c>
      <c r="E49" s="18">
        <v>45555.541666666664</v>
      </c>
      <c r="F49" s="4" t="s">
        <v>6176</v>
      </c>
      <c r="G49" s="4" t="s">
        <v>27</v>
      </c>
      <c r="H49" s="4" t="s">
        <v>1991</v>
      </c>
      <c r="K49" s="4" t="s">
        <v>6177</v>
      </c>
      <c r="L49" s="4" t="s">
        <v>6178</v>
      </c>
    </row>
    <row r="50">
      <c r="A50" s="4" t="s">
        <v>6179</v>
      </c>
      <c r="B50" s="4" t="s">
        <v>1540</v>
      </c>
      <c r="C50" s="18">
        <v>45555.333333333336</v>
      </c>
      <c r="D50" s="7" t="s">
        <v>2148</v>
      </c>
      <c r="E50" s="18">
        <v>45555.416666666664</v>
      </c>
      <c r="F50" s="4" t="s">
        <v>2153</v>
      </c>
      <c r="G50" s="4" t="s">
        <v>110</v>
      </c>
      <c r="H50" s="4" t="s">
        <v>1987</v>
      </c>
      <c r="K50" s="4"/>
      <c r="L50" s="4" t="s">
        <v>6180</v>
      </c>
    </row>
    <row r="51">
      <c r="A51" s="4" t="s">
        <v>6181</v>
      </c>
      <c r="B51" s="4" t="s">
        <v>5559</v>
      </c>
      <c r="C51" s="18">
        <v>45555.3125</v>
      </c>
      <c r="D51" s="7" t="s">
        <v>2154</v>
      </c>
      <c r="E51" s="18">
        <v>45555.4375</v>
      </c>
      <c r="F51" s="4" t="s">
        <v>6182</v>
      </c>
      <c r="G51" s="4" t="s">
        <v>27</v>
      </c>
      <c r="H51" s="4" t="s">
        <v>1991</v>
      </c>
      <c r="K51" s="4" t="s">
        <v>6183</v>
      </c>
      <c r="L51" s="4" t="s">
        <v>6184</v>
      </c>
    </row>
    <row r="52">
      <c r="A52" s="4" t="s">
        <v>6185</v>
      </c>
      <c r="B52" s="4" t="s">
        <v>5559</v>
      </c>
      <c r="C52" s="18">
        <v>45554.770833333336</v>
      </c>
      <c r="D52" s="7" t="s">
        <v>2147</v>
      </c>
      <c r="E52" s="18">
        <v>45554.833333333336</v>
      </c>
      <c r="F52" s="4" t="s">
        <v>6186</v>
      </c>
      <c r="G52" s="4" t="s">
        <v>27</v>
      </c>
      <c r="H52" s="4" t="s">
        <v>1987</v>
      </c>
      <c r="K52" s="4" t="s">
        <v>6183</v>
      </c>
      <c r="L52" s="4" t="s">
        <v>6187</v>
      </c>
    </row>
    <row r="53">
      <c r="A53" s="4" t="s">
        <v>6188</v>
      </c>
      <c r="B53" s="4" t="s">
        <v>5533</v>
      </c>
      <c r="C53" s="18">
        <v>45554.729166666664</v>
      </c>
      <c r="D53" s="7" t="s">
        <v>2147</v>
      </c>
      <c r="E53" s="18">
        <v>45554.770833333336</v>
      </c>
      <c r="F53" s="4" t="s">
        <v>6189</v>
      </c>
      <c r="G53" s="4" t="s">
        <v>27</v>
      </c>
      <c r="H53" s="4" t="s">
        <v>1991</v>
      </c>
      <c r="K53" s="4" t="s">
        <v>6190</v>
      </c>
      <c r="L53" s="4" t="s">
        <v>6191</v>
      </c>
    </row>
    <row r="54">
      <c r="A54" s="4" t="s">
        <v>6192</v>
      </c>
      <c r="B54" s="4" t="s">
        <v>5533</v>
      </c>
      <c r="C54" s="18">
        <v>45554.729166666664</v>
      </c>
      <c r="D54" s="7" t="s">
        <v>2147</v>
      </c>
      <c r="E54" s="18">
        <v>45554.770833333336</v>
      </c>
      <c r="F54" s="4"/>
      <c r="G54" s="4"/>
      <c r="H54" s="4" t="s">
        <v>1987</v>
      </c>
      <c r="K54" s="7" t="s">
        <v>6193</v>
      </c>
      <c r="L54" s="4"/>
    </row>
    <row r="55">
      <c r="A55" s="4" t="s">
        <v>6194</v>
      </c>
      <c r="B55" s="4" t="s">
        <v>5533</v>
      </c>
      <c r="C55" s="18">
        <v>45554.729166666664</v>
      </c>
      <c r="D55" s="4"/>
      <c r="E55" s="18">
        <v>45554.770833333336</v>
      </c>
      <c r="F55" s="4" t="s">
        <v>6195</v>
      </c>
      <c r="G55" s="4" t="s">
        <v>6035</v>
      </c>
      <c r="H55" s="4" t="s">
        <v>1987</v>
      </c>
      <c r="K55" s="7" t="s">
        <v>6196</v>
      </c>
      <c r="L55" s="4"/>
    </row>
    <row r="56">
      <c r="A56" s="4" t="s">
        <v>6197</v>
      </c>
      <c r="B56" s="4" t="s">
        <v>5571</v>
      </c>
      <c r="C56" s="18">
        <v>45554.645833333336</v>
      </c>
      <c r="D56" s="7" t="s">
        <v>2154</v>
      </c>
      <c r="E56" s="18">
        <v>45554.770833333336</v>
      </c>
      <c r="F56" s="4" t="s">
        <v>1420</v>
      </c>
      <c r="G56" s="4" t="s">
        <v>135</v>
      </c>
      <c r="H56" s="4" t="s">
        <v>1987</v>
      </c>
      <c r="K56" s="4" t="s">
        <v>6173</v>
      </c>
      <c r="L56" s="4" t="s">
        <v>6198</v>
      </c>
    </row>
    <row r="57">
      <c r="A57" s="4" t="s">
        <v>6199</v>
      </c>
      <c r="B57" s="4" t="s">
        <v>1438</v>
      </c>
      <c r="C57" s="18">
        <v>45554.5625</v>
      </c>
      <c r="D57" s="7" t="s">
        <v>2154</v>
      </c>
      <c r="E57" s="18">
        <v>45554.645833333336</v>
      </c>
      <c r="F57" s="4" t="s">
        <v>6200</v>
      </c>
      <c r="G57" s="4" t="s">
        <v>135</v>
      </c>
      <c r="H57" s="4" t="s">
        <v>1987</v>
      </c>
      <c r="K57" s="4" t="s">
        <v>6201</v>
      </c>
      <c r="L57" s="4" t="s">
        <v>6202</v>
      </c>
    </row>
    <row r="58">
      <c r="A58" s="4" t="s">
        <v>6203</v>
      </c>
      <c r="B58" s="4" t="s">
        <v>1540</v>
      </c>
      <c r="C58" s="18">
        <v>45554.5</v>
      </c>
      <c r="D58" s="7" t="s">
        <v>2148</v>
      </c>
      <c r="E58" s="18">
        <v>45554.583333333336</v>
      </c>
      <c r="F58" s="4" t="s">
        <v>2153</v>
      </c>
      <c r="G58" s="4" t="s">
        <v>110</v>
      </c>
      <c r="H58" s="4" t="s">
        <v>1987</v>
      </c>
      <c r="K58" s="4" t="s">
        <v>6204</v>
      </c>
      <c r="L58" s="4"/>
    </row>
    <row r="59">
      <c r="A59" s="4" t="s">
        <v>6205</v>
      </c>
      <c r="B59" s="4" t="s">
        <v>1554</v>
      </c>
      <c r="C59" s="18">
        <v>45554.375</v>
      </c>
      <c r="D59" s="7" t="s">
        <v>2200</v>
      </c>
      <c r="E59" s="18">
        <v>45554.645833333336</v>
      </c>
      <c r="F59" s="4" t="s">
        <v>6206</v>
      </c>
      <c r="G59" s="4" t="s">
        <v>27</v>
      </c>
      <c r="H59" s="4" t="s">
        <v>1987</v>
      </c>
      <c r="K59" s="4" t="s">
        <v>6207</v>
      </c>
      <c r="L59" s="4" t="s">
        <v>6208</v>
      </c>
    </row>
    <row r="60">
      <c r="A60" s="4" t="s">
        <v>6209</v>
      </c>
      <c r="B60" s="4" t="s">
        <v>1554</v>
      </c>
      <c r="C60" s="18">
        <v>45553.575</v>
      </c>
      <c r="D60" s="7" t="s">
        <v>6052</v>
      </c>
      <c r="E60" s="18">
        <v>45553.78333333333</v>
      </c>
      <c r="F60" s="4" t="s">
        <v>6206</v>
      </c>
      <c r="G60" s="4" t="s">
        <v>27</v>
      </c>
      <c r="H60" s="4" t="s">
        <v>1987</v>
      </c>
      <c r="K60" s="4" t="s">
        <v>6210</v>
      </c>
      <c r="L60" s="4"/>
    </row>
    <row r="61">
      <c r="A61" s="7" t="s">
        <v>6211</v>
      </c>
      <c r="B61" s="4" t="s">
        <v>1540</v>
      </c>
      <c r="C61" s="18">
        <v>45553.395833333336</v>
      </c>
      <c r="D61" s="7" t="s">
        <v>2147</v>
      </c>
      <c r="E61" s="18">
        <v>45553.57430555556</v>
      </c>
      <c r="F61" s="4" t="s">
        <v>6212</v>
      </c>
      <c r="G61" s="4" t="s">
        <v>27</v>
      </c>
      <c r="H61" s="4" t="s">
        <v>1987</v>
      </c>
      <c r="K61" s="4" t="s">
        <v>6213</v>
      </c>
      <c r="L61" s="4" t="s">
        <v>6214</v>
      </c>
    </row>
    <row r="62">
      <c r="A62" s="4" t="s">
        <v>6215</v>
      </c>
      <c r="B62" s="4" t="s">
        <v>6216</v>
      </c>
      <c r="C62" s="18">
        <v>45553.333333333336</v>
      </c>
      <c r="D62" s="7" t="s">
        <v>2148</v>
      </c>
      <c r="E62" s="18">
        <v>45553.5</v>
      </c>
      <c r="F62" s="4" t="s">
        <v>6216</v>
      </c>
      <c r="G62" s="4" t="s">
        <v>110</v>
      </c>
      <c r="H62" s="4" t="s">
        <v>1987</v>
      </c>
      <c r="K62" s="4" t="s">
        <v>6217</v>
      </c>
      <c r="L62" s="4"/>
    </row>
    <row r="63">
      <c r="A63" s="4" t="s">
        <v>6218</v>
      </c>
      <c r="B63" s="4" t="s">
        <v>5571</v>
      </c>
      <c r="C63" s="18">
        <v>45552.666666666664</v>
      </c>
      <c r="D63" s="7" t="s">
        <v>2154</v>
      </c>
      <c r="E63" s="18">
        <v>45552.770833333336</v>
      </c>
      <c r="F63" s="4" t="s">
        <v>6219</v>
      </c>
      <c r="G63" s="4" t="s">
        <v>135</v>
      </c>
      <c r="H63" s="4" t="s">
        <v>6220</v>
      </c>
      <c r="K63" s="4" t="s">
        <v>6221</v>
      </c>
      <c r="L63" s="4"/>
    </row>
    <row r="64">
      <c r="A64" s="4" t="s">
        <v>6222</v>
      </c>
      <c r="B64" s="4" t="s">
        <v>5571</v>
      </c>
      <c r="C64" s="18">
        <v>45552.666666666664</v>
      </c>
      <c r="D64" s="7" t="s">
        <v>2148</v>
      </c>
      <c r="E64" s="18">
        <v>45552.833333333336</v>
      </c>
      <c r="F64" s="4" t="s">
        <v>6223</v>
      </c>
      <c r="G64" s="4" t="s">
        <v>27</v>
      </c>
      <c r="H64" s="4" t="s">
        <v>1987</v>
      </c>
      <c r="K64" s="4" t="s">
        <v>6224</v>
      </c>
      <c r="L64" s="4"/>
    </row>
    <row r="65">
      <c r="A65" s="4" t="s">
        <v>6225</v>
      </c>
      <c r="B65" s="4" t="s">
        <v>5457</v>
      </c>
      <c r="C65" s="18">
        <v>45552.625</v>
      </c>
      <c r="D65" s="7" t="s">
        <v>2147</v>
      </c>
      <c r="E65" s="18">
        <v>45552.666666666664</v>
      </c>
      <c r="F65" s="4" t="s">
        <v>6226</v>
      </c>
      <c r="G65" s="4" t="s">
        <v>135</v>
      </c>
      <c r="H65" s="4" t="s">
        <v>1991</v>
      </c>
      <c r="K65" s="4" t="s">
        <v>6227</v>
      </c>
      <c r="L65" s="4"/>
    </row>
    <row r="66">
      <c r="A66" s="4" t="s">
        <v>6228</v>
      </c>
      <c r="B66" s="4" t="s">
        <v>5571</v>
      </c>
      <c r="C66" s="18">
        <v>45552.5625</v>
      </c>
      <c r="D66" s="7" t="s">
        <v>2154</v>
      </c>
      <c r="E66" s="18">
        <v>45552.625</v>
      </c>
      <c r="F66" s="4" t="s">
        <v>6219</v>
      </c>
      <c r="G66" s="4" t="s">
        <v>135</v>
      </c>
      <c r="H66" s="4" t="s">
        <v>1987</v>
      </c>
      <c r="K66" s="4" t="s">
        <v>6229</v>
      </c>
      <c r="L66" s="4"/>
    </row>
    <row r="67">
      <c r="A67" s="4" t="s">
        <v>6230</v>
      </c>
      <c r="B67" s="4" t="s">
        <v>1427</v>
      </c>
      <c r="C67" s="18">
        <v>45552.458333333336</v>
      </c>
      <c r="D67" s="7" t="s">
        <v>6052</v>
      </c>
      <c r="E67" s="18">
        <v>45552.541666666664</v>
      </c>
      <c r="F67" s="4" t="s">
        <v>6231</v>
      </c>
      <c r="G67" s="4" t="s">
        <v>27</v>
      </c>
      <c r="H67" s="4" t="s">
        <v>1987</v>
      </c>
      <c r="K67" s="4" t="s">
        <v>6232</v>
      </c>
      <c r="L67" s="4" t="s">
        <v>6233</v>
      </c>
    </row>
    <row r="68">
      <c r="A68" s="4" t="s">
        <v>6234</v>
      </c>
      <c r="B68" s="4" t="s">
        <v>5571</v>
      </c>
      <c r="C68" s="18">
        <v>45552.375</v>
      </c>
      <c r="D68" s="7" t="s">
        <v>2154</v>
      </c>
      <c r="E68" s="18">
        <v>45552.458333333336</v>
      </c>
      <c r="F68" s="4" t="s">
        <v>6235</v>
      </c>
      <c r="G68" s="4" t="s">
        <v>27</v>
      </c>
      <c r="H68" s="4" t="s">
        <v>1987</v>
      </c>
      <c r="K68" s="4" t="s">
        <v>6236</v>
      </c>
      <c r="L68" s="4"/>
    </row>
    <row r="69">
      <c r="A69" s="4" t="s">
        <v>6237</v>
      </c>
      <c r="B69" s="4" t="s">
        <v>6216</v>
      </c>
      <c r="C69" s="18">
        <v>45552.333333333336</v>
      </c>
      <c r="D69" s="7" t="s">
        <v>2148</v>
      </c>
      <c r="E69" s="18">
        <v>45552.5</v>
      </c>
      <c r="F69" s="4" t="s">
        <v>6216</v>
      </c>
      <c r="G69" s="4" t="s">
        <v>110</v>
      </c>
      <c r="H69" s="4" t="s">
        <v>1987</v>
      </c>
      <c r="K69" s="4" t="s">
        <v>6238</v>
      </c>
      <c r="L69" s="4"/>
    </row>
    <row r="70">
      <c r="A70" s="4" t="s">
        <v>6239</v>
      </c>
      <c r="B70" s="4" t="s">
        <v>5571</v>
      </c>
      <c r="C70" s="18">
        <v>45551.708333333336</v>
      </c>
      <c r="D70" s="7" t="s">
        <v>2154</v>
      </c>
      <c r="E70" s="18">
        <v>45551.770833333336</v>
      </c>
      <c r="F70" s="4" t="s">
        <v>6240</v>
      </c>
      <c r="G70" s="4" t="s">
        <v>135</v>
      </c>
      <c r="H70" s="4" t="s">
        <v>1987</v>
      </c>
      <c r="K70" s="4" t="s">
        <v>6241</v>
      </c>
      <c r="L70" s="4" t="s">
        <v>6242</v>
      </c>
    </row>
    <row r="71">
      <c r="A71" s="4" t="s">
        <v>6243</v>
      </c>
      <c r="B71" s="4" t="s">
        <v>5571</v>
      </c>
      <c r="C71" s="18">
        <v>45551.666666666664</v>
      </c>
      <c r="D71" s="7" t="s">
        <v>2154</v>
      </c>
      <c r="E71" s="18">
        <v>45551.770833333336</v>
      </c>
      <c r="F71" s="4" t="s">
        <v>6244</v>
      </c>
      <c r="G71" s="4" t="s">
        <v>27</v>
      </c>
      <c r="H71" s="4" t="s">
        <v>1987</v>
      </c>
      <c r="K71" s="4" t="s">
        <v>6245</v>
      </c>
      <c r="L71" s="4" t="s">
        <v>6246</v>
      </c>
    </row>
    <row r="72">
      <c r="A72" s="4" t="s">
        <v>6247</v>
      </c>
      <c r="B72" s="4" t="s">
        <v>1438</v>
      </c>
      <c r="C72" s="18">
        <v>45551.645833333336</v>
      </c>
      <c r="D72" s="7" t="s">
        <v>2147</v>
      </c>
      <c r="E72" s="18">
        <v>45551.708333333336</v>
      </c>
      <c r="F72" s="4" t="s">
        <v>6248</v>
      </c>
      <c r="G72" s="4" t="s">
        <v>135</v>
      </c>
      <c r="H72" s="4" t="s">
        <v>1987</v>
      </c>
      <c r="K72" s="4" t="s">
        <v>6249</v>
      </c>
      <c r="L72" s="4" t="s">
        <v>6250</v>
      </c>
    </row>
    <row r="73">
      <c r="A73" s="4" t="s">
        <v>6251</v>
      </c>
      <c r="B73" s="4" t="s">
        <v>5457</v>
      </c>
      <c r="C73" s="18">
        <v>45551.604166666664</v>
      </c>
      <c r="D73" s="7" t="s">
        <v>2147</v>
      </c>
      <c r="E73" s="18">
        <v>45551.645833333336</v>
      </c>
      <c r="F73" s="4" t="s">
        <v>6252</v>
      </c>
      <c r="G73" s="4" t="s">
        <v>135</v>
      </c>
      <c r="H73" s="4" t="s">
        <v>1987</v>
      </c>
      <c r="K73" s="4" t="s">
        <v>6253</v>
      </c>
      <c r="L73" s="4"/>
    </row>
    <row r="74">
      <c r="A74" s="4" t="s">
        <v>6254</v>
      </c>
      <c r="B74" s="4" t="s">
        <v>6057</v>
      </c>
      <c r="C74" s="18">
        <v>45551.583333333336</v>
      </c>
      <c r="D74" s="7" t="s">
        <v>2154</v>
      </c>
      <c r="E74" s="18">
        <v>45551.666666666664</v>
      </c>
      <c r="F74" s="4" t="s">
        <v>6255</v>
      </c>
      <c r="G74" s="4" t="s">
        <v>27</v>
      </c>
      <c r="H74" s="4" t="s">
        <v>1987</v>
      </c>
      <c r="K74" s="4" t="s">
        <v>6256</v>
      </c>
      <c r="L74" s="4"/>
    </row>
    <row r="75">
      <c r="A75" s="4" t="s">
        <v>6257</v>
      </c>
      <c r="B75" s="4" t="s">
        <v>1438</v>
      </c>
      <c r="C75" s="18">
        <v>45551.5625</v>
      </c>
      <c r="D75" s="7" t="s">
        <v>2147</v>
      </c>
      <c r="E75" s="18">
        <v>45551.604166666664</v>
      </c>
      <c r="F75" s="4" t="s">
        <v>6258</v>
      </c>
      <c r="G75" s="4" t="s">
        <v>135</v>
      </c>
      <c r="H75" s="4" t="s">
        <v>1987</v>
      </c>
      <c r="K75" s="4" t="s">
        <v>6259</v>
      </c>
      <c r="L75" s="4"/>
    </row>
    <row r="76">
      <c r="A76" s="4" t="s">
        <v>6260</v>
      </c>
      <c r="B76" s="4" t="s">
        <v>1438</v>
      </c>
      <c r="C76" s="18">
        <v>45551.5</v>
      </c>
      <c r="D76" s="7" t="s">
        <v>2154</v>
      </c>
      <c r="E76" s="18">
        <v>45551.583333333336</v>
      </c>
      <c r="F76" s="4" t="s">
        <v>6261</v>
      </c>
      <c r="G76" s="4" t="s">
        <v>27</v>
      </c>
      <c r="H76" s="4" t="s">
        <v>1987</v>
      </c>
      <c r="K76" s="4" t="s">
        <v>6262</v>
      </c>
      <c r="L76" s="4"/>
    </row>
    <row r="77">
      <c r="A77" s="4" t="s">
        <v>6263</v>
      </c>
      <c r="B77" s="4" t="s">
        <v>6057</v>
      </c>
      <c r="C77" s="18">
        <v>45551.416666666664</v>
      </c>
      <c r="D77" s="7" t="s">
        <v>2154</v>
      </c>
      <c r="E77" s="18">
        <v>45551.5</v>
      </c>
      <c r="F77" s="4" t="s">
        <v>6264</v>
      </c>
      <c r="G77" s="4" t="s">
        <v>27</v>
      </c>
      <c r="H77" s="4" t="s">
        <v>1987</v>
      </c>
      <c r="K77" s="4" t="s">
        <v>6265</v>
      </c>
      <c r="L77" s="4"/>
    </row>
    <row r="78">
      <c r="A78" s="4" t="s">
        <v>6266</v>
      </c>
      <c r="B78" s="4" t="s">
        <v>6216</v>
      </c>
      <c r="C78" s="18">
        <v>45551.333333333336</v>
      </c>
      <c r="D78" s="7" t="s">
        <v>2148</v>
      </c>
      <c r="E78" s="18">
        <v>45551.5</v>
      </c>
      <c r="F78" s="4" t="s">
        <v>6216</v>
      </c>
      <c r="G78" s="4" t="s">
        <v>110</v>
      </c>
      <c r="H78" s="4" t="s">
        <v>1987</v>
      </c>
      <c r="K78" s="4" t="s">
        <v>6267</v>
      </c>
      <c r="L78" s="4"/>
    </row>
    <row r="79">
      <c r="A79" s="4" t="s">
        <v>6268</v>
      </c>
      <c r="B79" s="4" t="s">
        <v>5457</v>
      </c>
      <c r="C79" s="18">
        <v>45549.458333333336</v>
      </c>
      <c r="D79" s="7" t="s">
        <v>6052</v>
      </c>
      <c r="E79" s="18">
        <v>45549.583333333336</v>
      </c>
      <c r="F79" s="4" t="s">
        <v>6269</v>
      </c>
      <c r="G79" s="4" t="s">
        <v>135</v>
      </c>
      <c r="H79" s="4" t="s">
        <v>1987</v>
      </c>
      <c r="K79" s="4" t="s">
        <v>6270</v>
      </c>
      <c r="L79" s="4" t="s">
        <v>6271</v>
      </c>
    </row>
    <row r="80">
      <c r="A80" s="4" t="s">
        <v>6272</v>
      </c>
      <c r="B80" s="4" t="s">
        <v>6057</v>
      </c>
      <c r="C80" s="18">
        <v>45549.375</v>
      </c>
      <c r="D80" s="7" t="s">
        <v>2148</v>
      </c>
      <c r="E80" s="18">
        <v>45549.541666666664</v>
      </c>
      <c r="F80" s="4" t="s">
        <v>6053</v>
      </c>
      <c r="G80" s="4" t="s">
        <v>27</v>
      </c>
      <c r="H80" s="4" t="s">
        <v>1987</v>
      </c>
      <c r="K80" s="4" t="s">
        <v>6273</v>
      </c>
      <c r="L80" s="4" t="s">
        <v>6274</v>
      </c>
    </row>
    <row r="81">
      <c r="A81" s="4" t="s">
        <v>6275</v>
      </c>
      <c r="B81" s="4" t="s">
        <v>1438</v>
      </c>
      <c r="C81" s="18">
        <v>45549.375</v>
      </c>
      <c r="D81" s="7" t="s">
        <v>2154</v>
      </c>
      <c r="E81" s="18">
        <v>45549.458333333336</v>
      </c>
      <c r="F81" s="4" t="s">
        <v>6276</v>
      </c>
      <c r="G81" s="4" t="s">
        <v>135</v>
      </c>
      <c r="H81" s="4" t="s">
        <v>1987</v>
      </c>
      <c r="K81" s="4" t="s">
        <v>6277</v>
      </c>
      <c r="L81" s="4"/>
    </row>
    <row r="82">
      <c r="A82" s="4" t="s">
        <v>6278</v>
      </c>
      <c r="B82" s="4" t="s">
        <v>1557</v>
      </c>
      <c r="C82" s="18">
        <v>45548.677083333336</v>
      </c>
      <c r="D82" s="7" t="s">
        <v>2154</v>
      </c>
      <c r="E82" s="18">
        <v>45548.760416666664</v>
      </c>
      <c r="F82" s="4" t="s">
        <v>6279</v>
      </c>
      <c r="G82" s="4" t="s">
        <v>27</v>
      </c>
      <c r="H82" s="4" t="s">
        <v>1991</v>
      </c>
      <c r="K82" s="4" t="s">
        <v>6280</v>
      </c>
      <c r="L82" s="4"/>
    </row>
    <row r="83">
      <c r="A83" s="4" t="s">
        <v>6281</v>
      </c>
      <c r="B83" s="4" t="s">
        <v>1557</v>
      </c>
      <c r="C83" s="18">
        <v>45548.625</v>
      </c>
      <c r="D83" s="7" t="s">
        <v>2147</v>
      </c>
      <c r="E83" s="18">
        <v>45548.677083333336</v>
      </c>
      <c r="F83" s="4" t="s">
        <v>6282</v>
      </c>
      <c r="G83" s="4" t="s">
        <v>27</v>
      </c>
      <c r="H83" s="4" t="s">
        <v>1987</v>
      </c>
      <c r="K83" s="4"/>
      <c r="L83" s="4" t="s">
        <v>6283</v>
      </c>
    </row>
    <row r="84">
      <c r="A84" s="4" t="s">
        <v>6284</v>
      </c>
      <c r="B84" s="4" t="s">
        <v>1438</v>
      </c>
      <c r="C84" s="18">
        <v>45548.5625</v>
      </c>
      <c r="D84" s="7" t="s">
        <v>6052</v>
      </c>
      <c r="E84" s="18">
        <v>45548.770833333336</v>
      </c>
      <c r="F84" s="4" t="s">
        <v>6285</v>
      </c>
      <c r="G84" s="4" t="s">
        <v>135</v>
      </c>
      <c r="H84" s="4" t="s">
        <v>1987</v>
      </c>
      <c r="K84" s="4" t="s">
        <v>6270</v>
      </c>
      <c r="L84" s="4" t="s">
        <v>6286</v>
      </c>
    </row>
    <row r="85">
      <c r="A85" s="4" t="s">
        <v>6287</v>
      </c>
      <c r="B85" s="4" t="s">
        <v>5457</v>
      </c>
      <c r="C85" s="18">
        <v>45548.4375</v>
      </c>
      <c r="D85" s="7" t="s">
        <v>2147</v>
      </c>
      <c r="E85" s="18">
        <v>45548.59375</v>
      </c>
      <c r="F85" s="4" t="s">
        <v>6288</v>
      </c>
      <c r="G85" s="4" t="s">
        <v>27</v>
      </c>
      <c r="H85" s="4" t="s">
        <v>1987</v>
      </c>
      <c r="K85" s="4" t="s">
        <v>6289</v>
      </c>
      <c r="L85" s="4" t="s">
        <v>6290</v>
      </c>
    </row>
    <row r="86">
      <c r="A86" s="4" t="s">
        <v>6291</v>
      </c>
      <c r="B86" s="4" t="s">
        <v>6216</v>
      </c>
      <c r="C86" s="18">
        <v>45548.333333333336</v>
      </c>
      <c r="D86" s="7" t="s">
        <v>2148</v>
      </c>
      <c r="E86" s="18">
        <v>45548.5</v>
      </c>
      <c r="F86" s="4" t="s">
        <v>6292</v>
      </c>
      <c r="G86" s="4" t="s">
        <v>110</v>
      </c>
      <c r="H86" s="4" t="s">
        <v>1987</v>
      </c>
      <c r="K86" s="4" t="s">
        <v>6293</v>
      </c>
      <c r="L86" s="4"/>
    </row>
    <row r="87">
      <c r="A87" s="4" t="s">
        <v>6294</v>
      </c>
      <c r="B87" s="4" t="s">
        <v>1540</v>
      </c>
      <c r="C87" s="18">
        <v>45547.625</v>
      </c>
      <c r="D87" s="7" t="s">
        <v>2154</v>
      </c>
      <c r="E87" s="18">
        <v>45547.708333333336</v>
      </c>
      <c r="F87" s="4" t="s">
        <v>6295</v>
      </c>
      <c r="G87" s="4" t="s">
        <v>27</v>
      </c>
      <c r="H87" s="4" t="s">
        <v>1991</v>
      </c>
      <c r="K87" s="4" t="s">
        <v>6296</v>
      </c>
      <c r="L87" s="4"/>
    </row>
    <row r="88">
      <c r="A88" s="4" t="s">
        <v>6297</v>
      </c>
      <c r="B88" s="4" t="s">
        <v>1438</v>
      </c>
      <c r="C88" s="18">
        <v>45547.5625</v>
      </c>
      <c r="D88" s="7" t="s">
        <v>6052</v>
      </c>
      <c r="E88" s="18">
        <v>45547.770833333336</v>
      </c>
      <c r="F88" s="4" t="s">
        <v>6285</v>
      </c>
      <c r="G88" s="4" t="s">
        <v>135</v>
      </c>
      <c r="H88" s="4" t="s">
        <v>1987</v>
      </c>
      <c r="K88" s="4" t="s">
        <v>6298</v>
      </c>
      <c r="L88" s="4" t="s">
        <v>6286</v>
      </c>
    </row>
    <row r="89">
      <c r="A89" s="4" t="s">
        <v>6299</v>
      </c>
      <c r="B89" s="4" t="s">
        <v>1472</v>
      </c>
      <c r="C89" s="18">
        <v>45547.5625</v>
      </c>
      <c r="D89" s="4"/>
      <c r="E89" s="18">
        <v>45547.583333333336</v>
      </c>
      <c r="F89" s="4" t="s">
        <v>6300</v>
      </c>
      <c r="G89" s="4" t="s">
        <v>110</v>
      </c>
      <c r="H89" s="4" t="s">
        <v>1987</v>
      </c>
      <c r="K89" s="4" t="s">
        <v>6301</v>
      </c>
      <c r="L89" s="4"/>
    </row>
    <row r="90">
      <c r="A90" s="4" t="s">
        <v>6302</v>
      </c>
      <c r="B90" s="4" t="s">
        <v>1540</v>
      </c>
      <c r="C90" s="18">
        <v>45547.541666666664</v>
      </c>
      <c r="D90" s="7" t="s">
        <v>2154</v>
      </c>
      <c r="E90" s="18">
        <v>45547.625</v>
      </c>
      <c r="F90" s="4" t="s">
        <v>6303</v>
      </c>
      <c r="G90" s="4" t="s">
        <v>27</v>
      </c>
      <c r="H90" s="4" t="s">
        <v>1987</v>
      </c>
      <c r="K90" s="4" t="s">
        <v>6304</v>
      </c>
      <c r="L90" s="4"/>
    </row>
    <row r="91">
      <c r="A91" s="4" t="s">
        <v>6305</v>
      </c>
      <c r="B91" s="4" t="s">
        <v>6216</v>
      </c>
      <c r="C91" s="18">
        <v>45547.333333333336</v>
      </c>
      <c r="D91" s="7" t="s">
        <v>2148</v>
      </c>
      <c r="E91" s="18">
        <v>45547.5625</v>
      </c>
      <c r="F91" s="4" t="s">
        <v>6292</v>
      </c>
      <c r="G91" s="4" t="s">
        <v>110</v>
      </c>
      <c r="H91" s="4" t="s">
        <v>1987</v>
      </c>
      <c r="K91" s="4" t="s">
        <v>6306</v>
      </c>
      <c r="L91" s="4" t="s">
        <v>6307</v>
      </c>
    </row>
    <row r="92">
      <c r="A92" s="4" t="s">
        <v>6308</v>
      </c>
      <c r="B92" s="4" t="s">
        <v>1427</v>
      </c>
      <c r="C92" s="18">
        <v>45547.333333333336</v>
      </c>
      <c r="D92" s="7" t="s">
        <v>6052</v>
      </c>
      <c r="E92" s="18">
        <v>45547.541666666664</v>
      </c>
      <c r="F92" s="4" t="s">
        <v>4782</v>
      </c>
      <c r="G92" s="4" t="s">
        <v>27</v>
      </c>
      <c r="H92" s="4" t="s">
        <v>1987</v>
      </c>
      <c r="K92" s="4" t="s">
        <v>6309</v>
      </c>
      <c r="L92" s="4"/>
    </row>
    <row r="93">
      <c r="A93" s="4" t="s">
        <v>6310</v>
      </c>
      <c r="B93" s="4" t="s">
        <v>1540</v>
      </c>
      <c r="C93" s="18">
        <v>45546.583333333336</v>
      </c>
      <c r="D93" s="7" t="s">
        <v>6052</v>
      </c>
      <c r="E93" s="18">
        <v>45546.791666666664</v>
      </c>
      <c r="F93" s="4" t="s">
        <v>6048</v>
      </c>
      <c r="G93" s="4" t="s">
        <v>27</v>
      </c>
      <c r="H93" s="4" t="s">
        <v>1987</v>
      </c>
      <c r="K93" s="4" t="s">
        <v>6311</v>
      </c>
      <c r="L93" s="4"/>
    </row>
    <row r="94">
      <c r="A94" s="4" t="s">
        <v>6312</v>
      </c>
      <c r="B94" s="4" t="s">
        <v>6057</v>
      </c>
      <c r="C94" s="18">
        <v>45546.51597222222</v>
      </c>
      <c r="D94" s="7" t="s">
        <v>2154</v>
      </c>
      <c r="E94" s="18">
        <v>45546.583333333336</v>
      </c>
      <c r="F94" s="4" t="s">
        <v>6053</v>
      </c>
      <c r="G94" s="4" t="s">
        <v>27</v>
      </c>
      <c r="H94" s="4" t="s">
        <v>1987</v>
      </c>
      <c r="K94" s="4" t="s">
        <v>6313</v>
      </c>
      <c r="L94" s="4" t="s">
        <v>6314</v>
      </c>
    </row>
    <row r="95">
      <c r="A95" s="4" t="s">
        <v>6315</v>
      </c>
      <c r="B95" s="4" t="s">
        <v>6216</v>
      </c>
      <c r="C95" s="18">
        <v>45546.489583333336</v>
      </c>
      <c r="D95" s="4"/>
      <c r="E95" s="18">
        <v>45546.5</v>
      </c>
      <c r="F95" s="4" t="s">
        <v>1707</v>
      </c>
      <c r="G95" s="4" t="s">
        <v>110</v>
      </c>
      <c r="H95" s="4" t="s">
        <v>1987</v>
      </c>
      <c r="K95" s="4"/>
      <c r="L95" s="4" t="s">
        <v>6316</v>
      </c>
    </row>
    <row r="96">
      <c r="A96" s="4" t="s">
        <v>6317</v>
      </c>
      <c r="B96" s="4" t="s">
        <v>1472</v>
      </c>
      <c r="C96" s="18">
        <v>45546.46875</v>
      </c>
      <c r="D96" s="7" t="s">
        <v>6318</v>
      </c>
      <c r="E96" s="18">
        <v>45546.489583333336</v>
      </c>
      <c r="F96" s="4" t="s">
        <v>6319</v>
      </c>
      <c r="G96" s="4" t="s">
        <v>110</v>
      </c>
      <c r="H96" s="4" t="s">
        <v>1987</v>
      </c>
      <c r="K96" s="4" t="s">
        <v>6320</v>
      </c>
      <c r="L96" s="4"/>
    </row>
    <row r="97">
      <c r="A97" s="4" t="s">
        <v>6321</v>
      </c>
      <c r="B97" s="4" t="s">
        <v>1472</v>
      </c>
      <c r="C97" s="18">
        <v>45546.416666666664</v>
      </c>
      <c r="D97" s="7" t="s">
        <v>2154</v>
      </c>
      <c r="E97" s="18">
        <v>45546.51597222222</v>
      </c>
      <c r="F97" s="4" t="s">
        <v>6322</v>
      </c>
      <c r="G97" s="4" t="s">
        <v>27</v>
      </c>
      <c r="H97" s="4" t="s">
        <v>1987</v>
      </c>
      <c r="K97" s="4" t="s">
        <v>6323</v>
      </c>
      <c r="L97" s="4"/>
    </row>
    <row r="98">
      <c r="A98" s="4" t="s">
        <v>6324</v>
      </c>
      <c r="B98" s="4" t="s">
        <v>6216</v>
      </c>
      <c r="C98" s="18">
        <v>45546.333333333336</v>
      </c>
      <c r="D98" s="7" t="s">
        <v>2148</v>
      </c>
      <c r="E98" s="18">
        <v>45546.46875</v>
      </c>
      <c r="F98" s="4" t="s">
        <v>6292</v>
      </c>
      <c r="G98" s="4" t="s">
        <v>110</v>
      </c>
      <c r="H98" s="4" t="s">
        <v>1987</v>
      </c>
      <c r="K98" s="4" t="s">
        <v>6325</v>
      </c>
      <c r="L98" s="4" t="s">
        <v>6326</v>
      </c>
    </row>
    <row r="99">
      <c r="A99" s="4" t="s">
        <v>6327</v>
      </c>
      <c r="B99" s="4" t="s">
        <v>6057</v>
      </c>
      <c r="C99" s="18">
        <v>45546.333333333336</v>
      </c>
      <c r="D99" s="4"/>
      <c r="E99" s="18">
        <v>45546.40625</v>
      </c>
      <c r="F99" s="4" t="s">
        <v>6053</v>
      </c>
      <c r="G99" s="4" t="s">
        <v>27</v>
      </c>
      <c r="H99" s="4" t="s">
        <v>1987</v>
      </c>
      <c r="K99" s="4" t="s">
        <v>6313</v>
      </c>
      <c r="L99" s="4" t="s">
        <v>6274</v>
      </c>
    </row>
    <row r="100">
      <c r="A100" s="4" t="s">
        <v>6328</v>
      </c>
      <c r="B100" s="4" t="s">
        <v>1438</v>
      </c>
      <c r="C100" s="18">
        <v>45545.5625</v>
      </c>
      <c r="D100" s="7" t="s">
        <v>6052</v>
      </c>
      <c r="E100" s="18">
        <v>45545.770833333336</v>
      </c>
      <c r="F100" s="4" t="s">
        <v>6329</v>
      </c>
      <c r="G100" s="4" t="s">
        <v>135</v>
      </c>
      <c r="H100" s="4" t="s">
        <v>1987</v>
      </c>
      <c r="K100" s="4" t="s">
        <v>6330</v>
      </c>
      <c r="L100" s="4" t="s">
        <v>6331</v>
      </c>
    </row>
    <row r="101">
      <c r="A101" s="4" t="s">
        <v>6332</v>
      </c>
      <c r="B101" s="4" t="s">
        <v>6057</v>
      </c>
      <c r="C101" s="18">
        <v>45545.5625</v>
      </c>
      <c r="D101" s="7" t="s">
        <v>6052</v>
      </c>
      <c r="E101" s="18">
        <v>45545.666666666664</v>
      </c>
      <c r="F101" s="4" t="s">
        <v>6333</v>
      </c>
      <c r="G101" s="4" t="s">
        <v>27</v>
      </c>
      <c r="H101" s="4" t="s">
        <v>1987</v>
      </c>
      <c r="K101" s="4" t="s">
        <v>6334</v>
      </c>
      <c r="L101" s="4" t="s">
        <v>6335</v>
      </c>
    </row>
    <row r="102">
      <c r="A102" s="4" t="s">
        <v>6336</v>
      </c>
      <c r="B102" s="4" t="s">
        <v>5377</v>
      </c>
      <c r="C102" s="18">
        <v>45545.47222222222</v>
      </c>
      <c r="D102" s="7" t="s">
        <v>2200</v>
      </c>
      <c r="E102" s="18">
        <v>45545.541666666664</v>
      </c>
      <c r="F102" s="4" t="s">
        <v>6337</v>
      </c>
      <c r="G102" s="4" t="s">
        <v>110</v>
      </c>
      <c r="H102" s="4" t="s">
        <v>1987</v>
      </c>
      <c r="K102" s="4" t="s">
        <v>6338</v>
      </c>
      <c r="L102" s="4" t="s">
        <v>6339</v>
      </c>
    </row>
    <row r="103">
      <c r="A103" s="4" t="s">
        <v>6340</v>
      </c>
      <c r="B103" s="4" t="s">
        <v>1427</v>
      </c>
      <c r="C103" s="18">
        <v>45545.333333333336</v>
      </c>
      <c r="D103" s="7" t="s">
        <v>6052</v>
      </c>
      <c r="E103" s="18">
        <v>45545.5625</v>
      </c>
      <c r="F103" s="4" t="s">
        <v>4782</v>
      </c>
      <c r="G103" s="4" t="s">
        <v>27</v>
      </c>
      <c r="H103" s="4" t="s">
        <v>1987</v>
      </c>
      <c r="K103" s="4" t="s">
        <v>6334</v>
      </c>
      <c r="L103" s="4" t="s">
        <v>6341</v>
      </c>
    </row>
    <row r="104">
      <c r="A104" s="4" t="s">
        <v>6342</v>
      </c>
      <c r="B104" s="4" t="s">
        <v>1472</v>
      </c>
      <c r="C104" s="18">
        <v>45545.333333333336</v>
      </c>
      <c r="D104" s="7" t="s">
        <v>2200</v>
      </c>
      <c r="E104" s="18">
        <v>45545.375</v>
      </c>
      <c r="F104" s="4" t="s">
        <v>6337</v>
      </c>
      <c r="G104" s="4" t="s">
        <v>110</v>
      </c>
      <c r="H104" s="4" t="s">
        <v>1987</v>
      </c>
      <c r="K104" s="4" t="s">
        <v>6343</v>
      </c>
      <c r="L104" s="4" t="s">
        <v>6344</v>
      </c>
    </row>
    <row r="105">
      <c r="A105" s="4" t="s">
        <v>6345</v>
      </c>
      <c r="B105" s="4" t="s">
        <v>1427</v>
      </c>
      <c r="C105" s="18">
        <v>45544.708333333336</v>
      </c>
      <c r="D105" s="7" t="s">
        <v>2147</v>
      </c>
      <c r="E105" s="18">
        <v>45544.770833333336</v>
      </c>
      <c r="F105" s="4" t="s">
        <v>6346</v>
      </c>
      <c r="G105" s="4" t="s">
        <v>135</v>
      </c>
      <c r="H105" s="4" t="s">
        <v>1987</v>
      </c>
      <c r="K105" s="4" t="s">
        <v>6347</v>
      </c>
      <c r="L105" s="4" t="s">
        <v>6348</v>
      </c>
    </row>
    <row r="106">
      <c r="A106" s="4" t="s">
        <v>6349</v>
      </c>
      <c r="B106" s="4" t="s">
        <v>1472</v>
      </c>
      <c r="C106" s="18">
        <v>45544.66736111111</v>
      </c>
      <c r="D106" s="7" t="s">
        <v>2147</v>
      </c>
      <c r="E106" s="18">
        <v>45544.79236111111</v>
      </c>
      <c r="F106" s="4" t="s">
        <v>6350</v>
      </c>
      <c r="G106" s="4" t="s">
        <v>27</v>
      </c>
      <c r="H106" s="4" t="s">
        <v>1987</v>
      </c>
      <c r="K106" s="4" t="s">
        <v>6351</v>
      </c>
      <c r="L106" s="4"/>
    </row>
    <row r="107">
      <c r="A107" s="4" t="s">
        <v>6352</v>
      </c>
      <c r="B107" s="4" t="s">
        <v>1472</v>
      </c>
      <c r="C107" s="18">
        <v>45544.584027777775</v>
      </c>
      <c r="D107" s="7" t="s">
        <v>2147</v>
      </c>
      <c r="E107" s="18">
        <v>45544.62569444445</v>
      </c>
      <c r="F107" s="4" t="s">
        <v>6350</v>
      </c>
      <c r="G107" s="4" t="s">
        <v>27</v>
      </c>
      <c r="H107" s="4" t="s">
        <v>1987</v>
      </c>
      <c r="K107" s="4" t="s">
        <v>6353</v>
      </c>
      <c r="L107" s="4"/>
    </row>
    <row r="108">
      <c r="A108" s="4" t="s">
        <v>6354</v>
      </c>
      <c r="B108" s="4" t="s">
        <v>1472</v>
      </c>
      <c r="C108" s="18">
        <v>45544.5625</v>
      </c>
      <c r="D108" s="7" t="s">
        <v>2147</v>
      </c>
      <c r="E108" s="18">
        <v>45544.708333333336</v>
      </c>
      <c r="F108" s="4" t="s">
        <v>6355</v>
      </c>
      <c r="G108" s="4" t="s">
        <v>135</v>
      </c>
      <c r="H108" s="4" t="s">
        <v>1987</v>
      </c>
      <c r="K108" s="4" t="s">
        <v>6356</v>
      </c>
      <c r="L108" s="4" t="s">
        <v>6357</v>
      </c>
    </row>
    <row r="109">
      <c r="A109" s="7" t="s">
        <v>6358</v>
      </c>
      <c r="B109" s="4" t="s">
        <v>6057</v>
      </c>
      <c r="C109" s="18">
        <v>45544.541666666664</v>
      </c>
      <c r="D109" s="7" t="s">
        <v>2147</v>
      </c>
      <c r="E109" s="18">
        <v>45544.583333333336</v>
      </c>
      <c r="F109" s="4" t="s">
        <v>6053</v>
      </c>
      <c r="G109" s="4" t="s">
        <v>27</v>
      </c>
      <c r="H109" s="4" t="s">
        <v>1987</v>
      </c>
      <c r="K109" s="4" t="s">
        <v>6359</v>
      </c>
      <c r="L109" s="4" t="s">
        <v>6360</v>
      </c>
    </row>
    <row r="110">
      <c r="A110" s="4" t="s">
        <v>6361</v>
      </c>
      <c r="B110" s="4" t="s">
        <v>5377</v>
      </c>
      <c r="C110" s="18">
        <v>45544.5</v>
      </c>
      <c r="D110" s="7" t="s">
        <v>2154</v>
      </c>
      <c r="E110" s="18">
        <v>45544.541666666664</v>
      </c>
      <c r="F110" s="4" t="s">
        <v>6362</v>
      </c>
      <c r="G110" s="4" t="s">
        <v>27</v>
      </c>
      <c r="H110" s="4" t="s">
        <v>1987</v>
      </c>
      <c r="K110" s="4" t="s">
        <v>6363</v>
      </c>
      <c r="L110" s="4" t="s">
        <v>6360</v>
      </c>
    </row>
    <row r="111">
      <c r="A111" s="4" t="s">
        <v>6364</v>
      </c>
      <c r="B111" s="4" t="s">
        <v>1438</v>
      </c>
      <c r="C111" s="18">
        <v>45544.416666666664</v>
      </c>
      <c r="D111" s="7" t="s">
        <v>2154</v>
      </c>
      <c r="E111" s="18">
        <v>45544.5</v>
      </c>
      <c r="F111" s="4" t="s">
        <v>6362</v>
      </c>
      <c r="G111" s="4" t="s">
        <v>27</v>
      </c>
      <c r="H111" s="4" t="s">
        <v>1987</v>
      </c>
      <c r="K111" s="4" t="s">
        <v>6365</v>
      </c>
      <c r="L111" s="4" t="s">
        <v>6366</v>
      </c>
    </row>
    <row r="112">
      <c r="A112" s="4" t="s">
        <v>6367</v>
      </c>
      <c r="B112" s="4" t="s">
        <v>1427</v>
      </c>
      <c r="C112" s="18">
        <v>45544.375</v>
      </c>
      <c r="D112" s="7" t="s">
        <v>2147</v>
      </c>
      <c r="E112" s="18">
        <v>45544.416666666664</v>
      </c>
      <c r="F112" s="4" t="s">
        <v>6368</v>
      </c>
      <c r="G112" s="4" t="s">
        <v>27</v>
      </c>
      <c r="H112" s="4" t="s">
        <v>1987</v>
      </c>
      <c r="K112" s="4" t="s">
        <v>6365</v>
      </c>
      <c r="L112" s="4"/>
    </row>
    <row r="113">
      <c r="A113" s="4" t="s">
        <v>6369</v>
      </c>
      <c r="B113" s="4" t="s">
        <v>1438</v>
      </c>
      <c r="C113" s="18">
        <v>45543.413194444445</v>
      </c>
      <c r="D113" s="7" t="s">
        <v>2147</v>
      </c>
      <c r="E113" s="18">
        <v>45543.45486111111</v>
      </c>
      <c r="F113" s="4" t="s">
        <v>6370</v>
      </c>
      <c r="G113" s="4" t="s">
        <v>27</v>
      </c>
      <c r="H113" s="4" t="s">
        <v>1987</v>
      </c>
      <c r="K113" s="4" t="s">
        <v>6371</v>
      </c>
      <c r="L113" s="4"/>
    </row>
    <row r="114">
      <c r="A114" s="4" t="s">
        <v>6372</v>
      </c>
      <c r="B114" s="4" t="s">
        <v>1438</v>
      </c>
      <c r="C114" s="18">
        <v>45542.53055555555</v>
      </c>
      <c r="D114" s="7" t="s">
        <v>2148</v>
      </c>
      <c r="E114" s="18">
        <v>45542.65555555555</v>
      </c>
      <c r="F114" s="4" t="s">
        <v>6053</v>
      </c>
      <c r="G114" s="4" t="s">
        <v>27</v>
      </c>
      <c r="H114" s="4" t="s">
        <v>1987</v>
      </c>
      <c r="K114" s="4" t="s">
        <v>6373</v>
      </c>
      <c r="L114" s="4" t="s">
        <v>6374</v>
      </c>
    </row>
    <row r="115">
      <c r="A115" s="4" t="s">
        <v>6375</v>
      </c>
      <c r="B115" s="4" t="s">
        <v>6057</v>
      </c>
      <c r="C115" s="18">
        <v>45541.729166666664</v>
      </c>
      <c r="D115" s="7" t="s">
        <v>2200</v>
      </c>
      <c r="E115" s="18">
        <v>45541.854166666664</v>
      </c>
      <c r="F115" s="4" t="s">
        <v>6376</v>
      </c>
      <c r="G115" s="4" t="s">
        <v>27</v>
      </c>
      <c r="H115" s="4" t="s">
        <v>1987</v>
      </c>
      <c r="K115" s="4" t="s">
        <v>6377</v>
      </c>
      <c r="L115" s="4"/>
    </row>
    <row r="116">
      <c r="A116" s="4" t="s">
        <v>6378</v>
      </c>
      <c r="B116" s="4" t="s">
        <v>1472</v>
      </c>
      <c r="C116" s="18">
        <v>45541.6875</v>
      </c>
      <c r="D116" s="7" t="s">
        <v>2154</v>
      </c>
      <c r="E116" s="18">
        <v>45541.75</v>
      </c>
      <c r="F116" s="4" t="s">
        <v>6379</v>
      </c>
      <c r="G116" s="4" t="s">
        <v>135</v>
      </c>
      <c r="H116" s="4" t="s">
        <v>1987</v>
      </c>
      <c r="K116" s="4" t="s">
        <v>6380</v>
      </c>
      <c r="L116" s="4"/>
    </row>
    <row r="117">
      <c r="A117" s="4" t="s">
        <v>6381</v>
      </c>
      <c r="B117" s="4" t="s">
        <v>1554</v>
      </c>
      <c r="C117" s="18">
        <v>45541.604166666664</v>
      </c>
      <c r="D117" s="7" t="s">
        <v>2154</v>
      </c>
      <c r="E117" s="18">
        <v>45541.645833333336</v>
      </c>
      <c r="F117" s="4" t="s">
        <v>6382</v>
      </c>
      <c r="G117" s="4" t="s">
        <v>27</v>
      </c>
      <c r="H117" s="4" t="s">
        <v>1991</v>
      </c>
      <c r="K117" s="4" t="s">
        <v>6383</v>
      </c>
      <c r="L117" s="4" t="s">
        <v>6384</v>
      </c>
    </row>
    <row r="118">
      <c r="A118" s="4" t="s">
        <v>6385</v>
      </c>
      <c r="B118" s="4" t="s">
        <v>1427</v>
      </c>
      <c r="C118" s="18">
        <v>45541.5625</v>
      </c>
      <c r="D118" s="7" t="s">
        <v>2200</v>
      </c>
      <c r="E118" s="18">
        <v>45541.6875</v>
      </c>
      <c r="F118" s="4" t="s">
        <v>6386</v>
      </c>
      <c r="G118" s="4" t="s">
        <v>135</v>
      </c>
      <c r="H118" s="4" t="s">
        <v>1987</v>
      </c>
      <c r="K118" s="4" t="s">
        <v>6387</v>
      </c>
      <c r="L118" s="4"/>
    </row>
    <row r="119">
      <c r="A119" s="4" t="s">
        <v>6388</v>
      </c>
      <c r="B119" s="4" t="s">
        <v>6057</v>
      </c>
      <c r="C119" s="18">
        <v>45541.458333333336</v>
      </c>
      <c r="D119" s="7" t="s">
        <v>2148</v>
      </c>
      <c r="E119" s="18">
        <v>45541.604166666664</v>
      </c>
      <c r="F119" s="4" t="s">
        <v>6053</v>
      </c>
      <c r="G119" s="4" t="s">
        <v>27</v>
      </c>
      <c r="H119" s="4" t="s">
        <v>1987</v>
      </c>
      <c r="K119" s="4" t="s">
        <v>6389</v>
      </c>
      <c r="L119" s="4" t="s">
        <v>6390</v>
      </c>
    </row>
    <row r="120">
      <c r="A120" s="4" t="s">
        <v>6391</v>
      </c>
      <c r="B120" s="4" t="s">
        <v>1472</v>
      </c>
      <c r="C120" s="18">
        <v>45541.375</v>
      </c>
      <c r="D120" s="7" t="s">
        <v>2154</v>
      </c>
      <c r="E120" s="18">
        <v>45541.458333333336</v>
      </c>
      <c r="F120" s="4" t="s">
        <v>6392</v>
      </c>
      <c r="G120" s="4" t="s">
        <v>27</v>
      </c>
      <c r="H120" s="4" t="s">
        <v>1987</v>
      </c>
      <c r="K120" s="4" t="s">
        <v>6393</v>
      </c>
      <c r="L120" s="4" t="s">
        <v>6394</v>
      </c>
    </row>
    <row r="121">
      <c r="A121" s="4" t="s">
        <v>6395</v>
      </c>
      <c r="B121" s="4" t="s">
        <v>1472</v>
      </c>
      <c r="C121" s="18">
        <v>45541.333333333336</v>
      </c>
      <c r="D121" s="7" t="s">
        <v>2148</v>
      </c>
      <c r="E121" s="18">
        <v>45541.416666666664</v>
      </c>
      <c r="F121" s="4" t="s">
        <v>6396</v>
      </c>
      <c r="G121" s="4" t="s">
        <v>110</v>
      </c>
      <c r="H121" s="4" t="s">
        <v>1987</v>
      </c>
      <c r="K121" s="4" t="s">
        <v>6397</v>
      </c>
      <c r="L121" s="4" t="s">
        <v>6398</v>
      </c>
    </row>
    <row r="122">
      <c r="A122" s="4" t="s">
        <v>6399</v>
      </c>
      <c r="B122" s="4" t="s">
        <v>1472</v>
      </c>
      <c r="C122" s="18">
        <v>45540.729166666664</v>
      </c>
      <c r="D122" s="7" t="s">
        <v>2147</v>
      </c>
      <c r="E122" s="18">
        <v>45540.770833333336</v>
      </c>
      <c r="F122" s="4" t="s">
        <v>6400</v>
      </c>
      <c r="G122" s="4" t="s">
        <v>135</v>
      </c>
      <c r="H122" s="4" t="s">
        <v>1987</v>
      </c>
      <c r="K122" s="4" t="s">
        <v>6401</v>
      </c>
      <c r="L122" s="4" t="s">
        <v>6402</v>
      </c>
    </row>
    <row r="123">
      <c r="A123" s="4" t="s">
        <v>6403</v>
      </c>
      <c r="B123" s="4" t="s">
        <v>1472</v>
      </c>
      <c r="C123" s="18">
        <v>45540.708333333336</v>
      </c>
      <c r="D123" s="7" t="s">
        <v>2154</v>
      </c>
      <c r="E123" s="18">
        <v>45540.791666666664</v>
      </c>
      <c r="F123" s="4" t="s">
        <v>6130</v>
      </c>
      <c r="G123" s="4" t="s">
        <v>27</v>
      </c>
      <c r="H123" s="4" t="s">
        <v>1991</v>
      </c>
      <c r="K123" s="4" t="s">
        <v>6404</v>
      </c>
      <c r="L123" s="4"/>
    </row>
    <row r="124">
      <c r="A124" s="4" t="s">
        <v>6405</v>
      </c>
      <c r="B124" s="4" t="s">
        <v>1438</v>
      </c>
      <c r="C124" s="18">
        <v>45540.583333333336</v>
      </c>
      <c r="D124" s="7" t="s">
        <v>2154</v>
      </c>
      <c r="E124" s="18">
        <v>45540.708333333336</v>
      </c>
      <c r="F124" s="4" t="s">
        <v>6406</v>
      </c>
      <c r="G124" s="4" t="s">
        <v>27</v>
      </c>
      <c r="H124" s="4" t="s">
        <v>1991</v>
      </c>
      <c r="K124" s="4" t="s">
        <v>6407</v>
      </c>
      <c r="L124" s="4" t="s">
        <v>6408</v>
      </c>
    </row>
    <row r="125">
      <c r="A125" s="4" t="s">
        <v>6409</v>
      </c>
      <c r="B125" s="4" t="s">
        <v>1427</v>
      </c>
      <c r="C125" s="18">
        <v>45540.5625</v>
      </c>
      <c r="D125" s="7" t="s">
        <v>2148</v>
      </c>
      <c r="E125" s="18">
        <v>45540.729166666664</v>
      </c>
      <c r="F125" s="4" t="s">
        <v>6410</v>
      </c>
      <c r="G125" s="4" t="s">
        <v>135</v>
      </c>
      <c r="H125" s="4" t="s">
        <v>1987</v>
      </c>
      <c r="K125" s="4" t="s">
        <v>6411</v>
      </c>
      <c r="L125" s="4" t="s">
        <v>6412</v>
      </c>
    </row>
    <row r="126">
      <c r="A126" s="4" t="s">
        <v>6413</v>
      </c>
      <c r="B126" s="4" t="s">
        <v>6057</v>
      </c>
      <c r="C126" s="18">
        <v>45540.416666666664</v>
      </c>
      <c r="D126" s="7" t="s">
        <v>2147</v>
      </c>
      <c r="E126" s="18">
        <v>45540.583333333336</v>
      </c>
      <c r="F126" s="4" t="s">
        <v>6053</v>
      </c>
      <c r="G126" s="4" t="s">
        <v>27</v>
      </c>
      <c r="H126" s="4" t="s">
        <v>1987</v>
      </c>
      <c r="K126" s="4" t="s">
        <v>6414</v>
      </c>
      <c r="L126" s="4" t="s">
        <v>6415</v>
      </c>
    </row>
    <row r="127">
      <c r="A127" s="4" t="s">
        <v>6416</v>
      </c>
      <c r="B127" s="4" t="s">
        <v>1427</v>
      </c>
      <c r="C127" s="18">
        <v>45540.375</v>
      </c>
      <c r="D127" s="7" t="s">
        <v>6052</v>
      </c>
      <c r="E127" s="18">
        <v>45540.416666666664</v>
      </c>
      <c r="F127" s="4" t="s">
        <v>6231</v>
      </c>
      <c r="G127" s="4" t="s">
        <v>27</v>
      </c>
      <c r="H127" s="4" t="s">
        <v>1987</v>
      </c>
      <c r="K127" s="4" t="s">
        <v>6417</v>
      </c>
      <c r="L127" s="4" t="s">
        <v>6418</v>
      </c>
    </row>
    <row r="128">
      <c r="A128" s="4" t="s">
        <v>6419</v>
      </c>
      <c r="B128" s="4" t="s">
        <v>1472</v>
      </c>
      <c r="C128" s="18">
        <v>45540.333333333336</v>
      </c>
      <c r="D128" s="7" t="s">
        <v>2148</v>
      </c>
      <c r="E128" s="18">
        <v>45540.416666666664</v>
      </c>
      <c r="F128" s="4" t="s">
        <v>6420</v>
      </c>
      <c r="G128" s="4" t="s">
        <v>110</v>
      </c>
      <c r="H128" s="4" t="s">
        <v>1987</v>
      </c>
      <c r="K128" s="4" t="s">
        <v>6421</v>
      </c>
      <c r="L128" s="4" t="s">
        <v>6422</v>
      </c>
    </row>
    <row r="129">
      <c r="A129" s="4" t="s">
        <v>6423</v>
      </c>
      <c r="B129" s="4" t="s">
        <v>6057</v>
      </c>
      <c r="C129" s="18">
        <v>45539.75</v>
      </c>
      <c r="D129" s="7" t="s">
        <v>2147</v>
      </c>
      <c r="E129" s="18">
        <v>45539.791666666664</v>
      </c>
      <c r="F129" s="4" t="s">
        <v>6053</v>
      </c>
      <c r="G129" s="4" t="s">
        <v>27</v>
      </c>
      <c r="H129" s="4" t="s">
        <v>1987</v>
      </c>
      <c r="K129" s="4" t="s">
        <v>6424</v>
      </c>
      <c r="L129" s="4" t="s">
        <v>6425</v>
      </c>
    </row>
    <row r="130">
      <c r="A130" s="4" t="s">
        <v>6426</v>
      </c>
      <c r="B130" s="4" t="s">
        <v>1427</v>
      </c>
      <c r="C130" s="18">
        <v>45539.625</v>
      </c>
      <c r="D130" s="7" t="s">
        <v>2147</v>
      </c>
      <c r="E130" s="18">
        <v>45539.666666666664</v>
      </c>
      <c r="F130" s="4" t="s">
        <v>6427</v>
      </c>
      <c r="G130" s="4" t="s">
        <v>135</v>
      </c>
      <c r="H130" s="4" t="s">
        <v>1987</v>
      </c>
      <c r="K130" s="4" t="s">
        <v>6428</v>
      </c>
      <c r="L130" s="4"/>
    </row>
    <row r="131">
      <c r="A131" s="4" t="s">
        <v>6429</v>
      </c>
      <c r="B131" s="4" t="s">
        <v>1540</v>
      </c>
      <c r="C131" s="18">
        <v>45539.604166666664</v>
      </c>
      <c r="D131" s="7" t="s">
        <v>2154</v>
      </c>
      <c r="E131" s="18">
        <v>45539.6875</v>
      </c>
      <c r="F131" s="4" t="s">
        <v>6430</v>
      </c>
      <c r="G131" s="4" t="s">
        <v>27</v>
      </c>
      <c r="H131" s="4" t="s">
        <v>1991</v>
      </c>
      <c r="K131" s="4" t="s">
        <v>6431</v>
      </c>
      <c r="L131" s="4" t="s">
        <v>6432</v>
      </c>
    </row>
    <row r="132">
      <c r="A132" s="4" t="s">
        <v>6433</v>
      </c>
      <c r="B132" s="4" t="s">
        <v>1438</v>
      </c>
      <c r="C132" s="18">
        <v>45539.5625</v>
      </c>
      <c r="D132" s="7" t="s">
        <v>2154</v>
      </c>
      <c r="E132" s="18">
        <v>45539.625</v>
      </c>
      <c r="F132" s="4" t="s">
        <v>6434</v>
      </c>
      <c r="G132" s="4" t="s">
        <v>135</v>
      </c>
      <c r="H132" s="4" t="s">
        <v>1987</v>
      </c>
      <c r="K132" s="4"/>
      <c r="L132" s="4" t="s">
        <v>6435</v>
      </c>
    </row>
    <row r="133">
      <c r="A133" s="4" t="s">
        <v>6436</v>
      </c>
      <c r="B133" s="4" t="s">
        <v>1540</v>
      </c>
      <c r="C133" s="18">
        <v>45539.5</v>
      </c>
      <c r="D133" s="7" t="s">
        <v>6052</v>
      </c>
      <c r="E133" s="18">
        <v>45539.604166666664</v>
      </c>
      <c r="F133" s="4" t="s">
        <v>6437</v>
      </c>
      <c r="G133" s="4" t="s">
        <v>27</v>
      </c>
      <c r="H133" s="4" t="s">
        <v>1987</v>
      </c>
      <c r="K133" s="4" t="s">
        <v>6438</v>
      </c>
      <c r="L133" s="4" t="s">
        <v>6439</v>
      </c>
    </row>
    <row r="134">
      <c r="A134" s="4" t="s">
        <v>6440</v>
      </c>
      <c r="B134" s="4" t="s">
        <v>5559</v>
      </c>
      <c r="C134" s="18">
        <v>45539.37569444445</v>
      </c>
      <c r="D134" s="7" t="s">
        <v>2154</v>
      </c>
      <c r="E134" s="18">
        <v>45539.458333333336</v>
      </c>
      <c r="F134" s="4" t="s">
        <v>6441</v>
      </c>
      <c r="G134" s="4" t="s">
        <v>27</v>
      </c>
      <c r="H134" s="4" t="s">
        <v>1991</v>
      </c>
      <c r="K134" s="4" t="s">
        <v>6442</v>
      </c>
      <c r="L134" s="4" t="s">
        <v>6443</v>
      </c>
    </row>
    <row r="135">
      <c r="A135" s="4" t="s">
        <v>6444</v>
      </c>
      <c r="B135" s="4" t="s">
        <v>1427</v>
      </c>
      <c r="C135" s="18">
        <v>45539.333333333336</v>
      </c>
      <c r="D135" s="7" t="s">
        <v>2200</v>
      </c>
      <c r="E135" s="18">
        <v>45539.416666666664</v>
      </c>
      <c r="F135" s="4" t="s">
        <v>6319</v>
      </c>
      <c r="G135" s="4" t="s">
        <v>110</v>
      </c>
      <c r="H135" s="4" t="s">
        <v>1987</v>
      </c>
      <c r="K135" s="4" t="s">
        <v>6445</v>
      </c>
      <c r="L135" s="4" t="s">
        <v>6446</v>
      </c>
    </row>
    <row r="136">
      <c r="A136" s="4" t="s">
        <v>6447</v>
      </c>
      <c r="B136" s="4" t="s">
        <v>1540</v>
      </c>
      <c r="C136" s="18">
        <v>45538.708333333336</v>
      </c>
      <c r="D136" s="4"/>
      <c r="E136" s="18">
        <v>45538.833333333336</v>
      </c>
      <c r="F136" s="4" t="s">
        <v>6437</v>
      </c>
      <c r="G136" s="4" t="s">
        <v>27</v>
      </c>
      <c r="H136" s="4" t="s">
        <v>1987</v>
      </c>
      <c r="K136" s="4" t="s">
        <v>6448</v>
      </c>
      <c r="L136" s="4" t="s">
        <v>6449</v>
      </c>
    </row>
    <row r="137">
      <c r="A137" s="4" t="s">
        <v>6450</v>
      </c>
      <c r="B137" s="4" t="s">
        <v>1438</v>
      </c>
      <c r="C137" s="18">
        <v>45538.6875</v>
      </c>
      <c r="D137" s="7" t="s">
        <v>2147</v>
      </c>
      <c r="E137" s="18">
        <v>45538.729166666664</v>
      </c>
      <c r="F137" s="4" t="s">
        <v>6451</v>
      </c>
      <c r="G137" s="4" t="s">
        <v>135</v>
      </c>
      <c r="H137" s="4" t="s">
        <v>1987</v>
      </c>
      <c r="K137" s="4" t="s">
        <v>6452</v>
      </c>
      <c r="L137" s="4"/>
    </row>
    <row r="138">
      <c r="A138" s="4" t="s">
        <v>6453</v>
      </c>
      <c r="B138" s="4" t="s">
        <v>5384</v>
      </c>
      <c r="C138" s="18">
        <v>45538.583333333336</v>
      </c>
      <c r="D138" s="7" t="s">
        <v>2147</v>
      </c>
      <c r="E138" s="18">
        <v>45538.625</v>
      </c>
      <c r="F138" s="4" t="s">
        <v>6454</v>
      </c>
      <c r="G138" s="4" t="s">
        <v>27</v>
      </c>
      <c r="H138" s="4" t="s">
        <v>1991</v>
      </c>
      <c r="K138" s="4" t="s">
        <v>6455</v>
      </c>
      <c r="L138" s="4"/>
    </row>
    <row r="139">
      <c r="A139" s="4" t="s">
        <v>6456</v>
      </c>
      <c r="B139" s="4" t="s">
        <v>1427</v>
      </c>
      <c r="C139" s="18">
        <v>45538.5625</v>
      </c>
      <c r="D139" s="7" t="s">
        <v>2200</v>
      </c>
      <c r="E139" s="18">
        <v>45538.6875</v>
      </c>
      <c r="F139" s="4" t="s">
        <v>6457</v>
      </c>
      <c r="G139" s="4" t="s">
        <v>135</v>
      </c>
      <c r="H139" s="4" t="s">
        <v>1987</v>
      </c>
      <c r="K139" s="4" t="s">
        <v>6458</v>
      </c>
      <c r="L139" s="4" t="s">
        <v>6459</v>
      </c>
    </row>
    <row r="140">
      <c r="A140" s="4" t="s">
        <v>6460</v>
      </c>
      <c r="B140" s="4" t="s">
        <v>1427</v>
      </c>
      <c r="C140" s="18">
        <v>45538.375</v>
      </c>
      <c r="D140" s="7" t="s">
        <v>6052</v>
      </c>
      <c r="E140" s="18">
        <v>45538.583333333336</v>
      </c>
      <c r="F140" s="4" t="s">
        <v>6231</v>
      </c>
      <c r="G140" s="4" t="s">
        <v>27</v>
      </c>
      <c r="H140" s="4" t="s">
        <v>1987</v>
      </c>
      <c r="K140" s="4" t="s">
        <v>6461</v>
      </c>
      <c r="L140" s="4" t="s">
        <v>6462</v>
      </c>
    </row>
    <row r="141">
      <c r="A141" s="4" t="s">
        <v>6463</v>
      </c>
      <c r="B141" s="4" t="s">
        <v>1427</v>
      </c>
      <c r="C141" s="18">
        <v>45538.333333333336</v>
      </c>
      <c r="D141" s="7" t="s">
        <v>2148</v>
      </c>
      <c r="E141" s="18">
        <v>45538.416666666664</v>
      </c>
      <c r="F141" s="4" t="s">
        <v>6464</v>
      </c>
      <c r="G141" s="4" t="s">
        <v>110</v>
      </c>
      <c r="H141" s="4" t="s">
        <v>1987</v>
      </c>
      <c r="K141" s="4" t="s">
        <v>6465</v>
      </c>
      <c r="L141" s="4"/>
    </row>
    <row r="142">
      <c r="A142" s="4" t="s">
        <v>6466</v>
      </c>
      <c r="B142" s="4" t="s">
        <v>1427</v>
      </c>
      <c r="C142" s="18">
        <v>45537.645833333336</v>
      </c>
      <c r="D142" s="7" t="s">
        <v>2148</v>
      </c>
      <c r="E142" s="18">
        <v>45537.729166666664</v>
      </c>
      <c r="F142" s="4" t="s">
        <v>6467</v>
      </c>
      <c r="G142" s="4" t="s">
        <v>135</v>
      </c>
      <c r="H142" s="4" t="s">
        <v>1987</v>
      </c>
      <c r="K142" s="4" t="s">
        <v>6468</v>
      </c>
      <c r="L142" s="4" t="s">
        <v>6469</v>
      </c>
    </row>
    <row r="143">
      <c r="A143" s="4" t="s">
        <v>6470</v>
      </c>
      <c r="B143" s="4" t="s">
        <v>1438</v>
      </c>
      <c r="C143" s="18">
        <v>45537.5625</v>
      </c>
      <c r="D143" s="7" t="s">
        <v>2154</v>
      </c>
      <c r="E143" s="18">
        <v>45537.645833333336</v>
      </c>
      <c r="F143" s="4" t="s">
        <v>6471</v>
      </c>
      <c r="G143" s="4" t="s">
        <v>135</v>
      </c>
      <c r="H143" s="4" t="s">
        <v>1987</v>
      </c>
      <c r="K143" s="4" t="s">
        <v>6472</v>
      </c>
      <c r="L143" s="4"/>
    </row>
    <row r="144">
      <c r="A144" s="4" t="s">
        <v>6473</v>
      </c>
      <c r="B144" s="4" t="s">
        <v>6057</v>
      </c>
      <c r="C144" s="18">
        <v>45537.375</v>
      </c>
      <c r="D144" s="7" t="s">
        <v>2147</v>
      </c>
      <c r="E144" s="18">
        <v>45537.75</v>
      </c>
      <c r="F144" s="4" t="s">
        <v>6053</v>
      </c>
      <c r="G144" s="4" t="s">
        <v>27</v>
      </c>
      <c r="H144" s="4" t="s">
        <v>1987</v>
      </c>
      <c r="K144" s="4" t="s">
        <v>6474</v>
      </c>
      <c r="L144" s="4" t="s">
        <v>6475</v>
      </c>
    </row>
    <row r="145">
      <c r="A145" s="4" t="s">
        <v>6476</v>
      </c>
      <c r="B145" s="4" t="s">
        <v>1427</v>
      </c>
      <c r="C145" s="18">
        <v>45537.333333333336</v>
      </c>
      <c r="D145" s="7" t="s">
        <v>2148</v>
      </c>
      <c r="E145" s="18">
        <v>45537.416666666664</v>
      </c>
      <c r="F145" s="4" t="s">
        <v>6477</v>
      </c>
      <c r="G145" s="4" t="s">
        <v>110</v>
      </c>
      <c r="H145" s="4" t="s">
        <v>1987</v>
      </c>
      <c r="K145" s="4" t="s">
        <v>6478</v>
      </c>
      <c r="L145" s="4"/>
    </row>
    <row r="146">
      <c r="A146" s="4" t="s">
        <v>6479</v>
      </c>
      <c r="B146" s="4" t="s">
        <v>6057</v>
      </c>
      <c r="C146" s="18">
        <v>45535.375</v>
      </c>
      <c r="D146" s="7" t="s">
        <v>2148</v>
      </c>
      <c r="E146" s="18">
        <v>45535.541666666664</v>
      </c>
      <c r="F146" s="4" t="s">
        <v>6053</v>
      </c>
      <c r="G146" s="4" t="s">
        <v>27</v>
      </c>
      <c r="H146" s="4" t="s">
        <v>1987</v>
      </c>
      <c r="K146" s="4" t="s">
        <v>6480</v>
      </c>
      <c r="L146" s="4" t="s">
        <v>6481</v>
      </c>
    </row>
    <row r="147">
      <c r="A147" s="4" t="s">
        <v>6482</v>
      </c>
      <c r="B147" s="4" t="s">
        <v>1438</v>
      </c>
      <c r="C147" s="18">
        <v>45535.0</v>
      </c>
      <c r="D147" s="7" t="s">
        <v>6052</v>
      </c>
      <c r="E147" s="18">
        <v>45535.458333333336</v>
      </c>
      <c r="F147" s="4" t="s">
        <v>6483</v>
      </c>
      <c r="G147" s="4" t="s">
        <v>27</v>
      </c>
      <c r="H147" s="4" t="s">
        <v>1987</v>
      </c>
      <c r="K147" s="4" t="s">
        <v>6484</v>
      </c>
      <c r="L147" s="4"/>
    </row>
    <row r="148">
      <c r="A148" s="7" t="s">
        <v>6485</v>
      </c>
      <c r="B148" s="4" t="s">
        <v>1472</v>
      </c>
      <c r="C148" s="18">
        <v>45534.666666666664</v>
      </c>
      <c r="D148" s="7" t="s">
        <v>2154</v>
      </c>
      <c r="E148" s="18">
        <v>45534.875</v>
      </c>
      <c r="F148" s="4" t="s">
        <v>6053</v>
      </c>
      <c r="G148" s="4" t="s">
        <v>27</v>
      </c>
      <c r="H148" s="4" t="s">
        <v>1987</v>
      </c>
      <c r="K148" s="4" t="s">
        <v>6486</v>
      </c>
      <c r="L148" s="4" t="s">
        <v>6487</v>
      </c>
    </row>
    <row r="149">
      <c r="A149" s="4" t="s">
        <v>6488</v>
      </c>
      <c r="B149" s="4" t="s">
        <v>5377</v>
      </c>
      <c r="C149" s="18">
        <v>45534.583333333336</v>
      </c>
      <c r="D149" s="7" t="s">
        <v>6318</v>
      </c>
      <c r="E149" s="18">
        <v>45534.604166666664</v>
      </c>
      <c r="F149" s="4" t="s">
        <v>6053</v>
      </c>
      <c r="G149" s="4" t="s">
        <v>27</v>
      </c>
      <c r="H149" s="4" t="s">
        <v>1987</v>
      </c>
      <c r="K149" s="4" t="s">
        <v>6489</v>
      </c>
      <c r="L149" s="4" t="s">
        <v>6481</v>
      </c>
    </row>
    <row r="150">
      <c r="A150" s="4" t="s">
        <v>6490</v>
      </c>
      <c r="B150" s="4" t="s">
        <v>5457</v>
      </c>
      <c r="C150" s="18">
        <v>45534.5625</v>
      </c>
      <c r="D150" s="7" t="s">
        <v>6052</v>
      </c>
      <c r="E150" s="18">
        <v>45534.770833333336</v>
      </c>
      <c r="F150" s="4" t="s">
        <v>6491</v>
      </c>
      <c r="G150" s="4" t="s">
        <v>135</v>
      </c>
      <c r="H150" s="4" t="s">
        <v>1987</v>
      </c>
      <c r="K150" s="4" t="s">
        <v>6492</v>
      </c>
      <c r="L150" s="4" t="s">
        <v>6493</v>
      </c>
    </row>
    <row r="151">
      <c r="A151" s="4" t="s">
        <v>6494</v>
      </c>
      <c r="B151" s="4" t="s">
        <v>6057</v>
      </c>
      <c r="C151" s="18">
        <v>45534.479166666664</v>
      </c>
      <c r="D151" s="7" t="s">
        <v>2154</v>
      </c>
      <c r="E151" s="18">
        <v>45534.583333333336</v>
      </c>
      <c r="F151" s="4" t="s">
        <v>6053</v>
      </c>
      <c r="G151" s="4" t="s">
        <v>27</v>
      </c>
      <c r="H151" s="4" t="s">
        <v>1987</v>
      </c>
      <c r="K151" s="4" t="s">
        <v>6495</v>
      </c>
      <c r="L151" s="4" t="s">
        <v>6496</v>
      </c>
    </row>
    <row r="152">
      <c r="A152" s="4" t="s">
        <v>6497</v>
      </c>
      <c r="B152" s="4" t="s">
        <v>1427</v>
      </c>
      <c r="C152" s="18">
        <v>45534.375</v>
      </c>
      <c r="D152" s="7" t="s">
        <v>2154</v>
      </c>
      <c r="E152" s="18">
        <v>45534.479166666664</v>
      </c>
      <c r="F152" s="4" t="s">
        <v>6053</v>
      </c>
      <c r="G152" s="4" t="s">
        <v>27</v>
      </c>
      <c r="H152" s="4" t="s">
        <v>1987</v>
      </c>
      <c r="K152" s="4" t="s">
        <v>6498</v>
      </c>
      <c r="L152" s="4" t="s">
        <v>6481</v>
      </c>
    </row>
    <row r="153">
      <c r="A153" s="4" t="s">
        <v>6499</v>
      </c>
      <c r="B153" s="4" t="s">
        <v>1427</v>
      </c>
      <c r="C153" s="18">
        <v>45534.333333333336</v>
      </c>
      <c r="D153" s="7" t="s">
        <v>2148</v>
      </c>
      <c r="E153" s="18">
        <v>45534.416666666664</v>
      </c>
      <c r="F153" s="4" t="s">
        <v>6500</v>
      </c>
      <c r="G153" s="4" t="s">
        <v>110</v>
      </c>
      <c r="H153" s="4" t="s">
        <v>1987</v>
      </c>
      <c r="K153" s="4" t="s">
        <v>6501</v>
      </c>
      <c r="L153" s="4" t="s">
        <v>6502</v>
      </c>
    </row>
    <row r="154">
      <c r="A154" s="4" t="s">
        <v>6503</v>
      </c>
      <c r="B154" s="4" t="s">
        <v>6057</v>
      </c>
      <c r="C154" s="18">
        <v>45533.666666666664</v>
      </c>
      <c r="D154" s="7" t="s">
        <v>2154</v>
      </c>
      <c r="E154" s="18">
        <v>45533.833333333336</v>
      </c>
      <c r="F154" s="4" t="s">
        <v>6053</v>
      </c>
      <c r="G154" s="4" t="s">
        <v>27</v>
      </c>
      <c r="H154" s="4" t="s">
        <v>1987</v>
      </c>
      <c r="K154" s="4" t="s">
        <v>6504</v>
      </c>
      <c r="L154" s="4" t="s">
        <v>6505</v>
      </c>
    </row>
    <row r="155">
      <c r="A155" s="4" t="s">
        <v>6506</v>
      </c>
      <c r="B155" s="4" t="s">
        <v>1472</v>
      </c>
      <c r="C155" s="18">
        <v>45533.583333333336</v>
      </c>
      <c r="D155" s="7" t="s">
        <v>2154</v>
      </c>
      <c r="E155" s="18">
        <v>45533.666666666664</v>
      </c>
      <c r="F155" s="4" t="s">
        <v>6507</v>
      </c>
      <c r="G155" s="4" t="s">
        <v>27</v>
      </c>
      <c r="H155" s="4" t="s">
        <v>1987</v>
      </c>
      <c r="K155" s="4" t="s">
        <v>6508</v>
      </c>
      <c r="L155" s="4" t="s">
        <v>6509</v>
      </c>
    </row>
    <row r="156">
      <c r="A156" s="4" t="s">
        <v>6510</v>
      </c>
      <c r="B156" s="4" t="s">
        <v>5457</v>
      </c>
      <c r="C156" s="18">
        <v>45533.5625</v>
      </c>
      <c r="D156" s="7" t="s">
        <v>6052</v>
      </c>
      <c r="E156" s="18">
        <v>45533.770833333336</v>
      </c>
      <c r="F156" s="4" t="s">
        <v>6491</v>
      </c>
      <c r="G156" s="4" t="s">
        <v>135</v>
      </c>
      <c r="H156" s="4" t="s">
        <v>1987</v>
      </c>
      <c r="K156" s="4" t="s">
        <v>6511</v>
      </c>
      <c r="L156" s="4" t="s">
        <v>6512</v>
      </c>
    </row>
    <row r="157">
      <c r="A157" s="4" t="s">
        <v>6513</v>
      </c>
      <c r="B157" s="4" t="s">
        <v>6057</v>
      </c>
      <c r="C157" s="18">
        <v>45533.4375</v>
      </c>
      <c r="D157" s="7" t="s">
        <v>2154</v>
      </c>
      <c r="E157" s="18">
        <v>45533.520833333336</v>
      </c>
      <c r="F157" s="4" t="s">
        <v>6514</v>
      </c>
      <c r="G157" s="4" t="s">
        <v>27</v>
      </c>
      <c r="H157" s="4" t="s">
        <v>1987</v>
      </c>
      <c r="K157" s="4" t="s">
        <v>6515</v>
      </c>
      <c r="L157" s="4"/>
    </row>
    <row r="158">
      <c r="A158" s="4" t="s">
        <v>6516</v>
      </c>
      <c r="B158" s="4" t="s">
        <v>5384</v>
      </c>
      <c r="C158" s="18">
        <v>45533.416666666664</v>
      </c>
      <c r="D158" s="7" t="s">
        <v>6318</v>
      </c>
      <c r="E158" s="18">
        <v>45533.4375</v>
      </c>
      <c r="F158" s="4" t="s">
        <v>6517</v>
      </c>
      <c r="G158" s="4" t="s">
        <v>27</v>
      </c>
      <c r="H158" s="4" t="s">
        <v>1987</v>
      </c>
      <c r="K158" s="4" t="s">
        <v>6518</v>
      </c>
      <c r="L158" s="4"/>
    </row>
    <row r="159">
      <c r="A159" s="4" t="s">
        <v>6519</v>
      </c>
      <c r="B159" s="4" t="s">
        <v>6057</v>
      </c>
      <c r="C159" s="18">
        <v>45533.38888888889</v>
      </c>
      <c r="D159" s="7" t="s">
        <v>6318</v>
      </c>
      <c r="E159" s="18">
        <v>45533.416666666664</v>
      </c>
      <c r="F159" s="4" t="s">
        <v>6520</v>
      </c>
      <c r="G159" s="4" t="s">
        <v>27</v>
      </c>
      <c r="H159" s="4" t="s">
        <v>1987</v>
      </c>
      <c r="K159" s="4" t="s">
        <v>6521</v>
      </c>
      <c r="L159" s="4"/>
    </row>
    <row r="160">
      <c r="A160" s="4" t="s">
        <v>6522</v>
      </c>
      <c r="B160" s="4" t="s">
        <v>1427</v>
      </c>
      <c r="C160" s="18">
        <v>45533.375</v>
      </c>
      <c r="D160" s="7" t="s">
        <v>2148</v>
      </c>
      <c r="E160" s="18">
        <v>45533.4375</v>
      </c>
      <c r="F160" s="4" t="s">
        <v>6500</v>
      </c>
      <c r="G160" s="4" t="s">
        <v>110</v>
      </c>
      <c r="H160" s="4" t="s">
        <v>1987</v>
      </c>
      <c r="K160" s="4" t="s">
        <v>6523</v>
      </c>
      <c r="L160" s="4" t="s">
        <v>6524</v>
      </c>
    </row>
    <row r="161">
      <c r="A161" s="4" t="s">
        <v>6525</v>
      </c>
      <c r="B161" s="4" t="s">
        <v>1540</v>
      </c>
      <c r="C161" s="18">
        <v>45533.333333333336</v>
      </c>
      <c r="D161" s="7" t="s">
        <v>2147</v>
      </c>
      <c r="E161" s="18">
        <v>45533.354166666664</v>
      </c>
      <c r="F161" s="4" t="s">
        <v>6526</v>
      </c>
      <c r="G161" s="4" t="s">
        <v>110</v>
      </c>
      <c r="H161" s="4" t="s">
        <v>1987</v>
      </c>
      <c r="K161" s="4" t="s">
        <v>6527</v>
      </c>
      <c r="L161" s="4" t="s">
        <v>6528</v>
      </c>
    </row>
    <row r="162">
      <c r="A162" s="4" t="s">
        <v>6529</v>
      </c>
      <c r="B162" s="4" t="s">
        <v>1554</v>
      </c>
      <c r="C162" s="18">
        <v>45532.625</v>
      </c>
      <c r="D162" s="7" t="s">
        <v>2154</v>
      </c>
      <c r="E162" s="18">
        <v>45532.6875</v>
      </c>
      <c r="F162" s="4" t="s">
        <v>6530</v>
      </c>
      <c r="G162" s="4" t="s">
        <v>27</v>
      </c>
      <c r="H162" s="4" t="s">
        <v>1991</v>
      </c>
      <c r="K162" s="4" t="s">
        <v>6531</v>
      </c>
      <c r="L162" s="4" t="s">
        <v>6532</v>
      </c>
    </row>
    <row r="163">
      <c r="A163" s="4" t="s">
        <v>6533</v>
      </c>
      <c r="B163" s="4" t="s">
        <v>6057</v>
      </c>
      <c r="C163" s="18">
        <v>45532.5</v>
      </c>
      <c r="D163" s="7" t="s">
        <v>2154</v>
      </c>
      <c r="E163" s="18">
        <v>45532.625</v>
      </c>
      <c r="F163" s="4" t="s">
        <v>6053</v>
      </c>
      <c r="G163" s="4" t="s">
        <v>27</v>
      </c>
      <c r="H163" s="4" t="s">
        <v>1987</v>
      </c>
      <c r="K163" s="4" t="s">
        <v>6534</v>
      </c>
      <c r="L163" s="4" t="s">
        <v>6535</v>
      </c>
    </row>
    <row r="164">
      <c r="A164" s="4" t="s">
        <v>6536</v>
      </c>
      <c r="B164" s="4" t="s">
        <v>1492</v>
      </c>
      <c r="C164" s="18">
        <v>45532.416666666664</v>
      </c>
      <c r="D164" s="7" t="s">
        <v>2154</v>
      </c>
      <c r="E164" s="18">
        <v>45532.5</v>
      </c>
      <c r="F164" s="4" t="s">
        <v>6537</v>
      </c>
      <c r="G164" s="4" t="s">
        <v>27</v>
      </c>
      <c r="H164" s="4" t="s">
        <v>1991</v>
      </c>
      <c r="K164" s="4"/>
      <c r="L164" s="4" t="s">
        <v>6538</v>
      </c>
    </row>
    <row r="165">
      <c r="A165" s="4" t="s">
        <v>6539</v>
      </c>
      <c r="B165" s="4" t="s">
        <v>1540</v>
      </c>
      <c r="C165" s="18">
        <v>45532.333333333336</v>
      </c>
      <c r="D165" s="7" t="s">
        <v>2148</v>
      </c>
      <c r="E165" s="18">
        <v>45532.416666666664</v>
      </c>
      <c r="F165" s="4" t="s">
        <v>6526</v>
      </c>
      <c r="G165" s="4" t="s">
        <v>110</v>
      </c>
      <c r="H165" s="4" t="s">
        <v>1987</v>
      </c>
      <c r="K165" s="4" t="s">
        <v>6540</v>
      </c>
      <c r="L165" s="4" t="s">
        <v>6541</v>
      </c>
    </row>
    <row r="166">
      <c r="A166" s="4" t="s">
        <v>6542</v>
      </c>
      <c r="B166" s="4" t="s">
        <v>6057</v>
      </c>
      <c r="C166" s="18">
        <v>45532.333333333336</v>
      </c>
      <c r="D166" s="7" t="s">
        <v>2154</v>
      </c>
      <c r="E166" s="18">
        <v>45532.416666666664</v>
      </c>
      <c r="F166" s="4" t="s">
        <v>6053</v>
      </c>
      <c r="G166" s="4" t="s">
        <v>27</v>
      </c>
      <c r="H166" s="4" t="s">
        <v>1987</v>
      </c>
      <c r="K166" s="4" t="s">
        <v>6543</v>
      </c>
      <c r="L166" s="4"/>
    </row>
    <row r="167">
      <c r="A167" s="4" t="s">
        <v>6544</v>
      </c>
      <c r="B167" s="4" t="s">
        <v>5457</v>
      </c>
      <c r="C167" s="18">
        <v>45531.6875</v>
      </c>
      <c r="D167" s="7" t="s">
        <v>2154</v>
      </c>
      <c r="E167" s="18">
        <v>45531.770833333336</v>
      </c>
      <c r="F167" s="4" t="s">
        <v>6491</v>
      </c>
      <c r="G167" s="4" t="s">
        <v>135</v>
      </c>
      <c r="H167" s="4" t="s">
        <v>1987</v>
      </c>
      <c r="K167" s="4" t="s">
        <v>6545</v>
      </c>
      <c r="L167" s="4" t="s">
        <v>6546</v>
      </c>
    </row>
    <row r="168">
      <c r="A168" s="4" t="s">
        <v>6547</v>
      </c>
      <c r="B168" s="4" t="s">
        <v>5377</v>
      </c>
      <c r="C168" s="18">
        <v>45531.5625</v>
      </c>
      <c r="D168" s="7" t="s">
        <v>2200</v>
      </c>
      <c r="E168" s="18">
        <v>45531.6875</v>
      </c>
      <c r="F168" s="4" t="s">
        <v>6548</v>
      </c>
      <c r="G168" s="4" t="s">
        <v>135</v>
      </c>
      <c r="H168" s="4" t="s">
        <v>1987</v>
      </c>
      <c r="K168" s="4" t="s">
        <v>6549</v>
      </c>
      <c r="L168" s="4" t="s">
        <v>6550</v>
      </c>
    </row>
    <row r="169">
      <c r="A169" s="4" t="s">
        <v>6551</v>
      </c>
      <c r="B169" s="4" t="s">
        <v>1427</v>
      </c>
      <c r="C169" s="18">
        <v>45531.416666666664</v>
      </c>
      <c r="D169" s="7" t="s">
        <v>6052</v>
      </c>
      <c r="E169" s="18">
        <v>45531.541666666664</v>
      </c>
      <c r="F169" s="4"/>
      <c r="G169" s="4" t="s">
        <v>27</v>
      </c>
      <c r="H169" s="4" t="s">
        <v>1987</v>
      </c>
      <c r="K169" s="4"/>
      <c r="L169" s="4" t="s">
        <v>6552</v>
      </c>
    </row>
    <row r="170">
      <c r="A170" s="4" t="s">
        <v>6553</v>
      </c>
      <c r="B170" s="4" t="s">
        <v>1540</v>
      </c>
      <c r="C170" s="18">
        <v>45531.333333333336</v>
      </c>
      <c r="D170" s="7" t="s">
        <v>2148</v>
      </c>
      <c r="E170" s="18">
        <v>45531.416666666664</v>
      </c>
      <c r="F170" s="4" t="s">
        <v>6526</v>
      </c>
      <c r="G170" s="4" t="s">
        <v>110</v>
      </c>
      <c r="H170" s="4" t="s">
        <v>1987</v>
      </c>
      <c r="K170" s="4"/>
      <c r="L170" s="4" t="s">
        <v>6554</v>
      </c>
    </row>
    <row r="171">
      <c r="A171" s="4" t="s">
        <v>6555</v>
      </c>
      <c r="B171" s="4" t="s">
        <v>6057</v>
      </c>
      <c r="C171" s="18">
        <v>45531.333333333336</v>
      </c>
      <c r="D171" s="7" t="s">
        <v>2154</v>
      </c>
      <c r="E171" s="18">
        <v>45531.416666666664</v>
      </c>
      <c r="F171" s="4" t="s">
        <v>6053</v>
      </c>
      <c r="G171" s="4" t="s">
        <v>27</v>
      </c>
      <c r="H171" s="4" t="s">
        <v>1987</v>
      </c>
      <c r="K171" s="4" t="s">
        <v>6556</v>
      </c>
      <c r="L171" s="4"/>
    </row>
    <row r="172">
      <c r="A172" s="4" t="s">
        <v>6557</v>
      </c>
      <c r="B172" s="4" t="s">
        <v>6057</v>
      </c>
      <c r="C172" s="18">
        <v>45530.89722222222</v>
      </c>
      <c r="D172" s="41" t="s">
        <v>2147</v>
      </c>
      <c r="E172" s="18">
        <v>45530.93958333333</v>
      </c>
      <c r="F172" s="4" t="s">
        <v>1960</v>
      </c>
      <c r="G172" s="4" t="s">
        <v>27</v>
      </c>
      <c r="H172" s="4" t="s">
        <v>1991</v>
      </c>
      <c r="I172" s="5" t="s">
        <v>6558</v>
      </c>
      <c r="J172" s="4" t="s">
        <v>6559</v>
      </c>
      <c r="K172" s="4" t="s">
        <v>6560</v>
      </c>
      <c r="L172" s="4" t="s">
        <v>6561</v>
      </c>
    </row>
    <row r="173">
      <c r="A173" s="4" t="s">
        <v>6562</v>
      </c>
      <c r="B173" s="4" t="s">
        <v>6057</v>
      </c>
      <c r="C173" s="18">
        <v>45530.6875</v>
      </c>
      <c r="D173" s="7" t="s">
        <v>2154</v>
      </c>
      <c r="E173" s="18">
        <v>45530.75</v>
      </c>
      <c r="F173" s="4"/>
      <c r="G173" s="4" t="s">
        <v>27</v>
      </c>
      <c r="H173" s="4" t="s">
        <v>1987</v>
      </c>
      <c r="K173" s="4" t="s">
        <v>6563</v>
      </c>
      <c r="L173" s="4"/>
    </row>
    <row r="174">
      <c r="A174" s="4" t="s">
        <v>6564</v>
      </c>
      <c r="B174" s="4" t="s">
        <v>5377</v>
      </c>
      <c r="C174" s="18">
        <v>45530.5625</v>
      </c>
      <c r="D174" s="7" t="s">
        <v>6052</v>
      </c>
      <c r="E174" s="18">
        <v>45530.770833333336</v>
      </c>
      <c r="F174" s="4"/>
      <c r="G174" s="4" t="s">
        <v>135</v>
      </c>
      <c r="H174" s="4" t="s">
        <v>1987</v>
      </c>
      <c r="K174" s="4" t="s">
        <v>6511</v>
      </c>
      <c r="L174" s="4"/>
    </row>
    <row r="175">
      <c r="A175" s="4" t="s">
        <v>6565</v>
      </c>
      <c r="B175" s="4" t="s">
        <v>1540</v>
      </c>
      <c r="C175" s="18">
        <v>45530.416666666664</v>
      </c>
      <c r="D175" s="7" t="s">
        <v>6052</v>
      </c>
      <c r="E175" s="18">
        <v>45530.6875</v>
      </c>
      <c r="F175" s="4"/>
      <c r="G175" s="4" t="s">
        <v>27</v>
      </c>
      <c r="H175" s="4" t="s">
        <v>1987</v>
      </c>
      <c r="K175" s="4" t="s">
        <v>6566</v>
      </c>
      <c r="L175" s="4"/>
    </row>
    <row r="176">
      <c r="A176" s="4" t="s">
        <v>6567</v>
      </c>
      <c r="B176" s="4" t="s">
        <v>6057</v>
      </c>
      <c r="C176" s="18">
        <v>45530.333333333336</v>
      </c>
      <c r="D176" s="7" t="s">
        <v>2154</v>
      </c>
      <c r="E176" s="18">
        <v>45530.416666666664</v>
      </c>
      <c r="F176" s="4"/>
      <c r="G176" s="4" t="s">
        <v>27</v>
      </c>
      <c r="H176" s="4" t="s">
        <v>1987</v>
      </c>
      <c r="K176" s="4" t="s">
        <v>6568</v>
      </c>
      <c r="L176" s="4"/>
    </row>
    <row r="177">
      <c r="A177" s="4" t="s">
        <v>6569</v>
      </c>
      <c r="B177" s="4" t="s">
        <v>5377</v>
      </c>
      <c r="C177" s="18">
        <v>45530.333333333336</v>
      </c>
      <c r="D177" s="7" t="s">
        <v>2148</v>
      </c>
      <c r="E177" s="18">
        <v>45530.416666666664</v>
      </c>
      <c r="F177" s="4" t="s">
        <v>6570</v>
      </c>
      <c r="G177" s="4" t="s">
        <v>110</v>
      </c>
      <c r="H177" s="4" t="s">
        <v>1987</v>
      </c>
      <c r="K177" s="4" t="s">
        <v>6571</v>
      </c>
      <c r="L177" s="4"/>
    </row>
    <row r="178">
      <c r="A178" s="51" t="s">
        <v>6572</v>
      </c>
      <c r="B178" s="53" t="s">
        <v>1427</v>
      </c>
      <c r="C178" s="60">
        <v>45528.86319444444</v>
      </c>
      <c r="D178" s="61">
        <v>2.0</v>
      </c>
      <c r="E178" s="60">
        <v>45528.94652777778</v>
      </c>
      <c r="F178" s="53" t="s">
        <v>3365</v>
      </c>
      <c r="G178" s="52" t="s">
        <v>27</v>
      </c>
    </row>
    <row r="179">
      <c r="A179" s="51" t="s">
        <v>6573</v>
      </c>
      <c r="B179" s="53" t="s">
        <v>6057</v>
      </c>
      <c r="C179" s="60">
        <v>45528.375</v>
      </c>
      <c r="D179" s="61">
        <v>4.0</v>
      </c>
      <c r="E179" s="60">
        <v>45528.541666666664</v>
      </c>
      <c r="F179" s="53" t="s">
        <v>6264</v>
      </c>
      <c r="G179" s="53" t="s">
        <v>27</v>
      </c>
    </row>
    <row r="180">
      <c r="A180" s="51" t="s">
        <v>6574</v>
      </c>
      <c r="B180" s="53" t="s">
        <v>6057</v>
      </c>
      <c r="C180" s="60">
        <v>45527.6875</v>
      </c>
      <c r="D180" s="61">
        <v>2.0</v>
      </c>
      <c r="E180" s="60">
        <v>45527.75</v>
      </c>
      <c r="F180" s="53" t="s">
        <v>6057</v>
      </c>
      <c r="G180" s="53" t="s">
        <v>27</v>
      </c>
    </row>
    <row r="181">
      <c r="A181" s="51" t="s">
        <v>6575</v>
      </c>
      <c r="B181" s="53" t="s">
        <v>5377</v>
      </c>
      <c r="C181" s="60">
        <v>45527.5625</v>
      </c>
      <c r="D181" s="62"/>
      <c r="E181" s="60">
        <v>45527.729166666664</v>
      </c>
      <c r="F181" s="53" t="s">
        <v>6576</v>
      </c>
      <c r="G181" s="53" t="s">
        <v>135</v>
      </c>
    </row>
    <row r="182">
      <c r="A182" s="51" t="s">
        <v>6577</v>
      </c>
      <c r="B182" s="53" t="s">
        <v>5457</v>
      </c>
      <c r="C182" s="60">
        <v>45527.5</v>
      </c>
      <c r="D182" s="61">
        <v>3.0</v>
      </c>
      <c r="E182" s="60">
        <v>45527.625</v>
      </c>
      <c r="F182" s="53" t="s">
        <v>6578</v>
      </c>
      <c r="G182" s="53" t="s">
        <v>27</v>
      </c>
    </row>
    <row r="183">
      <c r="A183" s="51" t="s">
        <v>6579</v>
      </c>
      <c r="B183" s="53" t="s">
        <v>1540</v>
      </c>
      <c r="C183" s="60">
        <v>45527.458333333336</v>
      </c>
      <c r="D183" s="61">
        <v>5.0</v>
      </c>
      <c r="E183" s="60">
        <v>45527.5</v>
      </c>
      <c r="F183" s="53" t="s">
        <v>6580</v>
      </c>
      <c r="G183" s="53" t="s">
        <v>27</v>
      </c>
    </row>
    <row r="184">
      <c r="A184" s="51" t="s">
        <v>6581</v>
      </c>
      <c r="B184" s="53" t="s">
        <v>5377</v>
      </c>
      <c r="C184" s="60">
        <v>45527.333333333336</v>
      </c>
      <c r="D184" s="61">
        <v>4.0</v>
      </c>
      <c r="E184" s="60">
        <v>45527.416666666664</v>
      </c>
      <c r="F184" s="53" t="s">
        <v>6582</v>
      </c>
      <c r="G184" s="53" t="s">
        <v>110</v>
      </c>
    </row>
    <row r="185">
      <c r="A185" s="51" t="s">
        <v>6583</v>
      </c>
      <c r="B185" s="53" t="s">
        <v>6057</v>
      </c>
      <c r="C185" s="60">
        <v>45526.708333333336</v>
      </c>
      <c r="D185" s="61">
        <v>2.0</v>
      </c>
      <c r="E185" s="60">
        <v>45526.770833333336</v>
      </c>
      <c r="F185" s="53" t="s">
        <v>6584</v>
      </c>
      <c r="G185" s="53" t="s">
        <v>27</v>
      </c>
    </row>
    <row r="186">
      <c r="A186" s="51" t="s">
        <v>6585</v>
      </c>
      <c r="B186" s="53" t="s">
        <v>5377</v>
      </c>
      <c r="C186" s="60">
        <v>45526.5625</v>
      </c>
      <c r="D186" s="61">
        <v>4.0</v>
      </c>
      <c r="E186" s="60">
        <v>45526.729166666664</v>
      </c>
      <c r="F186" s="53" t="s">
        <v>6586</v>
      </c>
      <c r="G186" s="53" t="s">
        <v>135</v>
      </c>
    </row>
    <row r="187">
      <c r="A187" s="51" t="s">
        <v>6587</v>
      </c>
      <c r="B187" s="53" t="s">
        <v>1554</v>
      </c>
      <c r="C187" s="60">
        <v>45526.5625</v>
      </c>
      <c r="D187" s="61">
        <v>2.0</v>
      </c>
      <c r="E187" s="60">
        <v>45526.666666666664</v>
      </c>
      <c r="F187" s="53" t="s">
        <v>6588</v>
      </c>
      <c r="G187" s="53" t="s">
        <v>27</v>
      </c>
    </row>
    <row r="188">
      <c r="A188" s="51" t="s">
        <v>6589</v>
      </c>
      <c r="B188" s="53" t="s">
        <v>1427</v>
      </c>
      <c r="C188" s="60">
        <v>45526.5</v>
      </c>
      <c r="D188" s="61">
        <v>5.0</v>
      </c>
      <c r="E188" s="60">
        <v>45526.541666666664</v>
      </c>
      <c r="F188" s="53" t="s">
        <v>4782</v>
      </c>
      <c r="G188" s="53" t="s">
        <v>27</v>
      </c>
    </row>
    <row r="189">
      <c r="A189" s="51" t="s">
        <v>6590</v>
      </c>
      <c r="B189" s="53" t="s">
        <v>6057</v>
      </c>
      <c r="C189" s="60">
        <v>45526.458333333336</v>
      </c>
      <c r="D189" s="61">
        <v>2.0</v>
      </c>
      <c r="E189" s="60">
        <v>45526.5</v>
      </c>
      <c r="F189" s="53" t="s">
        <v>6584</v>
      </c>
      <c r="G189" s="53" t="s">
        <v>27</v>
      </c>
    </row>
    <row r="190">
      <c r="A190" s="51" t="s">
        <v>6591</v>
      </c>
      <c r="B190" s="53" t="s">
        <v>1427</v>
      </c>
      <c r="C190" s="60">
        <v>45526.333333333336</v>
      </c>
      <c r="D190" s="61">
        <v>5.0</v>
      </c>
      <c r="E190" s="60">
        <v>45526.458333333336</v>
      </c>
      <c r="F190" s="53" t="s">
        <v>4782</v>
      </c>
      <c r="G190" s="53" t="s">
        <v>27</v>
      </c>
    </row>
    <row r="191">
      <c r="A191" s="51" t="s">
        <v>6592</v>
      </c>
      <c r="B191" s="53" t="s">
        <v>5377</v>
      </c>
      <c r="C191" s="60">
        <v>45526.333333333336</v>
      </c>
      <c r="D191" s="61">
        <v>4.0</v>
      </c>
      <c r="E191" s="60">
        <v>45526.416666666664</v>
      </c>
      <c r="F191" s="53" t="s">
        <v>6582</v>
      </c>
      <c r="G191" s="53" t="s">
        <v>110</v>
      </c>
    </row>
    <row r="192">
      <c r="A192" s="51" t="s">
        <v>6593</v>
      </c>
      <c r="B192" s="53" t="s">
        <v>1472</v>
      </c>
      <c r="C192" s="60">
        <v>45525.729166666664</v>
      </c>
      <c r="D192" s="61" t="s">
        <v>6318</v>
      </c>
      <c r="E192" s="60">
        <v>45525.854166666664</v>
      </c>
      <c r="F192" s="53" t="s">
        <v>6594</v>
      </c>
      <c r="G192" s="53" t="s">
        <v>27</v>
      </c>
    </row>
    <row r="193">
      <c r="A193" s="51" t="s">
        <v>6595</v>
      </c>
      <c r="B193" s="53" t="s">
        <v>6057</v>
      </c>
      <c r="C193" s="60">
        <v>45525.666666666664</v>
      </c>
      <c r="D193" s="61">
        <v>3.0</v>
      </c>
      <c r="E193" s="60">
        <v>45525.729166666664</v>
      </c>
      <c r="F193" s="53" t="s">
        <v>6596</v>
      </c>
      <c r="G193" s="53" t="s">
        <v>27</v>
      </c>
    </row>
    <row r="194">
      <c r="A194" s="51" t="s">
        <v>6597</v>
      </c>
      <c r="B194" s="53" t="s">
        <v>1472</v>
      </c>
      <c r="C194" s="60">
        <v>45525.589583333334</v>
      </c>
      <c r="D194" s="61" t="s">
        <v>6318</v>
      </c>
      <c r="E194" s="60">
        <v>45525.666666666664</v>
      </c>
      <c r="F194" s="53" t="s">
        <v>6594</v>
      </c>
      <c r="G194" s="53" t="s">
        <v>27</v>
      </c>
    </row>
    <row r="195">
      <c r="A195" s="51" t="s">
        <v>6598</v>
      </c>
      <c r="B195" s="53" t="s">
        <v>6057</v>
      </c>
      <c r="C195" s="60">
        <v>45525.56805555556</v>
      </c>
      <c r="D195" s="61">
        <v>3.0</v>
      </c>
      <c r="E195" s="60">
        <v>45525.58888888889</v>
      </c>
      <c r="F195" s="53" t="s">
        <v>6596</v>
      </c>
      <c r="G195" s="53" t="s">
        <v>27</v>
      </c>
    </row>
    <row r="196">
      <c r="A196" s="51" t="s">
        <v>6599</v>
      </c>
      <c r="B196" s="53" t="s">
        <v>1438</v>
      </c>
      <c r="C196" s="60">
        <v>45525.5625</v>
      </c>
      <c r="D196" s="61">
        <v>4.0</v>
      </c>
      <c r="E196" s="60">
        <v>45525.729166666664</v>
      </c>
      <c r="F196" s="53" t="s">
        <v>6600</v>
      </c>
      <c r="G196" s="53" t="s">
        <v>135</v>
      </c>
    </row>
    <row r="197">
      <c r="A197" s="51" t="s">
        <v>6601</v>
      </c>
      <c r="B197" s="53" t="s">
        <v>5457</v>
      </c>
      <c r="C197" s="60">
        <v>45525.479166666664</v>
      </c>
      <c r="D197" s="61" t="s">
        <v>6318</v>
      </c>
      <c r="E197" s="60">
        <v>45525.56805555556</v>
      </c>
      <c r="F197" s="53" t="s">
        <v>6602</v>
      </c>
      <c r="G197" s="53" t="s">
        <v>27</v>
      </c>
    </row>
    <row r="198">
      <c r="A198" s="51" t="s">
        <v>6603</v>
      </c>
      <c r="B198" s="53" t="s">
        <v>6057</v>
      </c>
      <c r="C198" s="60">
        <v>45525.395833333336</v>
      </c>
      <c r="D198" s="61">
        <v>1.0</v>
      </c>
      <c r="E198" s="60">
        <v>45525.479166666664</v>
      </c>
      <c r="F198" s="53" t="s">
        <v>6602</v>
      </c>
      <c r="G198" s="53" t="s">
        <v>27</v>
      </c>
    </row>
    <row r="199">
      <c r="A199" s="51" t="s">
        <v>6604</v>
      </c>
      <c r="B199" s="53" t="s">
        <v>5457</v>
      </c>
      <c r="C199" s="60">
        <v>45525.375</v>
      </c>
      <c r="D199" s="61">
        <v>1.0</v>
      </c>
      <c r="E199" s="60">
        <v>45525.395833333336</v>
      </c>
      <c r="F199" s="53" t="s">
        <v>6605</v>
      </c>
      <c r="G199" s="53" t="s">
        <v>27</v>
      </c>
    </row>
    <row r="200">
      <c r="A200" s="51" t="s">
        <v>6606</v>
      </c>
      <c r="B200" s="53" t="s">
        <v>1472</v>
      </c>
      <c r="C200" s="60">
        <v>45525.333333333336</v>
      </c>
      <c r="D200" s="61">
        <v>4.0</v>
      </c>
      <c r="E200" s="60">
        <v>45525.416666666664</v>
      </c>
      <c r="F200" s="53" t="s">
        <v>6607</v>
      </c>
      <c r="G200" s="53" t="s">
        <v>110</v>
      </c>
    </row>
    <row r="201">
      <c r="A201" s="51" t="s">
        <v>6608</v>
      </c>
      <c r="B201" s="53" t="s">
        <v>6057</v>
      </c>
      <c r="C201" s="60">
        <v>45524.875</v>
      </c>
      <c r="D201" s="61">
        <v>3.0</v>
      </c>
      <c r="E201" s="60">
        <v>45524.916666666664</v>
      </c>
      <c r="F201" s="53" t="s">
        <v>6609</v>
      </c>
      <c r="G201" s="53" t="s">
        <v>27</v>
      </c>
    </row>
    <row r="202">
      <c r="A202" s="51" t="s">
        <v>6610</v>
      </c>
      <c r="B202" s="53" t="s">
        <v>1472</v>
      </c>
      <c r="C202" s="60">
        <v>45524.708333333336</v>
      </c>
      <c r="D202" s="61">
        <v>3.0</v>
      </c>
      <c r="E202" s="60">
        <v>45524.791666666664</v>
      </c>
      <c r="F202" s="53" t="s">
        <v>6611</v>
      </c>
      <c r="G202" s="53" t="s">
        <v>27</v>
      </c>
    </row>
    <row r="203">
      <c r="A203" s="51" t="s">
        <v>6612</v>
      </c>
      <c r="B203" s="53" t="s">
        <v>1438</v>
      </c>
      <c r="C203" s="60">
        <v>45524.5625</v>
      </c>
      <c r="D203" s="61">
        <v>4.0</v>
      </c>
      <c r="E203" s="60">
        <v>45524.729166666664</v>
      </c>
      <c r="F203" s="53" t="s">
        <v>6600</v>
      </c>
      <c r="G203" s="53" t="s">
        <v>135</v>
      </c>
    </row>
    <row r="204">
      <c r="A204" s="51" t="s">
        <v>6613</v>
      </c>
      <c r="B204" s="53" t="s">
        <v>6057</v>
      </c>
      <c r="C204" s="60">
        <v>45524.541666666664</v>
      </c>
      <c r="D204" s="61">
        <v>2.0</v>
      </c>
      <c r="E204" s="60">
        <v>45524.625</v>
      </c>
      <c r="F204" s="53" t="s">
        <v>6614</v>
      </c>
      <c r="G204" s="53" t="s">
        <v>27</v>
      </c>
    </row>
    <row r="205">
      <c r="A205" s="51" t="s">
        <v>6615</v>
      </c>
      <c r="B205" s="53" t="s">
        <v>1427</v>
      </c>
      <c r="C205" s="60">
        <v>45524.333333333336</v>
      </c>
      <c r="D205" s="61">
        <v>5.0</v>
      </c>
      <c r="E205" s="60">
        <v>45524.541666666664</v>
      </c>
      <c r="F205" s="53" t="s">
        <v>4782</v>
      </c>
      <c r="G205" s="53" t="s">
        <v>27</v>
      </c>
    </row>
    <row r="206">
      <c r="A206" s="51" t="s">
        <v>6616</v>
      </c>
      <c r="B206" s="53" t="s">
        <v>1472</v>
      </c>
      <c r="C206" s="60">
        <v>45524.333333333336</v>
      </c>
      <c r="D206" s="61">
        <v>4.0</v>
      </c>
      <c r="E206" s="60">
        <v>45524.416666666664</v>
      </c>
      <c r="F206" s="53" t="s">
        <v>6607</v>
      </c>
      <c r="G206" s="53" t="s">
        <v>110</v>
      </c>
    </row>
    <row r="207">
      <c r="A207" s="51" t="s">
        <v>6617</v>
      </c>
      <c r="B207" s="53" t="s">
        <v>1472</v>
      </c>
      <c r="C207" s="60">
        <v>45523.8125</v>
      </c>
      <c r="D207" s="61">
        <v>1.0</v>
      </c>
      <c r="E207" s="60">
        <v>45523.947916666664</v>
      </c>
      <c r="F207" s="53" t="s">
        <v>6618</v>
      </c>
      <c r="G207" s="53" t="s">
        <v>27</v>
      </c>
    </row>
    <row r="208">
      <c r="A208" s="51" t="s">
        <v>6619</v>
      </c>
      <c r="B208" s="53" t="s">
        <v>6057</v>
      </c>
      <c r="C208" s="60">
        <v>45523.625</v>
      </c>
      <c r="D208" s="61">
        <v>2.0</v>
      </c>
      <c r="E208" s="60">
        <v>45523.8125</v>
      </c>
      <c r="F208" s="53" t="s">
        <v>6620</v>
      </c>
      <c r="G208" s="53" t="s">
        <v>27</v>
      </c>
    </row>
    <row r="209">
      <c r="A209" s="51" t="s">
        <v>6621</v>
      </c>
      <c r="B209" s="53" t="s">
        <v>1438</v>
      </c>
      <c r="C209" s="60">
        <v>45523.56319444445</v>
      </c>
      <c r="D209" s="61">
        <v>4.0</v>
      </c>
      <c r="E209" s="60">
        <v>45523.729166666664</v>
      </c>
      <c r="F209" s="53" t="s">
        <v>6622</v>
      </c>
      <c r="G209" s="53" t="s">
        <v>135</v>
      </c>
      <c r="L209" s="4" t="s">
        <v>6623</v>
      </c>
    </row>
    <row r="210">
      <c r="A210" s="51" t="s">
        <v>6624</v>
      </c>
      <c r="B210" s="53" t="s">
        <v>1438</v>
      </c>
      <c r="C210" s="60">
        <v>45523.541666666664</v>
      </c>
      <c r="D210" s="61">
        <v>1.0</v>
      </c>
      <c r="E210" s="60">
        <v>45523.625</v>
      </c>
      <c r="F210" s="53" t="s">
        <v>6625</v>
      </c>
      <c r="G210" s="53" t="s">
        <v>27</v>
      </c>
    </row>
    <row r="211">
      <c r="A211" s="51" t="s">
        <v>6626</v>
      </c>
      <c r="B211" s="53" t="s">
        <v>1472</v>
      </c>
      <c r="C211" s="60">
        <v>45523.4375</v>
      </c>
      <c r="D211" s="61">
        <v>5.0</v>
      </c>
      <c r="E211" s="60">
        <v>45523.541666666664</v>
      </c>
      <c r="F211" s="53" t="s">
        <v>6627</v>
      </c>
      <c r="G211" s="53" t="s">
        <v>27</v>
      </c>
    </row>
    <row r="212">
      <c r="A212" s="51" t="s">
        <v>6628</v>
      </c>
      <c r="B212" s="53" t="s">
        <v>6057</v>
      </c>
      <c r="C212" s="60">
        <v>45523.395833333336</v>
      </c>
      <c r="D212" s="61">
        <v>1.0</v>
      </c>
      <c r="E212" s="60">
        <v>45523.4375</v>
      </c>
      <c r="F212" s="53" t="s">
        <v>6057</v>
      </c>
      <c r="G212" s="53" t="s">
        <v>27</v>
      </c>
    </row>
    <row r="213">
      <c r="A213" s="51" t="s">
        <v>6629</v>
      </c>
      <c r="B213" s="53" t="s">
        <v>1472</v>
      </c>
      <c r="C213" s="60">
        <v>45523.375</v>
      </c>
      <c r="D213" s="61">
        <v>4.0</v>
      </c>
      <c r="E213" s="60">
        <v>45523.4375</v>
      </c>
      <c r="F213" s="53" t="s">
        <v>6607</v>
      </c>
      <c r="G213" s="53" t="s">
        <v>110</v>
      </c>
    </row>
    <row r="214">
      <c r="A214" s="51">
        <v>6.869281E7</v>
      </c>
      <c r="B214" s="53" t="s">
        <v>6216</v>
      </c>
      <c r="C214" s="60">
        <v>45523.333333333336</v>
      </c>
      <c r="D214" s="61">
        <v>2.0</v>
      </c>
      <c r="E214" s="60">
        <v>45523.416666666664</v>
      </c>
      <c r="F214" s="53" t="s">
        <v>6630</v>
      </c>
      <c r="G214" s="53" t="s">
        <v>110</v>
      </c>
    </row>
    <row r="215">
      <c r="A215" s="51">
        <v>8.3231887E7</v>
      </c>
      <c r="B215" s="53" t="s">
        <v>6216</v>
      </c>
      <c r="C215" s="60">
        <v>45523.333333333336</v>
      </c>
      <c r="D215" s="61">
        <v>1.0</v>
      </c>
      <c r="E215" s="60">
        <v>45523.395833333336</v>
      </c>
      <c r="F215" s="53" t="s">
        <v>6630</v>
      </c>
      <c r="G215" s="53" t="s">
        <v>110</v>
      </c>
    </row>
    <row r="216">
      <c r="A216" s="51" t="s">
        <v>6631</v>
      </c>
      <c r="B216" s="53" t="s">
        <v>1472</v>
      </c>
      <c r="C216" s="60">
        <v>45521.375</v>
      </c>
      <c r="D216" s="61">
        <v>5.0</v>
      </c>
      <c r="E216" s="60">
        <v>45521.583333333336</v>
      </c>
      <c r="F216" s="53" t="s">
        <v>6627</v>
      </c>
      <c r="G216" s="53" t="s">
        <v>27</v>
      </c>
    </row>
    <row r="217">
      <c r="A217" s="51" t="s">
        <v>6632</v>
      </c>
      <c r="B217" s="53" t="s">
        <v>6069</v>
      </c>
      <c r="C217" s="60">
        <v>45521.375</v>
      </c>
      <c r="D217" s="61">
        <v>4.0</v>
      </c>
      <c r="E217" s="60">
        <v>45521.541666666664</v>
      </c>
      <c r="F217" s="53" t="s">
        <v>6069</v>
      </c>
      <c r="G217" s="53" t="s">
        <v>135</v>
      </c>
    </row>
    <row r="218">
      <c r="A218" s="51" t="s">
        <v>6633</v>
      </c>
      <c r="B218" s="53" t="s">
        <v>5377</v>
      </c>
      <c r="C218" s="60">
        <v>45520.666666666664</v>
      </c>
      <c r="D218" s="61">
        <v>3.0</v>
      </c>
      <c r="E218" s="60">
        <v>45520.791666666664</v>
      </c>
      <c r="F218" s="53" t="s">
        <v>5377</v>
      </c>
      <c r="G218" s="53" t="s">
        <v>27</v>
      </c>
    </row>
    <row r="219">
      <c r="A219" s="51" t="s">
        <v>6634</v>
      </c>
      <c r="B219" s="53" t="s">
        <v>6057</v>
      </c>
      <c r="C219" s="60">
        <v>45520.5625</v>
      </c>
      <c r="D219" s="61">
        <v>4.0</v>
      </c>
      <c r="E219" s="60">
        <v>45520.729166666664</v>
      </c>
      <c r="F219" s="53" t="s">
        <v>6264</v>
      </c>
      <c r="G219" s="53" t="s">
        <v>135</v>
      </c>
    </row>
    <row r="220">
      <c r="A220" s="51" t="s">
        <v>6635</v>
      </c>
      <c r="B220" s="53" t="s">
        <v>5377</v>
      </c>
      <c r="C220" s="60">
        <v>45520.5</v>
      </c>
      <c r="D220" s="61">
        <v>2.0</v>
      </c>
      <c r="E220" s="60">
        <v>45520.583333333336</v>
      </c>
      <c r="F220" s="53" t="s">
        <v>5377</v>
      </c>
      <c r="G220" s="53" t="s">
        <v>27</v>
      </c>
    </row>
    <row r="221">
      <c r="A221" s="51" t="s">
        <v>6636</v>
      </c>
      <c r="B221" s="53" t="s">
        <v>6057</v>
      </c>
      <c r="C221" s="60">
        <v>45520.479166666664</v>
      </c>
      <c r="D221" s="61" t="s">
        <v>6318</v>
      </c>
      <c r="E221" s="60">
        <v>45520.5</v>
      </c>
      <c r="F221" s="53" t="s">
        <v>6264</v>
      </c>
      <c r="G221" s="53" t="s">
        <v>110</v>
      </c>
    </row>
    <row r="222">
      <c r="A222" s="51" t="s">
        <v>6637</v>
      </c>
      <c r="B222" s="53" t="s">
        <v>1472</v>
      </c>
      <c r="C222" s="60">
        <v>45520.4375</v>
      </c>
      <c r="D222" s="61">
        <v>1.0</v>
      </c>
      <c r="E222" s="60">
        <v>45520.458333333336</v>
      </c>
      <c r="F222" s="53" t="s">
        <v>6638</v>
      </c>
      <c r="G222" s="53" t="s">
        <v>110</v>
      </c>
    </row>
    <row r="223">
      <c r="A223" s="51" t="s">
        <v>6639</v>
      </c>
      <c r="B223" s="53" t="s">
        <v>6057</v>
      </c>
      <c r="C223" s="60">
        <v>45520.416666666664</v>
      </c>
      <c r="D223" s="61">
        <v>2.0</v>
      </c>
      <c r="E223" s="60">
        <v>45520.5</v>
      </c>
      <c r="F223" s="53" t="s">
        <v>6264</v>
      </c>
      <c r="G223" s="53" t="s">
        <v>27</v>
      </c>
    </row>
    <row r="224">
      <c r="A224" s="51" t="s">
        <v>6640</v>
      </c>
      <c r="B224" s="53" t="s">
        <v>1472</v>
      </c>
      <c r="C224" s="60">
        <v>45520.375</v>
      </c>
      <c r="D224" s="61">
        <v>1.0</v>
      </c>
      <c r="E224" s="60">
        <v>45520.416666666664</v>
      </c>
      <c r="F224" s="53" t="s">
        <v>4782</v>
      </c>
      <c r="G224" s="53" t="s">
        <v>27</v>
      </c>
    </row>
    <row r="225">
      <c r="A225" s="51" t="s">
        <v>6641</v>
      </c>
      <c r="B225" s="53" t="s">
        <v>6216</v>
      </c>
      <c r="C225" s="60">
        <v>45520.375</v>
      </c>
      <c r="D225" s="61">
        <v>1.0</v>
      </c>
      <c r="E225" s="60">
        <v>45520.4375</v>
      </c>
      <c r="F225" s="53" t="s">
        <v>6642</v>
      </c>
      <c r="G225" s="53" t="s">
        <v>110</v>
      </c>
    </row>
    <row r="226">
      <c r="A226" s="51" t="s">
        <v>6643</v>
      </c>
      <c r="B226" s="53" t="s">
        <v>6216</v>
      </c>
      <c r="C226" s="60">
        <v>45520.333333333336</v>
      </c>
      <c r="D226" s="61">
        <v>1.0</v>
      </c>
      <c r="E226" s="60">
        <v>45520.375</v>
      </c>
      <c r="F226" s="53" t="s">
        <v>6630</v>
      </c>
      <c r="G226" s="53" t="s">
        <v>110</v>
      </c>
    </row>
    <row r="227">
      <c r="A227" s="51" t="s">
        <v>6644</v>
      </c>
      <c r="B227" s="53" t="s">
        <v>1472</v>
      </c>
      <c r="C227" s="60">
        <v>45519.791666666664</v>
      </c>
      <c r="D227" s="61">
        <v>2.0</v>
      </c>
      <c r="E227" s="60">
        <v>45519.875</v>
      </c>
      <c r="F227" s="53" t="s">
        <v>4782</v>
      </c>
      <c r="G227" s="53" t="s">
        <v>27</v>
      </c>
    </row>
    <row r="228">
      <c r="A228" s="51" t="s">
        <v>6645</v>
      </c>
      <c r="B228" s="53" t="s">
        <v>1438</v>
      </c>
      <c r="C228" s="60">
        <v>45519.5625</v>
      </c>
      <c r="D228" s="61">
        <v>4.0</v>
      </c>
      <c r="E228" s="60">
        <v>45519.729166666664</v>
      </c>
      <c r="F228" s="53" t="s">
        <v>6646</v>
      </c>
      <c r="G228" s="53" t="s">
        <v>135</v>
      </c>
    </row>
    <row r="229">
      <c r="A229" s="51" t="s">
        <v>6647</v>
      </c>
      <c r="B229" s="53" t="s">
        <v>1427</v>
      </c>
      <c r="C229" s="60">
        <v>45519.375</v>
      </c>
      <c r="D229" s="61">
        <v>5.0</v>
      </c>
      <c r="E229" s="60">
        <v>45519.583333333336</v>
      </c>
      <c r="F229" s="53" t="s">
        <v>4782</v>
      </c>
      <c r="G229" s="53" t="s">
        <v>27</v>
      </c>
    </row>
    <row r="230">
      <c r="A230" s="51" t="s">
        <v>6648</v>
      </c>
      <c r="B230" s="53" t="s">
        <v>6057</v>
      </c>
      <c r="C230" s="60">
        <v>45519.333333333336</v>
      </c>
      <c r="D230" s="61">
        <v>1.0</v>
      </c>
      <c r="E230" s="60">
        <v>45519.375</v>
      </c>
      <c r="F230" s="53" t="s">
        <v>6264</v>
      </c>
      <c r="G230" s="53" t="s">
        <v>27</v>
      </c>
    </row>
    <row r="231">
      <c r="A231" s="51" t="s">
        <v>6649</v>
      </c>
      <c r="B231" s="53" t="s">
        <v>1540</v>
      </c>
      <c r="C231" s="60">
        <v>45519.333333333336</v>
      </c>
      <c r="D231" s="61">
        <v>4.0</v>
      </c>
      <c r="E231" s="60">
        <v>45519.395833333336</v>
      </c>
      <c r="F231" s="53" t="s">
        <v>6650</v>
      </c>
      <c r="G231" s="53" t="s">
        <v>110</v>
      </c>
    </row>
    <row r="232">
      <c r="A232" s="51" t="s">
        <v>6651</v>
      </c>
      <c r="B232" s="53" t="s">
        <v>6057</v>
      </c>
      <c r="C232" s="60">
        <v>45518.458333333336</v>
      </c>
      <c r="D232" s="61">
        <v>2.0</v>
      </c>
      <c r="E232" s="60">
        <v>45518.916666666664</v>
      </c>
      <c r="F232" s="53" t="s">
        <v>6264</v>
      </c>
      <c r="G232" s="53" t="s">
        <v>27</v>
      </c>
    </row>
    <row r="233">
      <c r="A233" s="51" t="s">
        <v>6652</v>
      </c>
      <c r="B233" s="53" t="s">
        <v>5377</v>
      </c>
      <c r="C233" s="60">
        <v>45518.416666666664</v>
      </c>
      <c r="D233" s="61">
        <v>1.0</v>
      </c>
      <c r="E233" s="60">
        <v>45518.458333333336</v>
      </c>
      <c r="F233" s="53" t="s">
        <v>6264</v>
      </c>
      <c r="G233" s="53" t="s">
        <v>27</v>
      </c>
    </row>
    <row r="234">
      <c r="A234" s="51" t="s">
        <v>6653</v>
      </c>
      <c r="B234" s="53" t="s">
        <v>6057</v>
      </c>
      <c r="C234" s="60">
        <v>45518.333333333336</v>
      </c>
      <c r="D234" s="61">
        <v>2.0</v>
      </c>
      <c r="E234" s="60">
        <v>45518.416666666664</v>
      </c>
      <c r="F234" s="53" t="s">
        <v>6264</v>
      </c>
      <c r="G234" s="53" t="s">
        <v>27</v>
      </c>
    </row>
    <row r="235">
      <c r="A235" s="51" t="s">
        <v>6654</v>
      </c>
      <c r="B235" s="53" t="s">
        <v>1540</v>
      </c>
      <c r="C235" s="60">
        <v>45518.333333333336</v>
      </c>
      <c r="D235" s="61">
        <v>4.0</v>
      </c>
      <c r="E235" s="60">
        <v>45518.395833333336</v>
      </c>
      <c r="F235" s="53" t="s">
        <v>6650</v>
      </c>
      <c r="G235" s="53" t="s">
        <v>110</v>
      </c>
    </row>
    <row r="236">
      <c r="A236" s="51" t="s">
        <v>6655</v>
      </c>
      <c r="B236" s="53" t="s">
        <v>6057</v>
      </c>
      <c r="C236" s="60">
        <v>45517.75</v>
      </c>
      <c r="D236" s="61">
        <v>1.0</v>
      </c>
      <c r="E236" s="60">
        <v>45517.791666666664</v>
      </c>
      <c r="F236" s="53" t="s">
        <v>6264</v>
      </c>
      <c r="G236" s="53" t="s">
        <v>27</v>
      </c>
    </row>
    <row r="237">
      <c r="A237" s="51" t="s">
        <v>6656</v>
      </c>
      <c r="B237" s="53" t="s">
        <v>5384</v>
      </c>
      <c r="C237" s="60">
        <v>45517.708333333336</v>
      </c>
      <c r="D237" s="61">
        <v>1.0</v>
      </c>
      <c r="E237" s="60">
        <v>45517.75</v>
      </c>
      <c r="F237" s="52" t="s">
        <v>1420</v>
      </c>
      <c r="G237" s="53" t="s">
        <v>27</v>
      </c>
    </row>
    <row r="238">
      <c r="A238" s="51" t="s">
        <v>6657</v>
      </c>
      <c r="B238" s="53" t="s">
        <v>1438</v>
      </c>
      <c r="C238" s="60">
        <v>45517.6875</v>
      </c>
      <c r="D238" s="61">
        <v>1.0</v>
      </c>
      <c r="E238" s="60">
        <v>45517.729166666664</v>
      </c>
      <c r="F238" s="53" t="s">
        <v>4782</v>
      </c>
      <c r="G238" s="53" t="s">
        <v>135</v>
      </c>
    </row>
    <row r="239">
      <c r="A239" s="51" t="s">
        <v>6658</v>
      </c>
      <c r="B239" s="53" t="s">
        <v>1427</v>
      </c>
      <c r="C239" s="60">
        <v>45517.5625</v>
      </c>
      <c r="D239" s="61">
        <v>3.0</v>
      </c>
      <c r="E239" s="60">
        <v>45517.6875</v>
      </c>
      <c r="F239" s="53" t="s">
        <v>4782</v>
      </c>
      <c r="G239" s="53" t="s">
        <v>135</v>
      </c>
    </row>
    <row r="240">
      <c r="A240" s="51" t="s">
        <v>6659</v>
      </c>
      <c r="B240" s="53" t="s">
        <v>5384</v>
      </c>
      <c r="C240" s="60">
        <v>45517.5</v>
      </c>
      <c r="D240" s="61">
        <v>4.0</v>
      </c>
      <c r="E240" s="60">
        <v>45517.666666666664</v>
      </c>
      <c r="F240" s="52" t="s">
        <v>1420</v>
      </c>
      <c r="G240" s="53" t="s">
        <v>27</v>
      </c>
    </row>
    <row r="241">
      <c r="A241" s="51" t="s">
        <v>6660</v>
      </c>
      <c r="B241" s="53" t="s">
        <v>1540</v>
      </c>
      <c r="C241" s="60">
        <v>45517.333333333336</v>
      </c>
      <c r="D241" s="61">
        <v>4.0</v>
      </c>
      <c r="E241" s="60">
        <v>45517.395833333336</v>
      </c>
      <c r="F241" s="53" t="s">
        <v>6650</v>
      </c>
      <c r="G241" s="53" t="s">
        <v>110</v>
      </c>
    </row>
    <row r="242">
      <c r="A242" s="51" t="s">
        <v>6661</v>
      </c>
      <c r="B242" s="53" t="s">
        <v>6057</v>
      </c>
      <c r="C242" s="60">
        <v>45517.333333333336</v>
      </c>
      <c r="D242" s="62"/>
      <c r="E242" s="60">
        <v>45517.5</v>
      </c>
      <c r="F242" s="53" t="s">
        <v>6264</v>
      </c>
      <c r="G242" s="53" t="s">
        <v>27</v>
      </c>
    </row>
    <row r="243">
      <c r="A243" s="51" t="s">
        <v>6662</v>
      </c>
      <c r="B243" s="53" t="s">
        <v>1427</v>
      </c>
      <c r="C243" s="60">
        <v>45516.5625</v>
      </c>
      <c r="D243" s="61">
        <v>4.0</v>
      </c>
      <c r="E243" s="60">
        <v>45516.729166666664</v>
      </c>
      <c r="F243" s="53" t="s">
        <v>4782</v>
      </c>
      <c r="G243" s="53" t="s">
        <v>135</v>
      </c>
    </row>
    <row r="244">
      <c r="A244" s="51" t="s">
        <v>6663</v>
      </c>
      <c r="B244" s="53" t="s">
        <v>6057</v>
      </c>
      <c r="C244" s="60">
        <v>45516.541666666664</v>
      </c>
      <c r="D244" s="61">
        <v>3.0</v>
      </c>
      <c r="E244" s="60">
        <v>45516.833333333336</v>
      </c>
      <c r="F244" s="53" t="s">
        <v>6264</v>
      </c>
      <c r="G244" s="53" t="s">
        <v>27</v>
      </c>
    </row>
    <row r="245">
      <c r="A245" s="51" t="s">
        <v>6664</v>
      </c>
      <c r="B245" s="53" t="s">
        <v>1540</v>
      </c>
      <c r="C245" s="60">
        <v>45516.333333333336</v>
      </c>
      <c r="D245" s="61">
        <v>4.0</v>
      </c>
      <c r="E245" s="60">
        <v>45516.395833333336</v>
      </c>
      <c r="F245" s="53" t="s">
        <v>6650</v>
      </c>
      <c r="G245" s="53" t="s">
        <v>110</v>
      </c>
    </row>
    <row r="246">
      <c r="A246" s="51" t="s">
        <v>6665</v>
      </c>
      <c r="B246" s="53" t="s">
        <v>1427</v>
      </c>
      <c r="C246" s="60">
        <v>45516.333333333336</v>
      </c>
      <c r="D246" s="61">
        <v>5.0</v>
      </c>
      <c r="E246" s="60">
        <v>45516.541666666664</v>
      </c>
      <c r="F246" s="53" t="s">
        <v>4782</v>
      </c>
      <c r="G246" s="53" t="s">
        <v>27</v>
      </c>
    </row>
    <row r="247">
      <c r="A247" s="4" t="s">
        <v>6666</v>
      </c>
      <c r="B247" s="4" t="s">
        <v>5533</v>
      </c>
      <c r="C247" s="18">
        <v>45513.625</v>
      </c>
      <c r="D247" s="7" t="s">
        <v>2200</v>
      </c>
      <c r="E247" s="18">
        <v>45513.75</v>
      </c>
      <c r="F247" s="4" t="s">
        <v>5533</v>
      </c>
      <c r="G247" s="4" t="s">
        <v>6035</v>
      </c>
      <c r="H247" s="4" t="s">
        <v>1987</v>
      </c>
      <c r="K247" s="4" t="s">
        <v>6667</v>
      </c>
      <c r="L247" s="4" t="s">
        <v>6668</v>
      </c>
    </row>
    <row r="248">
      <c r="A248" s="51" t="s">
        <v>6669</v>
      </c>
      <c r="B248" s="53" t="s">
        <v>1438</v>
      </c>
      <c r="C248" s="60">
        <v>45513.604166666664</v>
      </c>
      <c r="D248" s="61">
        <v>3.0</v>
      </c>
      <c r="E248" s="60">
        <v>45513.729166666664</v>
      </c>
      <c r="F248" s="53" t="s">
        <v>6670</v>
      </c>
      <c r="G248" s="53" t="s">
        <v>135</v>
      </c>
    </row>
    <row r="249">
      <c r="A249" s="51" t="s">
        <v>6671</v>
      </c>
      <c r="B249" s="53" t="s">
        <v>5457</v>
      </c>
      <c r="C249" s="60">
        <v>45513.5625</v>
      </c>
      <c r="D249" s="61">
        <v>1.0</v>
      </c>
      <c r="E249" s="60">
        <v>45513.604166666664</v>
      </c>
      <c r="F249" s="53" t="s">
        <v>6672</v>
      </c>
      <c r="G249" s="53" t="s">
        <v>135</v>
      </c>
    </row>
    <row r="250">
      <c r="A250" s="51" t="s">
        <v>6673</v>
      </c>
      <c r="B250" s="53" t="s">
        <v>5457</v>
      </c>
      <c r="C250" s="60">
        <v>45512.604166666664</v>
      </c>
      <c r="D250" s="61">
        <v>3.0</v>
      </c>
      <c r="E250" s="60">
        <v>45512.729166666664</v>
      </c>
      <c r="F250" s="53" t="s">
        <v>6672</v>
      </c>
      <c r="G250" s="53" t="s">
        <v>135</v>
      </c>
    </row>
    <row r="251">
      <c r="A251" s="51" t="s">
        <v>6674</v>
      </c>
      <c r="B251" s="53" t="s">
        <v>1438</v>
      </c>
      <c r="C251" s="60">
        <v>45512.5625</v>
      </c>
      <c r="D251" s="61">
        <v>1.0</v>
      </c>
      <c r="E251" s="60">
        <v>45512.604166666664</v>
      </c>
      <c r="F251" s="53" t="s">
        <v>6646</v>
      </c>
      <c r="G251" s="53" t="s">
        <v>135</v>
      </c>
    </row>
    <row r="252">
      <c r="A252" s="51" t="s">
        <v>6675</v>
      </c>
      <c r="B252" s="53" t="s">
        <v>1438</v>
      </c>
      <c r="C252" s="60">
        <v>45511.5625</v>
      </c>
      <c r="D252" s="61">
        <v>4.0</v>
      </c>
      <c r="E252" s="60">
        <v>45511.729166666664</v>
      </c>
      <c r="F252" s="53" t="s">
        <v>6670</v>
      </c>
      <c r="G252" s="53" t="s">
        <v>135</v>
      </c>
    </row>
    <row r="253">
      <c r="A253" s="4" t="s">
        <v>6676</v>
      </c>
      <c r="B253" s="4" t="s">
        <v>5533</v>
      </c>
      <c r="C253" s="18">
        <v>45510.708333333336</v>
      </c>
      <c r="D253" s="7" t="s">
        <v>2148</v>
      </c>
      <c r="E253" s="18">
        <v>45510.875</v>
      </c>
      <c r="F253" s="4" t="s">
        <v>5533</v>
      </c>
      <c r="G253" s="4" t="s">
        <v>6035</v>
      </c>
      <c r="H253" s="4" t="s">
        <v>1987</v>
      </c>
      <c r="K253" s="4" t="s">
        <v>6677</v>
      </c>
      <c r="L253" s="4" t="s">
        <v>6668</v>
      </c>
    </row>
    <row r="254">
      <c r="A254" s="51" t="s">
        <v>6678</v>
      </c>
      <c r="B254" s="53" t="s">
        <v>1438</v>
      </c>
      <c r="C254" s="60">
        <v>45510.5625</v>
      </c>
      <c r="D254" s="61">
        <v>4.0</v>
      </c>
      <c r="E254" s="60">
        <v>45510.729166666664</v>
      </c>
      <c r="F254" s="53" t="s">
        <v>6670</v>
      </c>
      <c r="G254" s="53" t="s">
        <v>135</v>
      </c>
    </row>
    <row r="255">
      <c r="A255" s="4" t="s">
        <v>6679</v>
      </c>
      <c r="B255" s="4" t="s">
        <v>5533</v>
      </c>
      <c r="C255" s="18">
        <v>45509.708333333336</v>
      </c>
      <c r="D255" s="7" t="s">
        <v>2148</v>
      </c>
      <c r="E255" s="18">
        <v>45509.875</v>
      </c>
      <c r="F255" s="4" t="s">
        <v>5533</v>
      </c>
      <c r="G255" s="4" t="s">
        <v>6035</v>
      </c>
      <c r="H255" s="4" t="s">
        <v>1987</v>
      </c>
      <c r="K255" s="4" t="s">
        <v>6680</v>
      </c>
      <c r="L255" s="4" t="s">
        <v>6668</v>
      </c>
    </row>
    <row r="256">
      <c r="A256" s="51" t="s">
        <v>6681</v>
      </c>
      <c r="B256" s="53" t="s">
        <v>1438</v>
      </c>
      <c r="C256" s="60">
        <v>45509.5625</v>
      </c>
      <c r="D256" s="61">
        <v>4.0</v>
      </c>
      <c r="E256" s="60">
        <v>45509.729166666664</v>
      </c>
      <c r="F256" s="53" t="s">
        <v>6670</v>
      </c>
      <c r="G256" s="53" t="s">
        <v>135</v>
      </c>
    </row>
    <row r="257">
      <c r="A257" s="4" t="s">
        <v>6682</v>
      </c>
      <c r="B257" s="4" t="s">
        <v>5533</v>
      </c>
      <c r="C257" s="18">
        <v>45506.708333333336</v>
      </c>
      <c r="D257" s="7" t="s">
        <v>2200</v>
      </c>
      <c r="E257" s="18">
        <v>45506.833333333336</v>
      </c>
      <c r="F257" s="4" t="s">
        <v>5533</v>
      </c>
      <c r="G257" s="4" t="s">
        <v>6035</v>
      </c>
      <c r="H257" s="4" t="s">
        <v>1987</v>
      </c>
      <c r="K257" s="4" t="s">
        <v>6683</v>
      </c>
      <c r="L257" s="4" t="s">
        <v>6668</v>
      </c>
    </row>
    <row r="258">
      <c r="A258" s="51" t="s">
        <v>6684</v>
      </c>
      <c r="B258" s="53" t="s">
        <v>1438</v>
      </c>
      <c r="C258" s="60">
        <v>45506.5625</v>
      </c>
      <c r="D258" s="61">
        <v>4.0</v>
      </c>
      <c r="E258" s="60">
        <v>45506.729166666664</v>
      </c>
      <c r="F258" s="53" t="s">
        <v>6670</v>
      </c>
      <c r="G258" s="53" t="s">
        <v>135</v>
      </c>
    </row>
    <row r="259">
      <c r="A259" s="4" t="s">
        <v>6685</v>
      </c>
      <c r="B259" s="4" t="s">
        <v>5533</v>
      </c>
      <c r="C259" s="18">
        <v>45505.75</v>
      </c>
      <c r="D259" s="7" t="s">
        <v>2147</v>
      </c>
      <c r="E259" s="18">
        <v>45505.791666666664</v>
      </c>
      <c r="F259" s="4" t="s">
        <v>5533</v>
      </c>
      <c r="G259" s="4" t="s">
        <v>6035</v>
      </c>
      <c r="H259" s="4" t="s">
        <v>1987</v>
      </c>
      <c r="K259" s="4" t="s">
        <v>6686</v>
      </c>
      <c r="L259" s="4" t="s">
        <v>6668</v>
      </c>
    </row>
    <row r="260">
      <c r="A260" s="51" t="s">
        <v>6687</v>
      </c>
      <c r="B260" s="53" t="s">
        <v>1438</v>
      </c>
      <c r="C260" s="60">
        <v>45505.645833333336</v>
      </c>
      <c r="D260" s="61">
        <v>2.0</v>
      </c>
      <c r="E260" s="60">
        <v>45505.729166666664</v>
      </c>
      <c r="F260" s="53" t="s">
        <v>6670</v>
      </c>
      <c r="G260" s="53" t="s">
        <v>135</v>
      </c>
    </row>
    <row r="261">
      <c r="A261" s="51" t="s">
        <v>6688</v>
      </c>
      <c r="B261" s="53" t="s">
        <v>1427</v>
      </c>
      <c r="C261" s="60">
        <v>45505.604166666664</v>
      </c>
      <c r="D261" s="61">
        <v>1.0</v>
      </c>
      <c r="E261" s="60">
        <v>45505.645833333336</v>
      </c>
      <c r="F261" s="53" t="s">
        <v>4782</v>
      </c>
      <c r="G261" s="53" t="s">
        <v>135</v>
      </c>
    </row>
    <row r="262">
      <c r="A262" s="51" t="s">
        <v>6689</v>
      </c>
      <c r="B262" s="53" t="s">
        <v>1472</v>
      </c>
      <c r="C262" s="60">
        <v>45505.5625</v>
      </c>
      <c r="D262" s="61">
        <v>1.0</v>
      </c>
      <c r="E262" s="60">
        <v>45505.604166666664</v>
      </c>
      <c r="F262" s="53" t="s">
        <v>6627</v>
      </c>
      <c r="G262" s="53" t="s">
        <v>135</v>
      </c>
    </row>
    <row r="263">
      <c r="A263" s="51" t="s">
        <v>6690</v>
      </c>
      <c r="B263" s="53" t="s">
        <v>5384</v>
      </c>
      <c r="C263" s="60">
        <v>45504.6875</v>
      </c>
      <c r="D263" s="61">
        <v>1.0</v>
      </c>
      <c r="E263" s="60">
        <v>45504.729166666664</v>
      </c>
      <c r="F263" s="52" t="s">
        <v>1420</v>
      </c>
      <c r="G263" s="53" t="s">
        <v>135</v>
      </c>
    </row>
    <row r="264">
      <c r="A264" s="51" t="s">
        <v>6691</v>
      </c>
      <c r="B264" s="53" t="s">
        <v>1427</v>
      </c>
      <c r="C264" s="60">
        <v>45504.645833333336</v>
      </c>
      <c r="D264" s="61">
        <v>1.0</v>
      </c>
      <c r="E264" s="60">
        <v>45504.6875</v>
      </c>
      <c r="F264" s="53" t="s">
        <v>4782</v>
      </c>
      <c r="G264" s="53" t="s">
        <v>135</v>
      </c>
    </row>
    <row r="265">
      <c r="A265" s="51" t="s">
        <v>6692</v>
      </c>
      <c r="B265" s="53" t="s">
        <v>5384</v>
      </c>
      <c r="C265" s="60">
        <v>45504.604166666664</v>
      </c>
      <c r="D265" s="61">
        <v>1.0</v>
      </c>
      <c r="E265" s="60">
        <v>45504.645833333336</v>
      </c>
      <c r="F265" s="52" t="s">
        <v>1420</v>
      </c>
      <c r="G265" s="53" t="s">
        <v>135</v>
      </c>
    </row>
    <row r="266">
      <c r="A266" s="51" t="s">
        <v>6693</v>
      </c>
      <c r="B266" s="53" t="s">
        <v>1427</v>
      </c>
      <c r="C266" s="60">
        <v>45504.5625</v>
      </c>
      <c r="D266" s="61">
        <v>1.0</v>
      </c>
      <c r="E266" s="60">
        <v>45504.604166666664</v>
      </c>
      <c r="F266" s="53" t="s">
        <v>4782</v>
      </c>
      <c r="G266" s="53" t="s">
        <v>135</v>
      </c>
    </row>
    <row r="267">
      <c r="A267" s="4" t="s">
        <v>6694</v>
      </c>
      <c r="B267" s="4" t="s">
        <v>5533</v>
      </c>
      <c r="C267" s="18">
        <v>45503.75</v>
      </c>
      <c r="D267" s="7" t="s">
        <v>2154</v>
      </c>
      <c r="E267" s="18">
        <v>45503.833333333336</v>
      </c>
      <c r="F267" s="4" t="s">
        <v>5533</v>
      </c>
      <c r="G267" s="4" t="s">
        <v>6035</v>
      </c>
      <c r="H267" s="4" t="s">
        <v>1987</v>
      </c>
      <c r="K267" s="4" t="s">
        <v>6695</v>
      </c>
      <c r="L267" s="4" t="s">
        <v>6696</v>
      </c>
    </row>
    <row r="268">
      <c r="A268" s="51" t="s">
        <v>6697</v>
      </c>
      <c r="B268" s="53" t="s">
        <v>1427</v>
      </c>
      <c r="C268" s="60">
        <v>45503.5625</v>
      </c>
      <c r="D268" s="61">
        <v>4.0</v>
      </c>
      <c r="E268" s="60">
        <v>45503.729166666664</v>
      </c>
      <c r="F268" s="53" t="s">
        <v>4782</v>
      </c>
      <c r="G268" s="53" t="s">
        <v>135</v>
      </c>
    </row>
    <row r="269">
      <c r="A269" s="51" t="s">
        <v>6698</v>
      </c>
      <c r="B269" s="53" t="s">
        <v>1427</v>
      </c>
      <c r="C269" s="60">
        <v>45502.604166666664</v>
      </c>
      <c r="D269" s="61">
        <v>4.0</v>
      </c>
      <c r="E269" s="60">
        <v>45502.770833333336</v>
      </c>
      <c r="F269" s="53" t="s">
        <v>4782</v>
      </c>
      <c r="G269" s="53" t="s">
        <v>135</v>
      </c>
    </row>
    <row r="270">
      <c r="A270" s="51" t="s">
        <v>6699</v>
      </c>
      <c r="B270" s="53" t="s">
        <v>1427</v>
      </c>
      <c r="C270" s="60">
        <v>45502.583333333336</v>
      </c>
      <c r="D270" s="61" t="s">
        <v>6318</v>
      </c>
      <c r="E270" s="60">
        <v>45502.604166666664</v>
      </c>
      <c r="F270" s="53" t="s">
        <v>4782</v>
      </c>
      <c r="G270" s="53" t="s">
        <v>135</v>
      </c>
    </row>
    <row r="271">
      <c r="A271" s="51" t="s">
        <v>6700</v>
      </c>
      <c r="B271" s="53" t="s">
        <v>1472</v>
      </c>
      <c r="C271" s="60">
        <v>45502.5625</v>
      </c>
      <c r="D271" s="61" t="s">
        <v>6318</v>
      </c>
      <c r="E271" s="60">
        <v>45502.583333333336</v>
      </c>
      <c r="F271" s="53" t="s">
        <v>6627</v>
      </c>
      <c r="G271" s="53" t="s">
        <v>135</v>
      </c>
    </row>
    <row r="272">
      <c r="A272" s="4" t="s">
        <v>6701</v>
      </c>
      <c r="B272" s="4" t="s">
        <v>5533</v>
      </c>
      <c r="C272" s="18">
        <v>45499.75</v>
      </c>
      <c r="D272" s="7" t="s">
        <v>2154</v>
      </c>
      <c r="E272" s="18">
        <v>45499.833333333336</v>
      </c>
      <c r="F272" s="4" t="s">
        <v>5533</v>
      </c>
      <c r="G272" s="4" t="s">
        <v>6035</v>
      </c>
      <c r="H272" s="4" t="s">
        <v>1987</v>
      </c>
      <c r="K272" s="4" t="s">
        <v>6702</v>
      </c>
      <c r="L272" s="4" t="s">
        <v>6696</v>
      </c>
    </row>
    <row r="273">
      <c r="A273" s="4" t="s">
        <v>6703</v>
      </c>
      <c r="B273" s="4" t="s">
        <v>5533</v>
      </c>
      <c r="C273" s="18">
        <v>45498.75</v>
      </c>
      <c r="D273" s="7" t="s">
        <v>2154</v>
      </c>
      <c r="E273" s="18">
        <v>45498.833333333336</v>
      </c>
      <c r="F273" s="4" t="s">
        <v>5533</v>
      </c>
      <c r="G273" s="4" t="s">
        <v>6035</v>
      </c>
      <c r="H273" s="4" t="s">
        <v>1987</v>
      </c>
      <c r="K273" s="4" t="s">
        <v>6704</v>
      </c>
      <c r="L273" s="4" t="s">
        <v>6696</v>
      </c>
    </row>
    <row r="274">
      <c r="A274" s="51" t="s">
        <v>6705</v>
      </c>
      <c r="B274" s="53" t="s">
        <v>1427</v>
      </c>
      <c r="C274" s="60">
        <v>45498.5625</v>
      </c>
      <c r="D274" s="61">
        <v>5.0</v>
      </c>
      <c r="E274" s="60">
        <v>45498.770833333336</v>
      </c>
      <c r="F274" s="53" t="s">
        <v>4782</v>
      </c>
      <c r="G274" s="53" t="s">
        <v>135</v>
      </c>
    </row>
    <row r="275">
      <c r="A275" s="51" t="s">
        <v>6706</v>
      </c>
      <c r="B275" s="53" t="s">
        <v>5384</v>
      </c>
      <c r="C275" s="60">
        <v>45497.5625</v>
      </c>
      <c r="D275" s="61">
        <v>5.0</v>
      </c>
      <c r="E275" s="60">
        <v>45497.770833333336</v>
      </c>
      <c r="F275" s="52" t="s">
        <v>1420</v>
      </c>
      <c r="G275" s="53" t="s">
        <v>135</v>
      </c>
    </row>
    <row r="276">
      <c r="A276" s="4" t="s">
        <v>6707</v>
      </c>
      <c r="B276" s="4" t="s">
        <v>5533</v>
      </c>
      <c r="C276" s="18">
        <v>45496.75</v>
      </c>
      <c r="D276" s="7" t="s">
        <v>2154</v>
      </c>
      <c r="E276" s="18">
        <v>45496.833333333336</v>
      </c>
      <c r="F276" s="4" t="s">
        <v>5533</v>
      </c>
      <c r="G276" s="4" t="s">
        <v>6035</v>
      </c>
      <c r="H276" s="4" t="s">
        <v>1987</v>
      </c>
      <c r="K276" s="4" t="s">
        <v>6708</v>
      </c>
      <c r="L276" s="4" t="s">
        <v>6696</v>
      </c>
    </row>
    <row r="277">
      <c r="A277" s="51" t="s">
        <v>6709</v>
      </c>
      <c r="B277" s="53" t="s">
        <v>5457</v>
      </c>
      <c r="C277" s="60">
        <v>45496.645833333336</v>
      </c>
      <c r="D277" s="61">
        <v>3.0</v>
      </c>
      <c r="E277" s="60">
        <v>45496.770833333336</v>
      </c>
      <c r="F277" s="53" t="s">
        <v>6672</v>
      </c>
      <c r="G277" s="53" t="s">
        <v>135</v>
      </c>
    </row>
    <row r="278">
      <c r="A278" s="51" t="s">
        <v>6710</v>
      </c>
      <c r="B278" s="53" t="s">
        <v>5384</v>
      </c>
      <c r="C278" s="60">
        <v>45496.5625</v>
      </c>
      <c r="D278" s="61">
        <v>2.0</v>
      </c>
      <c r="E278" s="60">
        <v>45496.645833333336</v>
      </c>
      <c r="F278" s="52" t="s">
        <v>1420</v>
      </c>
      <c r="G278" s="53" t="s">
        <v>135</v>
      </c>
    </row>
    <row r="279">
      <c r="A279" s="51" t="s">
        <v>6711</v>
      </c>
      <c r="B279" s="53" t="s">
        <v>5457</v>
      </c>
      <c r="C279" s="60">
        <v>45495.729166666664</v>
      </c>
      <c r="D279" s="61">
        <v>1.0</v>
      </c>
      <c r="E279" s="60">
        <v>45495.770833333336</v>
      </c>
      <c r="F279" s="53" t="s">
        <v>6672</v>
      </c>
      <c r="G279" s="53" t="s">
        <v>135</v>
      </c>
    </row>
    <row r="280">
      <c r="A280" s="51" t="s">
        <v>6712</v>
      </c>
      <c r="B280" s="53" t="s">
        <v>5384</v>
      </c>
      <c r="C280" s="60">
        <v>45495.5625</v>
      </c>
      <c r="D280" s="61">
        <v>4.0</v>
      </c>
      <c r="E280" s="60">
        <v>45495.729166666664</v>
      </c>
      <c r="F280" s="52" t="s">
        <v>1420</v>
      </c>
      <c r="G280" s="53" t="s">
        <v>135</v>
      </c>
    </row>
    <row r="281">
      <c r="A281" s="4" t="s">
        <v>6713</v>
      </c>
      <c r="B281" s="4" t="s">
        <v>5533</v>
      </c>
      <c r="C281" s="18">
        <v>45492.625</v>
      </c>
      <c r="D281" s="7" t="s">
        <v>2154</v>
      </c>
      <c r="E281" s="18">
        <v>45492.708333333336</v>
      </c>
      <c r="F281" s="4" t="s">
        <v>5533</v>
      </c>
      <c r="G281" s="4" t="s">
        <v>6035</v>
      </c>
      <c r="H281" s="4" t="s">
        <v>1987</v>
      </c>
      <c r="K281" s="4" t="s">
        <v>6714</v>
      </c>
      <c r="L281" s="4" t="s">
        <v>6715</v>
      </c>
    </row>
    <row r="282">
      <c r="A282" s="51" t="s">
        <v>6716</v>
      </c>
      <c r="B282" s="53" t="s">
        <v>5384</v>
      </c>
      <c r="C282" s="60">
        <v>45492.5625</v>
      </c>
      <c r="D282" s="61">
        <v>4.0</v>
      </c>
      <c r="E282" s="60">
        <v>45492.729166666664</v>
      </c>
      <c r="F282" s="52" t="s">
        <v>1420</v>
      </c>
      <c r="G282" s="53" t="s">
        <v>135</v>
      </c>
    </row>
    <row r="283">
      <c r="A283" s="4" t="s">
        <v>6717</v>
      </c>
      <c r="B283" s="4" t="s">
        <v>5533</v>
      </c>
      <c r="C283" s="18">
        <v>45491.791666666664</v>
      </c>
      <c r="D283" s="7" t="s">
        <v>2154</v>
      </c>
      <c r="E283" s="18">
        <v>45491.875</v>
      </c>
      <c r="F283" s="4" t="s">
        <v>5533</v>
      </c>
      <c r="G283" s="4" t="s">
        <v>6035</v>
      </c>
      <c r="H283" s="4" t="s">
        <v>1987</v>
      </c>
      <c r="K283" s="4" t="s">
        <v>6718</v>
      </c>
      <c r="L283" s="4" t="s">
        <v>6696</v>
      </c>
    </row>
    <row r="284">
      <c r="A284" s="51" t="s">
        <v>6719</v>
      </c>
      <c r="B284" s="53" t="s">
        <v>1427</v>
      </c>
      <c r="C284" s="60">
        <v>45491.5625</v>
      </c>
      <c r="D284" s="61">
        <v>4.0</v>
      </c>
      <c r="E284" s="60">
        <v>45491.729166666664</v>
      </c>
      <c r="F284" s="53" t="s">
        <v>4782</v>
      </c>
      <c r="G284" s="53" t="s">
        <v>135</v>
      </c>
    </row>
    <row r="285">
      <c r="A285" s="51" t="s">
        <v>6720</v>
      </c>
      <c r="B285" s="53" t="s">
        <v>1427</v>
      </c>
      <c r="C285" s="60">
        <v>45490.5625</v>
      </c>
      <c r="D285" s="61">
        <v>4.0</v>
      </c>
      <c r="E285" s="60">
        <v>45490.729166666664</v>
      </c>
      <c r="F285" s="53" t="s">
        <v>4782</v>
      </c>
      <c r="G285" s="53" t="s">
        <v>135</v>
      </c>
    </row>
    <row r="286">
      <c r="A286" s="4" t="s">
        <v>6721</v>
      </c>
      <c r="B286" s="4" t="s">
        <v>5533</v>
      </c>
      <c r="C286" s="18">
        <v>45489.75</v>
      </c>
      <c r="D286" s="7" t="s">
        <v>2154</v>
      </c>
      <c r="E286" s="18">
        <v>45489.833333333336</v>
      </c>
      <c r="F286" s="4" t="s">
        <v>5533</v>
      </c>
      <c r="G286" s="4" t="s">
        <v>6035</v>
      </c>
      <c r="H286" s="4" t="s">
        <v>1987</v>
      </c>
      <c r="K286" s="4" t="s">
        <v>6722</v>
      </c>
      <c r="L286" s="4" t="s">
        <v>6696</v>
      </c>
    </row>
    <row r="287">
      <c r="A287" s="51" t="s">
        <v>6723</v>
      </c>
      <c r="B287" s="53" t="s">
        <v>1427</v>
      </c>
      <c r="C287" s="60">
        <v>45489.5625</v>
      </c>
      <c r="D287" s="61">
        <v>4.0</v>
      </c>
      <c r="E287" s="60">
        <v>45489.729166666664</v>
      </c>
      <c r="F287" s="53" t="s">
        <v>4782</v>
      </c>
      <c r="G287" s="53" t="s">
        <v>135</v>
      </c>
    </row>
    <row r="288">
      <c r="A288" s="51" t="s">
        <v>6724</v>
      </c>
      <c r="B288" s="53" t="s">
        <v>1427</v>
      </c>
      <c r="C288" s="60">
        <v>45488.5625</v>
      </c>
      <c r="D288" s="61">
        <v>4.0</v>
      </c>
      <c r="E288" s="60">
        <v>45488.729166666664</v>
      </c>
      <c r="F288" s="53" t="s">
        <v>4782</v>
      </c>
      <c r="G288" s="53" t="s">
        <v>135</v>
      </c>
    </row>
    <row r="289">
      <c r="A289" s="51" t="s">
        <v>6725</v>
      </c>
      <c r="B289" s="53" t="s">
        <v>5384</v>
      </c>
      <c r="C289" s="60">
        <v>45485.604166666664</v>
      </c>
      <c r="D289" s="61">
        <v>3.0</v>
      </c>
      <c r="E289" s="60">
        <v>45485.729166666664</v>
      </c>
      <c r="F289" s="52" t="s">
        <v>1420</v>
      </c>
      <c r="G289" s="53" t="s">
        <v>135</v>
      </c>
    </row>
    <row r="290">
      <c r="A290" s="51" t="s">
        <v>6726</v>
      </c>
      <c r="B290" s="53" t="s">
        <v>1492</v>
      </c>
      <c r="C290" s="60">
        <v>45485.5625</v>
      </c>
      <c r="D290" s="61">
        <v>1.0</v>
      </c>
      <c r="E290" s="60">
        <v>45485.604166666664</v>
      </c>
      <c r="F290" s="53" t="s">
        <v>6727</v>
      </c>
      <c r="G290" s="53" t="s">
        <v>135</v>
      </c>
    </row>
    <row r="291">
      <c r="A291" s="4" t="s">
        <v>6728</v>
      </c>
      <c r="B291" s="4" t="s">
        <v>5533</v>
      </c>
      <c r="C291" s="18">
        <v>45484.75</v>
      </c>
      <c r="D291" s="7" t="s">
        <v>2200</v>
      </c>
      <c r="E291" s="18">
        <v>45484.875</v>
      </c>
      <c r="F291" s="4" t="s">
        <v>5533</v>
      </c>
      <c r="G291" s="4" t="s">
        <v>6035</v>
      </c>
      <c r="H291" s="4" t="s">
        <v>1987</v>
      </c>
      <c r="K291" s="4" t="s">
        <v>6729</v>
      </c>
      <c r="L291" s="4" t="s">
        <v>6696</v>
      </c>
    </row>
    <row r="292">
      <c r="A292" s="51" t="s">
        <v>6730</v>
      </c>
      <c r="B292" s="53" t="s">
        <v>1472</v>
      </c>
      <c r="C292" s="60">
        <v>45484.5625</v>
      </c>
      <c r="D292" s="61">
        <v>4.0</v>
      </c>
      <c r="E292" s="60">
        <v>45484.729166666664</v>
      </c>
      <c r="F292" s="53" t="s">
        <v>6627</v>
      </c>
      <c r="G292" s="53" t="s">
        <v>135</v>
      </c>
    </row>
    <row r="293">
      <c r="A293" s="51" t="s">
        <v>6731</v>
      </c>
      <c r="B293" s="53" t="s">
        <v>1472</v>
      </c>
      <c r="C293" s="60">
        <v>45483.5625</v>
      </c>
      <c r="D293" s="61">
        <v>4.0</v>
      </c>
      <c r="E293" s="60">
        <v>45483.729166666664</v>
      </c>
      <c r="F293" s="53" t="s">
        <v>6627</v>
      </c>
      <c r="G293" s="53" t="s">
        <v>135</v>
      </c>
    </row>
    <row r="294">
      <c r="A294" s="4" t="s">
        <v>6732</v>
      </c>
      <c r="B294" s="4" t="s">
        <v>5533</v>
      </c>
      <c r="C294" s="18">
        <v>45482.75</v>
      </c>
      <c r="D294" s="7" t="s">
        <v>2200</v>
      </c>
      <c r="E294" s="18">
        <v>45482.875</v>
      </c>
      <c r="F294" s="4" t="s">
        <v>5533</v>
      </c>
      <c r="G294" s="4" t="s">
        <v>6035</v>
      </c>
      <c r="H294" s="4" t="s">
        <v>1987</v>
      </c>
      <c r="K294" s="4" t="s">
        <v>6733</v>
      </c>
      <c r="L294" s="4" t="s">
        <v>6696</v>
      </c>
    </row>
    <row r="295">
      <c r="A295" s="51" t="s">
        <v>6734</v>
      </c>
      <c r="B295" s="53" t="s">
        <v>1472</v>
      </c>
      <c r="C295" s="60">
        <v>45481.5625</v>
      </c>
      <c r="D295" s="61">
        <v>4.0</v>
      </c>
      <c r="E295" s="60">
        <v>45481.729166666664</v>
      </c>
      <c r="F295" s="53" t="s">
        <v>6627</v>
      </c>
      <c r="G295" s="53" t="s">
        <v>135</v>
      </c>
    </row>
    <row r="296">
      <c r="A296" s="51" t="s">
        <v>6735</v>
      </c>
      <c r="B296" s="53" t="s">
        <v>1427</v>
      </c>
      <c r="C296" s="60">
        <v>45479.375</v>
      </c>
      <c r="D296" s="61">
        <v>4.0</v>
      </c>
      <c r="E296" s="60">
        <v>45479.541666666664</v>
      </c>
      <c r="F296" s="53" t="s">
        <v>4782</v>
      </c>
      <c r="G296" s="53" t="s">
        <v>135</v>
      </c>
    </row>
    <row r="297">
      <c r="A297" s="51" t="s">
        <v>6736</v>
      </c>
      <c r="B297" s="53" t="s">
        <v>1427</v>
      </c>
      <c r="C297" s="60">
        <v>45478.604166666664</v>
      </c>
      <c r="D297" s="61">
        <v>3.0</v>
      </c>
      <c r="E297" s="60">
        <v>45478.729166666664</v>
      </c>
      <c r="F297" s="53" t="s">
        <v>4782</v>
      </c>
      <c r="G297" s="53" t="s">
        <v>135</v>
      </c>
    </row>
    <row r="298">
      <c r="A298" s="51" t="s">
        <v>6737</v>
      </c>
      <c r="B298" s="53" t="s">
        <v>5377</v>
      </c>
      <c r="C298" s="60">
        <v>45478.5625</v>
      </c>
      <c r="D298" s="61">
        <v>1.0</v>
      </c>
      <c r="E298" s="60">
        <v>45478.604166666664</v>
      </c>
      <c r="F298" s="53" t="s">
        <v>5377</v>
      </c>
      <c r="G298" s="53" t="s">
        <v>135</v>
      </c>
    </row>
    <row r="299">
      <c r="A299" s="4" t="s">
        <v>6738</v>
      </c>
      <c r="B299" s="4" t="s">
        <v>5533</v>
      </c>
      <c r="C299" s="18">
        <v>45477.75</v>
      </c>
      <c r="D299" s="7" t="s">
        <v>2154</v>
      </c>
      <c r="E299" s="18">
        <v>45477.833333333336</v>
      </c>
      <c r="F299" s="4" t="s">
        <v>5533</v>
      </c>
      <c r="G299" s="4" t="s">
        <v>6035</v>
      </c>
      <c r="H299" s="4" t="s">
        <v>1987</v>
      </c>
      <c r="K299" s="4" t="s">
        <v>6739</v>
      </c>
      <c r="L299" s="4" t="s">
        <v>6696</v>
      </c>
    </row>
    <row r="300">
      <c r="A300" s="51" t="s">
        <v>6740</v>
      </c>
      <c r="B300" s="53" t="s">
        <v>1427</v>
      </c>
      <c r="C300" s="60">
        <v>45477.6875</v>
      </c>
      <c r="D300" s="61">
        <v>1.0</v>
      </c>
      <c r="E300" s="60">
        <v>45477.729166666664</v>
      </c>
      <c r="F300" s="53" t="s">
        <v>4782</v>
      </c>
      <c r="G300" s="53" t="s">
        <v>135</v>
      </c>
    </row>
    <row r="301">
      <c r="A301" s="51" t="s">
        <v>6741</v>
      </c>
      <c r="B301" s="53" t="s">
        <v>5377</v>
      </c>
      <c r="C301" s="60">
        <v>45477.645833333336</v>
      </c>
      <c r="D301" s="61">
        <v>1.0</v>
      </c>
      <c r="E301" s="60">
        <v>45477.6875</v>
      </c>
      <c r="F301" s="53" t="s">
        <v>5377</v>
      </c>
      <c r="G301" s="53" t="s">
        <v>135</v>
      </c>
    </row>
    <row r="302">
      <c r="A302" s="51" t="s">
        <v>6742</v>
      </c>
      <c r="B302" s="53" t="s">
        <v>1438</v>
      </c>
      <c r="C302" s="60">
        <v>45477.5625</v>
      </c>
      <c r="D302" s="61">
        <v>2.0</v>
      </c>
      <c r="E302" s="60">
        <v>45477.645833333336</v>
      </c>
      <c r="F302" s="53" t="s">
        <v>6670</v>
      </c>
      <c r="G302" s="53" t="s">
        <v>135</v>
      </c>
    </row>
    <row r="303">
      <c r="A303" s="4" t="s">
        <v>6743</v>
      </c>
      <c r="B303" s="4" t="s">
        <v>5533</v>
      </c>
      <c r="C303" s="18">
        <v>45476.75</v>
      </c>
      <c r="D303" s="7" t="s">
        <v>2154</v>
      </c>
      <c r="E303" s="18">
        <v>45476.833333333336</v>
      </c>
      <c r="F303" s="4" t="s">
        <v>5533</v>
      </c>
      <c r="G303" s="4" t="s">
        <v>6035</v>
      </c>
      <c r="H303" s="4" t="s">
        <v>1987</v>
      </c>
      <c r="K303" s="4" t="s">
        <v>6744</v>
      </c>
      <c r="L303" s="4" t="s">
        <v>6696</v>
      </c>
    </row>
    <row r="304">
      <c r="A304" s="4" t="s">
        <v>6745</v>
      </c>
      <c r="B304" s="4" t="s">
        <v>5533</v>
      </c>
      <c r="C304" s="18">
        <v>45475.75</v>
      </c>
      <c r="D304" s="7" t="s">
        <v>2154</v>
      </c>
      <c r="E304" s="18">
        <v>45475.833333333336</v>
      </c>
      <c r="F304" s="4" t="s">
        <v>5533</v>
      </c>
      <c r="G304" s="4" t="s">
        <v>6035</v>
      </c>
      <c r="H304" s="4" t="s">
        <v>1987</v>
      </c>
      <c r="K304" s="4" t="s">
        <v>6746</v>
      </c>
      <c r="L304" s="4" t="s">
        <v>6696</v>
      </c>
    </row>
    <row r="305">
      <c r="A305" s="51" t="s">
        <v>6747</v>
      </c>
      <c r="B305" s="53" t="s">
        <v>5377</v>
      </c>
      <c r="C305" s="60">
        <v>45475.6875</v>
      </c>
      <c r="D305" s="61">
        <v>1.0</v>
      </c>
      <c r="E305" s="60">
        <v>45475.729166666664</v>
      </c>
      <c r="F305" s="53" t="s">
        <v>5377</v>
      </c>
      <c r="G305" s="53" t="s">
        <v>135</v>
      </c>
    </row>
    <row r="306">
      <c r="A306" s="51" t="s">
        <v>6748</v>
      </c>
      <c r="B306" s="53" t="s">
        <v>1438</v>
      </c>
      <c r="C306" s="60">
        <v>45475.5625</v>
      </c>
      <c r="D306" s="61">
        <v>3.0</v>
      </c>
      <c r="E306" s="60">
        <v>45475.6875</v>
      </c>
      <c r="F306" s="53" t="s">
        <v>6670</v>
      </c>
      <c r="G306" s="53" t="s">
        <v>135</v>
      </c>
    </row>
    <row r="307">
      <c r="A307" s="4" t="s">
        <v>6749</v>
      </c>
      <c r="B307" s="4" t="s">
        <v>5533</v>
      </c>
      <c r="C307" s="18">
        <v>45474.75</v>
      </c>
      <c r="D307" s="7" t="s">
        <v>2154</v>
      </c>
      <c r="E307" s="18">
        <v>45474.833333333336</v>
      </c>
      <c r="F307" s="4" t="s">
        <v>5533</v>
      </c>
      <c r="G307" s="4" t="s">
        <v>6035</v>
      </c>
      <c r="H307" s="4" t="s">
        <v>1987</v>
      </c>
      <c r="K307" s="4" t="s">
        <v>6750</v>
      </c>
      <c r="L307" s="4" t="s">
        <v>6696</v>
      </c>
    </row>
    <row r="308">
      <c r="A308" s="51" t="s">
        <v>6751</v>
      </c>
      <c r="B308" s="53" t="s">
        <v>1438</v>
      </c>
      <c r="C308" s="60">
        <v>45474.5625</v>
      </c>
      <c r="D308" s="61">
        <v>4.0</v>
      </c>
      <c r="E308" s="60">
        <v>45474.729166666664</v>
      </c>
      <c r="F308" s="53" t="s">
        <v>6670</v>
      </c>
      <c r="G308" s="53" t="s">
        <v>135</v>
      </c>
    </row>
    <row r="309">
      <c r="A309" s="51" t="s">
        <v>6752</v>
      </c>
      <c r="B309" s="53" t="s">
        <v>1438</v>
      </c>
      <c r="C309" s="60">
        <v>45472.375</v>
      </c>
      <c r="D309" s="61">
        <v>4.0</v>
      </c>
      <c r="E309" s="60">
        <v>45472.541666666664</v>
      </c>
      <c r="F309" s="53" t="s">
        <v>6670</v>
      </c>
      <c r="G309" s="53" t="s">
        <v>135</v>
      </c>
    </row>
    <row r="310">
      <c r="A310" s="51" t="s">
        <v>6753</v>
      </c>
      <c r="B310" s="53" t="s">
        <v>5377</v>
      </c>
      <c r="C310" s="60">
        <v>45471.604166666664</v>
      </c>
      <c r="D310" s="61">
        <v>3.0</v>
      </c>
      <c r="E310" s="60">
        <v>45471.729166666664</v>
      </c>
      <c r="F310" s="53" t="s">
        <v>5377</v>
      </c>
      <c r="G310" s="53" t="s">
        <v>135</v>
      </c>
    </row>
    <row r="311">
      <c r="A311" s="51" t="s">
        <v>6754</v>
      </c>
      <c r="B311" s="53" t="s">
        <v>1492</v>
      </c>
      <c r="C311" s="60">
        <v>45471.5625</v>
      </c>
      <c r="D311" s="61">
        <v>1.0</v>
      </c>
      <c r="E311" s="60">
        <v>45471.604166666664</v>
      </c>
      <c r="F311" s="53" t="s">
        <v>6727</v>
      </c>
      <c r="G311" s="53" t="s">
        <v>135</v>
      </c>
    </row>
    <row r="312">
      <c r="A312" s="4" t="s">
        <v>6755</v>
      </c>
      <c r="B312" s="4" t="s">
        <v>5533</v>
      </c>
      <c r="C312" s="18">
        <v>45471.41736111111</v>
      </c>
      <c r="D312" s="7" t="s">
        <v>2147</v>
      </c>
      <c r="E312" s="18">
        <v>45471.458333333336</v>
      </c>
      <c r="F312" s="4" t="s">
        <v>5533</v>
      </c>
      <c r="G312" s="4" t="s">
        <v>6035</v>
      </c>
      <c r="H312" s="4" t="s">
        <v>1987</v>
      </c>
      <c r="K312" s="4" t="s">
        <v>6756</v>
      </c>
      <c r="L312" s="4" t="s">
        <v>6696</v>
      </c>
    </row>
    <row r="313">
      <c r="A313" s="4" t="s">
        <v>6757</v>
      </c>
      <c r="B313" s="4" t="s">
        <v>5533</v>
      </c>
      <c r="C313" s="18">
        <v>45470.75</v>
      </c>
      <c r="D313" s="7" t="s">
        <v>2154</v>
      </c>
      <c r="E313" s="18">
        <v>45470.833333333336</v>
      </c>
      <c r="F313" s="4" t="s">
        <v>5533</v>
      </c>
      <c r="G313" s="4" t="s">
        <v>6035</v>
      </c>
      <c r="H313" s="4" t="s">
        <v>1987</v>
      </c>
      <c r="K313" s="4" t="s">
        <v>6758</v>
      </c>
      <c r="L313" s="4" t="s">
        <v>6759</v>
      </c>
    </row>
    <row r="314">
      <c r="A314" s="51" t="s">
        <v>6760</v>
      </c>
      <c r="B314" s="53" t="s">
        <v>5377</v>
      </c>
      <c r="C314" s="60">
        <v>45470.5625</v>
      </c>
      <c r="D314" s="61">
        <v>4.0</v>
      </c>
      <c r="E314" s="60">
        <v>45470.729166666664</v>
      </c>
      <c r="F314" s="53" t="s">
        <v>5377</v>
      </c>
      <c r="G314" s="53" t="s">
        <v>135</v>
      </c>
    </row>
    <row r="315">
      <c r="A315" s="4" t="s">
        <v>6761</v>
      </c>
      <c r="B315" s="4" t="s">
        <v>5533</v>
      </c>
      <c r="C315" s="18">
        <v>45468.75</v>
      </c>
      <c r="D315" s="7" t="s">
        <v>2147</v>
      </c>
      <c r="E315" s="18">
        <v>45468.791666666664</v>
      </c>
      <c r="F315" s="4" t="s">
        <v>5533</v>
      </c>
      <c r="G315" s="4" t="s">
        <v>6035</v>
      </c>
      <c r="H315" s="4" t="s">
        <v>1987</v>
      </c>
      <c r="K315" s="4" t="s">
        <v>6762</v>
      </c>
      <c r="L315" s="4" t="s">
        <v>6759</v>
      </c>
    </row>
    <row r="316">
      <c r="A316" s="51" t="s">
        <v>6763</v>
      </c>
      <c r="B316" s="53" t="s">
        <v>1492</v>
      </c>
      <c r="C316" s="60">
        <v>45468.5625</v>
      </c>
      <c r="D316" s="61">
        <v>4.0</v>
      </c>
      <c r="E316" s="60">
        <v>45468.729166666664</v>
      </c>
      <c r="F316" s="53" t="s">
        <v>6727</v>
      </c>
      <c r="G316" s="53" t="s">
        <v>135</v>
      </c>
    </row>
    <row r="317">
      <c r="A317" s="4" t="s">
        <v>6764</v>
      </c>
      <c r="B317" s="4" t="s">
        <v>5533</v>
      </c>
      <c r="C317" s="18">
        <v>45467.75</v>
      </c>
      <c r="D317" s="7" t="s">
        <v>2154</v>
      </c>
      <c r="E317" s="18">
        <v>45467.833333333336</v>
      </c>
      <c r="F317" s="4" t="s">
        <v>5533</v>
      </c>
      <c r="G317" s="4" t="s">
        <v>6035</v>
      </c>
      <c r="H317" s="4" t="s">
        <v>1987</v>
      </c>
      <c r="K317" s="4" t="s">
        <v>6765</v>
      </c>
      <c r="L317" s="4" t="s">
        <v>6759</v>
      </c>
    </row>
    <row r="318">
      <c r="A318" s="51" t="s">
        <v>6766</v>
      </c>
      <c r="B318" s="53" t="s">
        <v>1472</v>
      </c>
      <c r="C318" s="60">
        <v>45467.5625</v>
      </c>
      <c r="D318" s="61">
        <v>4.0</v>
      </c>
      <c r="E318" s="60">
        <v>45467.729166666664</v>
      </c>
      <c r="F318" s="53" t="s">
        <v>6627</v>
      </c>
      <c r="G318" s="53" t="s">
        <v>135</v>
      </c>
    </row>
    <row r="319">
      <c r="A319" s="51" t="s">
        <v>6767</v>
      </c>
      <c r="B319" s="53" t="s">
        <v>6069</v>
      </c>
      <c r="C319" s="60">
        <v>45465.375</v>
      </c>
      <c r="D319" s="61">
        <v>4.0</v>
      </c>
      <c r="E319" s="60">
        <v>45465.541666666664</v>
      </c>
      <c r="F319" s="53" t="s">
        <v>6069</v>
      </c>
      <c r="G319" s="53" t="s">
        <v>135</v>
      </c>
    </row>
    <row r="320">
      <c r="A320" s="4" t="s">
        <v>6768</v>
      </c>
      <c r="B320" s="4" t="s">
        <v>5533</v>
      </c>
      <c r="C320" s="18">
        <v>45463.416666666664</v>
      </c>
      <c r="D320" s="7" t="s">
        <v>2154</v>
      </c>
      <c r="E320" s="18">
        <v>45463.5</v>
      </c>
      <c r="F320" s="4" t="s">
        <v>5533</v>
      </c>
      <c r="G320" s="4" t="s">
        <v>6035</v>
      </c>
      <c r="H320" s="4" t="s">
        <v>1987</v>
      </c>
      <c r="K320" s="4" t="s">
        <v>6769</v>
      </c>
      <c r="L320" s="4" t="s">
        <v>6759</v>
      </c>
    </row>
    <row r="321">
      <c r="A321" s="4" t="s">
        <v>6770</v>
      </c>
      <c r="B321" s="4" t="s">
        <v>5533</v>
      </c>
      <c r="C321" s="18">
        <v>45462.708333333336</v>
      </c>
      <c r="D321" s="7" t="s">
        <v>2200</v>
      </c>
      <c r="E321" s="18">
        <v>45462.833333333336</v>
      </c>
      <c r="F321" s="4" t="s">
        <v>5533</v>
      </c>
      <c r="G321" s="4" t="s">
        <v>6035</v>
      </c>
      <c r="H321" s="4" t="s">
        <v>1987</v>
      </c>
      <c r="K321" s="4" t="s">
        <v>6771</v>
      </c>
      <c r="L321" s="4" t="s">
        <v>6759</v>
      </c>
    </row>
    <row r="322">
      <c r="A322" s="51" t="s">
        <v>6772</v>
      </c>
      <c r="B322" s="53" t="s">
        <v>6069</v>
      </c>
      <c r="C322" s="60">
        <v>45462.5625</v>
      </c>
      <c r="D322" s="61">
        <v>4.0</v>
      </c>
      <c r="E322" s="60">
        <v>45462.729166666664</v>
      </c>
      <c r="F322" s="53" t="s">
        <v>6069</v>
      </c>
      <c r="G322" s="53" t="s">
        <v>135</v>
      </c>
    </row>
    <row r="323">
      <c r="A323" s="4" t="s">
        <v>6773</v>
      </c>
      <c r="B323" s="4" t="s">
        <v>5533</v>
      </c>
      <c r="C323" s="18">
        <v>45461.75</v>
      </c>
      <c r="D323" s="7" t="s">
        <v>2154</v>
      </c>
      <c r="E323" s="18">
        <v>45461.833333333336</v>
      </c>
      <c r="F323" s="4" t="s">
        <v>5533</v>
      </c>
      <c r="G323" s="4" t="s">
        <v>6035</v>
      </c>
      <c r="H323" s="4" t="s">
        <v>1987</v>
      </c>
      <c r="K323" s="4" t="s">
        <v>6774</v>
      </c>
      <c r="L323" s="4" t="s">
        <v>6759</v>
      </c>
    </row>
    <row r="324">
      <c r="A324" s="51" t="s">
        <v>6775</v>
      </c>
      <c r="B324" s="53" t="s">
        <v>1472</v>
      </c>
      <c r="C324" s="60">
        <v>45457.5625</v>
      </c>
      <c r="D324" s="61">
        <v>5.0</v>
      </c>
      <c r="E324" s="60">
        <v>45457.770833333336</v>
      </c>
      <c r="F324" s="53" t="s">
        <v>6627</v>
      </c>
      <c r="G324" s="53" t="s">
        <v>135</v>
      </c>
    </row>
    <row r="325">
      <c r="A325" s="4" t="s">
        <v>6776</v>
      </c>
      <c r="B325" s="4" t="s">
        <v>5533</v>
      </c>
      <c r="C325" s="18">
        <v>45456.75</v>
      </c>
      <c r="D325" s="7" t="s">
        <v>2154</v>
      </c>
      <c r="E325" s="18">
        <v>45456.833333333336</v>
      </c>
      <c r="F325" s="4" t="s">
        <v>5533</v>
      </c>
      <c r="G325" s="4" t="s">
        <v>6035</v>
      </c>
      <c r="H325" s="4" t="s">
        <v>1987</v>
      </c>
      <c r="K325" s="4" t="s">
        <v>6777</v>
      </c>
      <c r="L325" s="4" t="s">
        <v>6759</v>
      </c>
    </row>
    <row r="326">
      <c r="A326" s="51" t="s">
        <v>6778</v>
      </c>
      <c r="B326" s="53" t="s">
        <v>1472</v>
      </c>
      <c r="C326" s="60">
        <v>45456.604166666664</v>
      </c>
      <c r="D326" s="61">
        <v>4.0</v>
      </c>
      <c r="E326" s="60">
        <v>45456.770833333336</v>
      </c>
      <c r="F326" s="53" t="s">
        <v>6627</v>
      </c>
      <c r="G326" s="53" t="s">
        <v>135</v>
      </c>
    </row>
    <row r="327">
      <c r="A327" s="51" t="s">
        <v>6779</v>
      </c>
      <c r="B327" s="53" t="s">
        <v>5384</v>
      </c>
      <c r="C327" s="60">
        <v>45456.5625</v>
      </c>
      <c r="D327" s="61">
        <v>1.0</v>
      </c>
      <c r="E327" s="60">
        <v>45456.604166666664</v>
      </c>
      <c r="F327" s="52" t="s">
        <v>1420</v>
      </c>
      <c r="G327" s="53" t="s">
        <v>135</v>
      </c>
    </row>
    <row r="328">
      <c r="A328" s="4" t="s">
        <v>6780</v>
      </c>
      <c r="B328" s="4" t="s">
        <v>5533</v>
      </c>
      <c r="C328" s="18">
        <v>45455.75</v>
      </c>
      <c r="D328" s="7" t="s">
        <v>2154</v>
      </c>
      <c r="E328" s="18">
        <v>45455.833333333336</v>
      </c>
      <c r="F328" s="4" t="s">
        <v>5533</v>
      </c>
      <c r="G328" s="4" t="s">
        <v>6035</v>
      </c>
      <c r="H328" s="4" t="s">
        <v>1987</v>
      </c>
      <c r="K328" s="4" t="s">
        <v>6781</v>
      </c>
      <c r="L328" s="4" t="s">
        <v>6759</v>
      </c>
    </row>
    <row r="329">
      <c r="A329" s="51" t="s">
        <v>6782</v>
      </c>
      <c r="B329" s="53" t="s">
        <v>5377</v>
      </c>
      <c r="C329" s="60">
        <v>45455.5625</v>
      </c>
      <c r="D329" s="61">
        <v>4.0</v>
      </c>
      <c r="E329" s="60">
        <v>45455.729166666664</v>
      </c>
      <c r="F329" s="53" t="s">
        <v>5377</v>
      </c>
      <c r="G329" s="53" t="s">
        <v>135</v>
      </c>
    </row>
    <row r="330">
      <c r="A330" s="4" t="s">
        <v>6783</v>
      </c>
      <c r="B330" s="4" t="s">
        <v>5533</v>
      </c>
      <c r="C330" s="18">
        <v>45454.791666666664</v>
      </c>
      <c r="D330" s="7" t="s">
        <v>2154</v>
      </c>
      <c r="E330" s="18">
        <v>45454.875</v>
      </c>
      <c r="F330" s="4" t="s">
        <v>5533</v>
      </c>
      <c r="G330" s="4" t="s">
        <v>6035</v>
      </c>
      <c r="H330" s="4" t="s">
        <v>1987</v>
      </c>
      <c r="K330" s="4" t="s">
        <v>6784</v>
      </c>
      <c r="L330" s="4" t="s">
        <v>6785</v>
      </c>
    </row>
    <row r="331">
      <c r="A331" s="51" t="s">
        <v>6786</v>
      </c>
      <c r="B331" s="53" t="s">
        <v>5377</v>
      </c>
      <c r="C331" s="60">
        <v>45454.5625</v>
      </c>
      <c r="D331" s="61">
        <v>5.0</v>
      </c>
      <c r="E331" s="60">
        <v>45454.770833333336</v>
      </c>
      <c r="F331" s="53" t="s">
        <v>5377</v>
      </c>
      <c r="G331" s="53" t="s">
        <v>135</v>
      </c>
    </row>
    <row r="332">
      <c r="A332" s="4" t="s">
        <v>6787</v>
      </c>
      <c r="B332" s="4" t="s">
        <v>5533</v>
      </c>
      <c r="C332" s="18">
        <v>45453.75</v>
      </c>
      <c r="D332" s="7" t="s">
        <v>2154</v>
      </c>
      <c r="E332" s="18">
        <v>45453.833333333336</v>
      </c>
      <c r="F332" s="4" t="s">
        <v>5533</v>
      </c>
      <c r="G332" s="4" t="s">
        <v>6035</v>
      </c>
      <c r="H332" s="4" t="s">
        <v>1987</v>
      </c>
      <c r="K332" s="4" t="s">
        <v>6788</v>
      </c>
      <c r="L332" s="4" t="s">
        <v>6759</v>
      </c>
    </row>
    <row r="333">
      <c r="A333" s="51" t="s">
        <v>6789</v>
      </c>
      <c r="B333" s="53" t="s">
        <v>5377</v>
      </c>
      <c r="C333" s="60">
        <v>45453.604166666664</v>
      </c>
      <c r="D333" s="61">
        <v>4.0</v>
      </c>
      <c r="E333" s="60">
        <v>45453.770833333336</v>
      </c>
      <c r="F333" s="53" t="s">
        <v>5377</v>
      </c>
      <c r="G333" s="53" t="s">
        <v>135</v>
      </c>
    </row>
    <row r="334">
      <c r="A334" s="51" t="s">
        <v>6790</v>
      </c>
      <c r="B334" s="53" t="s">
        <v>5457</v>
      </c>
      <c r="C334" s="60">
        <v>45453.5625</v>
      </c>
      <c r="D334" s="61">
        <v>1.0</v>
      </c>
      <c r="E334" s="60">
        <v>45453.604166666664</v>
      </c>
      <c r="F334" s="53" t="s">
        <v>6672</v>
      </c>
      <c r="G334" s="53" t="s">
        <v>135</v>
      </c>
    </row>
    <row r="335">
      <c r="A335" s="51" t="s">
        <v>6791</v>
      </c>
      <c r="B335" s="53" t="s">
        <v>6057</v>
      </c>
      <c r="C335" s="60">
        <v>45451.416666666664</v>
      </c>
      <c r="D335" s="61">
        <v>3.0</v>
      </c>
      <c r="E335" s="60">
        <v>45451.541666666664</v>
      </c>
      <c r="F335" s="53" t="s">
        <v>6264</v>
      </c>
      <c r="G335" s="53" t="s">
        <v>135</v>
      </c>
    </row>
    <row r="336">
      <c r="A336" s="51" t="s">
        <v>6792</v>
      </c>
      <c r="B336" s="53" t="s">
        <v>5377</v>
      </c>
      <c r="C336" s="60">
        <v>45451.375</v>
      </c>
      <c r="D336" s="61">
        <v>1.0</v>
      </c>
      <c r="E336" s="60">
        <v>45451.416666666664</v>
      </c>
      <c r="F336" s="53" t="s">
        <v>5377</v>
      </c>
      <c r="G336" s="53" t="s">
        <v>135</v>
      </c>
    </row>
    <row r="337">
      <c r="A337" s="4" t="s">
        <v>6793</v>
      </c>
      <c r="B337" s="4" t="s">
        <v>5533</v>
      </c>
      <c r="C337" s="18">
        <v>45450.75</v>
      </c>
      <c r="D337" s="7" t="s">
        <v>2154</v>
      </c>
      <c r="E337" s="18">
        <v>45450.833333333336</v>
      </c>
      <c r="F337" s="4" t="s">
        <v>5533</v>
      </c>
      <c r="G337" s="4" t="s">
        <v>6035</v>
      </c>
      <c r="H337" s="4" t="s">
        <v>1987</v>
      </c>
      <c r="K337" s="4" t="s">
        <v>6784</v>
      </c>
      <c r="L337" s="4" t="s">
        <v>6759</v>
      </c>
    </row>
    <row r="338">
      <c r="A338" s="51" t="s">
        <v>6794</v>
      </c>
      <c r="B338" s="53" t="s">
        <v>1492</v>
      </c>
      <c r="C338" s="60">
        <v>45450.5625</v>
      </c>
      <c r="D338" s="61">
        <v>4.0</v>
      </c>
      <c r="E338" s="60">
        <v>45450.729166666664</v>
      </c>
      <c r="F338" s="53" t="s">
        <v>6795</v>
      </c>
      <c r="G338" s="53" t="s">
        <v>135</v>
      </c>
    </row>
    <row r="339">
      <c r="A339" s="4" t="s">
        <v>6796</v>
      </c>
      <c r="B339" s="4" t="s">
        <v>5533</v>
      </c>
      <c r="C339" s="18">
        <v>45449.75</v>
      </c>
      <c r="D339" s="7" t="s">
        <v>2154</v>
      </c>
      <c r="E339" s="18">
        <v>45449.833333333336</v>
      </c>
      <c r="F339" s="4" t="s">
        <v>5533</v>
      </c>
      <c r="G339" s="4" t="s">
        <v>6035</v>
      </c>
      <c r="H339" s="4" t="s">
        <v>1987</v>
      </c>
      <c r="K339" s="4" t="s">
        <v>6797</v>
      </c>
      <c r="L339" s="4" t="s">
        <v>6759</v>
      </c>
    </row>
    <row r="340">
      <c r="A340" s="51" t="s">
        <v>6798</v>
      </c>
      <c r="B340" s="53" t="s">
        <v>1492</v>
      </c>
      <c r="C340" s="60">
        <v>45449.5625</v>
      </c>
      <c r="D340" s="61">
        <v>4.0</v>
      </c>
      <c r="E340" s="60">
        <v>45449.729166666664</v>
      </c>
      <c r="F340" s="53" t="s">
        <v>6727</v>
      </c>
      <c r="G340" s="53" t="s">
        <v>135</v>
      </c>
    </row>
    <row r="341">
      <c r="A341" s="4" t="s">
        <v>6799</v>
      </c>
      <c r="B341" s="4" t="s">
        <v>5533</v>
      </c>
      <c r="C341" s="18">
        <v>45448.75</v>
      </c>
      <c r="D341" s="7" t="s">
        <v>2154</v>
      </c>
      <c r="E341" s="18">
        <v>45448.833333333336</v>
      </c>
      <c r="F341" s="4" t="s">
        <v>5533</v>
      </c>
      <c r="G341" s="4" t="s">
        <v>6035</v>
      </c>
      <c r="H341" s="4" t="s">
        <v>1987</v>
      </c>
      <c r="K341" s="4" t="s">
        <v>6800</v>
      </c>
      <c r="L341" s="4" t="s">
        <v>6759</v>
      </c>
    </row>
    <row r="342">
      <c r="A342" s="4" t="s">
        <v>6801</v>
      </c>
      <c r="B342" s="4" t="s">
        <v>5533</v>
      </c>
      <c r="C342" s="18">
        <v>45447.75</v>
      </c>
      <c r="D342" s="7" t="s">
        <v>2154</v>
      </c>
      <c r="E342" s="18">
        <v>45447.833333333336</v>
      </c>
      <c r="F342" s="4" t="s">
        <v>5533</v>
      </c>
      <c r="G342" s="4" t="s">
        <v>6035</v>
      </c>
      <c r="H342" s="4" t="s">
        <v>1987</v>
      </c>
      <c r="K342" s="4" t="s">
        <v>6802</v>
      </c>
      <c r="L342" s="4" t="s">
        <v>6759</v>
      </c>
    </row>
    <row r="343">
      <c r="A343" s="51" t="s">
        <v>6803</v>
      </c>
      <c r="B343" s="53" t="s">
        <v>5384</v>
      </c>
      <c r="C343" s="60">
        <v>45447.5625</v>
      </c>
      <c r="D343" s="61">
        <v>4.0</v>
      </c>
      <c r="E343" s="60">
        <v>45447.729166666664</v>
      </c>
      <c r="F343" s="52" t="s">
        <v>1420</v>
      </c>
      <c r="G343" s="53" t="s">
        <v>135</v>
      </c>
    </row>
    <row r="344">
      <c r="A344" s="51" t="s">
        <v>6804</v>
      </c>
      <c r="B344" s="53" t="s">
        <v>5384</v>
      </c>
      <c r="C344" s="60">
        <v>45446.5625</v>
      </c>
      <c r="D344" s="61">
        <v>4.0</v>
      </c>
      <c r="E344" s="60">
        <v>45446.729166666664</v>
      </c>
      <c r="F344" s="52" t="s">
        <v>1420</v>
      </c>
      <c r="G344" s="53" t="s">
        <v>135</v>
      </c>
    </row>
    <row r="345">
      <c r="A345" s="4" t="s">
        <v>6805</v>
      </c>
      <c r="B345" s="4" t="s">
        <v>5533</v>
      </c>
      <c r="C345" s="18">
        <v>45445.625</v>
      </c>
      <c r="D345" s="7" t="s">
        <v>2154</v>
      </c>
      <c r="E345" s="18">
        <v>45445.708333333336</v>
      </c>
      <c r="F345" s="4" t="s">
        <v>5533</v>
      </c>
      <c r="G345" s="4" t="s">
        <v>6035</v>
      </c>
      <c r="H345" s="4" t="s">
        <v>1987</v>
      </c>
      <c r="K345" s="4" t="s">
        <v>6806</v>
      </c>
      <c r="L345" s="4" t="s">
        <v>6759</v>
      </c>
    </row>
    <row r="346">
      <c r="A346" s="4" t="s">
        <v>6807</v>
      </c>
      <c r="B346" s="4" t="s">
        <v>5533</v>
      </c>
      <c r="C346" s="18">
        <v>45445.416666666664</v>
      </c>
      <c r="D346" s="7" t="s">
        <v>2154</v>
      </c>
      <c r="E346" s="18">
        <v>45445.5</v>
      </c>
      <c r="F346" s="4" t="s">
        <v>5533</v>
      </c>
      <c r="G346" s="4" t="s">
        <v>6035</v>
      </c>
      <c r="H346" s="4" t="s">
        <v>1987</v>
      </c>
      <c r="K346" s="4" t="s">
        <v>6808</v>
      </c>
      <c r="L346" s="4" t="s">
        <v>6759</v>
      </c>
    </row>
    <row r="347">
      <c r="A347" s="51" t="s">
        <v>6809</v>
      </c>
      <c r="B347" s="53" t="s">
        <v>1472</v>
      </c>
      <c r="C347" s="60">
        <v>45444.375</v>
      </c>
      <c r="D347" s="61">
        <v>4.0</v>
      </c>
      <c r="E347" s="60">
        <v>45444.541666666664</v>
      </c>
      <c r="F347" s="53" t="s">
        <v>6627</v>
      </c>
      <c r="G347" s="53" t="s">
        <v>135</v>
      </c>
    </row>
    <row r="348">
      <c r="A348" s="4" t="s">
        <v>6810</v>
      </c>
      <c r="B348" s="4" t="s">
        <v>5533</v>
      </c>
      <c r="C348" s="18">
        <v>45443.75</v>
      </c>
      <c r="D348" s="7" t="s">
        <v>2154</v>
      </c>
      <c r="E348" s="18">
        <v>45443.833333333336</v>
      </c>
      <c r="F348" s="4" t="s">
        <v>5533</v>
      </c>
      <c r="G348" s="4" t="s">
        <v>6035</v>
      </c>
      <c r="H348" s="4" t="s">
        <v>1987</v>
      </c>
      <c r="K348" s="4" t="s">
        <v>6811</v>
      </c>
      <c r="L348" s="4" t="s">
        <v>6759</v>
      </c>
    </row>
    <row r="349">
      <c r="A349" s="51" t="s">
        <v>6812</v>
      </c>
      <c r="B349" s="53" t="s">
        <v>1472</v>
      </c>
      <c r="C349" s="60">
        <v>45443.645833333336</v>
      </c>
      <c r="D349" s="61">
        <v>2.0</v>
      </c>
      <c r="E349" s="60">
        <v>45443.729166666664</v>
      </c>
      <c r="F349" s="53" t="s">
        <v>6627</v>
      </c>
      <c r="G349" s="53" t="s">
        <v>135</v>
      </c>
    </row>
    <row r="350">
      <c r="A350" s="51" t="s">
        <v>6813</v>
      </c>
      <c r="B350" s="53" t="s">
        <v>1438</v>
      </c>
      <c r="C350" s="60">
        <v>45443.5625</v>
      </c>
      <c r="D350" s="61">
        <v>2.0</v>
      </c>
      <c r="E350" s="60">
        <v>45443.645833333336</v>
      </c>
      <c r="F350" s="53" t="s">
        <v>6670</v>
      </c>
      <c r="G350" s="53" t="s">
        <v>135</v>
      </c>
    </row>
    <row r="351">
      <c r="A351" s="51" t="s">
        <v>6814</v>
      </c>
      <c r="B351" s="53" t="s">
        <v>1438</v>
      </c>
      <c r="C351" s="60">
        <v>45442.5625</v>
      </c>
      <c r="D351" s="61">
        <v>4.0</v>
      </c>
      <c r="E351" s="60">
        <v>45442.729166666664</v>
      </c>
      <c r="F351" s="53" t="s">
        <v>6670</v>
      </c>
      <c r="G351" s="53" t="s">
        <v>135</v>
      </c>
    </row>
    <row r="352">
      <c r="A352" s="4" t="s">
        <v>6815</v>
      </c>
      <c r="B352" s="4" t="s">
        <v>5533</v>
      </c>
      <c r="C352" s="18">
        <v>45441.75</v>
      </c>
      <c r="D352" s="7" t="s">
        <v>2154</v>
      </c>
      <c r="E352" s="18">
        <v>45441.833333333336</v>
      </c>
      <c r="F352" s="4" t="s">
        <v>5533</v>
      </c>
      <c r="G352" s="4" t="s">
        <v>6035</v>
      </c>
      <c r="H352" s="4" t="s">
        <v>1987</v>
      </c>
      <c r="K352" s="4" t="s">
        <v>6816</v>
      </c>
    </row>
    <row r="353">
      <c r="A353" s="4" t="s">
        <v>6817</v>
      </c>
      <c r="B353" s="4" t="s">
        <v>5533</v>
      </c>
      <c r="C353" s="18">
        <v>45440.75</v>
      </c>
      <c r="D353" s="7" t="s">
        <v>2154</v>
      </c>
      <c r="E353" s="18">
        <v>45440.833333333336</v>
      </c>
      <c r="F353" s="4" t="s">
        <v>5533</v>
      </c>
      <c r="G353" s="4" t="s">
        <v>6035</v>
      </c>
      <c r="H353" s="4" t="s">
        <v>1987</v>
      </c>
      <c r="K353" s="4" t="s">
        <v>6818</v>
      </c>
    </row>
    <row r="354">
      <c r="A354" s="51" t="s">
        <v>6819</v>
      </c>
      <c r="B354" s="53" t="s">
        <v>1438</v>
      </c>
      <c r="C354" s="60">
        <v>45440.5625</v>
      </c>
      <c r="D354" s="61">
        <v>4.0</v>
      </c>
      <c r="E354" s="60">
        <v>45440.729166666664</v>
      </c>
      <c r="F354" s="53" t="s">
        <v>6670</v>
      </c>
      <c r="G354" s="53" t="s">
        <v>135</v>
      </c>
    </row>
    <row r="355">
      <c r="A355" s="51" t="s">
        <v>6820</v>
      </c>
      <c r="B355" s="53" t="s">
        <v>1438</v>
      </c>
      <c r="C355" s="60">
        <v>45439.5625</v>
      </c>
      <c r="D355" s="61">
        <v>4.0</v>
      </c>
      <c r="E355" s="60">
        <v>45439.729166666664</v>
      </c>
      <c r="F355" s="53" t="s">
        <v>6670</v>
      </c>
      <c r="G355" s="53" t="s">
        <v>135</v>
      </c>
    </row>
    <row r="356">
      <c r="A356" s="4" t="s">
        <v>6821</v>
      </c>
      <c r="B356" s="4" t="s">
        <v>5533</v>
      </c>
      <c r="C356" s="18">
        <v>45436.625</v>
      </c>
      <c r="D356" s="7" t="s">
        <v>2147</v>
      </c>
      <c r="E356" s="18">
        <v>45436.666666666664</v>
      </c>
      <c r="F356" s="4" t="s">
        <v>5533</v>
      </c>
      <c r="G356" s="4" t="s">
        <v>6035</v>
      </c>
      <c r="H356" s="4" t="s">
        <v>1987</v>
      </c>
      <c r="K356" s="4" t="s">
        <v>6822</v>
      </c>
    </row>
    <row r="357">
      <c r="A357" s="51" t="s">
        <v>6823</v>
      </c>
      <c r="B357" s="53" t="s">
        <v>5377</v>
      </c>
      <c r="C357" s="60">
        <v>45436.604166666664</v>
      </c>
      <c r="D357" s="61">
        <v>3.0</v>
      </c>
      <c r="E357" s="60">
        <v>45436.729166666664</v>
      </c>
      <c r="F357" s="53" t="s">
        <v>5377</v>
      </c>
      <c r="G357" s="53" t="s">
        <v>135</v>
      </c>
    </row>
    <row r="358">
      <c r="A358" s="51" t="s">
        <v>6824</v>
      </c>
      <c r="B358" s="53" t="s">
        <v>1438</v>
      </c>
      <c r="C358" s="60">
        <v>45436.5625</v>
      </c>
      <c r="D358" s="61">
        <v>1.0</v>
      </c>
      <c r="E358" s="60">
        <v>45436.604166666664</v>
      </c>
      <c r="F358" s="53" t="s">
        <v>6670</v>
      </c>
      <c r="G358" s="53" t="s">
        <v>135</v>
      </c>
    </row>
    <row r="359">
      <c r="A359" s="4" t="s">
        <v>6825</v>
      </c>
      <c r="B359" s="4" t="s">
        <v>5533</v>
      </c>
      <c r="C359" s="18">
        <v>45435.75</v>
      </c>
      <c r="D359" s="7" t="s">
        <v>2154</v>
      </c>
      <c r="E359" s="18">
        <v>45435.833333333336</v>
      </c>
      <c r="F359" s="4" t="s">
        <v>5533</v>
      </c>
      <c r="G359" s="4" t="s">
        <v>6035</v>
      </c>
      <c r="H359" s="4" t="s">
        <v>1987</v>
      </c>
      <c r="K359" s="4" t="s">
        <v>6826</v>
      </c>
    </row>
    <row r="360">
      <c r="A360" s="51" t="s">
        <v>6827</v>
      </c>
      <c r="B360" s="53" t="s">
        <v>1492</v>
      </c>
      <c r="C360" s="60">
        <v>45435.645833333336</v>
      </c>
      <c r="D360" s="61">
        <v>2.0</v>
      </c>
      <c r="E360" s="60">
        <v>45435.729166666664</v>
      </c>
      <c r="F360" s="53" t="s">
        <v>6727</v>
      </c>
      <c r="G360" s="53" t="s">
        <v>135</v>
      </c>
    </row>
    <row r="361">
      <c r="A361" s="51" t="s">
        <v>6828</v>
      </c>
      <c r="B361" s="53" t="s">
        <v>5377</v>
      </c>
      <c r="C361" s="60">
        <v>45435.5625</v>
      </c>
      <c r="D361" s="61">
        <v>2.0</v>
      </c>
      <c r="E361" s="60">
        <v>45435.645833333336</v>
      </c>
      <c r="F361" s="53" t="s">
        <v>5377</v>
      </c>
      <c r="G361" s="53" t="s">
        <v>135</v>
      </c>
    </row>
    <row r="362">
      <c r="A362" s="4" t="s">
        <v>6829</v>
      </c>
      <c r="B362" s="4" t="s">
        <v>5533</v>
      </c>
      <c r="C362" s="18">
        <v>45433.75</v>
      </c>
      <c r="D362" s="7" t="s">
        <v>2147</v>
      </c>
      <c r="E362" s="18">
        <v>45433.791666666664</v>
      </c>
      <c r="F362" s="4" t="s">
        <v>5533</v>
      </c>
      <c r="G362" s="4" t="s">
        <v>6035</v>
      </c>
      <c r="H362" s="4" t="s">
        <v>1987</v>
      </c>
      <c r="K362" s="4" t="s">
        <v>6830</v>
      </c>
    </row>
    <row r="363">
      <c r="A363" s="51" t="s">
        <v>6831</v>
      </c>
      <c r="B363" s="53" t="s">
        <v>5377</v>
      </c>
      <c r="C363" s="60">
        <v>45433.645833333336</v>
      </c>
      <c r="D363" s="61">
        <v>2.0</v>
      </c>
      <c r="E363" s="60">
        <v>45433.729166666664</v>
      </c>
      <c r="F363" s="53" t="s">
        <v>5377</v>
      </c>
      <c r="G363" s="53" t="s">
        <v>135</v>
      </c>
    </row>
    <row r="364">
      <c r="A364" s="51" t="s">
        <v>6832</v>
      </c>
      <c r="B364" s="53" t="s">
        <v>5384</v>
      </c>
      <c r="C364" s="60">
        <v>45433.604166666664</v>
      </c>
      <c r="D364" s="61">
        <v>1.0</v>
      </c>
      <c r="E364" s="60">
        <v>45433.645833333336</v>
      </c>
      <c r="F364" s="52" t="s">
        <v>1420</v>
      </c>
      <c r="G364" s="53" t="s">
        <v>135</v>
      </c>
    </row>
    <row r="365">
      <c r="A365" s="51" t="s">
        <v>6833</v>
      </c>
      <c r="B365" s="53" t="s">
        <v>5377</v>
      </c>
      <c r="C365" s="60">
        <v>45433.5625</v>
      </c>
      <c r="D365" s="61">
        <v>1.0</v>
      </c>
      <c r="E365" s="60">
        <v>45433.604166666664</v>
      </c>
      <c r="F365" s="53" t="s">
        <v>5377</v>
      </c>
      <c r="G365" s="53" t="s">
        <v>135</v>
      </c>
    </row>
    <row r="366">
      <c r="A366" s="4" t="s">
        <v>6834</v>
      </c>
      <c r="B366" s="4" t="s">
        <v>5533</v>
      </c>
      <c r="C366" s="18">
        <v>45432.75</v>
      </c>
      <c r="D366" s="7" t="s">
        <v>2154</v>
      </c>
      <c r="E366" s="18">
        <v>45432.833333333336</v>
      </c>
      <c r="F366" s="4" t="s">
        <v>5533</v>
      </c>
      <c r="G366" s="4" t="s">
        <v>6035</v>
      </c>
      <c r="H366" s="4" t="s">
        <v>1987</v>
      </c>
      <c r="K366" s="4" t="s">
        <v>6835</v>
      </c>
    </row>
    <row r="367">
      <c r="A367" s="51" t="s">
        <v>6836</v>
      </c>
      <c r="B367" s="53" t="s">
        <v>5377</v>
      </c>
      <c r="C367" s="60">
        <v>45432.6875</v>
      </c>
      <c r="D367" s="61">
        <v>1.0</v>
      </c>
      <c r="E367" s="60">
        <v>45432.729166666664</v>
      </c>
      <c r="F367" s="53" t="s">
        <v>5377</v>
      </c>
      <c r="G367" s="53" t="s">
        <v>135</v>
      </c>
    </row>
    <row r="368">
      <c r="A368" s="51" t="s">
        <v>6837</v>
      </c>
      <c r="B368" s="53" t="s">
        <v>5384</v>
      </c>
      <c r="C368" s="60">
        <v>45432.5625</v>
      </c>
      <c r="D368" s="61">
        <v>3.0</v>
      </c>
      <c r="E368" s="60">
        <v>45432.6875</v>
      </c>
      <c r="F368" s="52" t="s">
        <v>1420</v>
      </c>
      <c r="G368" s="53" t="s">
        <v>135</v>
      </c>
    </row>
    <row r="369">
      <c r="A369" s="51">
        <v>1.3888691E7</v>
      </c>
      <c r="B369" s="53" t="s">
        <v>5377</v>
      </c>
      <c r="C369" s="60">
        <v>45430.375</v>
      </c>
      <c r="D369" s="61">
        <v>5.0</v>
      </c>
      <c r="E369" s="60">
        <v>45430.583333333336</v>
      </c>
      <c r="F369" s="53" t="s">
        <v>5377</v>
      </c>
      <c r="G369" s="53" t="s">
        <v>135</v>
      </c>
    </row>
    <row r="370">
      <c r="A370" s="51" t="s">
        <v>6838</v>
      </c>
      <c r="B370" s="53" t="s">
        <v>5377</v>
      </c>
      <c r="C370" s="60">
        <v>45429.5625</v>
      </c>
      <c r="D370" s="61">
        <v>5.0</v>
      </c>
      <c r="E370" s="60">
        <v>45429.770833333336</v>
      </c>
      <c r="F370" s="53" t="s">
        <v>5377</v>
      </c>
      <c r="G370" s="53" t="s">
        <v>135</v>
      </c>
    </row>
    <row r="371">
      <c r="A371" s="51" t="s">
        <v>6839</v>
      </c>
      <c r="B371" s="53" t="s">
        <v>1472</v>
      </c>
      <c r="C371" s="60">
        <v>45428.6875</v>
      </c>
      <c r="D371" s="61">
        <v>2.0</v>
      </c>
      <c r="E371" s="60">
        <v>45428.770833333336</v>
      </c>
      <c r="F371" s="53" t="s">
        <v>6627</v>
      </c>
      <c r="G371" s="53" t="s">
        <v>135</v>
      </c>
    </row>
    <row r="372">
      <c r="A372" s="51" t="s">
        <v>6840</v>
      </c>
      <c r="B372" s="53" t="s">
        <v>1492</v>
      </c>
      <c r="C372" s="60">
        <v>45428.604166666664</v>
      </c>
      <c r="D372" s="61">
        <v>2.0</v>
      </c>
      <c r="E372" s="60">
        <v>45428.6875</v>
      </c>
      <c r="F372" s="53" t="s">
        <v>6727</v>
      </c>
      <c r="G372" s="53" t="s">
        <v>135</v>
      </c>
    </row>
    <row r="373">
      <c r="A373" s="51" t="s">
        <v>6841</v>
      </c>
      <c r="B373" s="53" t="s">
        <v>1472</v>
      </c>
      <c r="C373" s="60">
        <v>45428.5625</v>
      </c>
      <c r="D373" s="61">
        <v>1.0</v>
      </c>
      <c r="E373" s="60">
        <v>45428.604166666664</v>
      </c>
      <c r="F373" s="53" t="s">
        <v>6627</v>
      </c>
      <c r="G373" s="53" t="s">
        <v>135</v>
      </c>
    </row>
    <row r="374">
      <c r="A374" s="51" t="s">
        <v>6842</v>
      </c>
      <c r="B374" s="53" t="s">
        <v>1472</v>
      </c>
      <c r="C374" s="60">
        <v>45426.6875</v>
      </c>
      <c r="D374" s="61">
        <v>2.0</v>
      </c>
      <c r="E374" s="60">
        <v>45426.770833333336</v>
      </c>
      <c r="F374" s="53" t="s">
        <v>6627</v>
      </c>
      <c r="G374" s="53" t="s">
        <v>135</v>
      </c>
    </row>
    <row r="375">
      <c r="A375" s="51" t="s">
        <v>6843</v>
      </c>
      <c r="B375" s="53" t="s">
        <v>5384</v>
      </c>
      <c r="C375" s="60">
        <v>45426.604166666664</v>
      </c>
      <c r="D375" s="61">
        <v>2.0</v>
      </c>
      <c r="E375" s="60">
        <v>45426.6875</v>
      </c>
      <c r="F375" s="52" t="s">
        <v>1420</v>
      </c>
      <c r="G375" s="53" t="s">
        <v>135</v>
      </c>
    </row>
    <row r="376">
      <c r="A376" s="51" t="s">
        <v>6844</v>
      </c>
      <c r="B376" s="53" t="s">
        <v>1472</v>
      </c>
      <c r="C376" s="60">
        <v>45426.5625</v>
      </c>
      <c r="D376" s="61">
        <v>1.0</v>
      </c>
      <c r="E376" s="60">
        <v>45426.604166666664</v>
      </c>
      <c r="F376" s="53" t="s">
        <v>6627</v>
      </c>
      <c r="G376" s="53" t="s">
        <v>135</v>
      </c>
    </row>
    <row r="377">
      <c r="A377" s="51" t="s">
        <v>6845</v>
      </c>
      <c r="B377" s="53" t="s">
        <v>1472</v>
      </c>
      <c r="C377" s="60">
        <v>45425.5625</v>
      </c>
      <c r="D377" s="61">
        <v>5.0</v>
      </c>
      <c r="E377" s="60">
        <v>45425.770833333336</v>
      </c>
      <c r="F377" s="53" t="s">
        <v>6627</v>
      </c>
      <c r="G377" s="53" t="s">
        <v>135</v>
      </c>
    </row>
    <row r="378">
      <c r="A378" s="51" t="s">
        <v>6846</v>
      </c>
      <c r="B378" s="53" t="s">
        <v>1472</v>
      </c>
      <c r="C378" s="60">
        <v>45423.375</v>
      </c>
      <c r="D378" s="61">
        <v>5.0</v>
      </c>
      <c r="E378" s="60">
        <v>45423.583333333336</v>
      </c>
      <c r="F378" s="53" t="s">
        <v>6627</v>
      </c>
      <c r="G378" s="53" t="s">
        <v>135</v>
      </c>
    </row>
    <row r="379">
      <c r="A379" s="51" t="s">
        <v>6847</v>
      </c>
      <c r="B379" s="53" t="s">
        <v>5384</v>
      </c>
      <c r="C379" s="60">
        <v>45422.5625</v>
      </c>
      <c r="D379" s="61">
        <v>5.0</v>
      </c>
      <c r="E379" s="60">
        <v>45422.770833333336</v>
      </c>
      <c r="F379" s="52" t="s">
        <v>1420</v>
      </c>
      <c r="G379" s="53" t="s">
        <v>135</v>
      </c>
    </row>
    <row r="380">
      <c r="A380" s="51" t="s">
        <v>6848</v>
      </c>
      <c r="B380" s="53" t="s">
        <v>5384</v>
      </c>
      <c r="C380" s="60">
        <v>45421.5625</v>
      </c>
      <c r="D380" s="61">
        <v>5.0</v>
      </c>
      <c r="E380" s="60">
        <v>45421.770833333336</v>
      </c>
      <c r="F380" s="52" t="s">
        <v>1420</v>
      </c>
      <c r="G380" s="53" t="s">
        <v>135</v>
      </c>
    </row>
    <row r="381">
      <c r="A381" s="51" t="s">
        <v>6849</v>
      </c>
      <c r="B381" s="53" t="s">
        <v>5384</v>
      </c>
      <c r="C381" s="60">
        <v>45419.5625</v>
      </c>
      <c r="D381" s="61">
        <v>5.0</v>
      </c>
      <c r="E381" s="60">
        <v>45419.770833333336</v>
      </c>
      <c r="F381" s="52" t="s">
        <v>1420</v>
      </c>
      <c r="G381" s="53" t="s">
        <v>135</v>
      </c>
    </row>
    <row r="382">
      <c r="A382" s="51">
        <v>3.1305316E7</v>
      </c>
      <c r="B382" s="53" t="s">
        <v>5384</v>
      </c>
      <c r="C382" s="60">
        <v>45418.729166666664</v>
      </c>
      <c r="D382" s="61">
        <v>1.0</v>
      </c>
      <c r="E382" s="60">
        <v>45418.770833333336</v>
      </c>
      <c r="F382" s="52" t="s">
        <v>1420</v>
      </c>
      <c r="G382" s="53" t="s">
        <v>135</v>
      </c>
    </row>
    <row r="383">
      <c r="A383" s="51" t="s">
        <v>6850</v>
      </c>
      <c r="B383" s="53" t="s">
        <v>5457</v>
      </c>
      <c r="C383" s="60">
        <v>45418.5625</v>
      </c>
      <c r="D383" s="61">
        <v>4.0</v>
      </c>
      <c r="E383" s="60">
        <v>45418.729166666664</v>
      </c>
      <c r="F383" s="53" t="s">
        <v>6672</v>
      </c>
      <c r="G383" s="53" t="s">
        <v>135</v>
      </c>
    </row>
    <row r="384">
      <c r="A384" s="51" t="s">
        <v>6851</v>
      </c>
      <c r="B384" s="53" t="s">
        <v>6069</v>
      </c>
      <c r="C384" s="60">
        <v>45416.375</v>
      </c>
      <c r="D384" s="61">
        <v>4.0</v>
      </c>
      <c r="E384" s="60">
        <v>45416.541666666664</v>
      </c>
      <c r="F384" s="53" t="s">
        <v>6069</v>
      </c>
      <c r="G384" s="53" t="s">
        <v>135</v>
      </c>
    </row>
    <row r="385">
      <c r="A385" s="51" t="s">
        <v>6852</v>
      </c>
      <c r="B385" s="53" t="s">
        <v>5457</v>
      </c>
      <c r="C385" s="60">
        <v>45415.5625</v>
      </c>
      <c r="D385" s="61">
        <v>5.0</v>
      </c>
      <c r="E385" s="60">
        <v>45415.770833333336</v>
      </c>
      <c r="F385" s="53" t="s">
        <v>6672</v>
      </c>
      <c r="G385" s="53" t="s">
        <v>135</v>
      </c>
    </row>
    <row r="386">
      <c r="A386" s="51" t="s">
        <v>6853</v>
      </c>
      <c r="B386" s="53" t="s">
        <v>5384</v>
      </c>
      <c r="C386" s="60">
        <v>45414.729166666664</v>
      </c>
      <c r="D386" s="61">
        <v>1.0</v>
      </c>
      <c r="E386" s="60">
        <v>45414.770833333336</v>
      </c>
      <c r="F386" s="52" t="s">
        <v>1420</v>
      </c>
      <c r="G386" s="53" t="s">
        <v>135</v>
      </c>
    </row>
    <row r="387">
      <c r="A387" s="51" t="s">
        <v>6854</v>
      </c>
      <c r="B387" s="53" t="s">
        <v>5377</v>
      </c>
      <c r="C387" s="60">
        <v>45414.604166666664</v>
      </c>
      <c r="D387" s="61">
        <v>3.0</v>
      </c>
      <c r="E387" s="60">
        <v>45414.729166666664</v>
      </c>
      <c r="F387" s="53" t="s">
        <v>5377</v>
      </c>
      <c r="G387" s="53" t="s">
        <v>135</v>
      </c>
    </row>
    <row r="388">
      <c r="A388" s="51" t="s">
        <v>6855</v>
      </c>
      <c r="B388" s="53" t="s">
        <v>5457</v>
      </c>
      <c r="C388" s="60">
        <v>45414.5625</v>
      </c>
      <c r="D388" s="61">
        <v>1.0</v>
      </c>
      <c r="E388" s="60">
        <v>45414.604166666664</v>
      </c>
      <c r="F388" s="53" t="s">
        <v>6672</v>
      </c>
      <c r="G388" s="53" t="s">
        <v>135</v>
      </c>
    </row>
    <row r="389">
      <c r="A389" s="51" t="s">
        <v>6856</v>
      </c>
      <c r="B389" s="53" t="s">
        <v>5377</v>
      </c>
      <c r="C389" s="60">
        <v>45412.6875</v>
      </c>
      <c r="D389" s="61">
        <v>2.0</v>
      </c>
      <c r="E389" s="60">
        <v>45412.770833333336</v>
      </c>
      <c r="F389" s="53" t="s">
        <v>5377</v>
      </c>
      <c r="G389" s="53" t="s">
        <v>135</v>
      </c>
    </row>
    <row r="390">
      <c r="A390" s="51" t="s">
        <v>6857</v>
      </c>
      <c r="B390" s="53" t="s">
        <v>5457</v>
      </c>
      <c r="C390" s="60">
        <v>45412.5625</v>
      </c>
      <c r="D390" s="61">
        <v>3.0</v>
      </c>
      <c r="E390" s="60">
        <v>45412.6875</v>
      </c>
      <c r="F390" s="53" t="s">
        <v>6672</v>
      </c>
      <c r="G390" s="53" t="s">
        <v>135</v>
      </c>
    </row>
    <row r="391">
      <c r="A391" s="51" t="s">
        <v>6858</v>
      </c>
      <c r="B391" s="53" t="s">
        <v>5457</v>
      </c>
      <c r="C391" s="60">
        <v>45411.5625</v>
      </c>
      <c r="D391" s="61">
        <v>5.0</v>
      </c>
      <c r="E391" s="60">
        <v>45411.770833333336</v>
      </c>
      <c r="F391" s="53" t="s">
        <v>6672</v>
      </c>
      <c r="G391" s="53" t="s">
        <v>135</v>
      </c>
    </row>
    <row r="392">
      <c r="A392" s="51" t="s">
        <v>6859</v>
      </c>
      <c r="B392" s="53" t="s">
        <v>5457</v>
      </c>
      <c r="C392" s="60">
        <v>45409.375</v>
      </c>
      <c r="D392" s="61">
        <v>4.0</v>
      </c>
      <c r="E392" s="60">
        <v>45409.541666666664</v>
      </c>
      <c r="F392" s="53" t="s">
        <v>6672</v>
      </c>
      <c r="G392" s="53" t="s">
        <v>135</v>
      </c>
    </row>
    <row r="393">
      <c r="A393" s="51" t="s">
        <v>6860</v>
      </c>
      <c r="B393" s="53" t="s">
        <v>5457</v>
      </c>
      <c r="C393" s="60">
        <v>45408.5625</v>
      </c>
      <c r="D393" s="61">
        <v>4.0</v>
      </c>
      <c r="E393" s="60">
        <v>45408.729166666664</v>
      </c>
      <c r="F393" s="53" t="s">
        <v>6672</v>
      </c>
      <c r="G393" s="53" t="s">
        <v>135</v>
      </c>
    </row>
    <row r="394">
      <c r="A394" s="51" t="s">
        <v>6861</v>
      </c>
      <c r="B394" s="53" t="s">
        <v>5377</v>
      </c>
      <c r="C394" s="60">
        <v>45407.645833333336</v>
      </c>
      <c r="D394" s="61">
        <v>2.0</v>
      </c>
      <c r="E394" s="60">
        <v>45407.729166666664</v>
      </c>
      <c r="F394" s="53" t="s">
        <v>5377</v>
      </c>
      <c r="G394" s="53" t="s">
        <v>135</v>
      </c>
    </row>
    <row r="395">
      <c r="A395" s="51" t="s">
        <v>6862</v>
      </c>
      <c r="B395" s="53" t="s">
        <v>1492</v>
      </c>
      <c r="C395" s="60">
        <v>45407.5625</v>
      </c>
      <c r="D395" s="61">
        <v>2.0</v>
      </c>
      <c r="E395" s="60">
        <v>45407.645833333336</v>
      </c>
      <c r="F395" s="53" t="s">
        <v>6727</v>
      </c>
      <c r="G395" s="53" t="s">
        <v>135</v>
      </c>
    </row>
    <row r="396">
      <c r="A396" s="51" t="s">
        <v>6863</v>
      </c>
      <c r="B396" s="53" t="s">
        <v>5377</v>
      </c>
      <c r="C396" s="60">
        <v>45405.604166666664</v>
      </c>
      <c r="D396" s="61">
        <v>3.0</v>
      </c>
      <c r="E396" s="60">
        <v>45405.729166666664</v>
      </c>
      <c r="F396" s="53" t="s">
        <v>5377</v>
      </c>
      <c r="G396" s="53" t="s">
        <v>135</v>
      </c>
    </row>
    <row r="397">
      <c r="A397" s="51" t="s">
        <v>6864</v>
      </c>
      <c r="B397" s="53" t="s">
        <v>1492</v>
      </c>
      <c r="C397" s="60">
        <v>45405.5625</v>
      </c>
      <c r="D397" s="61">
        <v>1.0</v>
      </c>
      <c r="E397" s="60">
        <v>45405.604166666664</v>
      </c>
      <c r="F397" s="53" t="s">
        <v>6727</v>
      </c>
      <c r="G397" s="53" t="s">
        <v>135</v>
      </c>
    </row>
    <row r="398">
      <c r="A398" s="51" t="s">
        <v>6865</v>
      </c>
      <c r="B398" s="53" t="s">
        <v>1492</v>
      </c>
      <c r="C398" s="60">
        <v>45404.604166666664</v>
      </c>
      <c r="D398" s="61">
        <v>3.0</v>
      </c>
      <c r="E398" s="60">
        <v>45404.729166666664</v>
      </c>
      <c r="F398" s="53" t="s">
        <v>6727</v>
      </c>
      <c r="G398" s="53" t="s">
        <v>135</v>
      </c>
    </row>
    <row r="399">
      <c r="A399" s="51" t="s">
        <v>6866</v>
      </c>
      <c r="B399" s="53" t="s">
        <v>6057</v>
      </c>
      <c r="C399" s="60">
        <v>45404.5625</v>
      </c>
      <c r="D399" s="61">
        <v>1.0</v>
      </c>
      <c r="E399" s="60">
        <v>45404.604166666664</v>
      </c>
      <c r="F399" s="53" t="s">
        <v>6264</v>
      </c>
      <c r="G399" s="53" t="s">
        <v>135</v>
      </c>
    </row>
    <row r="400">
      <c r="A400" s="51" t="s">
        <v>6867</v>
      </c>
      <c r="B400" s="53" t="s">
        <v>5377</v>
      </c>
      <c r="C400" s="60">
        <v>45402.375</v>
      </c>
      <c r="D400" s="61">
        <v>4.0</v>
      </c>
      <c r="E400" s="60">
        <v>45402.541666666664</v>
      </c>
      <c r="F400" s="53" t="s">
        <v>5377</v>
      </c>
      <c r="G400" s="53" t="s">
        <v>135</v>
      </c>
    </row>
    <row r="401">
      <c r="A401" s="51" t="s">
        <v>6868</v>
      </c>
      <c r="B401" s="53" t="s">
        <v>5377</v>
      </c>
      <c r="C401" s="60">
        <v>45401.645833333336</v>
      </c>
      <c r="D401" s="61">
        <v>2.0</v>
      </c>
      <c r="E401" s="60">
        <v>45401.729166666664</v>
      </c>
      <c r="F401" s="53" t="s">
        <v>5377</v>
      </c>
      <c r="G401" s="53" t="s">
        <v>135</v>
      </c>
    </row>
    <row r="402">
      <c r="A402" s="51" t="s">
        <v>6869</v>
      </c>
      <c r="B402" s="53" t="s">
        <v>5384</v>
      </c>
      <c r="C402" s="60">
        <v>45401.5625</v>
      </c>
      <c r="D402" s="61">
        <v>2.0</v>
      </c>
      <c r="E402" s="60">
        <v>45401.645833333336</v>
      </c>
      <c r="F402" s="52" t="s">
        <v>1420</v>
      </c>
      <c r="G402" s="53" t="s">
        <v>135</v>
      </c>
    </row>
    <row r="403">
      <c r="A403" s="51" t="s">
        <v>6870</v>
      </c>
      <c r="B403" s="53" t="s">
        <v>5384</v>
      </c>
      <c r="C403" s="60">
        <v>45400.5625</v>
      </c>
      <c r="D403" s="61">
        <v>4.0</v>
      </c>
      <c r="E403" s="60">
        <v>45400.729166666664</v>
      </c>
      <c r="F403" s="52" t="s">
        <v>1420</v>
      </c>
      <c r="G403" s="53" t="s">
        <v>135</v>
      </c>
    </row>
    <row r="404">
      <c r="A404" s="51" t="s">
        <v>6871</v>
      </c>
      <c r="B404" s="53" t="s">
        <v>1438</v>
      </c>
      <c r="C404" s="60">
        <v>45398.5625</v>
      </c>
      <c r="D404" s="61">
        <v>4.0</v>
      </c>
      <c r="E404" s="60">
        <v>45398.729166666664</v>
      </c>
      <c r="F404" s="53" t="s">
        <v>6670</v>
      </c>
      <c r="G404" s="53" t="s">
        <v>135</v>
      </c>
    </row>
    <row r="405">
      <c r="A405" s="51" t="s">
        <v>6872</v>
      </c>
      <c r="B405" s="53" t="s">
        <v>1438</v>
      </c>
      <c r="C405" s="60">
        <v>45397.5625</v>
      </c>
      <c r="D405" s="61">
        <v>4.0</v>
      </c>
      <c r="E405" s="60">
        <v>45397.729166666664</v>
      </c>
      <c r="F405" s="53" t="s">
        <v>6670</v>
      </c>
      <c r="G405" s="53" t="s">
        <v>135</v>
      </c>
    </row>
    <row r="406">
      <c r="A406" s="51" t="s">
        <v>6873</v>
      </c>
      <c r="B406" s="53" t="s">
        <v>1438</v>
      </c>
      <c r="C406" s="60">
        <v>45395.375</v>
      </c>
      <c r="D406" s="61">
        <v>4.0</v>
      </c>
      <c r="E406" s="60">
        <v>45395.541666666664</v>
      </c>
      <c r="F406" s="53" t="s">
        <v>6670</v>
      </c>
      <c r="G406" s="53" t="s">
        <v>135</v>
      </c>
    </row>
    <row r="407">
      <c r="A407" s="51" t="s">
        <v>6874</v>
      </c>
      <c r="B407" s="53" t="s">
        <v>1438</v>
      </c>
      <c r="C407" s="60">
        <v>45394.5625</v>
      </c>
      <c r="D407" s="61">
        <v>4.0</v>
      </c>
      <c r="E407" s="60">
        <v>45394.729166666664</v>
      </c>
      <c r="F407" s="53" t="s">
        <v>6670</v>
      </c>
      <c r="G407" s="53" t="s">
        <v>135</v>
      </c>
    </row>
    <row r="408">
      <c r="A408" s="51" t="s">
        <v>6875</v>
      </c>
      <c r="B408" s="53" t="s">
        <v>1438</v>
      </c>
      <c r="C408" s="60">
        <v>45393.6875</v>
      </c>
      <c r="D408" s="61">
        <v>1.0</v>
      </c>
      <c r="E408" s="60">
        <v>45393.729166666664</v>
      </c>
      <c r="F408" s="53" t="s">
        <v>6670</v>
      </c>
      <c r="G408" s="53" t="s">
        <v>135</v>
      </c>
    </row>
    <row r="409">
      <c r="A409" s="51" t="s">
        <v>6876</v>
      </c>
      <c r="B409" s="53" t="s">
        <v>1492</v>
      </c>
      <c r="C409" s="60">
        <v>45393.5625</v>
      </c>
      <c r="D409" s="61">
        <v>3.0</v>
      </c>
      <c r="E409" s="60">
        <v>45393.6875</v>
      </c>
      <c r="F409" s="53" t="s">
        <v>6727</v>
      </c>
      <c r="G409" s="53" t="s">
        <v>135</v>
      </c>
    </row>
    <row r="410">
      <c r="A410" s="51" t="s">
        <v>6877</v>
      </c>
      <c r="B410" s="53" t="s">
        <v>5384</v>
      </c>
      <c r="C410" s="60">
        <v>45391.5625</v>
      </c>
      <c r="D410" s="61">
        <v>4.0</v>
      </c>
      <c r="E410" s="60">
        <v>45391.729166666664</v>
      </c>
      <c r="F410" s="52" t="s">
        <v>1420</v>
      </c>
      <c r="G410" s="53" t="s">
        <v>135</v>
      </c>
    </row>
    <row r="411">
      <c r="A411" s="51" t="s">
        <v>6878</v>
      </c>
      <c r="B411" s="53" t="s">
        <v>5384</v>
      </c>
      <c r="C411" s="60">
        <v>45390.645833333336</v>
      </c>
      <c r="D411" s="61">
        <v>2.0</v>
      </c>
      <c r="E411" s="60">
        <v>45390.729166666664</v>
      </c>
      <c r="F411" s="52" t="s">
        <v>1420</v>
      </c>
      <c r="G411" s="53" t="s">
        <v>135</v>
      </c>
    </row>
    <row r="412">
      <c r="A412" s="51" t="s">
        <v>6879</v>
      </c>
      <c r="B412" s="53" t="s">
        <v>1438</v>
      </c>
      <c r="C412" s="60">
        <v>45390.604166666664</v>
      </c>
      <c r="D412" s="61">
        <v>1.0</v>
      </c>
      <c r="E412" s="60">
        <v>45390.645833333336</v>
      </c>
      <c r="F412" s="53" t="s">
        <v>6670</v>
      </c>
      <c r="G412" s="53" t="s">
        <v>135</v>
      </c>
    </row>
    <row r="413">
      <c r="A413" s="51" t="s">
        <v>6880</v>
      </c>
      <c r="B413" s="53" t="s">
        <v>6057</v>
      </c>
      <c r="C413" s="60">
        <v>45390.5625</v>
      </c>
      <c r="D413" s="61">
        <v>1.0</v>
      </c>
      <c r="E413" s="60">
        <v>45390.604166666664</v>
      </c>
      <c r="F413" s="53" t="s">
        <v>6264</v>
      </c>
      <c r="G413" s="53" t="s">
        <v>135</v>
      </c>
    </row>
    <row r="414">
      <c r="A414" s="51" t="s">
        <v>6881</v>
      </c>
      <c r="B414" s="53" t="s">
        <v>1492</v>
      </c>
      <c r="C414" s="60">
        <v>45388.375</v>
      </c>
      <c r="D414" s="61">
        <v>4.0</v>
      </c>
      <c r="E414" s="60">
        <v>45388.541666666664</v>
      </c>
      <c r="F414" s="53" t="s">
        <v>6727</v>
      </c>
      <c r="G414" s="53" t="s">
        <v>135</v>
      </c>
    </row>
    <row r="415">
      <c r="A415" s="51" t="s">
        <v>6882</v>
      </c>
      <c r="B415" s="53" t="s">
        <v>1492</v>
      </c>
      <c r="C415" s="60">
        <v>45387.5625</v>
      </c>
      <c r="D415" s="61">
        <v>4.0</v>
      </c>
      <c r="E415" s="60">
        <v>45387.729166666664</v>
      </c>
      <c r="F415" s="53" t="s">
        <v>6727</v>
      </c>
      <c r="G415" s="53" t="s">
        <v>135</v>
      </c>
    </row>
    <row r="416">
      <c r="A416" s="51" t="s">
        <v>6883</v>
      </c>
      <c r="B416" s="53" t="s">
        <v>1492</v>
      </c>
      <c r="C416" s="60">
        <v>45386.645833333336</v>
      </c>
      <c r="D416" s="61">
        <v>2.0</v>
      </c>
      <c r="E416" s="60">
        <v>45386.729166666664</v>
      </c>
      <c r="F416" s="53" t="s">
        <v>6727</v>
      </c>
      <c r="G416" s="53" t="s">
        <v>135</v>
      </c>
    </row>
    <row r="417">
      <c r="A417" s="51" t="s">
        <v>6884</v>
      </c>
      <c r="B417" s="53" t="s">
        <v>5384</v>
      </c>
      <c r="C417" s="60">
        <v>45386.604166666664</v>
      </c>
      <c r="D417" s="61">
        <v>1.0</v>
      </c>
      <c r="E417" s="60">
        <v>45386.645833333336</v>
      </c>
      <c r="F417" s="52" t="s">
        <v>1420</v>
      </c>
      <c r="G417" s="53" t="s">
        <v>135</v>
      </c>
    </row>
    <row r="418">
      <c r="A418" s="51" t="s">
        <v>6885</v>
      </c>
      <c r="B418" s="53" t="s">
        <v>5457</v>
      </c>
      <c r="C418" s="60">
        <v>45386.5625</v>
      </c>
      <c r="D418" s="61">
        <v>1.0</v>
      </c>
      <c r="E418" s="60">
        <v>45386.604166666664</v>
      </c>
      <c r="F418" s="53" t="s">
        <v>6672</v>
      </c>
      <c r="G418" s="53" t="s">
        <v>135</v>
      </c>
    </row>
    <row r="419">
      <c r="A419" s="51" t="s">
        <v>6886</v>
      </c>
      <c r="B419" s="53" t="s">
        <v>5384</v>
      </c>
      <c r="C419" s="60">
        <v>45379.625</v>
      </c>
      <c r="D419" s="61">
        <v>2.0</v>
      </c>
      <c r="E419" s="60">
        <v>45379.708333333336</v>
      </c>
      <c r="F419" s="52" t="s">
        <v>1420</v>
      </c>
      <c r="G419" s="53" t="s">
        <v>135</v>
      </c>
    </row>
    <row r="420">
      <c r="A420" s="51" t="s">
        <v>6887</v>
      </c>
      <c r="B420" s="53" t="s">
        <v>5457</v>
      </c>
      <c r="C420" s="60">
        <v>45379.541666666664</v>
      </c>
      <c r="D420" s="61">
        <v>2.0</v>
      </c>
      <c r="E420" s="60">
        <v>45379.625</v>
      </c>
      <c r="F420" s="53" t="s">
        <v>6672</v>
      </c>
      <c r="G420" s="53" t="s">
        <v>135</v>
      </c>
    </row>
    <row r="421">
      <c r="A421" s="51" t="s">
        <v>6888</v>
      </c>
      <c r="B421" s="53" t="s">
        <v>1492</v>
      </c>
      <c r="C421" s="60">
        <v>45378.333333333336</v>
      </c>
      <c r="D421" s="61">
        <v>4.0</v>
      </c>
      <c r="E421" s="60">
        <v>45378.5</v>
      </c>
      <c r="F421" s="53" t="s">
        <v>6727</v>
      </c>
      <c r="G421" s="53" t="s">
        <v>135</v>
      </c>
    </row>
    <row r="422">
      <c r="A422" s="51" t="s">
        <v>6889</v>
      </c>
      <c r="B422" s="53" t="s">
        <v>1492</v>
      </c>
      <c r="C422" s="60">
        <v>45377.333333333336</v>
      </c>
      <c r="D422" s="61">
        <v>4.0</v>
      </c>
      <c r="E422" s="60">
        <v>45377.5</v>
      </c>
      <c r="F422" s="53" t="s">
        <v>6727</v>
      </c>
      <c r="G422" s="53" t="s">
        <v>135</v>
      </c>
    </row>
    <row r="423">
      <c r="A423" s="51" t="s">
        <v>6890</v>
      </c>
      <c r="B423" s="53" t="s">
        <v>5457</v>
      </c>
      <c r="C423" s="60">
        <v>45376.541666666664</v>
      </c>
      <c r="D423" s="61">
        <v>4.0</v>
      </c>
      <c r="E423" s="60">
        <v>45376.708333333336</v>
      </c>
      <c r="F423" s="53" t="s">
        <v>6672</v>
      </c>
      <c r="G423" s="53" t="s">
        <v>135</v>
      </c>
    </row>
    <row r="424">
      <c r="A424" s="51" t="s">
        <v>6891</v>
      </c>
      <c r="B424" s="53" t="s">
        <v>5457</v>
      </c>
      <c r="C424" s="60">
        <v>45373.375</v>
      </c>
      <c r="D424" s="61">
        <v>3.0</v>
      </c>
      <c r="E424" s="60">
        <v>45373.5</v>
      </c>
      <c r="F424" s="53" t="s">
        <v>6672</v>
      </c>
      <c r="G424" s="53" t="s">
        <v>135</v>
      </c>
    </row>
    <row r="425">
      <c r="A425" s="51" t="s">
        <v>6892</v>
      </c>
      <c r="B425" s="53" t="s">
        <v>1438</v>
      </c>
      <c r="C425" s="60">
        <v>45373.333333333336</v>
      </c>
      <c r="D425" s="61">
        <v>1.0</v>
      </c>
      <c r="E425" s="60">
        <v>45373.375</v>
      </c>
      <c r="F425" s="53" t="s">
        <v>4782</v>
      </c>
      <c r="G425" s="53" t="s">
        <v>135</v>
      </c>
    </row>
    <row r="426">
      <c r="A426" s="51" t="s">
        <v>6893</v>
      </c>
      <c r="B426" s="53" t="s">
        <v>1438</v>
      </c>
      <c r="C426" s="60">
        <v>45372.333333333336</v>
      </c>
      <c r="D426" s="61">
        <v>4.0</v>
      </c>
      <c r="E426" s="60">
        <v>45372.5</v>
      </c>
      <c r="F426" s="53" t="s">
        <v>4782</v>
      </c>
      <c r="G426" s="53" t="s">
        <v>135</v>
      </c>
    </row>
    <row r="427">
      <c r="A427" s="51" t="s">
        <v>6894</v>
      </c>
      <c r="B427" s="53" t="s">
        <v>5384</v>
      </c>
      <c r="C427" s="60">
        <v>45371.333333333336</v>
      </c>
      <c r="D427" s="61">
        <v>4.0</v>
      </c>
      <c r="E427" s="60">
        <v>45371.5</v>
      </c>
      <c r="F427" s="52" t="s">
        <v>1420</v>
      </c>
      <c r="G427" s="53" t="s">
        <v>135</v>
      </c>
    </row>
    <row r="428">
      <c r="A428" s="51" t="s">
        <v>6895</v>
      </c>
      <c r="B428" s="53" t="s">
        <v>5377</v>
      </c>
      <c r="C428" s="60">
        <v>45370.333333333336</v>
      </c>
      <c r="D428" s="61">
        <v>4.0</v>
      </c>
      <c r="E428" s="60">
        <v>45370.5</v>
      </c>
      <c r="F428" s="53" t="s">
        <v>5377</v>
      </c>
      <c r="G428" s="53" t="s">
        <v>135</v>
      </c>
    </row>
    <row r="429">
      <c r="A429" s="51" t="s">
        <v>6896</v>
      </c>
      <c r="B429" s="53" t="s">
        <v>5377</v>
      </c>
      <c r="C429" s="60">
        <v>45369.541666666664</v>
      </c>
      <c r="D429" s="61">
        <v>4.0</v>
      </c>
      <c r="E429" s="60">
        <v>45369.708333333336</v>
      </c>
      <c r="F429" s="53" t="s">
        <v>5377</v>
      </c>
      <c r="G429" s="53" t="s">
        <v>135</v>
      </c>
    </row>
    <row r="430">
      <c r="A430" s="51" t="s">
        <v>6897</v>
      </c>
      <c r="B430" s="53" t="s">
        <v>5377</v>
      </c>
      <c r="C430" s="60">
        <v>45366.333333333336</v>
      </c>
      <c r="D430" s="61">
        <v>4.0</v>
      </c>
      <c r="E430" s="60">
        <v>45366.5</v>
      </c>
      <c r="F430" s="53" t="s">
        <v>5377</v>
      </c>
      <c r="G430" s="53" t="s">
        <v>135</v>
      </c>
    </row>
    <row r="431">
      <c r="A431" s="51" t="s">
        <v>6898</v>
      </c>
      <c r="B431" s="53" t="s">
        <v>1472</v>
      </c>
      <c r="C431" s="60">
        <v>45365.666666666664</v>
      </c>
      <c r="D431" s="61">
        <v>2.0</v>
      </c>
      <c r="E431" s="60">
        <v>45365.75</v>
      </c>
      <c r="F431" s="53" t="s">
        <v>6627</v>
      </c>
      <c r="G431" s="53" t="s">
        <v>135</v>
      </c>
    </row>
    <row r="432">
      <c r="A432" s="51" t="s">
        <v>6899</v>
      </c>
      <c r="B432" s="53" t="s">
        <v>5457</v>
      </c>
      <c r="C432" s="60">
        <v>45365.583333333336</v>
      </c>
      <c r="D432" s="61">
        <v>2.0</v>
      </c>
      <c r="E432" s="60">
        <v>45365.666666666664</v>
      </c>
      <c r="F432" s="53" t="s">
        <v>6672</v>
      </c>
      <c r="G432" s="53" t="s">
        <v>135</v>
      </c>
    </row>
    <row r="433">
      <c r="A433" s="51" t="s">
        <v>6900</v>
      </c>
      <c r="B433" s="53" t="s">
        <v>5457</v>
      </c>
      <c r="C433" s="60">
        <v>45364.416666666664</v>
      </c>
      <c r="D433" s="61">
        <v>2.0</v>
      </c>
      <c r="E433" s="60">
        <v>45364.5</v>
      </c>
      <c r="F433" s="53" t="s">
        <v>6672</v>
      </c>
      <c r="G433" s="53" t="s">
        <v>135</v>
      </c>
    </row>
    <row r="434">
      <c r="A434" s="51" t="s">
        <v>6901</v>
      </c>
      <c r="B434" s="53" t="s">
        <v>1472</v>
      </c>
      <c r="C434" s="60">
        <v>45364.375</v>
      </c>
      <c r="D434" s="61">
        <v>1.0</v>
      </c>
      <c r="E434" s="60">
        <v>45364.416666666664</v>
      </c>
      <c r="F434" s="53" t="s">
        <v>6627</v>
      </c>
      <c r="G434" s="53" t="s">
        <v>135</v>
      </c>
    </row>
    <row r="435">
      <c r="A435" s="51" t="s">
        <v>6902</v>
      </c>
      <c r="B435" s="53" t="s">
        <v>5457</v>
      </c>
      <c r="C435" s="60">
        <v>45364.333333333336</v>
      </c>
      <c r="D435" s="61">
        <v>1.0</v>
      </c>
      <c r="E435" s="60">
        <v>45364.375</v>
      </c>
      <c r="F435" s="53" t="s">
        <v>6672</v>
      </c>
      <c r="G435" s="53" t="s">
        <v>135</v>
      </c>
    </row>
    <row r="436">
      <c r="A436" s="51" t="s">
        <v>6903</v>
      </c>
      <c r="B436" s="53" t="s">
        <v>1472</v>
      </c>
      <c r="C436" s="60">
        <v>45363.333333333336</v>
      </c>
      <c r="D436" s="61">
        <v>4.0</v>
      </c>
      <c r="E436" s="60">
        <v>45363.5</v>
      </c>
      <c r="F436" s="53" t="s">
        <v>6627</v>
      </c>
      <c r="G436" s="53" t="s">
        <v>135</v>
      </c>
    </row>
    <row r="437">
      <c r="A437" s="55">
        <v>16.0</v>
      </c>
      <c r="B437" s="53" t="s">
        <v>6069</v>
      </c>
      <c r="C437" s="56">
        <v>45363.333333333336</v>
      </c>
      <c r="D437" s="61">
        <v>5.0</v>
      </c>
      <c r="E437" s="56">
        <v>45363.375</v>
      </c>
      <c r="F437" s="53" t="s">
        <v>6069</v>
      </c>
      <c r="G437" s="4" t="s">
        <v>27</v>
      </c>
      <c r="L437" s="4" t="s">
        <v>6904</v>
      </c>
    </row>
    <row r="438">
      <c r="A438" s="51" t="s">
        <v>6905</v>
      </c>
      <c r="B438" s="53" t="s">
        <v>6057</v>
      </c>
      <c r="C438" s="60">
        <v>45362.541666666664</v>
      </c>
      <c r="D438" s="61">
        <v>4.0</v>
      </c>
      <c r="E438" s="60">
        <v>45362.708333333336</v>
      </c>
      <c r="F438" s="53" t="s">
        <v>6264</v>
      </c>
      <c r="G438" s="53" t="s">
        <v>135</v>
      </c>
    </row>
    <row r="439">
      <c r="A439" s="55">
        <v>15.0</v>
      </c>
      <c r="B439" s="53" t="s">
        <v>6069</v>
      </c>
      <c r="C439" s="56">
        <v>45362.333333333336</v>
      </c>
      <c r="D439" s="61">
        <v>5.0</v>
      </c>
      <c r="E439" s="56">
        <v>45362.375</v>
      </c>
      <c r="F439" s="53" t="s">
        <v>6069</v>
      </c>
      <c r="G439" s="4" t="s">
        <v>27</v>
      </c>
      <c r="L439" s="4" t="s">
        <v>6906</v>
      </c>
    </row>
    <row r="440">
      <c r="A440" s="51" t="s">
        <v>6907</v>
      </c>
      <c r="B440" s="53" t="s">
        <v>5377</v>
      </c>
      <c r="C440" s="60">
        <v>45359.375</v>
      </c>
      <c r="D440" s="61">
        <v>3.0</v>
      </c>
      <c r="E440" s="60">
        <v>45359.5</v>
      </c>
      <c r="F440" s="53" t="s">
        <v>5377</v>
      </c>
      <c r="G440" s="53" t="s">
        <v>135</v>
      </c>
    </row>
    <row r="441">
      <c r="A441" s="51" t="s">
        <v>6908</v>
      </c>
      <c r="B441" s="53" t="s">
        <v>5457</v>
      </c>
      <c r="C441" s="60">
        <v>45359.333333333336</v>
      </c>
      <c r="D441" s="61">
        <v>1.0</v>
      </c>
      <c r="E441" s="60">
        <v>45359.375</v>
      </c>
      <c r="F441" s="53" t="s">
        <v>6672</v>
      </c>
      <c r="G441" s="53" t="s">
        <v>135</v>
      </c>
    </row>
    <row r="442">
      <c r="A442" s="51" t="s">
        <v>6909</v>
      </c>
      <c r="B442" s="53" t="s">
        <v>5377</v>
      </c>
      <c r="C442" s="60">
        <v>45358.416666666664</v>
      </c>
      <c r="D442" s="61">
        <v>2.0</v>
      </c>
      <c r="E442" s="60">
        <v>45358.5</v>
      </c>
      <c r="F442" s="53" t="s">
        <v>5377</v>
      </c>
      <c r="G442" s="53" t="s">
        <v>135</v>
      </c>
    </row>
    <row r="443">
      <c r="A443" s="51" t="s">
        <v>6910</v>
      </c>
      <c r="B443" s="53" t="s">
        <v>5457</v>
      </c>
      <c r="C443" s="60">
        <v>45358.375</v>
      </c>
      <c r="D443" s="61">
        <v>1.0</v>
      </c>
      <c r="E443" s="60">
        <v>45358.416666666664</v>
      </c>
      <c r="F443" s="53" t="s">
        <v>6672</v>
      </c>
      <c r="G443" s="53" t="s">
        <v>135</v>
      </c>
    </row>
    <row r="444">
      <c r="A444" s="51" t="s">
        <v>6911</v>
      </c>
      <c r="B444" s="53" t="s">
        <v>1472</v>
      </c>
      <c r="C444" s="60">
        <v>45358.333333333336</v>
      </c>
      <c r="D444" s="61">
        <v>1.0</v>
      </c>
      <c r="E444" s="60">
        <v>45358.375</v>
      </c>
      <c r="F444" s="53" t="s">
        <v>6627</v>
      </c>
      <c r="G444" s="53" t="s">
        <v>135</v>
      </c>
    </row>
    <row r="445">
      <c r="A445" s="51" t="s">
        <v>6912</v>
      </c>
      <c r="B445" s="53" t="s">
        <v>5457</v>
      </c>
      <c r="C445" s="60">
        <v>45357.375</v>
      </c>
      <c r="D445" s="61">
        <v>3.0</v>
      </c>
      <c r="E445" s="60">
        <v>45357.5</v>
      </c>
      <c r="F445" s="53" t="s">
        <v>6672</v>
      </c>
      <c r="G445" s="53" t="s">
        <v>135</v>
      </c>
    </row>
    <row r="446">
      <c r="A446" s="51" t="s">
        <v>6913</v>
      </c>
      <c r="B446" s="53" t="s">
        <v>1438</v>
      </c>
      <c r="C446" s="60">
        <v>45357.333333333336</v>
      </c>
      <c r="D446" s="61">
        <v>1.0</v>
      </c>
      <c r="E446" s="60">
        <v>45357.375</v>
      </c>
      <c r="F446" s="53" t="s">
        <v>6670</v>
      </c>
      <c r="G446" s="53" t="s">
        <v>135</v>
      </c>
    </row>
    <row r="447">
      <c r="A447" s="51" t="s">
        <v>6914</v>
      </c>
      <c r="B447" s="53" t="s">
        <v>5384</v>
      </c>
      <c r="C447" s="60">
        <v>45356.583333333336</v>
      </c>
      <c r="D447" s="61">
        <v>1.0</v>
      </c>
      <c r="E447" s="60">
        <v>45356.625</v>
      </c>
      <c r="F447" s="52" t="s">
        <v>1420</v>
      </c>
      <c r="G447" s="53" t="s">
        <v>135</v>
      </c>
    </row>
    <row r="448">
      <c r="A448" s="51" t="s">
        <v>6915</v>
      </c>
      <c r="B448" s="53" t="s">
        <v>5377</v>
      </c>
      <c r="C448" s="60">
        <v>45356.333333333336</v>
      </c>
      <c r="D448" s="61">
        <v>4.0</v>
      </c>
      <c r="E448" s="60">
        <v>45356.5</v>
      </c>
      <c r="F448" s="53" t="s">
        <v>5377</v>
      </c>
      <c r="G448" s="53" t="s">
        <v>135</v>
      </c>
    </row>
    <row r="449">
      <c r="A449" s="51" t="s">
        <v>6916</v>
      </c>
      <c r="B449" s="53" t="s">
        <v>5384</v>
      </c>
      <c r="C449" s="60">
        <v>45355.666666666664</v>
      </c>
      <c r="D449" s="61">
        <v>1.0</v>
      </c>
      <c r="E449" s="60">
        <v>45355.708333333336</v>
      </c>
      <c r="F449" s="52" t="s">
        <v>1420</v>
      </c>
      <c r="G449" s="53" t="s">
        <v>135</v>
      </c>
    </row>
    <row r="450">
      <c r="A450" s="51" t="s">
        <v>6917</v>
      </c>
      <c r="B450" s="53" t="s">
        <v>5377</v>
      </c>
      <c r="C450" s="60">
        <v>45355.583333333336</v>
      </c>
      <c r="D450" s="61">
        <v>2.0</v>
      </c>
      <c r="E450" s="60">
        <v>45355.666666666664</v>
      </c>
      <c r="F450" s="53" t="s">
        <v>5377</v>
      </c>
      <c r="G450" s="53" t="s">
        <v>135</v>
      </c>
    </row>
    <row r="451">
      <c r="A451" s="51" t="s">
        <v>6918</v>
      </c>
      <c r="B451" s="53" t="s">
        <v>1472</v>
      </c>
      <c r="C451" s="60">
        <v>45355.541666666664</v>
      </c>
      <c r="D451" s="61">
        <v>1.0</v>
      </c>
      <c r="E451" s="60">
        <v>45355.583333333336</v>
      </c>
      <c r="F451" s="53" t="s">
        <v>6627</v>
      </c>
      <c r="G451" s="53" t="s">
        <v>135</v>
      </c>
    </row>
    <row r="452">
      <c r="A452" s="51">
        <v>3.4059092E7</v>
      </c>
      <c r="B452" s="53" t="s">
        <v>5457</v>
      </c>
      <c r="C452" s="60">
        <v>45352.333333333336</v>
      </c>
      <c r="D452" s="61">
        <v>4.0</v>
      </c>
      <c r="E452" s="60">
        <v>45352.5</v>
      </c>
      <c r="F452" s="53" t="s">
        <v>6672</v>
      </c>
      <c r="G452" s="53" t="s">
        <v>135</v>
      </c>
    </row>
    <row r="453">
      <c r="A453" s="51" t="s">
        <v>6919</v>
      </c>
      <c r="B453" s="53" t="s">
        <v>1472</v>
      </c>
      <c r="C453" s="60">
        <v>45351.333333333336</v>
      </c>
      <c r="D453" s="61">
        <v>4.0</v>
      </c>
      <c r="E453" s="60">
        <v>45351.5</v>
      </c>
      <c r="F453" s="53" t="s">
        <v>6627</v>
      </c>
      <c r="G453" s="53" t="s">
        <v>135</v>
      </c>
    </row>
    <row r="454">
      <c r="A454" s="51" t="s">
        <v>6920</v>
      </c>
      <c r="B454" s="53" t="s">
        <v>5457</v>
      </c>
      <c r="C454" s="60">
        <v>45350.333333333336</v>
      </c>
      <c r="D454" s="61">
        <v>4.0</v>
      </c>
      <c r="E454" s="60">
        <v>45350.5</v>
      </c>
      <c r="F454" s="53" t="s">
        <v>6672</v>
      </c>
      <c r="G454" s="53" t="s">
        <v>135</v>
      </c>
    </row>
    <row r="455">
      <c r="A455" s="51" t="s">
        <v>6921</v>
      </c>
      <c r="B455" s="53" t="s">
        <v>5384</v>
      </c>
      <c r="C455" s="60">
        <v>45349.583333333336</v>
      </c>
      <c r="D455" s="62"/>
      <c r="E455" s="60">
        <v>45349.708333333336</v>
      </c>
      <c r="F455" s="52" t="s">
        <v>1420</v>
      </c>
      <c r="G455" s="53" t="s">
        <v>135</v>
      </c>
    </row>
    <row r="456">
      <c r="A456" s="51" t="s">
        <v>6922</v>
      </c>
      <c r="B456" s="53" t="s">
        <v>5377</v>
      </c>
      <c r="C456" s="60">
        <v>45349.541666666664</v>
      </c>
      <c r="D456" s="61">
        <v>1.0</v>
      </c>
      <c r="E456" s="60">
        <v>45349.583333333336</v>
      </c>
      <c r="F456" s="53" t="s">
        <v>5377</v>
      </c>
      <c r="G456" s="53" t="s">
        <v>135</v>
      </c>
    </row>
    <row r="457">
      <c r="A457" s="51" t="s">
        <v>6923</v>
      </c>
      <c r="B457" s="53" t="s">
        <v>5384</v>
      </c>
      <c r="C457" s="60">
        <v>45348.541666666664</v>
      </c>
      <c r="D457" s="61">
        <v>4.0</v>
      </c>
      <c r="E457" s="60">
        <v>45348.708333333336</v>
      </c>
      <c r="F457" s="52" t="s">
        <v>1420</v>
      </c>
      <c r="G457" s="53" t="s">
        <v>135</v>
      </c>
    </row>
    <row r="458">
      <c r="A458" s="51" t="s">
        <v>6924</v>
      </c>
      <c r="B458" s="53" t="s">
        <v>5377</v>
      </c>
      <c r="C458" s="60">
        <v>45345.416666666664</v>
      </c>
      <c r="D458" s="61">
        <v>2.0</v>
      </c>
      <c r="E458" s="60">
        <v>45345.5</v>
      </c>
      <c r="F458" s="53" t="s">
        <v>5377</v>
      </c>
      <c r="G458" s="53" t="s">
        <v>135</v>
      </c>
    </row>
    <row r="459">
      <c r="A459" s="51" t="s">
        <v>6925</v>
      </c>
      <c r="B459" s="53" t="s">
        <v>5457</v>
      </c>
      <c r="C459" s="60">
        <v>45345.375</v>
      </c>
      <c r="D459" s="61">
        <v>1.0</v>
      </c>
      <c r="E459" s="60">
        <v>45345.416666666664</v>
      </c>
      <c r="F459" s="53" t="s">
        <v>6672</v>
      </c>
      <c r="G459" s="53" t="s">
        <v>135</v>
      </c>
    </row>
    <row r="460">
      <c r="A460" s="51" t="s">
        <v>6926</v>
      </c>
      <c r="B460" s="53" t="s">
        <v>5377</v>
      </c>
      <c r="C460" s="60">
        <v>45345.333333333336</v>
      </c>
      <c r="D460" s="61">
        <v>1.0</v>
      </c>
      <c r="E460" s="60">
        <v>45345.375</v>
      </c>
      <c r="F460" s="53" t="s">
        <v>5377</v>
      </c>
      <c r="G460" s="53" t="s">
        <v>135</v>
      </c>
    </row>
    <row r="461">
      <c r="A461" s="51" t="s">
        <v>6927</v>
      </c>
      <c r="B461" s="53" t="s">
        <v>5377</v>
      </c>
      <c r="C461" s="60">
        <v>45344.416666666664</v>
      </c>
      <c r="D461" s="61">
        <v>2.0</v>
      </c>
      <c r="E461" s="60">
        <v>45344.5</v>
      </c>
      <c r="F461" s="53" t="s">
        <v>5377</v>
      </c>
      <c r="G461" s="53" t="s">
        <v>135</v>
      </c>
    </row>
    <row r="462">
      <c r="A462" s="51" t="s">
        <v>6928</v>
      </c>
      <c r="B462" s="53" t="s">
        <v>5457</v>
      </c>
      <c r="C462" s="60">
        <v>45344.333333333336</v>
      </c>
      <c r="D462" s="61">
        <v>2.0</v>
      </c>
      <c r="E462" s="60">
        <v>45344.416666666664</v>
      </c>
      <c r="F462" s="53" t="s">
        <v>6672</v>
      </c>
      <c r="G462" s="53" t="s">
        <v>135</v>
      </c>
    </row>
    <row r="463">
      <c r="A463" s="51" t="s">
        <v>6929</v>
      </c>
      <c r="B463" s="53" t="s">
        <v>5457</v>
      </c>
      <c r="C463" s="60">
        <v>45343.375</v>
      </c>
      <c r="D463" s="61">
        <v>3.0</v>
      </c>
      <c r="E463" s="60">
        <v>45343.5</v>
      </c>
      <c r="F463" s="53" t="s">
        <v>6672</v>
      </c>
      <c r="G463" s="53" t="s">
        <v>135</v>
      </c>
    </row>
    <row r="464">
      <c r="A464" s="51" t="s">
        <v>6930</v>
      </c>
      <c r="B464" s="53" t="s">
        <v>5377</v>
      </c>
      <c r="C464" s="60">
        <v>45343.333333333336</v>
      </c>
      <c r="D464" s="61">
        <v>1.0</v>
      </c>
      <c r="E464" s="60">
        <v>45343.375</v>
      </c>
      <c r="F464" s="53" t="s">
        <v>5377</v>
      </c>
      <c r="G464" s="53" t="s">
        <v>135</v>
      </c>
    </row>
    <row r="465">
      <c r="A465" s="51" t="s">
        <v>6931</v>
      </c>
      <c r="B465" s="53" t="s">
        <v>5384</v>
      </c>
      <c r="C465" s="60">
        <v>45342.541666666664</v>
      </c>
      <c r="D465" s="61">
        <v>4.0</v>
      </c>
      <c r="E465" s="60">
        <v>45342.708333333336</v>
      </c>
      <c r="F465" s="52" t="s">
        <v>1420</v>
      </c>
      <c r="G465" s="53" t="s">
        <v>135</v>
      </c>
    </row>
    <row r="466">
      <c r="A466" s="51" t="s">
        <v>6932</v>
      </c>
      <c r="B466" s="53" t="s">
        <v>1438</v>
      </c>
      <c r="C466" s="60">
        <v>45341.541666666664</v>
      </c>
      <c r="D466" s="61">
        <v>4.0</v>
      </c>
      <c r="E466" s="60">
        <v>45341.708333333336</v>
      </c>
      <c r="F466" s="53" t="s">
        <v>6670</v>
      </c>
      <c r="G466" s="53" t="s">
        <v>135</v>
      </c>
    </row>
    <row r="467">
      <c r="A467" s="51" t="s">
        <v>6933</v>
      </c>
      <c r="B467" s="53" t="s">
        <v>1438</v>
      </c>
      <c r="C467" s="60">
        <v>45338.333333333336</v>
      </c>
      <c r="D467" s="61">
        <v>4.0</v>
      </c>
      <c r="E467" s="60">
        <v>45338.5</v>
      </c>
      <c r="F467" s="53" t="s">
        <v>6670</v>
      </c>
      <c r="G467" s="53" t="s">
        <v>135</v>
      </c>
    </row>
    <row r="468">
      <c r="A468" s="51" t="s">
        <v>6934</v>
      </c>
      <c r="B468" s="53" t="s">
        <v>6057</v>
      </c>
      <c r="C468" s="60">
        <v>45337.333333333336</v>
      </c>
      <c r="D468" s="61">
        <v>4.0</v>
      </c>
      <c r="E468" s="60">
        <v>45337.5</v>
      </c>
      <c r="F468" s="53" t="s">
        <v>6264</v>
      </c>
      <c r="G468" s="53" t="s">
        <v>135</v>
      </c>
    </row>
    <row r="469">
      <c r="A469" s="51" t="s">
        <v>6935</v>
      </c>
      <c r="B469" s="53" t="s">
        <v>5384</v>
      </c>
      <c r="C469" s="60">
        <v>45336.375</v>
      </c>
      <c r="D469" s="61">
        <v>3.0</v>
      </c>
      <c r="E469" s="60">
        <v>45336.5</v>
      </c>
      <c r="F469" s="52" t="s">
        <v>1420</v>
      </c>
      <c r="G469" s="53" t="s">
        <v>135</v>
      </c>
    </row>
    <row r="470">
      <c r="A470" s="51" t="s">
        <v>6936</v>
      </c>
      <c r="B470" s="53" t="s">
        <v>5457</v>
      </c>
      <c r="C470" s="60">
        <v>45336.333333333336</v>
      </c>
      <c r="D470" s="61">
        <v>1.0</v>
      </c>
      <c r="E470" s="60">
        <v>45336.375</v>
      </c>
      <c r="F470" s="53" t="s">
        <v>6672</v>
      </c>
      <c r="G470" s="53" t="s">
        <v>135</v>
      </c>
    </row>
    <row r="471">
      <c r="A471" s="55">
        <v>14.0</v>
      </c>
      <c r="B471" s="53" t="s">
        <v>6069</v>
      </c>
      <c r="C471" s="56">
        <v>45335.333333333336</v>
      </c>
      <c r="D471" s="61">
        <v>5.0</v>
      </c>
      <c r="E471" s="56">
        <v>45335.375</v>
      </c>
      <c r="F471" s="53" t="s">
        <v>6069</v>
      </c>
      <c r="G471" s="4" t="s">
        <v>27</v>
      </c>
      <c r="L471" s="4" t="s">
        <v>6937</v>
      </c>
    </row>
    <row r="472">
      <c r="A472" s="55">
        <v>13.0</v>
      </c>
      <c r="B472" s="53" t="s">
        <v>6069</v>
      </c>
      <c r="C472" s="56">
        <v>45334.333333333336</v>
      </c>
      <c r="D472" s="61">
        <v>5.0</v>
      </c>
      <c r="E472" s="56">
        <v>45334.375</v>
      </c>
      <c r="F472" s="53" t="s">
        <v>6069</v>
      </c>
      <c r="G472" s="4" t="s">
        <v>27</v>
      </c>
      <c r="L472" s="4" t="s">
        <v>6938</v>
      </c>
    </row>
    <row r="473">
      <c r="A473" s="51" t="s">
        <v>6939</v>
      </c>
      <c r="B473" s="53" t="s">
        <v>5384</v>
      </c>
      <c r="C473" s="60">
        <v>45331.375</v>
      </c>
      <c r="D473" s="61">
        <v>4.0</v>
      </c>
      <c r="E473" s="60">
        <v>45331.541666666664</v>
      </c>
      <c r="F473" s="52" t="s">
        <v>1420</v>
      </c>
      <c r="G473" s="53" t="s">
        <v>135</v>
      </c>
    </row>
    <row r="474">
      <c r="A474" s="51" t="s">
        <v>6940</v>
      </c>
      <c r="B474" s="53" t="s">
        <v>1438</v>
      </c>
      <c r="C474" s="60">
        <v>45331.333333333336</v>
      </c>
      <c r="D474" s="61">
        <v>1.0</v>
      </c>
      <c r="E474" s="60">
        <v>45331.375</v>
      </c>
      <c r="F474" s="53" t="s">
        <v>6670</v>
      </c>
      <c r="G474" s="53" t="s">
        <v>135</v>
      </c>
    </row>
    <row r="475">
      <c r="A475" s="55">
        <v>12.0</v>
      </c>
      <c r="B475" s="53" t="s">
        <v>6069</v>
      </c>
      <c r="C475" s="56">
        <v>45331.333333333336</v>
      </c>
      <c r="D475" s="61">
        <v>5.0</v>
      </c>
      <c r="E475" s="56">
        <v>45331.375</v>
      </c>
      <c r="F475" s="53" t="s">
        <v>6069</v>
      </c>
      <c r="G475" s="4" t="s">
        <v>27</v>
      </c>
      <c r="L475" s="4" t="s">
        <v>6941</v>
      </c>
    </row>
    <row r="476">
      <c r="A476" s="51" t="s">
        <v>6942</v>
      </c>
      <c r="B476" s="53" t="s">
        <v>5384</v>
      </c>
      <c r="C476" s="60">
        <v>45330.375</v>
      </c>
      <c r="D476" s="61">
        <v>4.0</v>
      </c>
      <c r="E476" s="60">
        <v>45330.541666666664</v>
      </c>
      <c r="F476" s="52" t="s">
        <v>1420</v>
      </c>
      <c r="G476" s="53" t="s">
        <v>135</v>
      </c>
    </row>
    <row r="477">
      <c r="A477" s="51" t="s">
        <v>6943</v>
      </c>
      <c r="B477" s="53" t="s">
        <v>5377</v>
      </c>
      <c r="C477" s="60">
        <v>45330.333333333336</v>
      </c>
      <c r="D477" s="61">
        <v>1.0</v>
      </c>
      <c r="E477" s="60">
        <v>45330.375</v>
      </c>
      <c r="F477" s="53" t="s">
        <v>5377</v>
      </c>
      <c r="G477" s="53" t="s">
        <v>135</v>
      </c>
    </row>
    <row r="478">
      <c r="A478" s="51" t="s">
        <v>6944</v>
      </c>
      <c r="B478" s="53" t="s">
        <v>5377</v>
      </c>
      <c r="C478" s="60">
        <v>45329.333333333336</v>
      </c>
      <c r="D478" s="61">
        <v>5.0</v>
      </c>
      <c r="E478" s="60">
        <v>45329.541666666664</v>
      </c>
      <c r="F478" s="53" t="s">
        <v>5377</v>
      </c>
      <c r="G478" s="53" t="s">
        <v>135</v>
      </c>
    </row>
    <row r="479">
      <c r="A479" s="51" t="s">
        <v>6945</v>
      </c>
      <c r="B479" s="53" t="s">
        <v>5377</v>
      </c>
      <c r="C479" s="60">
        <v>45328.666666666664</v>
      </c>
      <c r="D479" s="61">
        <v>2.0</v>
      </c>
      <c r="E479" s="60">
        <v>45328.75</v>
      </c>
      <c r="F479" s="53" t="s">
        <v>5377</v>
      </c>
      <c r="G479" s="53" t="s">
        <v>135</v>
      </c>
    </row>
    <row r="480">
      <c r="A480" s="51" t="s">
        <v>6946</v>
      </c>
      <c r="B480" s="53" t="s">
        <v>5384</v>
      </c>
      <c r="C480" s="60">
        <v>45328.541666666664</v>
      </c>
      <c r="D480" s="61">
        <v>3.0</v>
      </c>
      <c r="E480" s="60">
        <v>45328.666666666664</v>
      </c>
      <c r="F480" s="52" t="s">
        <v>1420</v>
      </c>
      <c r="G480" s="53" t="s">
        <v>135</v>
      </c>
    </row>
    <row r="481">
      <c r="A481" s="51" t="s">
        <v>6947</v>
      </c>
      <c r="B481" s="53" t="s">
        <v>1472</v>
      </c>
      <c r="C481" s="60">
        <v>45327.625</v>
      </c>
      <c r="D481" s="61">
        <v>3.0</v>
      </c>
      <c r="E481" s="60">
        <v>45327.75</v>
      </c>
      <c r="F481" s="53" t="s">
        <v>6627</v>
      </c>
      <c r="G481" s="53" t="s">
        <v>135</v>
      </c>
    </row>
    <row r="482">
      <c r="A482" s="51" t="s">
        <v>6948</v>
      </c>
      <c r="B482" s="53" t="s">
        <v>5384</v>
      </c>
      <c r="C482" s="60">
        <v>45327.541666666664</v>
      </c>
      <c r="D482" s="61">
        <v>2.0</v>
      </c>
      <c r="E482" s="60">
        <v>45327.625</v>
      </c>
      <c r="F482" s="52" t="s">
        <v>1420</v>
      </c>
      <c r="G482" s="53" t="s">
        <v>135</v>
      </c>
    </row>
    <row r="483">
      <c r="A483" s="51" t="s">
        <v>6949</v>
      </c>
      <c r="B483" s="53" t="s">
        <v>1472</v>
      </c>
      <c r="C483" s="60">
        <v>45324.333333333336</v>
      </c>
      <c r="D483" s="61">
        <v>5.0</v>
      </c>
      <c r="E483" s="60">
        <v>45324.541666666664</v>
      </c>
      <c r="F483" s="53" t="s">
        <v>6627</v>
      </c>
      <c r="G483" s="53" t="s">
        <v>135</v>
      </c>
    </row>
    <row r="484">
      <c r="A484" s="51" t="s">
        <v>6950</v>
      </c>
      <c r="B484" s="53" t="s">
        <v>5384</v>
      </c>
      <c r="C484" s="60">
        <v>45323.5</v>
      </c>
      <c r="D484" s="61">
        <v>1.0</v>
      </c>
      <c r="E484" s="60">
        <v>45323.541666666664</v>
      </c>
      <c r="F484" s="52" t="s">
        <v>1420</v>
      </c>
      <c r="G484" s="53" t="s">
        <v>135</v>
      </c>
    </row>
    <row r="485">
      <c r="A485" s="51" t="s">
        <v>6951</v>
      </c>
      <c r="B485" s="53" t="s">
        <v>5457</v>
      </c>
      <c r="C485" s="60">
        <v>45323.333333333336</v>
      </c>
      <c r="D485" s="61">
        <v>4.0</v>
      </c>
      <c r="E485" s="60">
        <v>45323.5</v>
      </c>
      <c r="F485" s="53" t="s">
        <v>6672</v>
      </c>
      <c r="G485" s="53" t="s">
        <v>135</v>
      </c>
    </row>
    <row r="486">
      <c r="A486" s="51" t="s">
        <v>6952</v>
      </c>
      <c r="B486" s="53" t="s">
        <v>5457</v>
      </c>
      <c r="C486" s="60">
        <v>45322.416666666664</v>
      </c>
      <c r="D486" s="61">
        <v>3.0</v>
      </c>
      <c r="E486" s="60">
        <v>45322.541666666664</v>
      </c>
      <c r="F486" s="53" t="s">
        <v>6672</v>
      </c>
      <c r="G486" s="53" t="s">
        <v>135</v>
      </c>
    </row>
    <row r="487">
      <c r="A487" s="51" t="s">
        <v>6953</v>
      </c>
      <c r="B487" s="53" t="s">
        <v>5384</v>
      </c>
      <c r="C487" s="60">
        <v>45322.333333333336</v>
      </c>
      <c r="D487" s="61">
        <v>2.0</v>
      </c>
      <c r="E487" s="60">
        <v>45322.416666666664</v>
      </c>
      <c r="F487" s="52" t="s">
        <v>1420</v>
      </c>
      <c r="G487" s="53" t="s">
        <v>135</v>
      </c>
    </row>
    <row r="488">
      <c r="A488" s="51" t="s">
        <v>6954</v>
      </c>
      <c r="B488" s="53" t="s">
        <v>5377</v>
      </c>
      <c r="C488" s="60">
        <v>45321.5</v>
      </c>
      <c r="D488" s="61">
        <v>1.0</v>
      </c>
      <c r="E488" s="60">
        <v>45321.541666666664</v>
      </c>
      <c r="F488" s="53" t="s">
        <v>5377</v>
      </c>
      <c r="G488" s="53" t="s">
        <v>135</v>
      </c>
    </row>
    <row r="489">
      <c r="A489" s="51" t="s">
        <v>6955</v>
      </c>
      <c r="B489" s="53" t="s">
        <v>5384</v>
      </c>
      <c r="C489" s="60">
        <v>45321.416666666664</v>
      </c>
      <c r="D489" s="61">
        <v>2.0</v>
      </c>
      <c r="E489" s="60">
        <v>45321.5</v>
      </c>
      <c r="F489" s="52" t="s">
        <v>1420</v>
      </c>
      <c r="G489" s="53" t="s">
        <v>135</v>
      </c>
    </row>
    <row r="490">
      <c r="A490" s="51" t="s">
        <v>6956</v>
      </c>
      <c r="B490" s="53" t="s">
        <v>5377</v>
      </c>
      <c r="C490" s="60">
        <v>45321.333333333336</v>
      </c>
      <c r="D490" s="61">
        <v>2.0</v>
      </c>
      <c r="E490" s="60">
        <v>45321.416666666664</v>
      </c>
      <c r="F490" s="53" t="s">
        <v>5377</v>
      </c>
      <c r="G490" s="53" t="s">
        <v>135</v>
      </c>
    </row>
    <row r="491">
      <c r="A491" s="51" t="s">
        <v>6957</v>
      </c>
      <c r="B491" s="53" t="s">
        <v>5377</v>
      </c>
      <c r="C491" s="60">
        <v>45320.541666666664</v>
      </c>
      <c r="D491" s="61">
        <v>4.0</v>
      </c>
      <c r="E491" s="60">
        <v>45320.708333333336</v>
      </c>
      <c r="F491" s="53" t="s">
        <v>5377</v>
      </c>
      <c r="G491" s="53" t="s">
        <v>135</v>
      </c>
    </row>
    <row r="492">
      <c r="A492" s="51" t="s">
        <v>6958</v>
      </c>
      <c r="B492" s="53" t="s">
        <v>5457</v>
      </c>
      <c r="C492" s="60">
        <v>45317.416666666664</v>
      </c>
      <c r="D492" s="61">
        <v>2.0</v>
      </c>
      <c r="E492" s="60">
        <v>45317.5</v>
      </c>
      <c r="F492" s="53" t="s">
        <v>6672</v>
      </c>
      <c r="G492" s="53" t="s">
        <v>135</v>
      </c>
    </row>
    <row r="493">
      <c r="A493" s="51" t="s">
        <v>6959</v>
      </c>
      <c r="B493" s="53" t="s">
        <v>5384</v>
      </c>
      <c r="C493" s="60">
        <v>45317.333333333336</v>
      </c>
      <c r="D493" s="61">
        <v>2.0</v>
      </c>
      <c r="E493" s="60">
        <v>45317.416666666664</v>
      </c>
      <c r="F493" s="52" t="s">
        <v>1420</v>
      </c>
      <c r="G493" s="53" t="s">
        <v>135</v>
      </c>
    </row>
    <row r="494">
      <c r="A494" s="51" t="s">
        <v>6960</v>
      </c>
      <c r="B494" s="53" t="s">
        <v>5384</v>
      </c>
      <c r="C494" s="60">
        <v>45316.458333333336</v>
      </c>
      <c r="D494" s="61">
        <v>1.0</v>
      </c>
      <c r="E494" s="60">
        <v>45316.5</v>
      </c>
      <c r="F494" s="52" t="s">
        <v>1420</v>
      </c>
      <c r="G494" s="53" t="s">
        <v>135</v>
      </c>
    </row>
    <row r="495">
      <c r="A495" s="51" t="s">
        <v>6961</v>
      </c>
      <c r="B495" s="53" t="s">
        <v>1438</v>
      </c>
      <c r="C495" s="60">
        <v>45316.333333333336</v>
      </c>
      <c r="D495" s="61">
        <v>3.0</v>
      </c>
      <c r="E495" s="60">
        <v>45316.458333333336</v>
      </c>
      <c r="F495" s="53" t="s">
        <v>6670</v>
      </c>
      <c r="G495" s="53" t="s">
        <v>135</v>
      </c>
    </row>
    <row r="496">
      <c r="A496" s="51" t="s">
        <v>6962</v>
      </c>
      <c r="B496" s="53" t="s">
        <v>1438</v>
      </c>
      <c r="C496" s="60">
        <v>45315.333333333336</v>
      </c>
      <c r="D496" s="61">
        <v>4.0</v>
      </c>
      <c r="E496" s="60">
        <v>45315.5</v>
      </c>
      <c r="F496" s="53" t="s">
        <v>6670</v>
      </c>
      <c r="G496" s="53" t="s">
        <v>135</v>
      </c>
    </row>
    <row r="497">
      <c r="A497" s="51" t="s">
        <v>6963</v>
      </c>
      <c r="B497" s="53" t="s">
        <v>5377</v>
      </c>
      <c r="C497" s="60">
        <v>45314.625</v>
      </c>
      <c r="D497" s="61">
        <v>2.0</v>
      </c>
      <c r="E497" s="60">
        <v>45314.708333333336</v>
      </c>
      <c r="F497" s="53" t="s">
        <v>5377</v>
      </c>
      <c r="G497" s="53" t="s">
        <v>135</v>
      </c>
    </row>
    <row r="498">
      <c r="A498" s="51" t="s">
        <v>6964</v>
      </c>
      <c r="B498" s="53" t="s">
        <v>5457</v>
      </c>
      <c r="C498" s="60">
        <v>45314.583333333336</v>
      </c>
      <c r="D498" s="61">
        <v>1.0</v>
      </c>
      <c r="E498" s="60">
        <v>45314.625</v>
      </c>
      <c r="F498" s="53" t="s">
        <v>6672</v>
      </c>
      <c r="G498" s="53" t="s">
        <v>135</v>
      </c>
    </row>
    <row r="499">
      <c r="A499" s="51" t="s">
        <v>6965</v>
      </c>
      <c r="B499" s="53" t="s">
        <v>5377</v>
      </c>
      <c r="C499" s="60">
        <v>45314.541666666664</v>
      </c>
      <c r="D499" s="61">
        <v>1.0</v>
      </c>
      <c r="E499" s="60">
        <v>45314.583333333336</v>
      </c>
      <c r="F499" s="53" t="s">
        <v>5377</v>
      </c>
      <c r="G499" s="53" t="s">
        <v>135</v>
      </c>
    </row>
    <row r="500">
      <c r="A500" s="51" t="s">
        <v>6966</v>
      </c>
      <c r="B500" s="53" t="s">
        <v>5377</v>
      </c>
      <c r="C500" s="60">
        <v>45313.541666666664</v>
      </c>
      <c r="D500" s="61">
        <v>4.0</v>
      </c>
      <c r="E500" s="60">
        <v>45313.708333333336</v>
      </c>
      <c r="F500" s="53" t="s">
        <v>5377</v>
      </c>
      <c r="G500" s="53" t="s">
        <v>135</v>
      </c>
    </row>
    <row r="501">
      <c r="A501" s="51" t="s">
        <v>6967</v>
      </c>
      <c r="B501" s="53" t="s">
        <v>5457</v>
      </c>
      <c r="C501" s="60">
        <v>45310.416666666664</v>
      </c>
      <c r="D501" s="61">
        <v>2.0</v>
      </c>
      <c r="E501" s="60">
        <v>45310.5</v>
      </c>
      <c r="F501" s="53" t="s">
        <v>6672</v>
      </c>
      <c r="G501" s="53" t="s">
        <v>135</v>
      </c>
    </row>
    <row r="502">
      <c r="A502" s="51" t="s">
        <v>6968</v>
      </c>
      <c r="B502" s="53" t="s">
        <v>5377</v>
      </c>
      <c r="C502" s="60">
        <v>45310.333333333336</v>
      </c>
      <c r="D502" s="61">
        <v>2.0</v>
      </c>
      <c r="E502" s="60">
        <v>45310.416666666664</v>
      </c>
      <c r="F502" s="53" t="s">
        <v>5377</v>
      </c>
      <c r="G502" s="53" t="s">
        <v>135</v>
      </c>
    </row>
    <row r="503">
      <c r="A503" s="51" t="s">
        <v>6969</v>
      </c>
      <c r="B503" s="53" t="s">
        <v>5457</v>
      </c>
      <c r="C503" s="60">
        <v>45309.458333333336</v>
      </c>
      <c r="D503" s="61">
        <v>1.0</v>
      </c>
      <c r="E503" s="60">
        <v>45309.5</v>
      </c>
      <c r="F503" s="53" t="s">
        <v>6672</v>
      </c>
      <c r="G503" s="53" t="s">
        <v>135</v>
      </c>
    </row>
    <row r="504">
      <c r="A504" s="51" t="s">
        <v>6970</v>
      </c>
      <c r="B504" s="53" t="s">
        <v>1438</v>
      </c>
      <c r="C504" s="60">
        <v>45309.333333333336</v>
      </c>
      <c r="D504" s="61">
        <v>3.0</v>
      </c>
      <c r="E504" s="60">
        <v>45309.458333333336</v>
      </c>
      <c r="F504" s="53" t="s">
        <v>6670</v>
      </c>
      <c r="G504" s="53" t="s">
        <v>135</v>
      </c>
    </row>
    <row r="505">
      <c r="A505" s="51" t="s">
        <v>6971</v>
      </c>
      <c r="B505" s="53" t="s">
        <v>1438</v>
      </c>
      <c r="C505" s="60">
        <v>45308.333333333336</v>
      </c>
      <c r="D505" s="61">
        <v>4.0</v>
      </c>
      <c r="E505" s="60">
        <v>45308.5</v>
      </c>
      <c r="F505" s="53" t="s">
        <v>6670</v>
      </c>
      <c r="G505" s="53" t="s">
        <v>135</v>
      </c>
    </row>
    <row r="506">
      <c r="A506" s="51" t="s">
        <v>6972</v>
      </c>
      <c r="B506" s="53" t="s">
        <v>1438</v>
      </c>
      <c r="C506" s="60">
        <v>45307.625</v>
      </c>
      <c r="D506" s="61">
        <v>2.0</v>
      </c>
      <c r="E506" s="60">
        <v>45307.708333333336</v>
      </c>
      <c r="F506" s="53" t="s">
        <v>6670</v>
      </c>
      <c r="G506" s="53" t="s">
        <v>135</v>
      </c>
    </row>
    <row r="507">
      <c r="A507" s="51" t="s">
        <v>6973</v>
      </c>
      <c r="B507" s="53" t="s">
        <v>5384</v>
      </c>
      <c r="C507" s="60">
        <v>45307.583333333336</v>
      </c>
      <c r="D507" s="61">
        <v>1.0</v>
      </c>
      <c r="E507" s="60">
        <v>45307.625</v>
      </c>
      <c r="F507" s="52" t="s">
        <v>1420</v>
      </c>
      <c r="G507" s="63" t="s">
        <v>6974</v>
      </c>
    </row>
    <row r="508">
      <c r="A508" s="51" t="s">
        <v>6975</v>
      </c>
      <c r="B508" s="53" t="s">
        <v>1438</v>
      </c>
      <c r="C508" s="60">
        <v>45307.541666666664</v>
      </c>
      <c r="D508" s="61">
        <v>4.0</v>
      </c>
      <c r="E508" s="60">
        <v>45307.583333333336</v>
      </c>
      <c r="F508" s="53" t="s">
        <v>6670</v>
      </c>
      <c r="G508" s="53" t="s">
        <v>135</v>
      </c>
    </row>
    <row r="509">
      <c r="A509" s="51" t="s">
        <v>6976</v>
      </c>
      <c r="B509" s="53" t="s">
        <v>5377</v>
      </c>
      <c r="C509" s="60">
        <v>45306.541666666664</v>
      </c>
      <c r="D509" s="61">
        <v>4.0</v>
      </c>
      <c r="E509" s="60">
        <v>45306.708333333336</v>
      </c>
      <c r="F509" s="53" t="s">
        <v>5377</v>
      </c>
      <c r="G509" s="53" t="s">
        <v>135</v>
      </c>
    </row>
    <row r="510">
      <c r="A510" s="51" t="s">
        <v>6977</v>
      </c>
      <c r="B510" s="53" t="s">
        <v>5377</v>
      </c>
      <c r="C510" s="60">
        <v>45303.458333333336</v>
      </c>
      <c r="D510" s="61">
        <v>1.0</v>
      </c>
      <c r="E510" s="60">
        <v>45303.5</v>
      </c>
      <c r="F510" s="53" t="s">
        <v>5377</v>
      </c>
      <c r="G510" s="53" t="s">
        <v>135</v>
      </c>
    </row>
    <row r="511">
      <c r="A511" s="51" t="s">
        <v>6978</v>
      </c>
      <c r="B511" s="53" t="s">
        <v>5457</v>
      </c>
      <c r="C511" s="60">
        <v>45303.333333333336</v>
      </c>
      <c r="D511" s="61">
        <v>3.0</v>
      </c>
      <c r="E511" s="60">
        <v>45303.458333333336</v>
      </c>
      <c r="F511" s="53" t="s">
        <v>6672</v>
      </c>
      <c r="G511" s="53" t="s">
        <v>135</v>
      </c>
    </row>
    <row r="512">
      <c r="A512" s="51" t="s">
        <v>6979</v>
      </c>
      <c r="B512" s="53" t="s">
        <v>5457</v>
      </c>
      <c r="C512" s="60">
        <v>45302.375</v>
      </c>
      <c r="D512" s="61">
        <v>3.0</v>
      </c>
      <c r="E512" s="60">
        <v>45302.5</v>
      </c>
      <c r="F512" s="53" t="s">
        <v>6672</v>
      </c>
      <c r="G512" s="53" t="s">
        <v>135</v>
      </c>
    </row>
    <row r="513">
      <c r="A513" s="51" t="s">
        <v>6980</v>
      </c>
      <c r="B513" s="53" t="s">
        <v>6057</v>
      </c>
      <c r="C513" s="60">
        <v>45302.333333333336</v>
      </c>
      <c r="D513" s="61">
        <v>1.0</v>
      </c>
      <c r="E513" s="60">
        <v>45302.375</v>
      </c>
      <c r="F513" s="53" t="s">
        <v>6264</v>
      </c>
      <c r="G513" s="63" t="s">
        <v>6981</v>
      </c>
    </row>
    <row r="514">
      <c r="A514" s="51" t="s">
        <v>6982</v>
      </c>
      <c r="B514" s="53" t="s">
        <v>1438</v>
      </c>
      <c r="C514" s="60">
        <v>45301.333333333336</v>
      </c>
      <c r="D514" s="61">
        <v>4.0</v>
      </c>
      <c r="E514" s="60">
        <v>45301.5</v>
      </c>
      <c r="F514" s="53" t="s">
        <v>6670</v>
      </c>
      <c r="G514" s="63" t="s">
        <v>6983</v>
      </c>
    </row>
    <row r="515">
      <c r="A515" s="51" t="s">
        <v>6984</v>
      </c>
      <c r="B515" s="53" t="s">
        <v>1438</v>
      </c>
      <c r="C515" s="60">
        <v>45300.333333333336</v>
      </c>
      <c r="D515" s="61">
        <v>4.0</v>
      </c>
      <c r="E515" s="60">
        <v>45300.5</v>
      </c>
      <c r="F515" s="53" t="s">
        <v>6670</v>
      </c>
      <c r="G515" s="63" t="s">
        <v>6985</v>
      </c>
    </row>
    <row r="516">
      <c r="A516" s="51" t="s">
        <v>6986</v>
      </c>
      <c r="B516" s="53" t="s">
        <v>1438</v>
      </c>
      <c r="C516" s="60">
        <v>45299.625</v>
      </c>
      <c r="D516" s="61">
        <v>2.0</v>
      </c>
      <c r="E516" s="60">
        <v>45299.708333333336</v>
      </c>
      <c r="F516" s="53" t="s">
        <v>6670</v>
      </c>
      <c r="G516" s="63" t="s">
        <v>6987</v>
      </c>
    </row>
    <row r="517">
      <c r="A517" s="51" t="s">
        <v>6988</v>
      </c>
      <c r="B517" s="53" t="s">
        <v>5457</v>
      </c>
      <c r="C517" s="60">
        <v>45299.541666666664</v>
      </c>
      <c r="D517" s="61">
        <v>4.0</v>
      </c>
      <c r="E517" s="60">
        <v>45299.708333333336</v>
      </c>
      <c r="F517" s="53" t="s">
        <v>6672</v>
      </c>
      <c r="G517" s="63" t="s">
        <v>6989</v>
      </c>
    </row>
    <row r="518">
      <c r="A518" s="51" t="s">
        <v>6990</v>
      </c>
      <c r="B518" s="53" t="s">
        <v>5457</v>
      </c>
      <c r="C518" s="60">
        <v>45296.333333333336</v>
      </c>
      <c r="D518" s="61">
        <v>4.0</v>
      </c>
      <c r="E518" s="60">
        <v>45296.5</v>
      </c>
      <c r="F518" s="53" t="s">
        <v>6672</v>
      </c>
      <c r="G518" s="63" t="s">
        <v>6991</v>
      </c>
    </row>
    <row r="519">
      <c r="A519" s="51" t="s">
        <v>6992</v>
      </c>
      <c r="B519" s="53" t="s">
        <v>5384</v>
      </c>
      <c r="C519" s="60">
        <v>45295.333333333336</v>
      </c>
      <c r="D519" s="61">
        <v>4.0</v>
      </c>
      <c r="E519" s="60">
        <v>45295.5</v>
      </c>
      <c r="F519" s="52" t="s">
        <v>1420</v>
      </c>
      <c r="G519" s="53" t="s">
        <v>135</v>
      </c>
    </row>
    <row r="520">
      <c r="A520" s="51" t="s">
        <v>6993</v>
      </c>
      <c r="B520" s="53" t="s">
        <v>1438</v>
      </c>
      <c r="C520" s="60">
        <v>45294.333333333336</v>
      </c>
      <c r="D520" s="61">
        <v>4.0</v>
      </c>
      <c r="E520" s="60">
        <v>45294.5</v>
      </c>
      <c r="F520" s="53" t="s">
        <v>6670</v>
      </c>
      <c r="G520" s="53" t="s">
        <v>135</v>
      </c>
    </row>
    <row r="521">
      <c r="A521" s="51" t="s">
        <v>6994</v>
      </c>
      <c r="B521" s="53" t="s">
        <v>5377</v>
      </c>
      <c r="C521" s="60">
        <v>45293.333333333336</v>
      </c>
      <c r="D521" s="61">
        <v>4.0</v>
      </c>
      <c r="E521" s="60">
        <v>45293.5</v>
      </c>
      <c r="F521" s="53" t="s">
        <v>5377</v>
      </c>
      <c r="G521" s="53" t="s">
        <v>135</v>
      </c>
    </row>
    <row r="522">
      <c r="A522" s="51" t="s">
        <v>6995</v>
      </c>
      <c r="B522" s="53" t="s">
        <v>5377</v>
      </c>
      <c r="C522" s="60">
        <v>45292.0</v>
      </c>
      <c r="D522" s="62"/>
      <c r="E522" s="60">
        <v>45303.958333333336</v>
      </c>
      <c r="F522" s="53" t="s">
        <v>6996</v>
      </c>
      <c r="G522" s="53" t="s">
        <v>27</v>
      </c>
    </row>
    <row r="523">
      <c r="A523" s="51" t="s">
        <v>6997</v>
      </c>
      <c r="B523" s="53" t="s">
        <v>1427</v>
      </c>
      <c r="C523" s="60">
        <v>45292.0</v>
      </c>
      <c r="D523" s="62"/>
      <c r="E523" s="60">
        <v>45311.166666666664</v>
      </c>
      <c r="F523" s="53" t="s">
        <v>6998</v>
      </c>
      <c r="G523" s="53" t="s">
        <v>27</v>
      </c>
    </row>
    <row r="524">
      <c r="A524" s="51" t="s">
        <v>6999</v>
      </c>
      <c r="B524" s="53" t="s">
        <v>1540</v>
      </c>
      <c r="C524" s="60">
        <v>45292.0</v>
      </c>
      <c r="D524" s="62"/>
      <c r="E524" s="60">
        <v>45293.625</v>
      </c>
      <c r="F524" s="53" t="s">
        <v>7000</v>
      </c>
      <c r="G524" s="53" t="s">
        <v>27</v>
      </c>
    </row>
    <row r="525">
      <c r="A525" s="51" t="s">
        <v>7001</v>
      </c>
      <c r="B525" s="53" t="s">
        <v>1472</v>
      </c>
      <c r="C525" s="60">
        <v>45292.0</v>
      </c>
      <c r="D525" s="62"/>
      <c r="E525" s="60">
        <v>45297.041666666664</v>
      </c>
      <c r="F525" s="53" t="s">
        <v>7000</v>
      </c>
      <c r="G525" s="53" t="s">
        <v>27</v>
      </c>
    </row>
    <row r="526">
      <c r="A526" s="51" t="s">
        <v>7002</v>
      </c>
      <c r="B526" s="53" t="s">
        <v>5457</v>
      </c>
      <c r="C526" s="60">
        <v>45292.0</v>
      </c>
      <c r="D526" s="62"/>
      <c r="E526" s="60">
        <v>45292.291666666664</v>
      </c>
      <c r="F526" s="53" t="s">
        <v>7000</v>
      </c>
      <c r="G526" s="53" t="s">
        <v>27</v>
      </c>
    </row>
    <row r="527">
      <c r="A527" s="51" t="s">
        <v>7003</v>
      </c>
      <c r="B527" s="53" t="s">
        <v>1438</v>
      </c>
      <c r="C527" s="60">
        <v>45292.0</v>
      </c>
      <c r="D527" s="62"/>
      <c r="E527" s="60">
        <v>45302.875</v>
      </c>
      <c r="F527" s="53" t="s">
        <v>7000</v>
      </c>
      <c r="G527" s="53" t="s">
        <v>27</v>
      </c>
    </row>
    <row r="528">
      <c r="A528" s="51" t="s">
        <v>7004</v>
      </c>
      <c r="B528" s="53" t="s">
        <v>5384</v>
      </c>
      <c r="C528" s="60">
        <v>45292.0</v>
      </c>
      <c r="D528" s="62"/>
      <c r="E528" s="60">
        <v>45297.125</v>
      </c>
      <c r="F528" s="52" t="s">
        <v>7005</v>
      </c>
      <c r="G528" s="53" t="s">
        <v>27</v>
      </c>
    </row>
    <row r="529">
      <c r="A529" s="51" t="s">
        <v>7006</v>
      </c>
      <c r="B529" s="53" t="s">
        <v>5384</v>
      </c>
      <c r="C529" s="64">
        <v>45289.375</v>
      </c>
      <c r="D529" s="61">
        <v>3.0</v>
      </c>
      <c r="E529" s="64">
        <v>45289.5</v>
      </c>
      <c r="F529" s="52" t="s">
        <v>1420</v>
      </c>
      <c r="G529" s="53" t="s">
        <v>135</v>
      </c>
    </row>
    <row r="530">
      <c r="A530" s="51" t="s">
        <v>7007</v>
      </c>
      <c r="B530" s="53" t="s">
        <v>1438</v>
      </c>
      <c r="C530" s="64">
        <v>45289.333333333336</v>
      </c>
      <c r="D530" s="61">
        <v>1.0</v>
      </c>
      <c r="E530" s="64">
        <v>45289.375</v>
      </c>
      <c r="F530" s="53" t="s">
        <v>6670</v>
      </c>
      <c r="G530" s="53" t="s">
        <v>135</v>
      </c>
    </row>
    <row r="531">
      <c r="A531" s="51" t="s">
        <v>7008</v>
      </c>
      <c r="B531" s="53" t="s">
        <v>1438</v>
      </c>
      <c r="C531" s="64">
        <v>45288.458333333336</v>
      </c>
      <c r="D531" s="61">
        <v>1.0</v>
      </c>
      <c r="E531" s="64">
        <v>45288.5</v>
      </c>
      <c r="F531" s="53" t="s">
        <v>6670</v>
      </c>
      <c r="G531" s="53" t="s">
        <v>135</v>
      </c>
    </row>
    <row r="532">
      <c r="A532" s="51" t="s">
        <v>7009</v>
      </c>
      <c r="B532" s="53" t="s">
        <v>5384</v>
      </c>
      <c r="C532" s="64">
        <v>45288.333333333336</v>
      </c>
      <c r="D532" s="61">
        <v>3.0</v>
      </c>
      <c r="E532" s="64">
        <v>45288.458333333336</v>
      </c>
      <c r="F532" s="52" t="s">
        <v>1420</v>
      </c>
      <c r="G532" s="53" t="s">
        <v>135</v>
      </c>
    </row>
    <row r="533">
      <c r="A533" s="51" t="s">
        <v>7010</v>
      </c>
      <c r="B533" s="53" t="s">
        <v>5384</v>
      </c>
      <c r="C533" s="64">
        <v>45287.416666666664</v>
      </c>
      <c r="D533" s="61">
        <v>2.0</v>
      </c>
      <c r="E533" s="64">
        <v>45287.5</v>
      </c>
      <c r="F533" s="52" t="s">
        <v>1420</v>
      </c>
      <c r="G533" s="53" t="s">
        <v>135</v>
      </c>
    </row>
    <row r="534">
      <c r="A534" s="51" t="s">
        <v>7011</v>
      </c>
      <c r="B534" s="53" t="s">
        <v>5457</v>
      </c>
      <c r="C534" s="64">
        <v>45287.375</v>
      </c>
      <c r="D534" s="61">
        <v>1.0</v>
      </c>
      <c r="E534" s="64">
        <v>45287.416666666664</v>
      </c>
      <c r="F534" s="53" t="s">
        <v>6672</v>
      </c>
      <c r="G534" s="53" t="s">
        <v>135</v>
      </c>
    </row>
    <row r="535">
      <c r="A535" s="51" t="s">
        <v>7012</v>
      </c>
      <c r="B535" s="53" t="s">
        <v>5384</v>
      </c>
      <c r="C535" s="64">
        <v>45287.333333333336</v>
      </c>
      <c r="D535" s="61">
        <v>1.0</v>
      </c>
      <c r="E535" s="64">
        <v>45287.375</v>
      </c>
      <c r="F535" s="52" t="s">
        <v>1420</v>
      </c>
      <c r="G535" s="53" t="s">
        <v>135</v>
      </c>
    </row>
    <row r="536">
      <c r="A536" s="51" t="s">
        <v>7013</v>
      </c>
      <c r="B536" s="53" t="s">
        <v>5457</v>
      </c>
      <c r="C536" s="64">
        <v>45286.333333333336</v>
      </c>
      <c r="D536" s="61">
        <v>4.0</v>
      </c>
      <c r="E536" s="64">
        <v>45286.5</v>
      </c>
      <c r="F536" s="53" t="s">
        <v>6672</v>
      </c>
      <c r="G536" s="53" t="s">
        <v>135</v>
      </c>
    </row>
    <row r="537">
      <c r="A537" s="51" t="s">
        <v>7014</v>
      </c>
      <c r="B537" s="53" t="s">
        <v>5384</v>
      </c>
      <c r="C537" s="64">
        <v>45282.583333333336</v>
      </c>
      <c r="D537" s="61">
        <v>2.0</v>
      </c>
      <c r="E537" s="64">
        <v>45282.666666666664</v>
      </c>
      <c r="F537" s="52" t="s">
        <v>1420</v>
      </c>
      <c r="G537" s="53" t="s">
        <v>135</v>
      </c>
    </row>
    <row r="538">
      <c r="A538" s="51" t="s">
        <v>7015</v>
      </c>
      <c r="B538" s="53" t="s">
        <v>6057</v>
      </c>
      <c r="C538" s="64">
        <v>45282.541666666664</v>
      </c>
      <c r="D538" s="61">
        <v>1.0</v>
      </c>
      <c r="E538" s="64">
        <v>45282.583333333336</v>
      </c>
      <c r="F538" s="53" t="s">
        <v>6264</v>
      </c>
      <c r="G538" s="53" t="s">
        <v>135</v>
      </c>
    </row>
    <row r="539">
      <c r="A539" s="51" t="s">
        <v>7016</v>
      </c>
      <c r="B539" s="53" t="s">
        <v>5384</v>
      </c>
      <c r="C539" s="64">
        <v>45281.333333333336</v>
      </c>
      <c r="D539" s="61">
        <v>5.0</v>
      </c>
      <c r="E539" s="64">
        <v>45281.541666666664</v>
      </c>
      <c r="F539" s="52" t="s">
        <v>1420</v>
      </c>
      <c r="G539" s="53" t="s">
        <v>135</v>
      </c>
    </row>
    <row r="540">
      <c r="A540" s="51" t="s">
        <v>7017</v>
      </c>
      <c r="B540" s="53" t="s">
        <v>6069</v>
      </c>
      <c r="C540" s="64">
        <v>45280.541666666664</v>
      </c>
      <c r="D540" s="61">
        <v>5.0</v>
      </c>
      <c r="E540" s="64">
        <v>45280.75</v>
      </c>
      <c r="F540" s="53" t="s">
        <v>6069</v>
      </c>
      <c r="G540" s="53" t="s">
        <v>135</v>
      </c>
    </row>
    <row r="541">
      <c r="A541" s="51" t="s">
        <v>7018</v>
      </c>
      <c r="B541" s="53" t="s">
        <v>5384</v>
      </c>
      <c r="C541" s="64">
        <v>45278.666666666664</v>
      </c>
      <c r="D541" s="61">
        <v>2.0</v>
      </c>
      <c r="E541" s="64">
        <v>45278.75</v>
      </c>
      <c r="F541" s="52" t="s">
        <v>1420</v>
      </c>
      <c r="G541" s="53" t="s">
        <v>135</v>
      </c>
    </row>
    <row r="542">
      <c r="A542" s="51" t="s">
        <v>7019</v>
      </c>
      <c r="B542" s="53" t="s">
        <v>5457</v>
      </c>
      <c r="C542" s="64">
        <v>45278.583333333336</v>
      </c>
      <c r="D542" s="61">
        <v>2.0</v>
      </c>
      <c r="E542" s="64">
        <v>45278.666666666664</v>
      </c>
      <c r="F542" s="53" t="s">
        <v>6672</v>
      </c>
      <c r="G542" s="53" t="s">
        <v>135</v>
      </c>
    </row>
    <row r="543">
      <c r="A543" s="51" t="s">
        <v>7020</v>
      </c>
      <c r="B543" s="53" t="s">
        <v>6057</v>
      </c>
      <c r="C543" s="64">
        <v>45278.541666666664</v>
      </c>
      <c r="D543" s="61">
        <v>1.0</v>
      </c>
      <c r="E543" s="64">
        <v>45278.583333333336</v>
      </c>
      <c r="F543" s="53" t="s">
        <v>6264</v>
      </c>
      <c r="G543" s="53" t="s">
        <v>135</v>
      </c>
    </row>
    <row r="544">
      <c r="A544" s="51" t="s">
        <v>7021</v>
      </c>
      <c r="B544" s="53" t="s">
        <v>5457</v>
      </c>
      <c r="C544" s="64">
        <v>45274.541666666664</v>
      </c>
      <c r="D544" s="61">
        <v>5.0</v>
      </c>
      <c r="E544" s="64">
        <v>45274.75</v>
      </c>
      <c r="F544" s="53" t="s">
        <v>6672</v>
      </c>
      <c r="G544" s="53" t="s">
        <v>135</v>
      </c>
    </row>
    <row r="545">
      <c r="A545" s="51" t="s">
        <v>7022</v>
      </c>
      <c r="B545" s="53" t="s">
        <v>5457</v>
      </c>
      <c r="C545" s="64">
        <v>45273.333333333336</v>
      </c>
      <c r="D545" s="61">
        <v>5.0</v>
      </c>
      <c r="E545" s="64">
        <v>45273.541666666664</v>
      </c>
      <c r="F545" s="53" t="s">
        <v>6672</v>
      </c>
      <c r="G545" s="53" t="s">
        <v>135</v>
      </c>
    </row>
    <row r="546">
      <c r="A546" s="51" t="s">
        <v>7023</v>
      </c>
      <c r="B546" s="53" t="s">
        <v>1438</v>
      </c>
      <c r="C546" s="64">
        <v>45272.458333333336</v>
      </c>
      <c r="D546" s="61">
        <v>2.0</v>
      </c>
      <c r="E546" s="64">
        <v>45272.541666666664</v>
      </c>
      <c r="F546" s="53" t="s">
        <v>6670</v>
      </c>
      <c r="G546" s="53" t="s">
        <v>135</v>
      </c>
    </row>
    <row r="547">
      <c r="A547" s="51" t="s">
        <v>7024</v>
      </c>
      <c r="B547" s="53" t="s">
        <v>5377</v>
      </c>
      <c r="C547" s="64">
        <v>45272.333333333336</v>
      </c>
      <c r="D547" s="61">
        <v>3.0</v>
      </c>
      <c r="E547" s="64">
        <v>45272.458333333336</v>
      </c>
      <c r="F547" s="53" t="s">
        <v>5377</v>
      </c>
      <c r="G547" s="53" t="s">
        <v>135</v>
      </c>
    </row>
    <row r="548">
      <c r="A548" s="51" t="s">
        <v>7025</v>
      </c>
      <c r="B548" s="53" t="s">
        <v>5377</v>
      </c>
      <c r="C548" s="64">
        <v>45271.541666666664</v>
      </c>
      <c r="D548" s="61">
        <v>5.0</v>
      </c>
      <c r="E548" s="64">
        <v>45271.75</v>
      </c>
      <c r="F548" s="53" t="s">
        <v>5377</v>
      </c>
      <c r="G548" s="53" t="s">
        <v>135</v>
      </c>
    </row>
    <row r="549">
      <c r="A549" s="51" t="s">
        <v>7026</v>
      </c>
      <c r="B549" s="53" t="s">
        <v>5457</v>
      </c>
      <c r="C549" s="60">
        <v>45267.333333333336</v>
      </c>
      <c r="D549" s="61">
        <v>4.0</v>
      </c>
      <c r="E549" s="60">
        <v>45267.5</v>
      </c>
      <c r="F549" s="53" t="s">
        <v>6672</v>
      </c>
      <c r="G549" s="53" t="s">
        <v>135</v>
      </c>
    </row>
    <row r="550">
      <c r="A550" s="51" t="s">
        <v>7027</v>
      </c>
      <c r="B550" s="53" t="s">
        <v>5457</v>
      </c>
      <c r="C550" s="60">
        <v>45266.416666666664</v>
      </c>
      <c r="D550" s="61">
        <v>2.0</v>
      </c>
      <c r="E550" s="60">
        <v>45266.5</v>
      </c>
      <c r="F550" s="53" t="s">
        <v>6672</v>
      </c>
      <c r="G550" s="53" t="s">
        <v>135</v>
      </c>
    </row>
    <row r="551">
      <c r="A551" s="51" t="s">
        <v>7028</v>
      </c>
      <c r="B551" s="53" t="s">
        <v>1438</v>
      </c>
      <c r="C551" s="60">
        <v>45266.333333333336</v>
      </c>
      <c r="D551" s="61">
        <v>2.0</v>
      </c>
      <c r="E551" s="60">
        <v>45266.416666666664</v>
      </c>
      <c r="F551" s="53" t="s">
        <v>6670</v>
      </c>
      <c r="G551" s="53" t="s">
        <v>135</v>
      </c>
    </row>
    <row r="552">
      <c r="A552" s="51" t="s">
        <v>7029</v>
      </c>
      <c r="B552" s="53" t="s">
        <v>5377</v>
      </c>
      <c r="C552" s="60">
        <v>45265.416666666664</v>
      </c>
      <c r="D552" s="61">
        <v>2.0</v>
      </c>
      <c r="E552" s="60">
        <v>45265.5</v>
      </c>
      <c r="F552" s="53" t="s">
        <v>5377</v>
      </c>
      <c r="G552" s="53" t="s">
        <v>135</v>
      </c>
    </row>
    <row r="553">
      <c r="A553" s="51" t="s">
        <v>7030</v>
      </c>
      <c r="B553" s="53" t="s">
        <v>5384</v>
      </c>
      <c r="C553" s="60">
        <v>45265.333333333336</v>
      </c>
      <c r="D553" s="61">
        <v>2.0</v>
      </c>
      <c r="E553" s="60">
        <v>45265.416666666664</v>
      </c>
      <c r="F553" s="52" t="s">
        <v>1420</v>
      </c>
      <c r="G553" s="53" t="s">
        <v>135</v>
      </c>
    </row>
    <row r="554">
      <c r="A554" s="51" t="s">
        <v>7031</v>
      </c>
      <c r="B554" s="53" t="s">
        <v>5384</v>
      </c>
      <c r="C554" s="60">
        <v>45264.541666666664</v>
      </c>
      <c r="D554" s="61">
        <v>4.0</v>
      </c>
      <c r="E554" s="60">
        <v>45264.708333333336</v>
      </c>
      <c r="F554" s="52" t="s">
        <v>1420</v>
      </c>
      <c r="G554" s="53" t="s">
        <v>135</v>
      </c>
    </row>
    <row r="555">
      <c r="A555" s="51" t="s">
        <v>7032</v>
      </c>
      <c r="B555" s="53" t="s">
        <v>5384</v>
      </c>
      <c r="C555" s="64">
        <v>45260.416666666664</v>
      </c>
      <c r="D555" s="61">
        <v>3.0</v>
      </c>
      <c r="E555" s="64">
        <v>45260.541666666664</v>
      </c>
      <c r="F555" s="52" t="s">
        <v>1420</v>
      </c>
      <c r="G555" s="53" t="s">
        <v>135</v>
      </c>
    </row>
    <row r="556">
      <c r="A556" s="51" t="s">
        <v>7033</v>
      </c>
      <c r="B556" s="53" t="s">
        <v>6057</v>
      </c>
      <c r="C556" s="64">
        <v>45260.333333333336</v>
      </c>
      <c r="D556" s="61">
        <v>2.0</v>
      </c>
      <c r="E556" s="64">
        <v>45260.416666666664</v>
      </c>
      <c r="F556" s="53" t="s">
        <v>6264</v>
      </c>
      <c r="G556" s="53" t="s">
        <v>135</v>
      </c>
    </row>
    <row r="557">
      <c r="A557" s="51" t="s">
        <v>7034</v>
      </c>
      <c r="B557" s="53" t="s">
        <v>1438</v>
      </c>
      <c r="C557" s="64">
        <v>45259.458333333336</v>
      </c>
      <c r="D557" s="61">
        <v>2.0</v>
      </c>
      <c r="E557" s="64">
        <v>45259.541666666664</v>
      </c>
      <c r="F557" s="53" t="s">
        <v>6670</v>
      </c>
      <c r="G557" s="53" t="s">
        <v>135</v>
      </c>
    </row>
    <row r="558">
      <c r="A558" s="51" t="s">
        <v>7035</v>
      </c>
      <c r="B558" s="53" t="s">
        <v>5377</v>
      </c>
      <c r="C558" s="64">
        <v>45259.333333333336</v>
      </c>
      <c r="D558" s="61">
        <v>3.0</v>
      </c>
      <c r="E558" s="64">
        <v>45259.458333333336</v>
      </c>
      <c r="F558" s="53" t="s">
        <v>5377</v>
      </c>
      <c r="G558" s="53" t="s">
        <v>135</v>
      </c>
    </row>
    <row r="559">
      <c r="A559" s="51" t="s">
        <v>7036</v>
      </c>
      <c r="B559" s="53" t="s">
        <v>5377</v>
      </c>
      <c r="C559" s="64">
        <v>45258.333333333336</v>
      </c>
      <c r="D559" s="61">
        <v>5.0</v>
      </c>
      <c r="E559" s="64">
        <v>45258.541666666664</v>
      </c>
      <c r="F559" s="53" t="s">
        <v>5377</v>
      </c>
      <c r="G559" s="53" t="s">
        <v>135</v>
      </c>
    </row>
    <row r="560">
      <c r="A560" s="51" t="s">
        <v>7037</v>
      </c>
      <c r="B560" s="53" t="s">
        <v>5457</v>
      </c>
      <c r="C560" s="64">
        <v>45257.5</v>
      </c>
      <c r="D560" s="61">
        <v>5.0</v>
      </c>
      <c r="E560" s="64">
        <v>45257.708333333336</v>
      </c>
      <c r="F560" s="53" t="s">
        <v>6672</v>
      </c>
      <c r="G560" s="53" t="s">
        <v>135</v>
      </c>
    </row>
    <row r="561">
      <c r="A561" s="51">
        <v>4.8381783E7</v>
      </c>
      <c r="B561" s="53" t="s">
        <v>5457</v>
      </c>
      <c r="C561" s="64">
        <v>45254.416666666664</v>
      </c>
      <c r="D561" s="61">
        <v>2.0</v>
      </c>
      <c r="E561" s="64">
        <v>45254.5</v>
      </c>
      <c r="F561" s="53" t="s">
        <v>6672</v>
      </c>
      <c r="G561" s="53" t="s">
        <v>135</v>
      </c>
    </row>
    <row r="562">
      <c r="A562" s="51" t="s">
        <v>7038</v>
      </c>
      <c r="B562" s="53" t="s">
        <v>5377</v>
      </c>
      <c r="C562" s="64">
        <v>45254.333333333336</v>
      </c>
      <c r="D562" s="61">
        <v>2.0</v>
      </c>
      <c r="E562" s="64">
        <v>45254.416666666664</v>
      </c>
      <c r="F562" s="53" t="s">
        <v>5377</v>
      </c>
      <c r="G562" s="53" t="s">
        <v>135</v>
      </c>
    </row>
    <row r="563">
      <c r="A563" s="51" t="s">
        <v>7039</v>
      </c>
      <c r="B563" s="53" t="s">
        <v>5457</v>
      </c>
      <c r="C563" s="64">
        <v>45253.416666666664</v>
      </c>
      <c r="D563" s="61">
        <v>2.0</v>
      </c>
      <c r="E563" s="64">
        <v>45253.5</v>
      </c>
      <c r="F563" s="53" t="s">
        <v>6672</v>
      </c>
      <c r="G563" s="53" t="s">
        <v>135</v>
      </c>
    </row>
    <row r="564">
      <c r="A564" s="51" t="s">
        <v>7040</v>
      </c>
      <c r="B564" s="53" t="s">
        <v>5377</v>
      </c>
      <c r="C564" s="64">
        <v>45253.375</v>
      </c>
      <c r="D564" s="61">
        <v>1.0</v>
      </c>
      <c r="E564" s="64">
        <v>45253.416666666664</v>
      </c>
      <c r="F564" s="53" t="s">
        <v>5377</v>
      </c>
      <c r="G564" s="53" t="s">
        <v>135</v>
      </c>
    </row>
    <row r="565">
      <c r="A565" s="51" t="s">
        <v>7041</v>
      </c>
      <c r="B565" s="53" t="s">
        <v>5457</v>
      </c>
      <c r="C565" s="64">
        <v>45253.333333333336</v>
      </c>
      <c r="D565" s="61">
        <v>1.0</v>
      </c>
      <c r="E565" s="64">
        <v>45253.375</v>
      </c>
      <c r="F565" s="53" t="s">
        <v>6672</v>
      </c>
      <c r="G565" s="53" t="s">
        <v>135</v>
      </c>
    </row>
    <row r="566">
      <c r="A566" s="51" t="s">
        <v>7042</v>
      </c>
      <c r="B566" s="53" t="s">
        <v>5457</v>
      </c>
      <c r="C566" s="64">
        <v>45252.625</v>
      </c>
      <c r="D566" s="61">
        <v>1.0</v>
      </c>
      <c r="E566" s="64">
        <v>45252.666666666664</v>
      </c>
      <c r="F566" s="53" t="s">
        <v>6672</v>
      </c>
      <c r="G566" s="53" t="s">
        <v>135</v>
      </c>
    </row>
    <row r="567">
      <c r="A567" s="51" t="s">
        <v>7043</v>
      </c>
      <c r="B567" s="53" t="s">
        <v>1438</v>
      </c>
      <c r="C567" s="64">
        <v>45252.541666666664</v>
      </c>
      <c r="D567" s="61">
        <v>2.0</v>
      </c>
      <c r="E567" s="64">
        <v>45252.625</v>
      </c>
      <c r="F567" s="53" t="s">
        <v>6670</v>
      </c>
      <c r="G567" s="53" t="s">
        <v>135</v>
      </c>
    </row>
    <row r="568">
      <c r="A568" s="51" t="s">
        <v>7044</v>
      </c>
      <c r="B568" s="53" t="s">
        <v>6057</v>
      </c>
      <c r="C568" s="64">
        <v>45252.5</v>
      </c>
      <c r="D568" s="61" t="s">
        <v>6318</v>
      </c>
      <c r="E568" s="64">
        <v>45252.520833333336</v>
      </c>
      <c r="F568" s="53" t="s">
        <v>6264</v>
      </c>
      <c r="G568" s="53" t="s">
        <v>135</v>
      </c>
    </row>
    <row r="569">
      <c r="A569" s="51" t="s">
        <v>7045</v>
      </c>
      <c r="B569" s="53" t="s">
        <v>5384</v>
      </c>
      <c r="C569" s="64">
        <v>45251.333333333336</v>
      </c>
      <c r="D569" s="61">
        <v>4.0</v>
      </c>
      <c r="E569" s="64">
        <v>45251.5</v>
      </c>
      <c r="F569" s="52" t="s">
        <v>1420</v>
      </c>
      <c r="G569" s="53" t="s">
        <v>135</v>
      </c>
    </row>
    <row r="570">
      <c r="A570" s="51" t="s">
        <v>7046</v>
      </c>
      <c r="B570" s="53" t="s">
        <v>5384</v>
      </c>
      <c r="C570" s="64">
        <v>45247.333333333336</v>
      </c>
      <c r="D570" s="61">
        <v>5.0</v>
      </c>
      <c r="E570" s="64">
        <v>45247.541666666664</v>
      </c>
      <c r="F570" s="52" t="s">
        <v>1420</v>
      </c>
      <c r="G570" s="53" t="s">
        <v>135</v>
      </c>
    </row>
    <row r="571">
      <c r="A571" s="51" t="s">
        <v>7047</v>
      </c>
      <c r="B571" s="53" t="s">
        <v>1438</v>
      </c>
      <c r="C571" s="64">
        <v>45246.375</v>
      </c>
      <c r="D571" s="61">
        <v>4.0</v>
      </c>
      <c r="E571" s="64">
        <v>45246.541666666664</v>
      </c>
      <c r="F571" s="53" t="s">
        <v>6670</v>
      </c>
      <c r="G571" s="53" t="s">
        <v>135</v>
      </c>
    </row>
    <row r="572">
      <c r="A572" s="51" t="s">
        <v>7048</v>
      </c>
      <c r="B572" s="53" t="s">
        <v>5377</v>
      </c>
      <c r="C572" s="64">
        <v>45246.333333333336</v>
      </c>
      <c r="D572" s="61">
        <v>1.0</v>
      </c>
      <c r="E572" s="64">
        <v>45246.375</v>
      </c>
      <c r="F572" s="53" t="s">
        <v>5377</v>
      </c>
      <c r="G572" s="53" t="s">
        <v>135</v>
      </c>
    </row>
    <row r="573">
      <c r="A573" s="51" t="s">
        <v>7049</v>
      </c>
      <c r="B573" s="53" t="s">
        <v>5377</v>
      </c>
      <c r="C573" s="64">
        <v>45245.333333333336</v>
      </c>
      <c r="D573" s="61">
        <v>5.0</v>
      </c>
      <c r="E573" s="64">
        <v>45245.541666666664</v>
      </c>
      <c r="F573" s="53" t="s">
        <v>5377</v>
      </c>
      <c r="G573" s="53" t="s">
        <v>135</v>
      </c>
    </row>
    <row r="574">
      <c r="A574" s="51" t="s">
        <v>7050</v>
      </c>
      <c r="B574" s="53" t="s">
        <v>6069</v>
      </c>
      <c r="C574" s="64">
        <v>45244.333333333336</v>
      </c>
      <c r="D574" s="61">
        <v>5.0</v>
      </c>
      <c r="E574" s="64">
        <v>45244.541666666664</v>
      </c>
      <c r="F574" s="53" t="s">
        <v>7051</v>
      </c>
      <c r="G574" s="53" t="s">
        <v>135</v>
      </c>
    </row>
    <row r="575">
      <c r="A575" s="51" t="s">
        <v>7052</v>
      </c>
      <c r="B575" s="53" t="s">
        <v>5377</v>
      </c>
      <c r="C575" s="60">
        <v>45239.333333333336</v>
      </c>
      <c r="D575" s="61">
        <v>5.0</v>
      </c>
      <c r="E575" s="60">
        <v>45239.541666666664</v>
      </c>
      <c r="F575" s="53" t="s">
        <v>5377</v>
      </c>
      <c r="G575" s="53" t="s">
        <v>135</v>
      </c>
    </row>
    <row r="576">
      <c r="A576" s="51" t="s">
        <v>7053</v>
      </c>
      <c r="B576" s="53" t="s">
        <v>1427</v>
      </c>
      <c r="C576" s="60">
        <v>45238.333333333336</v>
      </c>
      <c r="D576" s="61">
        <v>5.0</v>
      </c>
      <c r="E576" s="60">
        <v>45238.541666666664</v>
      </c>
      <c r="F576" s="53" t="s">
        <v>4782</v>
      </c>
      <c r="G576" s="53" t="s">
        <v>135</v>
      </c>
    </row>
    <row r="577">
      <c r="A577" s="51" t="s">
        <v>7054</v>
      </c>
      <c r="B577" s="53" t="s">
        <v>5384</v>
      </c>
      <c r="C577" s="60">
        <v>45237.375</v>
      </c>
      <c r="D577" s="61">
        <v>4.0</v>
      </c>
      <c r="E577" s="60">
        <v>45237.541666666664</v>
      </c>
      <c r="F577" s="52" t="s">
        <v>1420</v>
      </c>
      <c r="G577" s="53" t="s">
        <v>135</v>
      </c>
    </row>
    <row r="578">
      <c r="A578" s="51" t="s">
        <v>7055</v>
      </c>
      <c r="B578" s="53" t="s">
        <v>1438</v>
      </c>
      <c r="C578" s="60">
        <v>45237.333333333336</v>
      </c>
      <c r="D578" s="61">
        <v>1.0</v>
      </c>
      <c r="E578" s="60">
        <v>45237.375</v>
      </c>
      <c r="F578" s="53" t="s">
        <v>6670</v>
      </c>
      <c r="G578" s="53" t="s">
        <v>135</v>
      </c>
    </row>
    <row r="579">
      <c r="A579" s="51" t="s">
        <v>7056</v>
      </c>
      <c r="B579" s="53" t="s">
        <v>1438</v>
      </c>
      <c r="C579" s="60">
        <v>45236.541666666664</v>
      </c>
      <c r="D579" s="61">
        <v>4.0</v>
      </c>
      <c r="E579" s="60">
        <v>45236.708333333336</v>
      </c>
      <c r="F579" s="53" t="s">
        <v>6670</v>
      </c>
      <c r="G579" s="53" t="s">
        <v>135</v>
      </c>
    </row>
    <row r="580">
      <c r="A580" s="51" t="s">
        <v>7057</v>
      </c>
      <c r="B580" s="53" t="s">
        <v>1427</v>
      </c>
      <c r="C580" s="60">
        <v>45233.333333333336</v>
      </c>
      <c r="D580" s="61">
        <v>4.0</v>
      </c>
      <c r="E580" s="60">
        <v>45233.5</v>
      </c>
      <c r="F580" s="53" t="s">
        <v>4782</v>
      </c>
      <c r="G580" s="53" t="s">
        <v>135</v>
      </c>
    </row>
    <row r="581">
      <c r="A581" s="51" t="s">
        <v>7058</v>
      </c>
      <c r="B581" s="53" t="s">
        <v>5377</v>
      </c>
      <c r="C581" s="60">
        <v>45232.416666666664</v>
      </c>
      <c r="D581" s="61">
        <v>2.0</v>
      </c>
      <c r="E581" s="60">
        <v>45232.5</v>
      </c>
      <c r="F581" s="53" t="s">
        <v>5377</v>
      </c>
      <c r="G581" s="53" t="s">
        <v>135</v>
      </c>
    </row>
    <row r="582">
      <c r="A582" s="51" t="s">
        <v>7059</v>
      </c>
      <c r="B582" s="53" t="s">
        <v>1438</v>
      </c>
      <c r="C582" s="60">
        <v>45232.333333333336</v>
      </c>
      <c r="D582" s="61">
        <v>2.0</v>
      </c>
      <c r="E582" s="60">
        <v>45232.416666666664</v>
      </c>
      <c r="F582" s="53" t="s">
        <v>6670</v>
      </c>
      <c r="G582" s="53" t="s">
        <v>135</v>
      </c>
    </row>
    <row r="583">
      <c r="A583" s="51" t="s">
        <v>7060</v>
      </c>
      <c r="B583" s="53" t="s">
        <v>1438</v>
      </c>
      <c r="C583" s="60">
        <v>45231.333333333336</v>
      </c>
      <c r="D583" s="61">
        <v>4.0</v>
      </c>
      <c r="E583" s="60">
        <v>45231.5</v>
      </c>
      <c r="F583" s="53" t="s">
        <v>6670</v>
      </c>
      <c r="G583" s="53" t="s">
        <v>135</v>
      </c>
    </row>
    <row r="584">
      <c r="A584" s="51" t="s">
        <v>7061</v>
      </c>
      <c r="B584" s="53" t="s">
        <v>5384</v>
      </c>
      <c r="C584" s="64">
        <v>45230.583333333336</v>
      </c>
      <c r="D584" s="61">
        <v>1.0</v>
      </c>
      <c r="E584" s="64">
        <v>45230.625</v>
      </c>
      <c r="F584" s="52" t="s">
        <v>1420</v>
      </c>
      <c r="G584" s="53" t="s">
        <v>135</v>
      </c>
    </row>
    <row r="585">
      <c r="A585" s="51" t="s">
        <v>7062</v>
      </c>
      <c r="B585" s="53" t="s">
        <v>5384</v>
      </c>
      <c r="C585" s="64">
        <v>45230.333333333336</v>
      </c>
      <c r="D585" s="61">
        <v>4.0</v>
      </c>
      <c r="E585" s="64">
        <v>45230.5</v>
      </c>
      <c r="F585" s="52" t="s">
        <v>1420</v>
      </c>
      <c r="G585" s="53" t="s">
        <v>135</v>
      </c>
    </row>
    <row r="586">
      <c r="A586" s="55">
        <v>11.0</v>
      </c>
      <c r="B586" s="53" t="s">
        <v>6069</v>
      </c>
      <c r="C586" s="56">
        <v>45230.333333333336</v>
      </c>
      <c r="D586" s="61">
        <v>5.0</v>
      </c>
      <c r="E586" s="56">
        <v>45230.541666666664</v>
      </c>
      <c r="F586" s="53" t="s">
        <v>6069</v>
      </c>
      <c r="G586" s="4" t="s">
        <v>27</v>
      </c>
    </row>
    <row r="587">
      <c r="A587" s="51" t="s">
        <v>7063</v>
      </c>
      <c r="B587" s="53" t="s">
        <v>5384</v>
      </c>
      <c r="C587" s="64">
        <v>45229.541666666664</v>
      </c>
      <c r="D587" s="61">
        <v>4.0</v>
      </c>
      <c r="E587" s="64">
        <v>45229.708333333336</v>
      </c>
      <c r="F587" s="52" t="s">
        <v>1420</v>
      </c>
      <c r="G587" s="53" t="s">
        <v>135</v>
      </c>
    </row>
    <row r="588">
      <c r="A588" s="51" t="s">
        <v>7064</v>
      </c>
      <c r="B588" s="53" t="s">
        <v>2353</v>
      </c>
      <c r="C588" s="64">
        <v>45226.333333333336</v>
      </c>
      <c r="D588" s="61">
        <v>4.0</v>
      </c>
      <c r="E588" s="64">
        <v>45226.5</v>
      </c>
      <c r="F588" s="53" t="s">
        <v>7065</v>
      </c>
      <c r="G588" s="53" t="s">
        <v>135</v>
      </c>
    </row>
    <row r="589">
      <c r="A589" s="51" t="s">
        <v>7066</v>
      </c>
      <c r="B589" s="53" t="s">
        <v>1427</v>
      </c>
      <c r="C589" s="64">
        <v>45225.333333333336</v>
      </c>
      <c r="D589" s="61">
        <v>4.0</v>
      </c>
      <c r="E589" s="64">
        <v>45225.5</v>
      </c>
      <c r="F589" s="53" t="s">
        <v>4782</v>
      </c>
      <c r="G589" s="53" t="s">
        <v>135</v>
      </c>
    </row>
    <row r="590">
      <c r="A590" s="51" t="s">
        <v>7067</v>
      </c>
      <c r="B590" s="53" t="s">
        <v>1438</v>
      </c>
      <c r="C590" s="64">
        <v>45224.333333333336</v>
      </c>
      <c r="D590" s="61">
        <v>4.0</v>
      </c>
      <c r="E590" s="64">
        <v>45224.5</v>
      </c>
      <c r="F590" s="53" t="s">
        <v>6670</v>
      </c>
      <c r="G590" s="53" t="s">
        <v>135</v>
      </c>
    </row>
    <row r="591">
      <c r="A591" s="51" t="s">
        <v>7068</v>
      </c>
      <c r="B591" s="53" t="s">
        <v>5384</v>
      </c>
      <c r="C591" s="64">
        <v>45223.583333333336</v>
      </c>
      <c r="D591" s="61">
        <v>3.0</v>
      </c>
      <c r="E591" s="64">
        <v>45223.708333333336</v>
      </c>
      <c r="F591" s="52" t="s">
        <v>1420</v>
      </c>
      <c r="G591" s="53" t="s">
        <v>135</v>
      </c>
    </row>
    <row r="592">
      <c r="A592" s="51" t="s">
        <v>7069</v>
      </c>
      <c r="B592" s="53" t="s">
        <v>6057</v>
      </c>
      <c r="C592" s="64">
        <v>45223.541666666664</v>
      </c>
      <c r="D592" s="61">
        <v>1.0</v>
      </c>
      <c r="E592" s="64">
        <v>45223.583333333336</v>
      </c>
      <c r="F592" s="53" t="s">
        <v>6264</v>
      </c>
      <c r="G592" s="53" t="s">
        <v>135</v>
      </c>
    </row>
    <row r="593">
      <c r="A593" s="51" t="s">
        <v>7070</v>
      </c>
      <c r="B593" s="53" t="s">
        <v>6069</v>
      </c>
      <c r="C593" s="64">
        <v>45222.541666666664</v>
      </c>
      <c r="D593" s="61">
        <v>4.0</v>
      </c>
      <c r="E593" s="64">
        <v>45222.708333333336</v>
      </c>
      <c r="F593" s="53" t="s">
        <v>7051</v>
      </c>
      <c r="G593" s="53" t="s">
        <v>135</v>
      </c>
    </row>
    <row r="594">
      <c r="A594" s="51" t="s">
        <v>7071</v>
      </c>
      <c r="B594" s="53" t="s">
        <v>1438</v>
      </c>
      <c r="C594" s="64">
        <v>45219.333333333336</v>
      </c>
      <c r="D594" s="61">
        <v>3.0</v>
      </c>
      <c r="E594" s="64">
        <v>45219.458333333336</v>
      </c>
      <c r="F594" s="53" t="s">
        <v>6670</v>
      </c>
      <c r="G594" s="53" t="s">
        <v>135</v>
      </c>
    </row>
    <row r="595">
      <c r="A595" s="51" t="s">
        <v>7072</v>
      </c>
      <c r="B595" s="53" t="s">
        <v>1438</v>
      </c>
      <c r="C595" s="64">
        <v>45218.333333333336</v>
      </c>
      <c r="D595" s="61">
        <v>4.0</v>
      </c>
      <c r="E595" s="64">
        <v>45218.5</v>
      </c>
      <c r="F595" s="53" t="s">
        <v>6670</v>
      </c>
      <c r="G595" s="53" t="s">
        <v>135</v>
      </c>
    </row>
    <row r="596">
      <c r="A596" s="51" t="s">
        <v>7073</v>
      </c>
      <c r="B596" s="53" t="s">
        <v>1438</v>
      </c>
      <c r="C596" s="64">
        <v>45217.333333333336</v>
      </c>
      <c r="D596" s="61">
        <v>4.0</v>
      </c>
      <c r="E596" s="64">
        <v>45217.5</v>
      </c>
      <c r="F596" s="53" t="s">
        <v>6670</v>
      </c>
      <c r="G596" s="53" t="s">
        <v>135</v>
      </c>
    </row>
    <row r="597">
      <c r="A597" s="51" t="s">
        <v>7074</v>
      </c>
      <c r="B597" s="53" t="s">
        <v>5377</v>
      </c>
      <c r="C597" s="64">
        <v>45216.333333333336</v>
      </c>
      <c r="D597" s="61">
        <v>4.0</v>
      </c>
      <c r="E597" s="64">
        <v>45216.5</v>
      </c>
      <c r="F597" s="53" t="s">
        <v>5377</v>
      </c>
      <c r="G597" s="53" t="s">
        <v>135</v>
      </c>
    </row>
    <row r="598">
      <c r="A598" s="51" t="s">
        <v>7075</v>
      </c>
      <c r="B598" s="53" t="s">
        <v>5377</v>
      </c>
      <c r="C598" s="64">
        <v>45211.333333333336</v>
      </c>
      <c r="D598" s="61">
        <v>4.0</v>
      </c>
      <c r="E598" s="64">
        <v>45211.5</v>
      </c>
      <c r="F598" s="53" t="s">
        <v>5377</v>
      </c>
      <c r="G598" s="53" t="s">
        <v>135</v>
      </c>
    </row>
    <row r="599">
      <c r="A599" s="55">
        <v>9.0</v>
      </c>
      <c r="B599" s="53" t="s">
        <v>6069</v>
      </c>
      <c r="C599" s="56">
        <v>45211.333333333336</v>
      </c>
      <c r="D599" s="61">
        <v>5.0</v>
      </c>
      <c r="E599" s="56">
        <v>45211.541666666664</v>
      </c>
      <c r="F599" s="53" t="s">
        <v>6069</v>
      </c>
      <c r="G599" s="4" t="s">
        <v>27</v>
      </c>
    </row>
    <row r="600">
      <c r="A600" s="51" t="s">
        <v>7076</v>
      </c>
      <c r="B600" s="53" t="s">
        <v>1438</v>
      </c>
      <c r="C600" s="64">
        <v>45210.333333333336</v>
      </c>
      <c r="D600" s="61">
        <v>4.0</v>
      </c>
      <c r="E600" s="64">
        <v>45210.5</v>
      </c>
      <c r="F600" s="53" t="s">
        <v>6670</v>
      </c>
      <c r="G600" s="53" t="s">
        <v>135</v>
      </c>
    </row>
    <row r="601">
      <c r="A601" s="55">
        <v>8.0</v>
      </c>
      <c r="B601" s="53" t="s">
        <v>6069</v>
      </c>
      <c r="C601" s="56">
        <v>45210.333333333336</v>
      </c>
      <c r="D601" s="61">
        <v>5.0</v>
      </c>
      <c r="E601" s="56">
        <v>45210.541666666664</v>
      </c>
      <c r="F601" s="53" t="s">
        <v>6069</v>
      </c>
      <c r="G601" s="4" t="s">
        <v>27</v>
      </c>
    </row>
    <row r="602">
      <c r="A602" s="51" t="s">
        <v>7077</v>
      </c>
      <c r="B602" s="53" t="s">
        <v>1438</v>
      </c>
      <c r="C602" s="64">
        <v>45209.333333333336</v>
      </c>
      <c r="D602" s="61">
        <v>4.0</v>
      </c>
      <c r="E602" s="64">
        <v>45209.5</v>
      </c>
      <c r="F602" s="53" t="s">
        <v>6670</v>
      </c>
      <c r="G602" s="53" t="s">
        <v>135</v>
      </c>
    </row>
    <row r="603">
      <c r="A603" s="55">
        <v>7.0</v>
      </c>
      <c r="B603" s="53" t="s">
        <v>6069</v>
      </c>
      <c r="C603" s="56">
        <v>45209.333333333336</v>
      </c>
      <c r="D603" s="61">
        <v>5.0</v>
      </c>
      <c r="E603" s="56">
        <v>45209.541666666664</v>
      </c>
      <c r="F603" s="53" t="s">
        <v>6069</v>
      </c>
      <c r="G603" s="4" t="s">
        <v>27</v>
      </c>
    </row>
    <row r="604">
      <c r="A604" s="51" t="s">
        <v>7078</v>
      </c>
      <c r="B604" s="53" t="s">
        <v>1438</v>
      </c>
      <c r="C604" s="60">
        <v>45208.583333333336</v>
      </c>
      <c r="D604" s="61">
        <v>3.0</v>
      </c>
      <c r="E604" s="60">
        <v>45208.708333333336</v>
      </c>
      <c r="F604" s="53" t="s">
        <v>6670</v>
      </c>
      <c r="G604" s="53" t="s">
        <v>135</v>
      </c>
    </row>
    <row r="605">
      <c r="A605" s="51" t="s">
        <v>7079</v>
      </c>
      <c r="B605" s="53" t="s">
        <v>6057</v>
      </c>
      <c r="C605" s="60">
        <v>45208.541666666664</v>
      </c>
      <c r="D605" s="61">
        <v>1.0</v>
      </c>
      <c r="E605" s="60">
        <v>45208.583333333336</v>
      </c>
      <c r="F605" s="53" t="s">
        <v>6264</v>
      </c>
      <c r="G605" s="53" t="s">
        <v>135</v>
      </c>
    </row>
    <row r="606">
      <c r="A606" s="55">
        <v>6.0</v>
      </c>
      <c r="B606" s="53" t="s">
        <v>6069</v>
      </c>
      <c r="C606" s="56">
        <v>45208.333333333336</v>
      </c>
      <c r="D606" s="61">
        <v>5.0</v>
      </c>
      <c r="E606" s="56">
        <v>45208.541666666664</v>
      </c>
      <c r="F606" s="53" t="s">
        <v>6069</v>
      </c>
      <c r="G606" s="4" t="s">
        <v>27</v>
      </c>
    </row>
    <row r="607">
      <c r="A607" s="51" t="s">
        <v>7080</v>
      </c>
      <c r="B607" s="53" t="s">
        <v>2353</v>
      </c>
      <c r="C607" s="60">
        <v>45205.375</v>
      </c>
      <c r="D607" s="61">
        <v>3.0</v>
      </c>
      <c r="E607" s="60">
        <v>45205.5</v>
      </c>
      <c r="F607" s="53" t="s">
        <v>7065</v>
      </c>
      <c r="G607" s="53" t="s">
        <v>135</v>
      </c>
    </row>
    <row r="608">
      <c r="A608" s="51" t="s">
        <v>7081</v>
      </c>
      <c r="B608" s="53" t="s">
        <v>1438</v>
      </c>
      <c r="C608" s="60">
        <v>45205.333333333336</v>
      </c>
      <c r="D608" s="61">
        <v>1.0</v>
      </c>
      <c r="E608" s="60">
        <v>45205.375</v>
      </c>
      <c r="F608" s="53" t="s">
        <v>4782</v>
      </c>
      <c r="G608" s="53" t="s">
        <v>135</v>
      </c>
    </row>
    <row r="609">
      <c r="A609" s="51" t="s">
        <v>7082</v>
      </c>
      <c r="B609" s="53" t="s">
        <v>2353</v>
      </c>
      <c r="C609" s="60">
        <v>45204.333333333336</v>
      </c>
      <c r="D609" s="61">
        <v>4.0</v>
      </c>
      <c r="E609" s="60">
        <v>45204.5</v>
      </c>
      <c r="F609" s="53" t="s">
        <v>7065</v>
      </c>
      <c r="G609" s="53" t="s">
        <v>135</v>
      </c>
    </row>
    <row r="610">
      <c r="A610" s="51" t="s">
        <v>7083</v>
      </c>
      <c r="B610" s="53" t="s">
        <v>5377</v>
      </c>
      <c r="C610" s="60">
        <v>45203.333333333336</v>
      </c>
      <c r="D610" s="61">
        <v>4.0</v>
      </c>
      <c r="E610" s="60">
        <v>45203.5</v>
      </c>
      <c r="F610" s="53" t="s">
        <v>5377</v>
      </c>
      <c r="G610" s="53" t="s">
        <v>135</v>
      </c>
    </row>
    <row r="611">
      <c r="A611" s="51" t="s">
        <v>7084</v>
      </c>
      <c r="B611" s="53" t="s">
        <v>1427</v>
      </c>
      <c r="C611" s="60">
        <v>45202.333333333336</v>
      </c>
      <c r="D611" s="61">
        <v>4.0</v>
      </c>
      <c r="E611" s="60">
        <v>45202.5</v>
      </c>
      <c r="F611" s="53" t="s">
        <v>4782</v>
      </c>
      <c r="G611" s="53" t="s">
        <v>135</v>
      </c>
    </row>
    <row r="612">
      <c r="A612" s="51" t="s">
        <v>7085</v>
      </c>
      <c r="B612" s="53" t="s">
        <v>1427</v>
      </c>
      <c r="C612" s="60">
        <v>45201.541666666664</v>
      </c>
      <c r="D612" s="61">
        <v>4.0</v>
      </c>
      <c r="E612" s="60">
        <v>45201.708333333336</v>
      </c>
      <c r="F612" s="53" t="s">
        <v>4782</v>
      </c>
      <c r="G612" s="53" t="s">
        <v>135</v>
      </c>
    </row>
    <row r="613">
      <c r="A613" s="51" t="s">
        <v>7086</v>
      </c>
      <c r="B613" s="53" t="s">
        <v>1438</v>
      </c>
      <c r="C613" s="60">
        <v>45198.458333333336</v>
      </c>
      <c r="D613" s="61">
        <v>1.0</v>
      </c>
      <c r="E613" s="60">
        <v>45198.5</v>
      </c>
      <c r="F613" s="53" t="s">
        <v>4782</v>
      </c>
      <c r="G613" s="53" t="s">
        <v>135</v>
      </c>
    </row>
    <row r="614">
      <c r="A614" s="51" t="s">
        <v>7087</v>
      </c>
      <c r="B614" s="53" t="s">
        <v>5377</v>
      </c>
      <c r="C614" s="60">
        <v>45198.416666666664</v>
      </c>
      <c r="D614" s="61">
        <v>1.0</v>
      </c>
      <c r="E614" s="60">
        <v>45198.458333333336</v>
      </c>
      <c r="F614" s="53" t="s">
        <v>5377</v>
      </c>
      <c r="G614" s="53" t="s">
        <v>135</v>
      </c>
    </row>
    <row r="615">
      <c r="A615" s="51" t="s">
        <v>7088</v>
      </c>
      <c r="B615" s="53" t="s">
        <v>1438</v>
      </c>
      <c r="C615" s="60">
        <v>45198.375</v>
      </c>
      <c r="D615" s="61">
        <v>1.0</v>
      </c>
      <c r="E615" s="60">
        <v>45198.416666666664</v>
      </c>
      <c r="F615" s="53" t="s">
        <v>4782</v>
      </c>
      <c r="G615" s="53" t="s">
        <v>135</v>
      </c>
    </row>
    <row r="616">
      <c r="A616" s="51" t="s">
        <v>7089</v>
      </c>
      <c r="B616" s="53" t="s">
        <v>5377</v>
      </c>
      <c r="C616" s="60">
        <v>45198.333333333336</v>
      </c>
      <c r="D616" s="61">
        <v>1.0</v>
      </c>
      <c r="E616" s="60">
        <v>45198.375</v>
      </c>
      <c r="F616" s="53" t="s">
        <v>5377</v>
      </c>
      <c r="G616" s="53" t="s">
        <v>135</v>
      </c>
    </row>
    <row r="617">
      <c r="A617" s="51" t="s">
        <v>7090</v>
      </c>
      <c r="B617" s="53" t="s">
        <v>1427</v>
      </c>
      <c r="C617" s="60">
        <v>45197.375</v>
      </c>
      <c r="D617" s="61">
        <v>3.0</v>
      </c>
      <c r="E617" s="60">
        <v>45197.5</v>
      </c>
      <c r="F617" s="53" t="s">
        <v>4782</v>
      </c>
      <c r="G617" s="53" t="s">
        <v>135</v>
      </c>
    </row>
    <row r="618">
      <c r="A618" s="51" t="s">
        <v>7091</v>
      </c>
      <c r="B618" s="53" t="s">
        <v>1438</v>
      </c>
      <c r="C618" s="60">
        <v>45197.333333333336</v>
      </c>
      <c r="D618" s="61">
        <v>1.0</v>
      </c>
      <c r="E618" s="60">
        <v>45197.375</v>
      </c>
      <c r="F618" s="53" t="s">
        <v>6670</v>
      </c>
      <c r="G618" s="53" t="s">
        <v>135</v>
      </c>
    </row>
    <row r="619">
      <c r="A619" s="51" t="s">
        <v>7092</v>
      </c>
      <c r="B619" s="53" t="s">
        <v>1438</v>
      </c>
      <c r="C619" s="60">
        <v>45196.333333333336</v>
      </c>
      <c r="D619" s="61">
        <v>4.0</v>
      </c>
      <c r="E619" s="60">
        <v>45196.5</v>
      </c>
      <c r="F619" s="53" t="s">
        <v>6670</v>
      </c>
      <c r="G619" s="53" t="s">
        <v>135</v>
      </c>
    </row>
    <row r="620">
      <c r="A620" s="51" t="s">
        <v>7093</v>
      </c>
      <c r="B620" s="53" t="s">
        <v>5377</v>
      </c>
      <c r="C620" s="60">
        <v>45195.333333333336</v>
      </c>
      <c r="D620" s="61">
        <v>4.0</v>
      </c>
      <c r="E620" s="60">
        <v>45195.5</v>
      </c>
      <c r="F620" s="53" t="s">
        <v>5377</v>
      </c>
      <c r="G620" s="53" t="s">
        <v>135</v>
      </c>
    </row>
    <row r="621">
      <c r="A621" s="51" t="s">
        <v>7094</v>
      </c>
      <c r="B621" s="53" t="s">
        <v>5377</v>
      </c>
      <c r="C621" s="60">
        <v>45194.583333333336</v>
      </c>
      <c r="D621" s="61">
        <v>3.0</v>
      </c>
      <c r="E621" s="60">
        <v>45194.708333333336</v>
      </c>
      <c r="F621" s="53" t="s">
        <v>5377</v>
      </c>
      <c r="G621" s="53" t="s">
        <v>135</v>
      </c>
    </row>
    <row r="622">
      <c r="A622" s="51" t="s">
        <v>7095</v>
      </c>
      <c r="B622" s="53" t="s">
        <v>6057</v>
      </c>
      <c r="C622" s="60">
        <v>45194.541666666664</v>
      </c>
      <c r="D622" s="61">
        <v>1.0</v>
      </c>
      <c r="E622" s="60">
        <v>45194.583333333336</v>
      </c>
      <c r="F622" s="53" t="s">
        <v>6264</v>
      </c>
      <c r="G622" s="53" t="s">
        <v>135</v>
      </c>
    </row>
    <row r="623">
      <c r="A623" s="51" t="s">
        <v>7096</v>
      </c>
      <c r="B623" s="53" t="s">
        <v>6057</v>
      </c>
      <c r="C623" s="60">
        <v>45191.333333333336</v>
      </c>
      <c r="D623" s="61">
        <v>4.0</v>
      </c>
      <c r="E623" s="60">
        <v>45191.5</v>
      </c>
      <c r="F623" s="53" t="s">
        <v>6264</v>
      </c>
      <c r="G623" s="53" t="s">
        <v>135</v>
      </c>
    </row>
    <row r="624">
      <c r="A624" s="51" t="s">
        <v>7097</v>
      </c>
      <c r="B624" s="53" t="s">
        <v>6057</v>
      </c>
      <c r="C624" s="60">
        <v>45190.416666666664</v>
      </c>
      <c r="D624" s="61">
        <v>2.0</v>
      </c>
      <c r="E624" s="60">
        <v>45190.5</v>
      </c>
      <c r="F624" s="53" t="s">
        <v>6264</v>
      </c>
      <c r="G624" s="53" t="s">
        <v>135</v>
      </c>
    </row>
    <row r="625">
      <c r="A625" s="51" t="s">
        <v>7098</v>
      </c>
      <c r="B625" s="53" t="s">
        <v>1438</v>
      </c>
      <c r="C625" s="60">
        <v>45190.333333333336</v>
      </c>
      <c r="D625" s="61">
        <v>2.0</v>
      </c>
      <c r="E625" s="60">
        <v>45190.416666666664</v>
      </c>
      <c r="F625" s="53" t="s">
        <v>6670</v>
      </c>
      <c r="G625" s="53" t="s">
        <v>135</v>
      </c>
    </row>
    <row r="626">
      <c r="A626" s="51" t="s">
        <v>7099</v>
      </c>
      <c r="B626" s="53" t="s">
        <v>6057</v>
      </c>
      <c r="C626" s="60">
        <v>45189.416666666664</v>
      </c>
      <c r="D626" s="61">
        <v>2.0</v>
      </c>
      <c r="E626" s="60">
        <v>45189.5</v>
      </c>
      <c r="F626" s="53" t="s">
        <v>6264</v>
      </c>
      <c r="G626" s="53" t="s">
        <v>135</v>
      </c>
    </row>
    <row r="627">
      <c r="A627" s="51" t="s">
        <v>7100</v>
      </c>
      <c r="B627" s="53" t="s">
        <v>1438</v>
      </c>
      <c r="C627" s="60">
        <v>45189.333333333336</v>
      </c>
      <c r="D627" s="61">
        <v>2.0</v>
      </c>
      <c r="E627" s="60">
        <v>45189.416666666664</v>
      </c>
      <c r="F627" s="53" t="s">
        <v>6670</v>
      </c>
      <c r="G627" s="53" t="s">
        <v>135</v>
      </c>
    </row>
    <row r="628">
      <c r="A628" s="51" t="s">
        <v>7101</v>
      </c>
      <c r="B628" s="53" t="s">
        <v>1438</v>
      </c>
      <c r="C628" s="60">
        <v>45188.333333333336</v>
      </c>
      <c r="D628" s="61">
        <v>4.0</v>
      </c>
      <c r="E628" s="60">
        <v>45188.5</v>
      </c>
      <c r="F628" s="53" t="s">
        <v>6670</v>
      </c>
      <c r="G628" s="53" t="s">
        <v>135</v>
      </c>
    </row>
    <row r="629">
      <c r="A629" s="51" t="s">
        <v>7102</v>
      </c>
      <c r="B629" s="53" t="s">
        <v>5377</v>
      </c>
      <c r="C629" s="60">
        <v>45187.541666666664</v>
      </c>
      <c r="D629" s="61">
        <v>4.0</v>
      </c>
      <c r="E629" s="60">
        <v>45187.708333333336</v>
      </c>
      <c r="F629" s="53" t="s">
        <v>5377</v>
      </c>
      <c r="G629" s="53" t="s">
        <v>135</v>
      </c>
    </row>
    <row r="630">
      <c r="A630" s="51" t="s">
        <v>7103</v>
      </c>
      <c r="B630" s="53" t="s">
        <v>1438</v>
      </c>
      <c r="C630" s="60">
        <v>45184.458333333336</v>
      </c>
      <c r="D630" s="61">
        <v>1.0</v>
      </c>
      <c r="E630" s="60">
        <v>45184.5</v>
      </c>
      <c r="F630" s="53" t="s">
        <v>6670</v>
      </c>
      <c r="G630" s="53" t="s">
        <v>135</v>
      </c>
    </row>
    <row r="631">
      <c r="A631" s="51" t="s">
        <v>7104</v>
      </c>
      <c r="B631" s="53" t="s">
        <v>5377</v>
      </c>
      <c r="C631" s="60">
        <v>45184.416666666664</v>
      </c>
      <c r="D631" s="61">
        <v>1.0</v>
      </c>
      <c r="E631" s="60">
        <v>45184.416666666664</v>
      </c>
      <c r="F631" s="53" t="s">
        <v>5377</v>
      </c>
      <c r="G631" s="53" t="s">
        <v>135</v>
      </c>
    </row>
    <row r="632">
      <c r="A632" s="51" t="s">
        <v>7105</v>
      </c>
      <c r="B632" s="53" t="s">
        <v>1438</v>
      </c>
      <c r="C632" s="60">
        <v>45184.333333333336</v>
      </c>
      <c r="D632" s="61">
        <v>2.0</v>
      </c>
      <c r="E632" s="60">
        <v>45184.416666666664</v>
      </c>
      <c r="F632" s="53" t="s">
        <v>6670</v>
      </c>
      <c r="G632" s="53" t="s">
        <v>135</v>
      </c>
    </row>
    <row r="633">
      <c r="A633" s="51" t="s">
        <v>7106</v>
      </c>
      <c r="B633" s="53" t="s">
        <v>1438</v>
      </c>
      <c r="C633" s="60">
        <v>45183.666666666664</v>
      </c>
      <c r="D633" s="61">
        <v>1.0</v>
      </c>
      <c r="E633" s="60">
        <v>45183.708333333336</v>
      </c>
      <c r="F633" s="53" t="s">
        <v>6670</v>
      </c>
      <c r="G633" s="53" t="s">
        <v>135</v>
      </c>
    </row>
    <row r="634">
      <c r="A634" s="51" t="s">
        <v>7107</v>
      </c>
      <c r="B634" s="53" t="s">
        <v>1427</v>
      </c>
      <c r="C634" s="60">
        <v>45183.625</v>
      </c>
      <c r="D634" s="61">
        <v>1.0</v>
      </c>
      <c r="E634" s="60">
        <v>45183.666666666664</v>
      </c>
      <c r="F634" s="53" t="s">
        <v>4782</v>
      </c>
      <c r="G634" s="53" t="s">
        <v>135</v>
      </c>
    </row>
    <row r="635">
      <c r="A635" s="51" t="s">
        <v>7108</v>
      </c>
      <c r="B635" s="53" t="s">
        <v>6057</v>
      </c>
      <c r="C635" s="60">
        <v>45183.541666666664</v>
      </c>
      <c r="D635" s="61">
        <v>2.0</v>
      </c>
      <c r="E635" s="60">
        <v>45183.625</v>
      </c>
      <c r="F635" s="53" t="s">
        <v>6264</v>
      </c>
      <c r="G635" s="53" t="s">
        <v>135</v>
      </c>
    </row>
    <row r="636">
      <c r="A636" s="51" t="s">
        <v>7109</v>
      </c>
      <c r="B636" s="53" t="s">
        <v>1427</v>
      </c>
      <c r="C636" s="60">
        <v>45182.333333333336</v>
      </c>
      <c r="D636" s="61">
        <v>4.0</v>
      </c>
      <c r="E636" s="60">
        <v>45182.5</v>
      </c>
      <c r="F636" s="53" t="s">
        <v>4782</v>
      </c>
      <c r="G636" s="53" t="s">
        <v>135</v>
      </c>
    </row>
    <row r="637">
      <c r="A637" s="51" t="s">
        <v>7110</v>
      </c>
      <c r="B637" s="53" t="s">
        <v>1438</v>
      </c>
      <c r="C637" s="60">
        <v>45181.333333333336</v>
      </c>
      <c r="D637" s="61">
        <v>4.0</v>
      </c>
      <c r="E637" s="60">
        <v>45181.5</v>
      </c>
      <c r="F637" s="53" t="s">
        <v>6670</v>
      </c>
      <c r="G637" s="53" t="s">
        <v>135</v>
      </c>
    </row>
    <row r="638">
      <c r="A638" s="51" t="s">
        <v>7111</v>
      </c>
      <c r="B638" s="53" t="s">
        <v>1438</v>
      </c>
      <c r="C638" s="60">
        <v>45180.541666666664</v>
      </c>
      <c r="D638" s="61">
        <v>4.0</v>
      </c>
      <c r="E638" s="60">
        <v>45180.708333333336</v>
      </c>
      <c r="F638" s="53" t="s">
        <v>6670</v>
      </c>
      <c r="G638" s="53" t="s">
        <v>135</v>
      </c>
    </row>
    <row r="639">
      <c r="A639" s="51" t="s">
        <v>7112</v>
      </c>
      <c r="B639" s="53" t="s">
        <v>6057</v>
      </c>
      <c r="C639" s="60">
        <v>45177.333333333336</v>
      </c>
      <c r="D639" s="61">
        <v>4.0</v>
      </c>
      <c r="E639" s="60">
        <v>45177.5</v>
      </c>
      <c r="F639" s="53" t="s">
        <v>6264</v>
      </c>
      <c r="G639" s="53" t="s">
        <v>135</v>
      </c>
    </row>
    <row r="640">
      <c r="A640" s="51" t="s">
        <v>7113</v>
      </c>
      <c r="B640" s="53" t="s">
        <v>5377</v>
      </c>
      <c r="C640" s="60">
        <v>45176.416666666664</v>
      </c>
      <c r="D640" s="61">
        <v>2.0</v>
      </c>
      <c r="E640" s="60">
        <v>45176.5</v>
      </c>
      <c r="F640" s="53" t="s">
        <v>5377</v>
      </c>
      <c r="G640" s="53" t="s">
        <v>135</v>
      </c>
    </row>
    <row r="641">
      <c r="A641" s="51" t="s">
        <v>7114</v>
      </c>
      <c r="B641" s="53" t="s">
        <v>1438</v>
      </c>
      <c r="C641" s="60">
        <v>45176.333333333336</v>
      </c>
      <c r="D641" s="61">
        <v>2.0</v>
      </c>
      <c r="E641" s="60">
        <v>45176.416666666664</v>
      </c>
      <c r="F641" s="53" t="s">
        <v>4782</v>
      </c>
      <c r="G641" s="53" t="s">
        <v>135</v>
      </c>
    </row>
    <row r="642">
      <c r="A642" s="51" t="s">
        <v>7115</v>
      </c>
      <c r="B642" s="53" t="s">
        <v>1438</v>
      </c>
      <c r="C642" s="60">
        <v>45175.333333333336</v>
      </c>
      <c r="D642" s="61">
        <v>4.0</v>
      </c>
      <c r="E642" s="60">
        <v>45175.5</v>
      </c>
      <c r="F642" s="53" t="s">
        <v>6670</v>
      </c>
      <c r="G642" s="53" t="s">
        <v>135</v>
      </c>
    </row>
    <row r="643">
      <c r="A643" s="51" t="s">
        <v>7116</v>
      </c>
      <c r="B643" s="53" t="s">
        <v>1427</v>
      </c>
      <c r="C643" s="60">
        <v>45174.333333333336</v>
      </c>
      <c r="D643" s="61">
        <v>4.0</v>
      </c>
      <c r="E643" s="60">
        <v>45174.5</v>
      </c>
      <c r="F643" s="53" t="s">
        <v>4782</v>
      </c>
      <c r="G643" s="53" t="s">
        <v>135</v>
      </c>
    </row>
    <row r="644">
      <c r="A644" s="51" t="s">
        <v>7117</v>
      </c>
      <c r="B644" s="53" t="s">
        <v>1438</v>
      </c>
      <c r="C644" s="60">
        <v>45173.625</v>
      </c>
      <c r="D644" s="61">
        <v>2.0</v>
      </c>
      <c r="E644" s="60">
        <v>45173.708333333336</v>
      </c>
      <c r="F644" s="53" t="s">
        <v>6670</v>
      </c>
      <c r="G644" s="53" t="s">
        <v>135</v>
      </c>
    </row>
    <row r="645">
      <c r="A645" s="51" t="s">
        <v>7118</v>
      </c>
      <c r="B645" s="53" t="s">
        <v>6057</v>
      </c>
      <c r="C645" s="60">
        <v>45173.541666666664</v>
      </c>
      <c r="D645" s="61">
        <v>2.0</v>
      </c>
      <c r="E645" s="60">
        <v>45173.625</v>
      </c>
      <c r="F645" s="53" t="s">
        <v>6264</v>
      </c>
      <c r="G645" s="53" t="s">
        <v>135</v>
      </c>
    </row>
    <row r="646">
      <c r="A646" s="51" t="s">
        <v>7119</v>
      </c>
      <c r="B646" s="53" t="s">
        <v>5377</v>
      </c>
      <c r="C646" s="60">
        <v>45170.333333333336</v>
      </c>
      <c r="D646" s="61">
        <v>4.0</v>
      </c>
      <c r="E646" s="60">
        <v>45170.5</v>
      </c>
      <c r="F646" s="53" t="s">
        <v>5377</v>
      </c>
      <c r="G646" s="53" t="s">
        <v>135</v>
      </c>
    </row>
    <row r="647">
      <c r="A647" s="51" t="s">
        <v>7120</v>
      </c>
      <c r="B647" s="53" t="s">
        <v>1427</v>
      </c>
      <c r="C647" s="60">
        <v>45169.541666666664</v>
      </c>
      <c r="D647" s="61">
        <v>4.0</v>
      </c>
      <c r="E647" s="60">
        <v>45169.708333333336</v>
      </c>
      <c r="F647" s="53" t="s">
        <v>4782</v>
      </c>
      <c r="G647" s="53" t="s">
        <v>135</v>
      </c>
    </row>
    <row r="648">
      <c r="A648" s="51" t="s">
        <v>7121</v>
      </c>
      <c r="B648" s="53" t="s">
        <v>1438</v>
      </c>
      <c r="C648" s="60">
        <v>45168.333333333336</v>
      </c>
      <c r="D648" s="61">
        <v>4.0</v>
      </c>
      <c r="E648" s="60">
        <v>45168.5</v>
      </c>
      <c r="F648" s="53" t="s">
        <v>6670</v>
      </c>
      <c r="G648" s="53" t="s">
        <v>135</v>
      </c>
    </row>
    <row r="649">
      <c r="A649" s="51" t="s">
        <v>7122</v>
      </c>
      <c r="B649" s="53" t="s">
        <v>1438</v>
      </c>
      <c r="C649" s="60">
        <v>45167.375</v>
      </c>
      <c r="D649" s="61">
        <v>3.0</v>
      </c>
      <c r="E649" s="60">
        <v>45167.5</v>
      </c>
      <c r="F649" s="53" t="s">
        <v>6670</v>
      </c>
      <c r="G649" s="53" t="s">
        <v>135</v>
      </c>
    </row>
    <row r="650">
      <c r="A650" s="51" t="s">
        <v>7123</v>
      </c>
      <c r="B650" s="53" t="s">
        <v>1427</v>
      </c>
      <c r="C650" s="60">
        <v>45167.333333333336</v>
      </c>
      <c r="D650" s="61">
        <v>1.0</v>
      </c>
      <c r="E650" s="60">
        <v>45167.375</v>
      </c>
      <c r="F650" s="53" t="s">
        <v>4782</v>
      </c>
      <c r="G650" s="53" t="s">
        <v>135</v>
      </c>
    </row>
    <row r="651">
      <c r="A651" s="51" t="s">
        <v>7124</v>
      </c>
      <c r="B651" s="53" t="s">
        <v>1438</v>
      </c>
      <c r="C651" s="60">
        <v>45166.541666666664</v>
      </c>
      <c r="D651" s="61">
        <v>4.0</v>
      </c>
      <c r="E651" s="60">
        <v>45166.708333333336</v>
      </c>
      <c r="F651" s="53" t="s">
        <v>4782</v>
      </c>
      <c r="G651" s="53" t="s">
        <v>135</v>
      </c>
    </row>
    <row r="652">
      <c r="A652" s="51" t="s">
        <v>7125</v>
      </c>
      <c r="B652" s="53" t="s">
        <v>1438</v>
      </c>
      <c r="C652" s="60">
        <v>45163.333333333336</v>
      </c>
      <c r="D652" s="61">
        <v>4.0</v>
      </c>
      <c r="E652" s="60">
        <v>45163.5</v>
      </c>
      <c r="F652" s="53" t="s">
        <v>4782</v>
      </c>
      <c r="G652" s="53" t="s">
        <v>135</v>
      </c>
    </row>
    <row r="653">
      <c r="A653" s="51" t="s">
        <v>7126</v>
      </c>
      <c r="B653" s="53" t="s">
        <v>5377</v>
      </c>
      <c r="C653" s="60">
        <v>45162.541666666664</v>
      </c>
      <c r="D653" s="61">
        <v>4.0</v>
      </c>
      <c r="E653" s="60">
        <v>45162.708333333336</v>
      </c>
      <c r="F653" s="53" t="s">
        <v>5377</v>
      </c>
      <c r="G653" s="53" t="s">
        <v>135</v>
      </c>
    </row>
    <row r="654">
      <c r="A654" s="51" t="s">
        <v>7127</v>
      </c>
      <c r="B654" s="53" t="s">
        <v>1427</v>
      </c>
      <c r="C654" s="60">
        <v>45161.333333333336</v>
      </c>
      <c r="D654" s="61">
        <v>4.0</v>
      </c>
      <c r="E654" s="60">
        <v>45161.5</v>
      </c>
      <c r="F654" s="53" t="s">
        <v>4782</v>
      </c>
      <c r="G654" s="53" t="s">
        <v>135</v>
      </c>
    </row>
    <row r="655">
      <c r="A655" s="51" t="s">
        <v>7128</v>
      </c>
      <c r="B655" s="53" t="s">
        <v>6057</v>
      </c>
      <c r="C655" s="60">
        <v>45160.416666666664</v>
      </c>
      <c r="D655" s="61">
        <v>2.0</v>
      </c>
      <c r="E655" s="60">
        <v>45160.5</v>
      </c>
      <c r="F655" s="53" t="s">
        <v>6264</v>
      </c>
      <c r="G655" s="53" t="s">
        <v>135</v>
      </c>
    </row>
    <row r="656">
      <c r="A656" s="51" t="s">
        <v>7129</v>
      </c>
      <c r="B656" s="53" t="s">
        <v>1427</v>
      </c>
      <c r="C656" s="60">
        <v>45160.333333333336</v>
      </c>
      <c r="D656" s="61">
        <v>2.0</v>
      </c>
      <c r="E656" s="60">
        <v>45160.416666666664</v>
      </c>
      <c r="F656" s="53" t="s">
        <v>4782</v>
      </c>
      <c r="G656" s="53" t="s">
        <v>135</v>
      </c>
    </row>
    <row r="657">
      <c r="A657" s="51" t="s">
        <v>7130</v>
      </c>
      <c r="B657" s="53" t="s">
        <v>6057</v>
      </c>
      <c r="C657" s="60">
        <v>45156.458333333336</v>
      </c>
      <c r="D657" s="61">
        <v>1.0</v>
      </c>
      <c r="E657" s="60">
        <v>45156.5</v>
      </c>
      <c r="F657" s="53" t="s">
        <v>6264</v>
      </c>
      <c r="G657" s="53" t="s">
        <v>135</v>
      </c>
    </row>
    <row r="658">
      <c r="A658" s="51" t="s">
        <v>7131</v>
      </c>
      <c r="B658" s="53" t="s">
        <v>1427</v>
      </c>
      <c r="C658" s="60">
        <v>45156.375</v>
      </c>
      <c r="D658" s="61">
        <v>2.0</v>
      </c>
      <c r="E658" s="60">
        <v>45156.458333333336</v>
      </c>
      <c r="F658" s="53" t="s">
        <v>4782</v>
      </c>
      <c r="G658" s="53" t="s">
        <v>135</v>
      </c>
    </row>
    <row r="659">
      <c r="A659" s="51" t="s">
        <v>7132</v>
      </c>
      <c r="B659" s="53" t="s">
        <v>6057</v>
      </c>
      <c r="C659" s="60">
        <v>45156.333333333336</v>
      </c>
      <c r="D659" s="61">
        <v>1.0</v>
      </c>
      <c r="E659" s="60">
        <v>45156.375</v>
      </c>
      <c r="F659" s="53" t="s">
        <v>7133</v>
      </c>
      <c r="G659" s="53" t="s">
        <v>135</v>
      </c>
    </row>
    <row r="660">
      <c r="A660" s="51" t="s">
        <v>7134</v>
      </c>
      <c r="B660" s="53" t="s">
        <v>5533</v>
      </c>
      <c r="C660" s="60">
        <v>45155.541666666664</v>
      </c>
      <c r="D660" s="61">
        <v>4.0</v>
      </c>
      <c r="E660" s="60">
        <v>45155.708333333336</v>
      </c>
      <c r="F660" s="53" t="s">
        <v>5377</v>
      </c>
      <c r="G660" s="53" t="s">
        <v>135</v>
      </c>
    </row>
    <row r="661">
      <c r="A661" s="51" t="s">
        <v>7135</v>
      </c>
      <c r="B661" s="53" t="s">
        <v>1427</v>
      </c>
      <c r="C661" s="60">
        <v>45154.333333333336</v>
      </c>
      <c r="D661" s="61">
        <v>4.0</v>
      </c>
      <c r="E661" s="60">
        <v>45154.5</v>
      </c>
      <c r="F661" s="53" t="s">
        <v>4782</v>
      </c>
      <c r="G661" s="53" t="s">
        <v>135</v>
      </c>
    </row>
    <row r="662">
      <c r="A662" s="51" t="s">
        <v>7136</v>
      </c>
      <c r="B662" s="53" t="s">
        <v>6057</v>
      </c>
      <c r="C662" s="60">
        <v>45153.333333333336</v>
      </c>
      <c r="D662" s="61">
        <v>4.0</v>
      </c>
      <c r="E662" s="60">
        <v>45153.5</v>
      </c>
      <c r="F662" s="53" t="s">
        <v>6264</v>
      </c>
      <c r="G662" s="53" t="s">
        <v>135</v>
      </c>
    </row>
    <row r="663">
      <c r="A663" s="51" t="s">
        <v>7137</v>
      </c>
      <c r="B663" s="53" t="s">
        <v>6057</v>
      </c>
      <c r="C663" s="60">
        <v>45152.541666666664</v>
      </c>
      <c r="D663" s="61">
        <v>4.0</v>
      </c>
      <c r="E663" s="60">
        <v>45152.708333333336</v>
      </c>
      <c r="F663" s="53" t="s">
        <v>6264</v>
      </c>
      <c r="G663" s="53" t="s">
        <v>135</v>
      </c>
    </row>
    <row r="664">
      <c r="A664" s="51" t="s">
        <v>7138</v>
      </c>
      <c r="B664" s="53" t="s">
        <v>6057</v>
      </c>
      <c r="C664" s="60">
        <v>45149.333333333336</v>
      </c>
      <c r="D664" s="61">
        <v>4.0</v>
      </c>
      <c r="E664" s="60">
        <v>45149.5</v>
      </c>
      <c r="F664" s="53" t="s">
        <v>6264</v>
      </c>
      <c r="G664" s="53" t="s">
        <v>135</v>
      </c>
    </row>
    <row r="665">
      <c r="A665" s="51" t="s">
        <v>7139</v>
      </c>
      <c r="B665" s="53" t="s">
        <v>6057</v>
      </c>
      <c r="C665" s="60">
        <v>45148.541666666664</v>
      </c>
      <c r="D665" s="61">
        <v>4.0</v>
      </c>
      <c r="E665" s="60">
        <v>45148.708333333336</v>
      </c>
      <c r="F665" s="53" t="s">
        <v>6264</v>
      </c>
      <c r="G665" s="53" t="s">
        <v>135</v>
      </c>
    </row>
    <row r="666">
      <c r="A666" s="51" t="s">
        <v>7140</v>
      </c>
      <c r="B666" s="53" t="s">
        <v>6057</v>
      </c>
      <c r="C666" s="60">
        <v>45147.333333333336</v>
      </c>
      <c r="D666" s="61">
        <v>4.0</v>
      </c>
      <c r="E666" s="60">
        <v>45147.5</v>
      </c>
      <c r="F666" s="53" t="s">
        <v>6264</v>
      </c>
      <c r="G666" s="53" t="s">
        <v>135</v>
      </c>
    </row>
    <row r="667">
      <c r="A667" s="51" t="s">
        <v>7141</v>
      </c>
      <c r="B667" s="53" t="s">
        <v>6057</v>
      </c>
      <c r="C667" s="60">
        <v>45145.5</v>
      </c>
      <c r="D667" s="61">
        <v>4.0</v>
      </c>
      <c r="E667" s="60">
        <v>45145.666666666664</v>
      </c>
      <c r="F667" s="53" t="s">
        <v>6264</v>
      </c>
      <c r="G667" s="53" t="s">
        <v>135</v>
      </c>
    </row>
    <row r="668">
      <c r="A668" s="55">
        <v>10.0</v>
      </c>
      <c r="B668" s="53" t="s">
        <v>6069</v>
      </c>
      <c r="C668" s="56">
        <v>45043.333333333336</v>
      </c>
      <c r="D668" s="61">
        <v>5.0</v>
      </c>
      <c r="E668" s="56">
        <v>45409.541666666664</v>
      </c>
      <c r="F668" s="53" t="s">
        <v>6069</v>
      </c>
      <c r="G668" s="4" t="s">
        <v>27</v>
      </c>
    </row>
    <row r="669">
      <c r="A669" s="55">
        <v>5.0</v>
      </c>
      <c r="B669" s="53" t="s">
        <v>6069</v>
      </c>
      <c r="C669" s="65">
        <v>44974.333333333336</v>
      </c>
      <c r="D669" s="61">
        <v>5.0</v>
      </c>
      <c r="E669" s="65">
        <v>44974.5</v>
      </c>
      <c r="F669" s="53" t="s">
        <v>6069</v>
      </c>
      <c r="G669" s="4" t="s">
        <v>27</v>
      </c>
    </row>
    <row r="670">
      <c r="A670" s="55">
        <v>4.0</v>
      </c>
      <c r="B670" s="53" t="s">
        <v>6069</v>
      </c>
      <c r="C670" s="65">
        <v>44973.333333333336</v>
      </c>
      <c r="D670" s="61">
        <v>5.0</v>
      </c>
      <c r="E670" s="65">
        <v>44973.5</v>
      </c>
      <c r="F670" s="53" t="s">
        <v>6069</v>
      </c>
      <c r="G670" s="4" t="s">
        <v>27</v>
      </c>
    </row>
    <row r="671">
      <c r="A671" s="55">
        <v>3.0</v>
      </c>
      <c r="B671" s="53" t="s">
        <v>6069</v>
      </c>
      <c r="C671" s="65">
        <v>44972.333333333336</v>
      </c>
      <c r="D671" s="61">
        <v>5.0</v>
      </c>
      <c r="E671" s="65">
        <v>44972.5</v>
      </c>
      <c r="F671" s="53" t="s">
        <v>6069</v>
      </c>
      <c r="G671" s="4" t="s">
        <v>27</v>
      </c>
    </row>
    <row r="672">
      <c r="A672" s="55">
        <v>2.0</v>
      </c>
      <c r="B672" s="53" t="s">
        <v>6069</v>
      </c>
      <c r="C672" s="65">
        <v>44971.333333333336</v>
      </c>
      <c r="D672" s="61">
        <v>5.0</v>
      </c>
      <c r="E672" s="65">
        <v>44971.5</v>
      </c>
      <c r="F672" s="53" t="s">
        <v>6069</v>
      </c>
      <c r="G672" s="4" t="s">
        <v>27</v>
      </c>
    </row>
    <row r="673">
      <c r="A673" s="55">
        <v>1.0</v>
      </c>
      <c r="B673" s="53" t="s">
        <v>6069</v>
      </c>
      <c r="C673" s="65">
        <v>44970.333333333336</v>
      </c>
      <c r="D673" s="61">
        <v>5.0</v>
      </c>
      <c r="E673" s="65">
        <v>44970.5</v>
      </c>
      <c r="F673" s="53" t="s">
        <v>6069</v>
      </c>
      <c r="G673" s="4" t="s">
        <v>27</v>
      </c>
    </row>
    <row r="674">
      <c r="A674" s="51"/>
      <c r="B674" s="53"/>
      <c r="C674" s="60"/>
      <c r="D674" s="53"/>
      <c r="E674" s="60"/>
      <c r="F674" s="53"/>
      <c r="G674" s="53"/>
    </row>
    <row r="675">
      <c r="C675" s="18"/>
      <c r="E675" s="18"/>
      <c r="G675" s="63"/>
    </row>
    <row r="676">
      <c r="A676" s="4"/>
      <c r="B676" s="4"/>
      <c r="C676" s="18"/>
      <c r="D676" s="4"/>
      <c r="E676" s="18"/>
      <c r="F676" s="4"/>
      <c r="G676" s="4"/>
      <c r="H676" s="4"/>
      <c r="K676" s="4"/>
      <c r="L676" s="4"/>
    </row>
    <row r="677">
      <c r="A677" s="4"/>
      <c r="B677" s="4"/>
      <c r="C677" s="18"/>
      <c r="D677" s="4"/>
      <c r="E677" s="18"/>
      <c r="F677" s="4"/>
      <c r="G677" s="4"/>
      <c r="H677" s="4"/>
      <c r="K677" s="4"/>
      <c r="L677" s="4"/>
    </row>
    <row r="678">
      <c r="A678" s="4"/>
      <c r="B678" s="4"/>
      <c r="C678" s="18"/>
      <c r="D678" s="4"/>
      <c r="E678" s="18"/>
      <c r="F678" s="4"/>
      <c r="G678" s="4"/>
      <c r="H678" s="4"/>
      <c r="K678" s="4"/>
      <c r="L678" s="4"/>
    </row>
    <row r="679">
      <c r="A679" s="4"/>
      <c r="B679" s="4"/>
      <c r="C679" s="18"/>
      <c r="D679" s="4"/>
      <c r="E679" s="18"/>
      <c r="F679" s="4"/>
      <c r="G679" s="4"/>
      <c r="H679" s="4"/>
      <c r="K679" s="4"/>
      <c r="L679" s="4"/>
    </row>
    <row r="680">
      <c r="A680" s="4"/>
      <c r="B680" s="4"/>
      <c r="C680" s="18"/>
      <c r="D680" s="4"/>
      <c r="E680" s="18"/>
      <c r="F680" s="4"/>
      <c r="G680" s="4"/>
      <c r="H680" s="4"/>
      <c r="K680" s="4"/>
      <c r="L680" s="4"/>
    </row>
    <row r="681">
      <c r="A681" s="4"/>
      <c r="B681" s="4"/>
      <c r="C681" s="18"/>
      <c r="D681" s="4"/>
      <c r="E681" s="18"/>
      <c r="F681" s="4"/>
      <c r="G681" s="4"/>
      <c r="H681" s="4"/>
      <c r="K681" s="4"/>
      <c r="L681" s="4"/>
    </row>
    <row r="682">
      <c r="A682" s="4"/>
      <c r="B682" s="4"/>
      <c r="C682" s="18"/>
      <c r="D682" s="4"/>
      <c r="E682" s="18"/>
      <c r="F682" s="4"/>
      <c r="G682" s="4"/>
      <c r="H682" s="4"/>
      <c r="K682" s="4"/>
      <c r="L682" s="4"/>
    </row>
    <row r="683">
      <c r="A683" s="4"/>
      <c r="B683" s="4"/>
      <c r="C683" s="18"/>
      <c r="D683" s="4"/>
      <c r="E683" s="18"/>
      <c r="F683" s="4"/>
      <c r="G683" s="4"/>
      <c r="H683" s="4"/>
      <c r="K683" s="4"/>
      <c r="L683" s="4"/>
    </row>
    <row r="684">
      <c r="A684" s="4"/>
      <c r="B684" s="4"/>
      <c r="C684" s="18"/>
      <c r="D684" s="4"/>
      <c r="E684" s="18"/>
      <c r="F684" s="4"/>
      <c r="G684" s="4"/>
      <c r="H684" s="4"/>
      <c r="K684" s="4"/>
      <c r="L684" s="4"/>
    </row>
    <row r="685">
      <c r="C685" s="18"/>
      <c r="E685" s="18"/>
    </row>
    <row r="686">
      <c r="A686" s="4"/>
      <c r="B686" s="4"/>
      <c r="C686" s="18"/>
      <c r="D686" s="4"/>
      <c r="E686" s="18"/>
      <c r="F686" s="4"/>
      <c r="G686" s="4"/>
      <c r="H686" s="4"/>
      <c r="K686" s="4"/>
      <c r="L686" s="4"/>
    </row>
    <row r="687">
      <c r="A687" s="4"/>
      <c r="B687" s="4"/>
      <c r="C687" s="18"/>
      <c r="D687" s="4"/>
      <c r="E687" s="18"/>
      <c r="F687" s="4"/>
      <c r="G687" s="4"/>
      <c r="H687" s="4"/>
      <c r="K687" s="4"/>
      <c r="L687" s="4"/>
    </row>
    <row r="688">
      <c r="A688" s="4"/>
      <c r="B688" s="4"/>
      <c r="C688" s="18"/>
      <c r="D688" s="4"/>
      <c r="E688" s="18"/>
      <c r="F688" s="4"/>
      <c r="G688" s="4"/>
      <c r="H688" s="4"/>
      <c r="K688" s="4"/>
      <c r="L688" s="4"/>
    </row>
    <row r="689">
      <c r="A689" s="4"/>
      <c r="B689" s="4"/>
      <c r="C689" s="18"/>
      <c r="D689" s="4"/>
      <c r="E689" s="18"/>
      <c r="F689" s="4"/>
      <c r="G689" s="4"/>
      <c r="H689" s="4"/>
      <c r="K689" s="4"/>
      <c r="L689" s="4"/>
    </row>
    <row r="690">
      <c r="A690" s="4"/>
      <c r="B690" s="4"/>
      <c r="C690" s="18"/>
      <c r="D690" s="4"/>
      <c r="E690" s="18"/>
      <c r="F690" s="4"/>
      <c r="G690" s="4"/>
      <c r="H690" s="4"/>
      <c r="K690" s="4"/>
      <c r="L690" s="4"/>
    </row>
    <row r="691">
      <c r="A691" s="4"/>
      <c r="B691" s="4"/>
      <c r="C691" s="18"/>
      <c r="D691" s="4"/>
      <c r="E691" s="18"/>
      <c r="F691" s="4"/>
      <c r="G691" s="4"/>
      <c r="H691" s="4"/>
      <c r="K691" s="4"/>
      <c r="L691" s="4"/>
    </row>
    <row r="692">
      <c r="A692" s="4"/>
      <c r="B692" s="4"/>
      <c r="C692" s="18"/>
      <c r="D692" s="4"/>
      <c r="E692" s="18"/>
      <c r="F692" s="4"/>
      <c r="G692" s="4"/>
      <c r="H692" s="4"/>
      <c r="K692" s="4"/>
      <c r="L692" s="4"/>
    </row>
    <row r="693">
      <c r="A693" s="4"/>
      <c r="B693" s="4"/>
      <c r="C693" s="18"/>
      <c r="D693" s="4"/>
      <c r="E693" s="18"/>
      <c r="F693" s="4"/>
      <c r="G693" s="4"/>
      <c r="H693" s="4"/>
      <c r="K693" s="4"/>
      <c r="L693" s="4"/>
    </row>
    <row r="694">
      <c r="A694" s="4"/>
      <c r="B694" s="4"/>
      <c r="C694" s="18"/>
      <c r="D694" s="4"/>
      <c r="E694" s="18"/>
      <c r="F694" s="4"/>
      <c r="G694" s="4"/>
      <c r="H694" s="4"/>
      <c r="K694" s="4"/>
      <c r="L694" s="4"/>
    </row>
    <row r="695">
      <c r="A695" s="4"/>
      <c r="B695" s="4"/>
      <c r="C695" s="18"/>
      <c r="D695" s="4"/>
      <c r="E695" s="18"/>
      <c r="F695" s="4"/>
      <c r="G695" s="4"/>
      <c r="H695" s="4"/>
      <c r="K695" s="4"/>
      <c r="L695" s="4"/>
    </row>
    <row r="696">
      <c r="A696" s="4"/>
      <c r="B696" s="4"/>
      <c r="C696" s="18"/>
      <c r="D696" s="4"/>
      <c r="E696" s="18"/>
      <c r="F696" s="4"/>
      <c r="G696" s="4"/>
      <c r="H696" s="4"/>
      <c r="K696" s="4"/>
      <c r="L696" s="4"/>
    </row>
    <row r="697">
      <c r="A697" s="4"/>
      <c r="B697" s="4"/>
      <c r="C697" s="18"/>
      <c r="D697" s="4"/>
      <c r="E697" s="18"/>
      <c r="F697" s="4"/>
      <c r="G697" s="4"/>
      <c r="H697" s="4"/>
      <c r="K697" s="4"/>
      <c r="L697" s="4"/>
    </row>
    <row r="698">
      <c r="A698" s="4"/>
      <c r="B698" s="4"/>
      <c r="C698" s="18"/>
      <c r="D698" s="4"/>
      <c r="E698" s="18"/>
      <c r="F698" s="4"/>
      <c r="G698" s="4"/>
      <c r="H698" s="4"/>
      <c r="K698" s="4"/>
      <c r="L698" s="4"/>
    </row>
    <row r="699">
      <c r="A699" s="4"/>
      <c r="B699" s="4"/>
      <c r="C699" s="18"/>
      <c r="D699" s="4"/>
      <c r="E699" s="18"/>
      <c r="F699" s="4"/>
      <c r="G699" s="4"/>
      <c r="H699" s="4"/>
      <c r="K699" s="4"/>
      <c r="L699" s="4"/>
    </row>
    <row r="700">
      <c r="A700" s="4"/>
      <c r="B700" s="4"/>
      <c r="C700" s="18"/>
      <c r="D700" s="4"/>
      <c r="E700" s="18"/>
      <c r="F700" s="4"/>
      <c r="G700" s="4"/>
      <c r="H700" s="4"/>
      <c r="K700" s="4"/>
      <c r="L700" s="4"/>
    </row>
    <row r="701">
      <c r="A701" s="4"/>
      <c r="B701" s="4"/>
      <c r="C701" s="18"/>
      <c r="D701" s="4"/>
      <c r="E701" s="18"/>
      <c r="F701" s="4"/>
      <c r="G701" s="4"/>
      <c r="H701" s="4"/>
      <c r="K701" s="4"/>
      <c r="L701" s="4"/>
    </row>
    <row r="702">
      <c r="A702" s="4"/>
      <c r="B702" s="4"/>
      <c r="C702" s="18"/>
      <c r="D702" s="4"/>
      <c r="E702" s="18"/>
      <c r="F702" s="4"/>
      <c r="G702" s="4"/>
      <c r="H702" s="4"/>
      <c r="K702" s="4"/>
      <c r="L702" s="4"/>
    </row>
    <row r="703">
      <c r="A703" s="4"/>
      <c r="B703" s="4"/>
      <c r="C703" s="18"/>
      <c r="D703" s="4"/>
      <c r="E703" s="18"/>
      <c r="F703" s="4"/>
      <c r="G703" s="4"/>
      <c r="H703" s="4"/>
      <c r="K703" s="4"/>
      <c r="L703" s="4"/>
    </row>
    <row r="704">
      <c r="A704" s="4"/>
      <c r="B704" s="4"/>
      <c r="C704" s="18"/>
      <c r="D704" s="4"/>
      <c r="E704" s="18"/>
      <c r="F704" s="4"/>
      <c r="G704" s="4"/>
      <c r="H704" s="4"/>
      <c r="K704" s="4"/>
      <c r="L704" s="4"/>
    </row>
    <row r="705">
      <c r="A705" s="4"/>
      <c r="B705" s="4"/>
      <c r="C705" s="18"/>
      <c r="D705" s="4"/>
      <c r="E705" s="18"/>
      <c r="F705" s="4"/>
      <c r="G705" s="4"/>
      <c r="H705" s="4"/>
      <c r="K705" s="4"/>
      <c r="L705" s="4"/>
    </row>
    <row r="706">
      <c r="A706" s="4"/>
      <c r="B706" s="4"/>
      <c r="C706" s="18"/>
      <c r="D706" s="4"/>
      <c r="E706" s="18"/>
      <c r="F706" s="4"/>
      <c r="G706" s="4"/>
      <c r="H706" s="4"/>
      <c r="K706" s="4"/>
      <c r="L706" s="4"/>
    </row>
    <row r="707">
      <c r="A707" s="4"/>
      <c r="B707" s="4"/>
      <c r="C707" s="18"/>
      <c r="D707" s="4"/>
      <c r="E707" s="18"/>
      <c r="F707" s="4"/>
      <c r="G707" s="4"/>
      <c r="H707" s="4"/>
      <c r="K707" s="4"/>
      <c r="L707" s="4"/>
    </row>
    <row r="708">
      <c r="A708" s="4"/>
      <c r="B708" s="4"/>
      <c r="C708" s="18"/>
      <c r="D708" s="4"/>
      <c r="E708" s="18"/>
      <c r="F708" s="4"/>
      <c r="G708" s="4"/>
      <c r="H708" s="4"/>
      <c r="K708" s="4"/>
      <c r="L708" s="4"/>
    </row>
    <row r="709">
      <c r="A709" s="4"/>
      <c r="B709" s="4"/>
      <c r="C709" s="18"/>
      <c r="D709" s="4"/>
      <c r="E709" s="18"/>
      <c r="F709" s="4"/>
      <c r="G709" s="4"/>
      <c r="H709" s="4"/>
      <c r="K709" s="4"/>
      <c r="L709" s="4"/>
    </row>
    <row r="710">
      <c r="A710" s="4"/>
      <c r="B710" s="4"/>
      <c r="C710" s="18"/>
      <c r="D710" s="4"/>
      <c r="E710" s="18"/>
      <c r="F710" s="4"/>
      <c r="G710" s="4"/>
      <c r="H710" s="4"/>
      <c r="K710" s="4"/>
      <c r="L710" s="4"/>
    </row>
    <row r="711">
      <c r="A711" s="4"/>
      <c r="B711" s="4"/>
      <c r="C711" s="18"/>
      <c r="D711" s="4"/>
      <c r="E711" s="18"/>
      <c r="F711" s="4"/>
      <c r="G711" s="4"/>
      <c r="H711" s="4"/>
      <c r="K711" s="4"/>
      <c r="L711" s="4"/>
    </row>
    <row r="712">
      <c r="A712" s="4"/>
      <c r="B712" s="4"/>
      <c r="C712" s="18"/>
      <c r="D712" s="4"/>
      <c r="E712" s="18"/>
      <c r="F712" s="4"/>
      <c r="G712" s="4"/>
      <c r="H712" s="4"/>
      <c r="K712" s="4"/>
      <c r="L712" s="4"/>
    </row>
    <row r="713">
      <c r="A713" s="4"/>
      <c r="B713" s="4"/>
      <c r="C713" s="18"/>
      <c r="D713" s="4"/>
      <c r="E713" s="18"/>
      <c r="F713" s="4"/>
      <c r="G713" s="4"/>
      <c r="H713" s="4"/>
      <c r="K713" s="4"/>
      <c r="L713" s="4"/>
    </row>
    <row r="714">
      <c r="A714" s="4"/>
      <c r="B714" s="4"/>
      <c r="C714" s="18"/>
      <c r="D714" s="4"/>
      <c r="E714" s="18"/>
      <c r="F714" s="4"/>
      <c r="G714" s="4"/>
      <c r="H714" s="4"/>
      <c r="K714" s="4"/>
      <c r="L714" s="4"/>
    </row>
    <row r="715">
      <c r="A715" s="4"/>
      <c r="B715" s="4"/>
      <c r="C715" s="18"/>
      <c r="D715" s="4"/>
      <c r="E715" s="18"/>
      <c r="F715" s="4"/>
      <c r="G715" s="4"/>
      <c r="H715" s="4"/>
      <c r="K715" s="4"/>
      <c r="L715" s="4"/>
    </row>
    <row r="716">
      <c r="A716" s="4"/>
      <c r="B716" s="4"/>
      <c r="C716" s="18"/>
      <c r="D716" s="4"/>
      <c r="E716" s="18"/>
      <c r="F716" s="4"/>
      <c r="G716" s="4"/>
      <c r="H716" s="4"/>
      <c r="K716" s="4"/>
      <c r="L716" s="4"/>
    </row>
    <row r="717">
      <c r="A717" s="4"/>
      <c r="B717" s="4"/>
      <c r="C717" s="18"/>
      <c r="D717" s="4"/>
      <c r="E717" s="18"/>
      <c r="F717" s="4"/>
      <c r="G717" s="4"/>
      <c r="H717" s="4"/>
      <c r="K717" s="4"/>
      <c r="L717" s="4"/>
    </row>
    <row r="718">
      <c r="A718" s="4"/>
      <c r="B718" s="4"/>
      <c r="C718" s="18"/>
      <c r="D718" s="4"/>
      <c r="E718" s="18"/>
      <c r="F718" s="4"/>
      <c r="G718" s="4"/>
      <c r="H718" s="4"/>
      <c r="K718" s="4"/>
      <c r="L718" s="4"/>
    </row>
    <row r="719">
      <c r="A719" s="4"/>
      <c r="B719" s="4"/>
      <c r="C719" s="18"/>
      <c r="D719" s="4"/>
      <c r="E719" s="18"/>
      <c r="F719" s="4"/>
      <c r="G719" s="4"/>
      <c r="H719" s="4"/>
      <c r="K719" s="4"/>
      <c r="L719" s="4"/>
    </row>
    <row r="720">
      <c r="A720" s="4"/>
      <c r="B720" s="4"/>
      <c r="C720" s="18"/>
      <c r="D720" s="4"/>
      <c r="E720" s="18"/>
      <c r="F720" s="4"/>
      <c r="G720" s="4"/>
      <c r="H720" s="4"/>
      <c r="K720" s="4"/>
      <c r="L720" s="4"/>
    </row>
    <row r="721">
      <c r="A721" s="4"/>
      <c r="B721" s="4"/>
      <c r="C721" s="18"/>
      <c r="D721" s="4"/>
      <c r="E721" s="18"/>
      <c r="F721" s="4"/>
      <c r="G721" s="4"/>
      <c r="H721" s="4"/>
      <c r="K721" s="4"/>
      <c r="L721" s="4"/>
    </row>
    <row r="722">
      <c r="A722" s="4"/>
      <c r="B722" s="4"/>
      <c r="C722" s="18"/>
      <c r="D722" s="4"/>
      <c r="E722" s="18"/>
      <c r="F722" s="4"/>
      <c r="G722" s="4"/>
      <c r="H722" s="4"/>
      <c r="K722" s="4"/>
      <c r="L722" s="4"/>
    </row>
    <row r="723">
      <c r="A723" s="4"/>
      <c r="B723" s="4"/>
      <c r="C723" s="18"/>
      <c r="D723" s="4"/>
      <c r="E723" s="18"/>
      <c r="F723" s="4"/>
      <c r="G723" s="4"/>
      <c r="H723" s="4"/>
      <c r="K723" s="4"/>
      <c r="L723" s="4"/>
    </row>
    <row r="724">
      <c r="A724" s="4"/>
      <c r="B724" s="4"/>
      <c r="C724" s="18"/>
      <c r="D724" s="4"/>
      <c r="E724" s="18"/>
      <c r="F724" s="4"/>
      <c r="G724" s="4"/>
      <c r="H724" s="4"/>
      <c r="K724" s="4"/>
      <c r="L724" s="4"/>
    </row>
    <row r="725">
      <c r="A725" s="4"/>
      <c r="B725" s="4"/>
      <c r="C725" s="18"/>
      <c r="D725" s="4"/>
      <c r="E725" s="18"/>
      <c r="F725" s="4"/>
      <c r="G725" s="4"/>
      <c r="H725" s="4"/>
      <c r="K725" s="4"/>
      <c r="L725" s="4"/>
    </row>
    <row r="726">
      <c r="A726" s="4"/>
      <c r="B726" s="4"/>
      <c r="C726" s="18"/>
      <c r="D726" s="4"/>
      <c r="E726" s="18"/>
      <c r="F726" s="4"/>
      <c r="G726" s="4"/>
      <c r="H726" s="4"/>
      <c r="K726" s="4"/>
      <c r="L726" s="4"/>
    </row>
    <row r="727">
      <c r="A727" s="4"/>
      <c r="B727" s="4"/>
      <c r="C727" s="18"/>
      <c r="D727" s="4"/>
      <c r="E727" s="18"/>
      <c r="F727" s="4"/>
      <c r="G727" s="4"/>
      <c r="H727" s="4"/>
      <c r="K727" s="4"/>
      <c r="L727" s="4"/>
    </row>
    <row r="728">
      <c r="A728" s="4"/>
      <c r="B728" s="4"/>
      <c r="C728" s="18"/>
      <c r="D728" s="4"/>
      <c r="E728" s="18"/>
      <c r="F728" s="4"/>
      <c r="G728" s="4"/>
      <c r="H728" s="4"/>
      <c r="K728" s="4"/>
      <c r="L728" s="4"/>
    </row>
    <row r="729">
      <c r="A729" s="4"/>
      <c r="B729" s="4"/>
      <c r="C729" s="18"/>
      <c r="D729" s="4"/>
      <c r="E729" s="18"/>
      <c r="F729" s="4"/>
      <c r="G729" s="4"/>
      <c r="H729" s="4"/>
      <c r="K729" s="4"/>
      <c r="L729" s="4"/>
    </row>
    <row r="730">
      <c r="A730" s="4"/>
      <c r="B730" s="4"/>
      <c r="C730" s="18"/>
      <c r="D730" s="4"/>
      <c r="E730" s="18"/>
      <c r="F730" s="4"/>
      <c r="G730" s="4"/>
      <c r="H730" s="4"/>
      <c r="K730" s="4"/>
      <c r="L730" s="4"/>
    </row>
    <row r="731">
      <c r="A731" s="4"/>
      <c r="B731" s="53"/>
      <c r="C731" s="18"/>
      <c r="D731" s="4"/>
      <c r="E731" s="18"/>
      <c r="F731" s="4"/>
      <c r="G731" s="4"/>
      <c r="H731" s="4"/>
      <c r="K731" s="4"/>
      <c r="L731" s="4"/>
    </row>
    <row r="732">
      <c r="A732" s="4"/>
      <c r="B732" s="53"/>
      <c r="C732" s="18"/>
      <c r="D732" s="4"/>
      <c r="E732" s="18"/>
      <c r="F732" s="4"/>
      <c r="G732" s="4"/>
      <c r="H732" s="4"/>
      <c r="K732" s="4"/>
      <c r="L732" s="4"/>
    </row>
    <row r="733">
      <c r="A733" s="55"/>
      <c r="B733" s="53"/>
      <c r="C733" s="56"/>
      <c r="D733" s="61"/>
      <c r="E733" s="56"/>
      <c r="F733" s="53"/>
      <c r="G733" s="4"/>
      <c r="H733" s="4"/>
      <c r="K733" s="4"/>
    </row>
    <row r="734">
      <c r="A734" s="55" t="s">
        <v>7142</v>
      </c>
      <c r="B734" s="53" t="s">
        <v>6057</v>
      </c>
      <c r="C734" s="56">
        <v>45566.729166666664</v>
      </c>
      <c r="D734" s="57" t="s">
        <v>2154</v>
      </c>
      <c r="E734" s="56">
        <v>45566.8125</v>
      </c>
      <c r="F734" s="53" t="s">
        <v>7143</v>
      </c>
      <c r="G734" s="4" t="s">
        <v>27</v>
      </c>
      <c r="H734" s="4" t="s">
        <v>1987</v>
      </c>
      <c r="K734" s="4" t="s">
        <v>7144</v>
      </c>
      <c r="L734" s="4"/>
    </row>
    <row r="735">
      <c r="A735" s="55" t="s">
        <v>7145</v>
      </c>
      <c r="B735" s="53" t="s">
        <v>1427</v>
      </c>
      <c r="C735" s="56">
        <v>45568.375</v>
      </c>
      <c r="D735" s="57" t="s">
        <v>6052</v>
      </c>
      <c r="E735" s="56">
        <v>45568.541666666664</v>
      </c>
      <c r="F735" s="53" t="s">
        <v>7146</v>
      </c>
      <c r="G735" s="4" t="s">
        <v>27</v>
      </c>
      <c r="H735" s="4" t="s">
        <v>1987</v>
      </c>
      <c r="K735" s="4" t="s">
        <v>7147</v>
      </c>
      <c r="L735" s="4" t="s">
        <v>7148</v>
      </c>
    </row>
    <row r="736">
      <c r="A736" s="55"/>
      <c r="B736" s="53"/>
      <c r="C736" s="56"/>
      <c r="D736" s="61"/>
      <c r="E736" s="56"/>
      <c r="F736" s="53"/>
      <c r="G736" s="4"/>
      <c r="H736" s="4"/>
      <c r="K736" s="4"/>
      <c r="L736" s="4"/>
    </row>
    <row r="737">
      <c r="A737" s="55" t="s">
        <v>7149</v>
      </c>
      <c r="B737" s="53" t="s">
        <v>5559</v>
      </c>
      <c r="C737" s="56">
        <v>45567.333333333336</v>
      </c>
      <c r="D737" s="57" t="s">
        <v>2147</v>
      </c>
      <c r="E737" s="56">
        <v>45567.416666666664</v>
      </c>
      <c r="F737" s="53" t="s">
        <v>7150</v>
      </c>
      <c r="G737" s="4" t="s">
        <v>27</v>
      </c>
      <c r="H737" s="4" t="s">
        <v>1987</v>
      </c>
      <c r="K737" s="4" t="s">
        <v>7151</v>
      </c>
      <c r="L737" s="4" t="s">
        <v>7152</v>
      </c>
    </row>
    <row r="738">
      <c r="A738" s="55" t="s">
        <v>7153</v>
      </c>
      <c r="B738" s="53" t="s">
        <v>5457</v>
      </c>
      <c r="C738" s="56">
        <v>45568.604166666664</v>
      </c>
      <c r="D738" s="57" t="s">
        <v>2154</v>
      </c>
      <c r="E738" s="56">
        <v>45568.729166666664</v>
      </c>
      <c r="F738" s="53" t="s">
        <v>7154</v>
      </c>
      <c r="G738" s="4" t="s">
        <v>135</v>
      </c>
      <c r="H738" s="4" t="s">
        <v>1987</v>
      </c>
      <c r="K738" s="4" t="s">
        <v>7155</v>
      </c>
      <c r="L738" s="4" t="s">
        <v>7156</v>
      </c>
    </row>
    <row r="739">
      <c r="A739" s="55"/>
      <c r="B739" s="53"/>
      <c r="C739" s="56"/>
      <c r="D739" s="61"/>
      <c r="E739" s="56"/>
      <c r="F739" s="53"/>
      <c r="G739" s="4"/>
      <c r="H739" s="4"/>
      <c r="K739" s="4"/>
      <c r="L739" s="4"/>
    </row>
    <row r="740">
      <c r="A740" s="55"/>
      <c r="B740" s="53"/>
      <c r="C740" s="56"/>
      <c r="D740" s="61"/>
      <c r="E740" s="56"/>
      <c r="F740" s="53"/>
      <c r="G740" s="4"/>
      <c r="H740" s="4"/>
      <c r="K740" s="4"/>
      <c r="L740" s="4"/>
    </row>
    <row r="741">
      <c r="A741" s="55"/>
      <c r="B741" s="53"/>
      <c r="C741" s="56"/>
      <c r="D741" s="61"/>
      <c r="E741" s="56"/>
      <c r="F741" s="53"/>
      <c r="G741" s="4"/>
      <c r="H741" s="4"/>
      <c r="K741" s="4"/>
      <c r="L741" s="4"/>
    </row>
    <row r="742">
      <c r="A742" s="55" t="s">
        <v>7157</v>
      </c>
      <c r="B742" s="53" t="s">
        <v>6057</v>
      </c>
      <c r="C742" s="56">
        <v>45567.458333333336</v>
      </c>
      <c r="D742" s="57" t="s">
        <v>2154</v>
      </c>
      <c r="E742" s="56">
        <v>45567.5</v>
      </c>
      <c r="F742" s="53" t="s">
        <v>7158</v>
      </c>
      <c r="G742" s="4" t="s">
        <v>27</v>
      </c>
      <c r="H742" s="4" t="s">
        <v>1987</v>
      </c>
      <c r="K742" s="4"/>
      <c r="L742" s="4" t="s">
        <v>7159</v>
      </c>
    </row>
    <row r="743">
      <c r="A743" s="55" t="s">
        <v>7160</v>
      </c>
      <c r="B743" s="53" t="s">
        <v>5559</v>
      </c>
      <c r="C743" s="56">
        <v>45569.333333333336</v>
      </c>
      <c r="D743" s="57" t="s">
        <v>2148</v>
      </c>
      <c r="E743" s="56">
        <v>45569.5</v>
      </c>
      <c r="F743" s="53" t="s">
        <v>6030</v>
      </c>
      <c r="G743" s="4" t="s">
        <v>110</v>
      </c>
      <c r="H743" s="4" t="s">
        <v>1987</v>
      </c>
      <c r="K743" s="4" t="s">
        <v>7161</v>
      </c>
      <c r="L743" s="4" t="s">
        <v>6032</v>
      </c>
    </row>
    <row r="744">
      <c r="A744" s="55" t="s">
        <v>7162</v>
      </c>
      <c r="B744" s="53" t="s">
        <v>5571</v>
      </c>
      <c r="C744" s="56">
        <v>45568.5625</v>
      </c>
      <c r="D744" s="57" t="s">
        <v>2147</v>
      </c>
      <c r="E744" s="56">
        <v>45568.604166666664</v>
      </c>
      <c r="F744" s="53" t="s">
        <v>7163</v>
      </c>
      <c r="G744" s="4" t="s">
        <v>135</v>
      </c>
      <c r="H744" s="4" t="s">
        <v>1987</v>
      </c>
      <c r="K744" s="4"/>
      <c r="L744" s="4" t="s">
        <v>7164</v>
      </c>
    </row>
    <row r="745">
      <c r="A745" s="55" t="s">
        <v>7165</v>
      </c>
      <c r="B745" s="53" t="s">
        <v>5377</v>
      </c>
      <c r="C745" s="56">
        <v>45569.5625</v>
      </c>
      <c r="D745" s="57" t="s">
        <v>2148</v>
      </c>
      <c r="E745" s="56">
        <v>45569.729166666664</v>
      </c>
      <c r="F745" s="53" t="s">
        <v>7166</v>
      </c>
      <c r="G745" s="4" t="s">
        <v>135</v>
      </c>
      <c r="H745" s="4" t="s">
        <v>1987</v>
      </c>
      <c r="K745" s="4" t="s">
        <v>6046</v>
      </c>
      <c r="L745" s="4" t="s">
        <v>7167</v>
      </c>
    </row>
    <row r="746">
      <c r="A746" s="55" t="s">
        <v>7168</v>
      </c>
      <c r="B746" s="53" t="s">
        <v>1438</v>
      </c>
      <c r="C746" s="56">
        <v>45570.375</v>
      </c>
      <c r="D746" s="61"/>
      <c r="E746" s="56">
        <v>45570.541666666664</v>
      </c>
      <c r="F746" s="53" t="s">
        <v>7169</v>
      </c>
      <c r="G746" s="4" t="s">
        <v>135</v>
      </c>
      <c r="H746" s="4" t="s">
        <v>1987</v>
      </c>
      <c r="K746" s="4" t="s">
        <v>7170</v>
      </c>
      <c r="L746" s="4" t="s">
        <v>7171</v>
      </c>
    </row>
    <row r="747">
      <c r="A747" s="55" t="s">
        <v>7172</v>
      </c>
      <c r="B747" s="53" t="s">
        <v>1557</v>
      </c>
      <c r="C747" s="56">
        <v>45568.6875</v>
      </c>
      <c r="D747" s="57" t="s">
        <v>2154</v>
      </c>
      <c r="E747" s="56">
        <v>45568.770833333336</v>
      </c>
      <c r="F747" s="53" t="s">
        <v>7173</v>
      </c>
      <c r="G747" s="4" t="s">
        <v>27</v>
      </c>
      <c r="H747" s="4" t="s">
        <v>1991</v>
      </c>
      <c r="K747" s="4" t="s">
        <v>7174</v>
      </c>
      <c r="L747" s="4" t="s">
        <v>7175</v>
      </c>
    </row>
    <row r="748">
      <c r="A748" s="55" t="s">
        <v>7176</v>
      </c>
      <c r="B748" s="53" t="s">
        <v>1554</v>
      </c>
      <c r="C748" s="56">
        <v>45568.583333333336</v>
      </c>
      <c r="D748" s="57" t="s">
        <v>2154</v>
      </c>
      <c r="E748" s="56">
        <v>45568.666666666664</v>
      </c>
      <c r="F748" s="53" t="s">
        <v>7177</v>
      </c>
      <c r="G748" s="4" t="s">
        <v>27</v>
      </c>
      <c r="H748" s="4" t="s">
        <v>1991</v>
      </c>
      <c r="K748" s="4"/>
      <c r="L748" s="4" t="s">
        <v>7178</v>
      </c>
    </row>
    <row r="749">
      <c r="A749" s="55"/>
      <c r="B749" s="53"/>
      <c r="C749" s="56"/>
      <c r="D749" s="61"/>
      <c r="E749" s="56"/>
      <c r="F749" s="53"/>
      <c r="G749" s="4"/>
      <c r="H749" s="4"/>
      <c r="K749" s="4"/>
      <c r="L749" s="4"/>
    </row>
    <row r="750">
      <c r="A750" s="55"/>
      <c r="B750" s="53"/>
      <c r="C750" s="56"/>
      <c r="D750" s="61"/>
      <c r="E750" s="56"/>
      <c r="F750" s="53"/>
      <c r="G750" s="4"/>
      <c r="H750" s="4"/>
      <c r="K750" s="4"/>
      <c r="L750" s="4"/>
    </row>
    <row r="751">
      <c r="A751" s="55"/>
      <c r="B751" s="53"/>
      <c r="C751" s="56"/>
      <c r="D751" s="61"/>
      <c r="E751" s="56"/>
      <c r="F751" s="53"/>
      <c r="G751" s="4"/>
      <c r="H751" s="4"/>
      <c r="K751" s="4"/>
      <c r="L751" s="4"/>
    </row>
    <row r="752">
      <c r="A752" s="55" t="s">
        <v>7179</v>
      </c>
      <c r="B752" s="53" t="s">
        <v>6057</v>
      </c>
      <c r="C752" s="56">
        <v>45570.375</v>
      </c>
      <c r="D752" s="57" t="s">
        <v>2148</v>
      </c>
      <c r="E752" s="56">
        <v>45570.541666666664</v>
      </c>
      <c r="F752" s="53" t="s">
        <v>7180</v>
      </c>
      <c r="G752" s="4" t="s">
        <v>27</v>
      </c>
      <c r="H752" s="4" t="s">
        <v>1987</v>
      </c>
      <c r="K752" s="4" t="s">
        <v>7181</v>
      </c>
      <c r="L752" s="4"/>
    </row>
    <row r="753">
      <c r="A753" s="55" t="s">
        <v>7182</v>
      </c>
      <c r="B753" s="53" t="s">
        <v>6069</v>
      </c>
      <c r="C753" s="56">
        <v>45554.333333333336</v>
      </c>
      <c r="D753" s="57" t="s">
        <v>2147</v>
      </c>
      <c r="E753" s="56">
        <v>45554.375</v>
      </c>
      <c r="F753" s="53"/>
      <c r="G753" s="4" t="s">
        <v>7183</v>
      </c>
      <c r="H753" s="4" t="s">
        <v>1987</v>
      </c>
      <c r="K753" s="4" t="s">
        <v>7184</v>
      </c>
      <c r="L753" s="4"/>
    </row>
    <row r="754">
      <c r="A754" s="55" t="s">
        <v>7185</v>
      </c>
      <c r="B754" s="53" t="s">
        <v>1540</v>
      </c>
      <c r="C754" s="56">
        <v>45567.604166666664</v>
      </c>
      <c r="D754" s="57" t="s">
        <v>2147</v>
      </c>
      <c r="E754" s="56">
        <v>45567.6875</v>
      </c>
      <c r="F754" s="53" t="s">
        <v>7186</v>
      </c>
      <c r="G754" s="4" t="s">
        <v>27</v>
      </c>
      <c r="H754" s="4" t="s">
        <v>1991</v>
      </c>
      <c r="K754" s="4" t="s">
        <v>7187</v>
      </c>
      <c r="L754" s="4" t="s">
        <v>7188</v>
      </c>
    </row>
    <row r="755">
      <c r="A755" s="55" t="s">
        <v>7189</v>
      </c>
      <c r="B755" s="53" t="s">
        <v>1540</v>
      </c>
      <c r="C755" s="56">
        <v>45567.5</v>
      </c>
      <c r="D755" s="57" t="s">
        <v>2154</v>
      </c>
      <c r="E755" s="56">
        <v>45567.583333333336</v>
      </c>
      <c r="F755" s="53" t="s">
        <v>7190</v>
      </c>
      <c r="G755" s="4" t="s">
        <v>27</v>
      </c>
      <c r="H755" s="4" t="s">
        <v>1987</v>
      </c>
      <c r="K755" s="4" t="s">
        <v>7191</v>
      </c>
      <c r="L755" s="4"/>
    </row>
    <row r="756">
      <c r="A756" s="55"/>
      <c r="B756" s="53"/>
      <c r="C756" s="56"/>
      <c r="D756" s="61"/>
      <c r="E756" s="56"/>
      <c r="F756" s="53"/>
      <c r="G756" s="4"/>
      <c r="H756" s="4"/>
      <c r="K756" s="4"/>
      <c r="L756" s="4"/>
    </row>
    <row r="757">
      <c r="A757" s="55" t="s">
        <v>7192</v>
      </c>
      <c r="B757" s="53" t="s">
        <v>1554</v>
      </c>
      <c r="C757" s="56">
        <v>45568.5625</v>
      </c>
      <c r="D757" s="57" t="s">
        <v>2147</v>
      </c>
      <c r="E757" s="56">
        <v>45568.583333333336</v>
      </c>
      <c r="F757" s="53" t="s">
        <v>7193</v>
      </c>
      <c r="G757" s="4" t="s">
        <v>27</v>
      </c>
      <c r="H757" s="4" t="s">
        <v>1987</v>
      </c>
      <c r="K757" s="4"/>
      <c r="L757" s="4" t="s">
        <v>7194</v>
      </c>
    </row>
    <row r="758">
      <c r="A758" s="55" t="s">
        <v>7195</v>
      </c>
      <c r="B758" s="53" t="s">
        <v>6057</v>
      </c>
      <c r="C758" s="56">
        <v>45567.6875</v>
      </c>
      <c r="D758" s="57" t="s">
        <v>2148</v>
      </c>
      <c r="E758" s="56">
        <v>45567.854166666664</v>
      </c>
      <c r="F758" s="53" t="s">
        <v>6053</v>
      </c>
      <c r="G758" s="4" t="s">
        <v>27</v>
      </c>
      <c r="H758" s="4" t="s">
        <v>1987</v>
      </c>
      <c r="K758" s="4" t="s">
        <v>7196</v>
      </c>
      <c r="L758" s="4"/>
    </row>
    <row r="759">
      <c r="A759" s="55" t="s">
        <v>7197</v>
      </c>
      <c r="B759" s="53" t="s">
        <v>6057</v>
      </c>
      <c r="C759" s="56">
        <v>45568.333333333336</v>
      </c>
      <c r="D759" s="57" t="s">
        <v>2147</v>
      </c>
      <c r="E759" s="56">
        <v>45568.375</v>
      </c>
      <c r="F759" s="53" t="s">
        <v>6053</v>
      </c>
      <c r="G759" s="4" t="s">
        <v>27</v>
      </c>
      <c r="H759" s="4" t="s">
        <v>1987</v>
      </c>
      <c r="K759" s="4" t="s">
        <v>7198</v>
      </c>
      <c r="L759" s="4"/>
    </row>
    <row r="760">
      <c r="A760" s="55" t="s">
        <v>7199</v>
      </c>
      <c r="B760" s="53" t="s">
        <v>1438</v>
      </c>
      <c r="C760" s="56">
        <v>45572.5625</v>
      </c>
      <c r="D760" s="57" t="s">
        <v>2148</v>
      </c>
      <c r="E760" s="56">
        <v>45572.729166666664</v>
      </c>
      <c r="F760" s="53" t="s">
        <v>7200</v>
      </c>
      <c r="G760" s="4" t="s">
        <v>135</v>
      </c>
      <c r="H760" s="4" t="s">
        <v>1987</v>
      </c>
      <c r="K760" s="4" t="s">
        <v>7201</v>
      </c>
      <c r="L760" s="4"/>
    </row>
    <row r="761">
      <c r="A761" s="55" t="s">
        <v>7202</v>
      </c>
      <c r="B761" s="53" t="s">
        <v>5559</v>
      </c>
      <c r="C761" s="56">
        <v>45572.333333333336</v>
      </c>
      <c r="D761" s="57" t="s">
        <v>2148</v>
      </c>
      <c r="E761" s="56">
        <v>45572.5</v>
      </c>
      <c r="F761" s="53" t="s">
        <v>7203</v>
      </c>
      <c r="G761" s="4" t="s">
        <v>110</v>
      </c>
      <c r="H761" s="4" t="s">
        <v>1987</v>
      </c>
      <c r="K761" s="4" t="s">
        <v>7204</v>
      </c>
      <c r="L761" s="4"/>
    </row>
    <row r="762">
      <c r="A762" s="55"/>
      <c r="B762" s="53"/>
      <c r="C762" s="56"/>
      <c r="D762" s="61"/>
      <c r="E762" s="56"/>
      <c r="F762" s="53"/>
    </row>
    <row r="763">
      <c r="A763" s="66" t="s">
        <v>7205</v>
      </c>
      <c r="B763" s="53" t="s">
        <v>5533</v>
      </c>
      <c r="C763" s="56">
        <v>45569.645833333336</v>
      </c>
      <c r="D763" s="61"/>
      <c r="E763" s="56">
        <v>45569.729166666664</v>
      </c>
      <c r="F763" s="53" t="s">
        <v>7206</v>
      </c>
      <c r="G763" s="4" t="s">
        <v>6035</v>
      </c>
      <c r="H763" s="4" t="s">
        <v>1991</v>
      </c>
      <c r="K763" s="4" t="s">
        <v>7207</v>
      </c>
      <c r="L763" s="4" t="s">
        <v>7208</v>
      </c>
    </row>
    <row r="764">
      <c r="A764" s="55" t="s">
        <v>7209</v>
      </c>
      <c r="B764" s="53" t="s">
        <v>5533</v>
      </c>
      <c r="C764" s="56">
        <v>45551.75</v>
      </c>
      <c r="D764" s="61"/>
      <c r="E764" s="56">
        <v>45551.875</v>
      </c>
      <c r="F764" s="53"/>
      <c r="G764" s="4" t="s">
        <v>6035</v>
      </c>
      <c r="H764" s="4" t="s">
        <v>1987</v>
      </c>
      <c r="K764" s="4" t="s">
        <v>7210</v>
      </c>
      <c r="L764" s="4"/>
    </row>
    <row r="765">
      <c r="A765" s="55" t="s">
        <v>7211</v>
      </c>
      <c r="B765" s="53" t="s">
        <v>5533</v>
      </c>
      <c r="C765" s="56">
        <v>45552.75</v>
      </c>
      <c r="D765" s="61"/>
      <c r="E765" s="56">
        <v>45552.875</v>
      </c>
      <c r="F765" s="53"/>
      <c r="G765" s="4" t="s">
        <v>6035</v>
      </c>
      <c r="H765" s="4" t="s">
        <v>1987</v>
      </c>
      <c r="K765" s="4" t="s">
        <v>7212</v>
      </c>
      <c r="L765" s="4"/>
    </row>
    <row r="766">
      <c r="A766" s="55" t="s">
        <v>7213</v>
      </c>
      <c r="B766" s="53" t="s">
        <v>5533</v>
      </c>
      <c r="C766" s="56">
        <v>45574.75</v>
      </c>
      <c r="D766" s="57" t="s">
        <v>2147</v>
      </c>
      <c r="E766" s="56">
        <v>45574.8125</v>
      </c>
      <c r="F766" s="53" t="s">
        <v>7214</v>
      </c>
      <c r="G766" s="4" t="s">
        <v>6035</v>
      </c>
      <c r="H766" s="4" t="s">
        <v>1991</v>
      </c>
      <c r="K766" s="4" t="s">
        <v>7215</v>
      </c>
      <c r="L766" s="4"/>
    </row>
    <row r="767">
      <c r="A767" s="55" t="s">
        <v>7216</v>
      </c>
      <c r="B767" s="53" t="s">
        <v>5533</v>
      </c>
      <c r="C767" s="56">
        <v>45572.75</v>
      </c>
      <c r="D767" s="57" t="s">
        <v>2154</v>
      </c>
      <c r="E767" s="56">
        <v>45572.833333333336</v>
      </c>
      <c r="F767" s="53" t="s">
        <v>7217</v>
      </c>
      <c r="G767" s="4" t="s">
        <v>6035</v>
      </c>
      <c r="H767" s="4" t="s">
        <v>1987</v>
      </c>
      <c r="K767" s="4" t="s">
        <v>7218</v>
      </c>
      <c r="L767" s="4"/>
    </row>
    <row r="768">
      <c r="A768" s="55" t="s">
        <v>7219</v>
      </c>
      <c r="B768" s="53" t="s">
        <v>1540</v>
      </c>
      <c r="C768" s="56">
        <v>45573.333333333336</v>
      </c>
      <c r="D768" s="57" t="s">
        <v>2148</v>
      </c>
      <c r="E768" s="56">
        <v>45573.5</v>
      </c>
      <c r="F768" s="53" t="s">
        <v>6048</v>
      </c>
      <c r="G768" s="4" t="s">
        <v>110</v>
      </c>
      <c r="H768" s="4" t="s">
        <v>1987</v>
      </c>
      <c r="K768" s="4" t="s">
        <v>7220</v>
      </c>
      <c r="L768" s="4"/>
    </row>
    <row r="769">
      <c r="A769" s="66" t="s">
        <v>7221</v>
      </c>
      <c r="B769" s="53" t="s">
        <v>1540</v>
      </c>
      <c r="C769" s="56">
        <v>45574.333333333336</v>
      </c>
      <c r="D769" s="57" t="s">
        <v>2148</v>
      </c>
      <c r="E769" s="56">
        <v>45574.5</v>
      </c>
      <c r="F769" s="53" t="s">
        <v>2153</v>
      </c>
      <c r="G769" s="4" t="s">
        <v>110</v>
      </c>
      <c r="H769" s="4" t="s">
        <v>1987</v>
      </c>
      <c r="K769" s="4" t="s">
        <v>7222</v>
      </c>
      <c r="L769" s="4" t="s">
        <v>7223</v>
      </c>
    </row>
    <row r="770">
      <c r="A770" s="55" t="s">
        <v>7224</v>
      </c>
      <c r="B770" s="53" t="s">
        <v>5559</v>
      </c>
      <c r="C770" s="56">
        <v>45575.333333333336</v>
      </c>
      <c r="D770" s="57" t="s">
        <v>2148</v>
      </c>
      <c r="E770" s="56">
        <v>45575.5</v>
      </c>
      <c r="F770" s="53" t="s">
        <v>7225</v>
      </c>
      <c r="G770" s="4" t="s">
        <v>110</v>
      </c>
      <c r="H770" s="4" t="s">
        <v>1987</v>
      </c>
      <c r="K770" s="4" t="s">
        <v>7226</v>
      </c>
      <c r="L770" s="4" t="s">
        <v>7227</v>
      </c>
    </row>
    <row r="771">
      <c r="A771" s="55" t="s">
        <v>7228</v>
      </c>
      <c r="B771" s="53" t="s">
        <v>6057</v>
      </c>
      <c r="C771" s="56">
        <v>45572.333333333336</v>
      </c>
      <c r="D771" s="57" t="s">
        <v>6052</v>
      </c>
      <c r="E771" s="56">
        <v>45572.75</v>
      </c>
      <c r="F771" s="53" t="s">
        <v>6053</v>
      </c>
      <c r="G771" s="4" t="s">
        <v>27</v>
      </c>
      <c r="H771" s="4" t="s">
        <v>1987</v>
      </c>
      <c r="K771" s="4" t="s">
        <v>7229</v>
      </c>
      <c r="L771" s="4" t="s">
        <v>7230</v>
      </c>
    </row>
    <row r="772">
      <c r="A772" s="55" t="s">
        <v>7231</v>
      </c>
      <c r="B772" s="53" t="s">
        <v>1427</v>
      </c>
      <c r="C772" s="56">
        <v>45573.333333333336</v>
      </c>
      <c r="D772" s="57" t="s">
        <v>6052</v>
      </c>
      <c r="E772" s="56">
        <v>45573.541666666664</v>
      </c>
      <c r="F772" s="53" t="s">
        <v>7232</v>
      </c>
      <c r="G772" s="4" t="s">
        <v>27</v>
      </c>
      <c r="H772" s="4" t="s">
        <v>1987</v>
      </c>
      <c r="K772" s="4" t="s">
        <v>7233</v>
      </c>
      <c r="L772" s="4"/>
    </row>
    <row r="773">
      <c r="A773" s="55" t="s">
        <v>7234</v>
      </c>
      <c r="B773" s="53" t="s">
        <v>1472</v>
      </c>
      <c r="C773" s="56">
        <v>45575.354166666664</v>
      </c>
      <c r="D773" s="57" t="s">
        <v>2154</v>
      </c>
      <c r="E773" s="56">
        <v>45575.520833333336</v>
      </c>
      <c r="F773" s="53" t="s">
        <v>7232</v>
      </c>
      <c r="G773" s="4" t="s">
        <v>27</v>
      </c>
      <c r="H773" s="4" t="s">
        <v>1987</v>
      </c>
      <c r="K773" s="4" t="s">
        <v>7235</v>
      </c>
      <c r="L773" s="4" t="s">
        <v>7236</v>
      </c>
    </row>
    <row r="774">
      <c r="A774" s="55" t="s">
        <v>7237</v>
      </c>
      <c r="B774" s="53" t="s">
        <v>1438</v>
      </c>
      <c r="C774" s="56">
        <v>45575.583333333336</v>
      </c>
      <c r="D774" s="57" t="s">
        <v>2154</v>
      </c>
      <c r="E774" s="56">
        <v>45575.666666666664</v>
      </c>
      <c r="F774" s="53" t="s">
        <v>7238</v>
      </c>
      <c r="G774" s="4" t="s">
        <v>27</v>
      </c>
      <c r="H774" s="4" t="s">
        <v>1991</v>
      </c>
      <c r="K774" s="4" t="s">
        <v>7239</v>
      </c>
      <c r="L774" s="4" t="s">
        <v>7240</v>
      </c>
    </row>
    <row r="775">
      <c r="A775" s="55"/>
      <c r="B775" s="53"/>
      <c r="C775" s="56"/>
      <c r="D775" s="61"/>
      <c r="E775" s="56"/>
      <c r="F775" s="53"/>
      <c r="G775" s="4"/>
      <c r="H775" s="4"/>
      <c r="K775" s="4"/>
      <c r="L775" s="4"/>
    </row>
    <row r="776">
      <c r="A776" s="55"/>
      <c r="B776" s="53"/>
      <c r="C776" s="56"/>
      <c r="D776" s="61"/>
      <c r="E776" s="56"/>
      <c r="F776" s="53"/>
      <c r="G776" s="4"/>
      <c r="H776" s="4"/>
      <c r="K776" s="4"/>
      <c r="L776" s="4"/>
    </row>
    <row r="777">
      <c r="A777" s="55" t="s">
        <v>7241</v>
      </c>
      <c r="B777" s="53" t="s">
        <v>6057</v>
      </c>
      <c r="C777" s="56">
        <v>45573.666666666664</v>
      </c>
      <c r="D777" s="57" t="s">
        <v>2154</v>
      </c>
      <c r="E777" s="56">
        <v>45573.75</v>
      </c>
      <c r="F777" s="53" t="s">
        <v>6053</v>
      </c>
      <c r="G777" s="4" t="s">
        <v>27</v>
      </c>
      <c r="H777" s="4" t="s">
        <v>1987</v>
      </c>
      <c r="K777" s="4"/>
      <c r="L777" s="4" t="s">
        <v>7242</v>
      </c>
    </row>
    <row r="778">
      <c r="A778" s="55" t="s">
        <v>7243</v>
      </c>
      <c r="B778" s="53" t="s">
        <v>6057</v>
      </c>
      <c r="C778" s="56">
        <v>45569.416666666664</v>
      </c>
      <c r="D778" s="57" t="s">
        <v>6052</v>
      </c>
      <c r="E778" s="56">
        <v>45569.75</v>
      </c>
      <c r="F778" s="53" t="s">
        <v>7180</v>
      </c>
      <c r="G778" s="4" t="s">
        <v>27</v>
      </c>
      <c r="H778" s="4" t="s">
        <v>1987</v>
      </c>
      <c r="K778" s="4" t="s">
        <v>7244</v>
      </c>
      <c r="L778" s="4"/>
    </row>
    <row r="779">
      <c r="A779" s="55"/>
      <c r="B779" s="53"/>
      <c r="C779" s="56"/>
      <c r="D779" s="61"/>
      <c r="E779" s="56"/>
      <c r="F779" s="53"/>
      <c r="G779" s="4"/>
      <c r="H779" s="4"/>
      <c r="K779" s="4"/>
      <c r="L779" s="4"/>
    </row>
    <row r="780">
      <c r="A780" s="55" t="s">
        <v>7245</v>
      </c>
      <c r="B780" s="53" t="s">
        <v>1554</v>
      </c>
      <c r="C780" s="56">
        <v>45573.625</v>
      </c>
      <c r="D780" s="57" t="s">
        <v>2147</v>
      </c>
      <c r="E780" s="56">
        <v>45573.666666666664</v>
      </c>
      <c r="F780" s="53" t="s">
        <v>7246</v>
      </c>
      <c r="G780" s="4" t="s">
        <v>27</v>
      </c>
      <c r="H780" s="4" t="s">
        <v>1991</v>
      </c>
      <c r="K780" s="4" t="s">
        <v>7247</v>
      </c>
      <c r="L780" s="4"/>
    </row>
    <row r="781">
      <c r="A781" s="66" t="s">
        <v>7248</v>
      </c>
      <c r="B781" s="53" t="s">
        <v>1554</v>
      </c>
      <c r="C781" s="56">
        <v>45573.541666666664</v>
      </c>
      <c r="D781" s="57" t="s">
        <v>2147</v>
      </c>
      <c r="E781" s="56">
        <v>45573.625</v>
      </c>
      <c r="F781" s="53" t="s">
        <v>7249</v>
      </c>
      <c r="G781" s="4" t="s">
        <v>27</v>
      </c>
      <c r="H781" s="4" t="s">
        <v>1987</v>
      </c>
      <c r="K781" s="4" t="s">
        <v>7250</v>
      </c>
      <c r="L781" s="4"/>
    </row>
    <row r="782">
      <c r="A782" s="55" t="s">
        <v>7251</v>
      </c>
      <c r="B782" s="53" t="s">
        <v>5457</v>
      </c>
      <c r="C782" s="56">
        <v>45574.385416666664</v>
      </c>
      <c r="D782" s="57" t="s">
        <v>2147</v>
      </c>
      <c r="E782" s="56">
        <v>45574.4375</v>
      </c>
      <c r="F782" s="53" t="s">
        <v>7252</v>
      </c>
      <c r="G782" s="4" t="s">
        <v>27</v>
      </c>
      <c r="H782" s="4" t="s">
        <v>1991</v>
      </c>
      <c r="K782" s="4"/>
      <c r="L782" s="4" t="s">
        <v>7253</v>
      </c>
    </row>
    <row r="783">
      <c r="A783" s="55" t="s">
        <v>7254</v>
      </c>
      <c r="B783" s="53" t="s">
        <v>5571</v>
      </c>
      <c r="C783" s="56">
        <v>45573.5625</v>
      </c>
      <c r="D783" s="57" t="s">
        <v>2147</v>
      </c>
      <c r="E783" s="56">
        <v>45573.604166666664</v>
      </c>
      <c r="F783" s="53" t="s">
        <v>7255</v>
      </c>
      <c r="G783" s="4" t="s">
        <v>135</v>
      </c>
      <c r="H783" s="4" t="s">
        <v>1987</v>
      </c>
      <c r="K783" s="4" t="s">
        <v>7256</v>
      </c>
      <c r="L783" s="4"/>
    </row>
    <row r="784">
      <c r="A784" s="55" t="s">
        <v>7257</v>
      </c>
      <c r="B784" s="53" t="s">
        <v>5384</v>
      </c>
      <c r="C784" s="56">
        <v>45573.604166666664</v>
      </c>
      <c r="D784" s="57" t="s">
        <v>2147</v>
      </c>
      <c r="E784" s="56">
        <v>45573.645833333336</v>
      </c>
      <c r="F784" s="53" t="s">
        <v>7258</v>
      </c>
      <c r="G784" s="4" t="s">
        <v>135</v>
      </c>
      <c r="H784" s="4" t="s">
        <v>1987</v>
      </c>
      <c r="K784" s="4" t="s">
        <v>7259</v>
      </c>
      <c r="L784" s="4" t="s">
        <v>7260</v>
      </c>
    </row>
    <row r="785">
      <c r="A785" s="55" t="s">
        <v>7261</v>
      </c>
      <c r="B785" s="53" t="s">
        <v>1438</v>
      </c>
      <c r="C785" s="56">
        <v>45573.645833333336</v>
      </c>
      <c r="D785" s="57" t="s">
        <v>2154</v>
      </c>
      <c r="E785" s="56">
        <v>45573.729166666664</v>
      </c>
      <c r="F785" s="53" t="s">
        <v>7262</v>
      </c>
      <c r="G785" s="4" t="s">
        <v>135</v>
      </c>
      <c r="H785" s="4" t="s">
        <v>1987</v>
      </c>
      <c r="K785" s="4" t="s">
        <v>7263</v>
      </c>
      <c r="L785" s="4" t="s">
        <v>7264</v>
      </c>
    </row>
    <row r="786">
      <c r="A786" s="55" t="s">
        <v>7265</v>
      </c>
      <c r="B786" s="53" t="s">
        <v>1554</v>
      </c>
      <c r="C786" s="56">
        <v>45574.354166666664</v>
      </c>
      <c r="D786" s="57" t="s">
        <v>2147</v>
      </c>
      <c r="E786" s="56">
        <v>45574.385416666664</v>
      </c>
      <c r="F786" s="53" t="s">
        <v>7266</v>
      </c>
      <c r="G786" s="4" t="s">
        <v>27</v>
      </c>
      <c r="H786" s="4" t="s">
        <v>1987</v>
      </c>
      <c r="K786" s="4" t="s">
        <v>7267</v>
      </c>
      <c r="L786" s="4" t="s">
        <v>7268</v>
      </c>
    </row>
    <row r="787">
      <c r="A787" s="55" t="s">
        <v>7269</v>
      </c>
      <c r="B787" s="53" t="s">
        <v>1427</v>
      </c>
      <c r="C787" s="56">
        <v>45574.458333333336</v>
      </c>
      <c r="D787" s="57" t="s">
        <v>2147</v>
      </c>
      <c r="E787" s="56">
        <v>45574.5</v>
      </c>
      <c r="F787" s="53" t="s">
        <v>7270</v>
      </c>
      <c r="G787" s="4" t="s">
        <v>27</v>
      </c>
      <c r="H787" s="4" t="s">
        <v>1991</v>
      </c>
      <c r="K787" s="4" t="s">
        <v>7271</v>
      </c>
      <c r="L787" s="4"/>
    </row>
    <row r="788">
      <c r="A788" s="55" t="s">
        <v>7272</v>
      </c>
      <c r="B788" s="53" t="s">
        <v>1554</v>
      </c>
      <c r="C788" s="56">
        <v>45574.5</v>
      </c>
      <c r="D788" s="57" t="s">
        <v>2147</v>
      </c>
      <c r="E788" s="56">
        <v>45574.625</v>
      </c>
      <c r="F788" s="53" t="s">
        <v>7266</v>
      </c>
      <c r="G788" s="4" t="s">
        <v>27</v>
      </c>
      <c r="H788" s="4" t="s">
        <v>1987</v>
      </c>
      <c r="K788" s="4" t="s">
        <v>7273</v>
      </c>
      <c r="L788" s="4" t="s">
        <v>7268</v>
      </c>
    </row>
    <row r="789">
      <c r="A789" s="55"/>
      <c r="B789" s="53"/>
      <c r="C789" s="56"/>
      <c r="D789" s="61"/>
      <c r="E789" s="56"/>
      <c r="F789" s="53"/>
      <c r="G789" s="4"/>
      <c r="H789" s="4"/>
      <c r="K789" s="4"/>
      <c r="L789" s="4"/>
    </row>
    <row r="790">
      <c r="A790" s="55" t="s">
        <v>7274</v>
      </c>
      <c r="B790" s="53" t="s">
        <v>5559</v>
      </c>
      <c r="C790" s="56">
        <v>45580.333333333336</v>
      </c>
      <c r="D790" s="57" t="s">
        <v>2200</v>
      </c>
      <c r="E790" s="56">
        <v>45580.458333333336</v>
      </c>
      <c r="F790" s="53" t="s">
        <v>7275</v>
      </c>
      <c r="G790" s="4" t="s">
        <v>110</v>
      </c>
      <c r="H790" s="4" t="s">
        <v>1987</v>
      </c>
      <c r="K790" s="4" t="s">
        <v>7276</v>
      </c>
      <c r="L790" s="4" t="s">
        <v>7277</v>
      </c>
    </row>
    <row r="791">
      <c r="A791" s="55"/>
      <c r="B791" s="53"/>
      <c r="C791" s="56"/>
      <c r="D791" s="61"/>
      <c r="E791" s="56"/>
      <c r="F791" s="53"/>
      <c r="G791" s="4"/>
      <c r="H791" s="4"/>
      <c r="K791" s="4"/>
      <c r="L791" s="4"/>
    </row>
    <row r="792">
      <c r="A792" s="55" t="s">
        <v>7278</v>
      </c>
      <c r="B792" s="53" t="s">
        <v>5559</v>
      </c>
      <c r="C792" s="56">
        <v>45574.729166666664</v>
      </c>
      <c r="D792" s="57" t="s">
        <v>2154</v>
      </c>
      <c r="E792" s="56">
        <v>45574.8125</v>
      </c>
      <c r="F792" s="53" t="s">
        <v>7279</v>
      </c>
      <c r="G792" s="4" t="s">
        <v>27</v>
      </c>
      <c r="H792" s="4" t="s">
        <v>1987</v>
      </c>
      <c r="K792" s="4" t="s">
        <v>7280</v>
      </c>
      <c r="L792" s="4" t="s">
        <v>7281</v>
      </c>
    </row>
    <row r="793">
      <c r="A793" s="55" t="s">
        <v>7282</v>
      </c>
      <c r="B793" s="53" t="s">
        <v>5377</v>
      </c>
      <c r="C793" s="56">
        <v>45575.5625</v>
      </c>
      <c r="D793" s="57" t="s">
        <v>2148</v>
      </c>
      <c r="E793" s="56">
        <v>45575.729166666664</v>
      </c>
      <c r="F793" s="53" t="s">
        <v>7283</v>
      </c>
      <c r="G793" s="4" t="s">
        <v>135</v>
      </c>
      <c r="H793" s="4" t="s">
        <v>1987</v>
      </c>
      <c r="K793" s="4" t="s">
        <v>7284</v>
      </c>
      <c r="L793" s="4" t="s">
        <v>7285</v>
      </c>
    </row>
    <row r="794">
      <c r="A794" s="55" t="s">
        <v>7286</v>
      </c>
      <c r="B794" s="53" t="s">
        <v>1472</v>
      </c>
      <c r="C794" s="56">
        <v>45577.5625</v>
      </c>
      <c r="D794" s="57" t="s">
        <v>2148</v>
      </c>
      <c r="E794" s="56">
        <v>45577.729166666664</v>
      </c>
      <c r="F794" s="53" t="s">
        <v>7287</v>
      </c>
      <c r="G794" s="4" t="s">
        <v>135</v>
      </c>
      <c r="H794" s="4" t="s">
        <v>1987</v>
      </c>
      <c r="K794" s="4" t="s">
        <v>7288</v>
      </c>
      <c r="L794" s="4" t="s">
        <v>7289</v>
      </c>
    </row>
    <row r="795">
      <c r="A795" s="55" t="s">
        <v>7290</v>
      </c>
      <c r="B795" s="53" t="s">
        <v>5384</v>
      </c>
      <c r="C795" s="56">
        <v>45579.5625</v>
      </c>
      <c r="D795" s="57" t="s">
        <v>2148</v>
      </c>
      <c r="E795" s="56">
        <v>45579.729166666664</v>
      </c>
      <c r="F795" s="53" t="s">
        <v>7291</v>
      </c>
      <c r="G795" s="4" t="s">
        <v>135</v>
      </c>
      <c r="H795" s="4" t="s">
        <v>1987</v>
      </c>
      <c r="K795" s="4" t="s">
        <v>7292</v>
      </c>
      <c r="L795" s="4" t="s">
        <v>7293</v>
      </c>
    </row>
    <row r="796">
      <c r="A796" s="55" t="s">
        <v>7294</v>
      </c>
      <c r="B796" s="53" t="s">
        <v>5384</v>
      </c>
      <c r="C796" s="56">
        <v>45580.5625</v>
      </c>
      <c r="D796" s="57" t="s">
        <v>2148</v>
      </c>
      <c r="E796" s="56">
        <v>45580.729166666664</v>
      </c>
      <c r="F796" s="53" t="s">
        <v>7295</v>
      </c>
      <c r="G796" s="4" t="s">
        <v>135</v>
      </c>
      <c r="H796" s="4" t="s">
        <v>1987</v>
      </c>
      <c r="K796" s="4" t="s">
        <v>7296</v>
      </c>
      <c r="L796" s="4" t="s">
        <v>7297</v>
      </c>
    </row>
    <row r="797">
      <c r="A797" s="55" t="s">
        <v>7298</v>
      </c>
      <c r="B797" s="53" t="s">
        <v>1438</v>
      </c>
      <c r="C797" s="56">
        <v>45586.645833333336</v>
      </c>
      <c r="D797" s="57" t="s">
        <v>2148</v>
      </c>
      <c r="E797" s="56">
        <v>45586.770833333336</v>
      </c>
      <c r="F797" s="53" t="s">
        <v>7299</v>
      </c>
      <c r="G797" s="4" t="s">
        <v>135</v>
      </c>
      <c r="H797" s="4" t="s">
        <v>1987</v>
      </c>
      <c r="K797" s="4" t="s">
        <v>7300</v>
      </c>
      <c r="L797" s="4" t="s">
        <v>7301</v>
      </c>
    </row>
    <row r="798">
      <c r="A798" s="55" t="s">
        <v>7302</v>
      </c>
      <c r="B798" s="53" t="s">
        <v>1472</v>
      </c>
      <c r="C798" s="56">
        <v>45587.5625</v>
      </c>
      <c r="D798" s="57" t="s">
        <v>2148</v>
      </c>
      <c r="E798" s="56">
        <v>45587.6875</v>
      </c>
      <c r="F798" s="53" t="s">
        <v>6216</v>
      </c>
      <c r="G798" s="4" t="s">
        <v>135</v>
      </c>
      <c r="H798" s="4" t="s">
        <v>1987</v>
      </c>
      <c r="K798" s="4" t="s">
        <v>7303</v>
      </c>
      <c r="L798" s="4" t="s">
        <v>7304</v>
      </c>
    </row>
    <row r="799">
      <c r="A799" s="55"/>
      <c r="B799" s="53"/>
      <c r="C799" s="56"/>
      <c r="D799" s="61"/>
      <c r="E799" s="56"/>
      <c r="F799" s="53"/>
      <c r="G799" s="4"/>
      <c r="H799" s="4"/>
      <c r="K799" s="4"/>
      <c r="L799" s="4"/>
    </row>
    <row r="800">
      <c r="A800" s="55" t="s">
        <v>7305</v>
      </c>
      <c r="B800" s="53" t="s">
        <v>5457</v>
      </c>
      <c r="C800" s="56">
        <v>45590.6875</v>
      </c>
      <c r="D800" s="57" t="s">
        <v>2148</v>
      </c>
      <c r="E800" s="56">
        <v>45590.770833333336</v>
      </c>
      <c r="F800" s="53" t="s">
        <v>7306</v>
      </c>
      <c r="G800" s="4" t="s">
        <v>135</v>
      </c>
      <c r="H800" s="4" t="s">
        <v>1987</v>
      </c>
      <c r="K800" s="4" t="s">
        <v>7307</v>
      </c>
      <c r="L800" s="4" t="s">
        <v>7308</v>
      </c>
    </row>
    <row r="801">
      <c r="A801" s="55" t="s">
        <v>7309</v>
      </c>
      <c r="B801" s="53" t="s">
        <v>5457</v>
      </c>
      <c r="C801" s="56">
        <v>45591.375</v>
      </c>
      <c r="D801" s="57" t="s">
        <v>2148</v>
      </c>
      <c r="E801" s="56">
        <v>45591.541666666664</v>
      </c>
      <c r="F801" s="53" t="s">
        <v>7306</v>
      </c>
      <c r="G801" s="4" t="s">
        <v>135</v>
      </c>
      <c r="H801" s="4" t="s">
        <v>1987</v>
      </c>
      <c r="K801" s="4"/>
      <c r="L801" s="4" t="s">
        <v>7310</v>
      </c>
    </row>
    <row r="802">
      <c r="A802" s="55" t="s">
        <v>7311</v>
      </c>
      <c r="B802" s="53" t="s">
        <v>1540</v>
      </c>
      <c r="C802" s="56">
        <v>45581.333333333336</v>
      </c>
      <c r="D802" s="57" t="s">
        <v>2154</v>
      </c>
      <c r="E802" s="56">
        <v>45581.416666666664</v>
      </c>
      <c r="F802" s="53" t="s">
        <v>7312</v>
      </c>
      <c r="G802" s="4" t="s">
        <v>110</v>
      </c>
      <c r="H802" s="4" t="s">
        <v>1987</v>
      </c>
      <c r="K802" s="4" t="s">
        <v>7313</v>
      </c>
      <c r="L802" s="4" t="s">
        <v>7314</v>
      </c>
    </row>
    <row r="803">
      <c r="A803" s="66" t="s">
        <v>7315</v>
      </c>
      <c r="B803" s="53" t="s">
        <v>5377</v>
      </c>
      <c r="C803" s="56">
        <v>45582.333333333336</v>
      </c>
      <c r="D803" s="57" t="s">
        <v>2154</v>
      </c>
      <c r="E803" s="56">
        <v>45582.416666666664</v>
      </c>
      <c r="F803" s="53" t="s">
        <v>7316</v>
      </c>
      <c r="G803" s="4" t="s">
        <v>110</v>
      </c>
      <c r="H803" s="4" t="s">
        <v>1987</v>
      </c>
      <c r="K803" s="4"/>
      <c r="L803" s="4" t="s">
        <v>7317</v>
      </c>
    </row>
    <row r="804">
      <c r="A804" s="55" t="s">
        <v>7318</v>
      </c>
      <c r="B804" s="53" t="s">
        <v>6057</v>
      </c>
      <c r="C804" s="56">
        <v>45574.6875</v>
      </c>
      <c r="D804" s="57" t="s">
        <v>2147</v>
      </c>
      <c r="E804" s="56">
        <v>45574.729166666664</v>
      </c>
      <c r="F804" s="53" t="s">
        <v>6053</v>
      </c>
      <c r="G804" s="4" t="s">
        <v>27</v>
      </c>
      <c r="H804" s="4" t="s">
        <v>1987</v>
      </c>
      <c r="K804" s="4" t="s">
        <v>7319</v>
      </c>
      <c r="L804" s="4"/>
    </row>
    <row r="805">
      <c r="A805" s="55" t="s">
        <v>7320</v>
      </c>
      <c r="B805" s="53" t="s">
        <v>1472</v>
      </c>
      <c r="C805" s="56">
        <v>45574.895833333336</v>
      </c>
      <c r="D805" s="61"/>
      <c r="E805" s="56">
        <v>45574.97152777778</v>
      </c>
      <c r="F805" s="53" t="s">
        <v>7321</v>
      </c>
      <c r="G805" s="4" t="s">
        <v>27</v>
      </c>
      <c r="H805" s="4" t="s">
        <v>1987</v>
      </c>
      <c r="K805" s="4" t="s">
        <v>7322</v>
      </c>
      <c r="L805" s="4"/>
    </row>
    <row r="806">
      <c r="A806" s="55" t="s">
        <v>7323</v>
      </c>
      <c r="B806" s="53" t="s">
        <v>1427</v>
      </c>
      <c r="C806" s="56">
        <v>45575.520833333336</v>
      </c>
      <c r="D806" s="57" t="s">
        <v>6318</v>
      </c>
      <c r="E806" s="56">
        <v>45575.541666666664</v>
      </c>
      <c r="F806" s="53" t="s">
        <v>6053</v>
      </c>
      <c r="G806" s="4" t="s">
        <v>27</v>
      </c>
      <c r="H806" s="4" t="s">
        <v>1987</v>
      </c>
      <c r="K806" s="4" t="s">
        <v>7324</v>
      </c>
      <c r="L806" s="4"/>
    </row>
    <row r="807">
      <c r="A807" s="55" t="s">
        <v>7325</v>
      </c>
      <c r="B807" s="53" t="s">
        <v>5457</v>
      </c>
      <c r="C807" s="56">
        <v>45575.71875</v>
      </c>
      <c r="D807" s="57" t="s">
        <v>2147</v>
      </c>
      <c r="E807" s="56">
        <v>45575.760416666664</v>
      </c>
      <c r="F807" s="53" t="s">
        <v>7326</v>
      </c>
      <c r="G807" s="4" t="s">
        <v>27</v>
      </c>
      <c r="H807" s="4" t="s">
        <v>1987</v>
      </c>
      <c r="K807" s="4" t="s">
        <v>7327</v>
      </c>
      <c r="L807" s="4"/>
    </row>
    <row r="808">
      <c r="A808" s="55" t="s">
        <v>7328</v>
      </c>
      <c r="B808" s="53" t="s">
        <v>1540</v>
      </c>
      <c r="C808" s="56">
        <v>45575.7625</v>
      </c>
      <c r="D808" s="57" t="s">
        <v>2147</v>
      </c>
      <c r="E808" s="56">
        <v>45575.80416666667</v>
      </c>
      <c r="F808" s="53" t="s">
        <v>7329</v>
      </c>
      <c r="G808" s="4" t="s">
        <v>27</v>
      </c>
      <c r="H808" s="4" t="s">
        <v>1987</v>
      </c>
      <c r="K808" s="4" t="s">
        <v>7330</v>
      </c>
      <c r="L808" s="4"/>
    </row>
    <row r="809">
      <c r="A809" s="55" t="s">
        <v>7331</v>
      </c>
      <c r="B809" s="53" t="s">
        <v>1540</v>
      </c>
      <c r="C809" s="56">
        <v>45579.333333333336</v>
      </c>
      <c r="D809" s="57" t="s">
        <v>2200</v>
      </c>
      <c r="E809" s="56">
        <v>45579.479166666664</v>
      </c>
      <c r="F809" s="53" t="s">
        <v>7332</v>
      </c>
      <c r="G809" s="4" t="s">
        <v>110</v>
      </c>
      <c r="H809" s="4" t="s">
        <v>1987</v>
      </c>
      <c r="K809" s="4" t="s">
        <v>7333</v>
      </c>
      <c r="L809" s="4"/>
    </row>
    <row r="810">
      <c r="A810" s="55" t="s">
        <v>7334</v>
      </c>
      <c r="B810" s="53" t="s">
        <v>5559</v>
      </c>
      <c r="C810" s="56">
        <v>45579.479166666664</v>
      </c>
      <c r="D810" s="57" t="s">
        <v>6318</v>
      </c>
      <c r="E810" s="56">
        <v>45579.5</v>
      </c>
      <c r="F810" s="53" t="s">
        <v>7332</v>
      </c>
      <c r="G810" s="4" t="s">
        <v>110</v>
      </c>
      <c r="H810" s="4" t="s">
        <v>1987</v>
      </c>
      <c r="K810" s="4" t="s">
        <v>7335</v>
      </c>
      <c r="L810" s="4"/>
    </row>
    <row r="811">
      <c r="A811" s="55" t="s">
        <v>7336</v>
      </c>
      <c r="B811" s="53" t="s">
        <v>6069</v>
      </c>
      <c r="C811" s="56">
        <v>45582.5625</v>
      </c>
      <c r="D811" s="57" t="s">
        <v>2148</v>
      </c>
      <c r="E811" s="56">
        <v>45582.729166666664</v>
      </c>
      <c r="F811" s="53" t="s">
        <v>6069</v>
      </c>
      <c r="G811" s="4" t="s">
        <v>135</v>
      </c>
      <c r="H811" s="4" t="s">
        <v>1987</v>
      </c>
      <c r="K811" s="4" t="s">
        <v>7337</v>
      </c>
      <c r="L811" s="4"/>
    </row>
    <row r="812">
      <c r="A812" s="55" t="s">
        <v>7338</v>
      </c>
      <c r="B812" s="53" t="s">
        <v>6069</v>
      </c>
      <c r="C812" s="56">
        <v>45583.5625</v>
      </c>
      <c r="D812" s="57" t="s">
        <v>2148</v>
      </c>
      <c r="E812" s="56">
        <v>45583.729166666664</v>
      </c>
      <c r="F812" s="53" t="s">
        <v>7339</v>
      </c>
      <c r="G812" s="4" t="s">
        <v>135</v>
      </c>
      <c r="H812" s="4" t="s">
        <v>1987</v>
      </c>
      <c r="K812" s="4" t="s">
        <v>7340</v>
      </c>
      <c r="L812" s="4"/>
    </row>
    <row r="813">
      <c r="A813" s="55" t="s">
        <v>7341</v>
      </c>
      <c r="B813" s="53" t="s">
        <v>5533</v>
      </c>
      <c r="C813" s="56">
        <v>45579.708333333336</v>
      </c>
      <c r="D813" s="57" t="s">
        <v>2154</v>
      </c>
      <c r="E813" s="56">
        <v>45579.791666666664</v>
      </c>
      <c r="F813" s="53" t="s">
        <v>7342</v>
      </c>
      <c r="G813" s="4" t="s">
        <v>6035</v>
      </c>
      <c r="H813" s="4" t="s">
        <v>1987</v>
      </c>
      <c r="K813" s="4" t="s">
        <v>7343</v>
      </c>
      <c r="L813" s="4" t="s">
        <v>7344</v>
      </c>
    </row>
    <row r="814">
      <c r="A814" s="55" t="s">
        <v>7345</v>
      </c>
      <c r="B814" s="53" t="s">
        <v>5533</v>
      </c>
      <c r="C814" s="56">
        <v>45583.645833333336</v>
      </c>
      <c r="D814" s="57" t="s">
        <v>2154</v>
      </c>
      <c r="E814" s="56">
        <v>45583.708333333336</v>
      </c>
      <c r="F814" s="53" t="s">
        <v>7346</v>
      </c>
      <c r="G814" s="4" t="s">
        <v>6035</v>
      </c>
      <c r="H814" s="4" t="s">
        <v>1991</v>
      </c>
      <c r="K814" s="4" t="s">
        <v>7347</v>
      </c>
      <c r="L814" s="4"/>
    </row>
    <row r="815">
      <c r="A815" s="55" t="s">
        <v>7348</v>
      </c>
      <c r="B815" s="53" t="s">
        <v>5533</v>
      </c>
      <c r="C815" s="56">
        <v>45576.375</v>
      </c>
      <c r="D815" s="57" t="s">
        <v>2200</v>
      </c>
      <c r="E815" s="56">
        <v>45576.5</v>
      </c>
      <c r="F815" s="53" t="s">
        <v>7349</v>
      </c>
      <c r="G815" s="4" t="s">
        <v>6035</v>
      </c>
      <c r="H815" s="4" t="s">
        <v>1987</v>
      </c>
      <c r="K815" s="4" t="s">
        <v>7350</v>
      </c>
      <c r="L815" s="4"/>
    </row>
    <row r="816">
      <c r="A816" s="55" t="s">
        <v>7351</v>
      </c>
      <c r="B816" s="53" t="s">
        <v>1540</v>
      </c>
      <c r="C816" s="56">
        <v>45580.458333333336</v>
      </c>
      <c r="D816" s="57" t="s">
        <v>2147</v>
      </c>
      <c r="E816" s="56">
        <v>45580.5</v>
      </c>
      <c r="F816" s="53" t="s">
        <v>7352</v>
      </c>
      <c r="G816" s="4" t="s">
        <v>110</v>
      </c>
      <c r="H816" s="4" t="s">
        <v>1987</v>
      </c>
      <c r="K816" s="4" t="s">
        <v>7353</v>
      </c>
      <c r="L816" s="4"/>
    </row>
    <row r="817">
      <c r="A817" s="55" t="s">
        <v>7354</v>
      </c>
      <c r="B817" s="53" t="s">
        <v>6057</v>
      </c>
      <c r="C817" s="56">
        <v>45581.416666666664</v>
      </c>
      <c r="D817" s="57" t="s">
        <v>2147</v>
      </c>
      <c r="E817" s="56">
        <v>45581.458333333336</v>
      </c>
      <c r="F817" s="53" t="s">
        <v>7355</v>
      </c>
      <c r="G817" s="4" t="s">
        <v>110</v>
      </c>
      <c r="H817" s="4" t="s">
        <v>1987</v>
      </c>
      <c r="K817" s="4" t="s">
        <v>7356</v>
      </c>
      <c r="L817" s="4"/>
    </row>
    <row r="818">
      <c r="A818" s="55" t="s">
        <v>7357</v>
      </c>
      <c r="B818" s="53" t="s">
        <v>5559</v>
      </c>
      <c r="C818" s="56">
        <v>45581.458333333336</v>
      </c>
      <c r="D818" s="57" t="s">
        <v>2147</v>
      </c>
      <c r="E818" s="56">
        <v>45581.5</v>
      </c>
      <c r="F818" s="53" t="s">
        <v>7358</v>
      </c>
      <c r="G818" s="4" t="s">
        <v>110</v>
      </c>
      <c r="H818" s="4" t="s">
        <v>1987</v>
      </c>
      <c r="K818" s="4" t="s">
        <v>7359</v>
      </c>
      <c r="L818" s="4"/>
    </row>
    <row r="819">
      <c r="A819" s="55" t="s">
        <v>7360</v>
      </c>
      <c r="B819" s="53" t="s">
        <v>6069</v>
      </c>
      <c r="C819" s="56">
        <v>45579.333333333336</v>
      </c>
      <c r="D819" s="57" t="s">
        <v>6052</v>
      </c>
      <c r="E819" s="56">
        <v>45579.375</v>
      </c>
      <c r="F819" s="53" t="s">
        <v>6069</v>
      </c>
      <c r="G819" s="4" t="s">
        <v>27</v>
      </c>
      <c r="H819" s="4" t="s">
        <v>1987</v>
      </c>
      <c r="K819" s="4" t="s">
        <v>7361</v>
      </c>
      <c r="L819" s="4" t="s">
        <v>7362</v>
      </c>
    </row>
    <row r="820">
      <c r="A820" s="55" t="s">
        <v>7363</v>
      </c>
      <c r="B820" s="53" t="s">
        <v>6069</v>
      </c>
      <c r="C820" s="56">
        <v>45580.333333333336</v>
      </c>
      <c r="D820" s="57" t="s">
        <v>6052</v>
      </c>
      <c r="E820" s="56">
        <v>45580.375</v>
      </c>
      <c r="F820" s="53" t="s">
        <v>6069</v>
      </c>
      <c r="G820" s="4" t="s">
        <v>27</v>
      </c>
      <c r="H820" s="4" t="s">
        <v>1987</v>
      </c>
      <c r="K820" s="4" t="s">
        <v>7364</v>
      </c>
      <c r="L820" s="4" t="s">
        <v>7365</v>
      </c>
    </row>
    <row r="821">
      <c r="A821" s="55" t="s">
        <v>7366</v>
      </c>
      <c r="B821" s="53" t="s">
        <v>6069</v>
      </c>
      <c r="C821" s="56">
        <v>45581.333333333336</v>
      </c>
      <c r="D821" s="57" t="s">
        <v>6052</v>
      </c>
      <c r="E821" s="56">
        <v>45581.375</v>
      </c>
      <c r="F821" s="53" t="s">
        <v>6069</v>
      </c>
      <c r="G821" s="4" t="s">
        <v>27</v>
      </c>
      <c r="H821" s="4" t="s">
        <v>1987</v>
      </c>
      <c r="K821" s="4" t="s">
        <v>7367</v>
      </c>
      <c r="L821" s="4" t="s">
        <v>7368</v>
      </c>
    </row>
    <row r="822">
      <c r="A822" s="55" t="s">
        <v>7369</v>
      </c>
      <c r="B822" s="53" t="s">
        <v>1427</v>
      </c>
      <c r="C822" s="56">
        <v>45582.458333333336</v>
      </c>
      <c r="D822" s="57" t="s">
        <v>6052</v>
      </c>
      <c r="E822" s="56">
        <v>45582.541666666664</v>
      </c>
      <c r="F822" s="53" t="s">
        <v>6053</v>
      </c>
      <c r="G822" s="4" t="s">
        <v>27</v>
      </c>
      <c r="H822" s="4" t="s">
        <v>1987</v>
      </c>
      <c r="K822" s="4" t="s">
        <v>7370</v>
      </c>
      <c r="L822" s="4" t="s">
        <v>7371</v>
      </c>
    </row>
    <row r="823">
      <c r="A823" s="55" t="s">
        <v>7372</v>
      </c>
      <c r="B823" s="53" t="s">
        <v>1427</v>
      </c>
      <c r="C823" s="56">
        <v>45583.333333333336</v>
      </c>
      <c r="D823" s="57" t="s">
        <v>6052</v>
      </c>
      <c r="E823" s="56">
        <v>45583.5625</v>
      </c>
      <c r="F823" s="53" t="s">
        <v>6053</v>
      </c>
      <c r="G823" s="4" t="s">
        <v>27</v>
      </c>
      <c r="H823" s="4" t="s">
        <v>1987</v>
      </c>
      <c r="K823" s="4"/>
      <c r="L823" s="4" t="s">
        <v>7373</v>
      </c>
    </row>
    <row r="824">
      <c r="A824" s="55"/>
      <c r="B824" s="53"/>
      <c r="C824" s="56"/>
      <c r="D824" s="61"/>
      <c r="E824" s="56"/>
      <c r="F824" s="53"/>
      <c r="G824" s="4"/>
      <c r="H824" s="4"/>
      <c r="K824" s="4"/>
      <c r="L824" s="4"/>
    </row>
    <row r="825">
      <c r="A825" s="55" t="s">
        <v>7374</v>
      </c>
      <c r="B825" s="53" t="s">
        <v>6057</v>
      </c>
      <c r="C825" s="56">
        <v>45584.375</v>
      </c>
      <c r="D825" s="57" t="s">
        <v>2148</v>
      </c>
      <c r="E825" s="56">
        <v>45584.541666666664</v>
      </c>
      <c r="F825" s="53" t="s">
        <v>7375</v>
      </c>
      <c r="G825" s="4" t="s">
        <v>27</v>
      </c>
      <c r="H825" s="4" t="s">
        <v>1987</v>
      </c>
      <c r="K825" s="4"/>
      <c r="L825" s="4" t="s">
        <v>7376</v>
      </c>
    </row>
    <row r="826">
      <c r="A826" s="55" t="s">
        <v>7377</v>
      </c>
      <c r="B826" s="53" t="s">
        <v>1554</v>
      </c>
      <c r="C826" s="56">
        <v>45582.625</v>
      </c>
      <c r="D826" s="57" t="s">
        <v>2147</v>
      </c>
      <c r="E826" s="56">
        <v>45582.6875</v>
      </c>
      <c r="F826" s="53" t="s">
        <v>6189</v>
      </c>
      <c r="G826" s="4" t="s">
        <v>27</v>
      </c>
      <c r="H826" s="4" t="s">
        <v>1987</v>
      </c>
      <c r="K826" s="4"/>
      <c r="L826" s="4" t="s">
        <v>7378</v>
      </c>
    </row>
    <row r="827">
      <c r="A827" s="55" t="s">
        <v>7379</v>
      </c>
      <c r="B827" s="53" t="s">
        <v>1557</v>
      </c>
      <c r="C827" s="56">
        <v>45583.6875</v>
      </c>
      <c r="D827" s="57" t="s">
        <v>2154</v>
      </c>
      <c r="E827" s="56">
        <v>45583.770833333336</v>
      </c>
      <c r="F827" s="53" t="s">
        <v>7380</v>
      </c>
      <c r="G827" s="4" t="s">
        <v>27</v>
      </c>
      <c r="H827" s="4" t="s">
        <v>1991</v>
      </c>
      <c r="K827" s="4" t="s">
        <v>7381</v>
      </c>
      <c r="L827" s="4"/>
    </row>
    <row r="828">
      <c r="A828" s="55" t="s">
        <v>7382</v>
      </c>
      <c r="B828" s="53" t="s">
        <v>6057</v>
      </c>
      <c r="C828" s="56">
        <v>45582.333333333336</v>
      </c>
      <c r="D828" s="57" t="s">
        <v>2154</v>
      </c>
      <c r="E828" s="56">
        <v>45582.458333333336</v>
      </c>
      <c r="F828" s="53" t="s">
        <v>6053</v>
      </c>
      <c r="G828" s="4" t="s">
        <v>27</v>
      </c>
      <c r="H828" s="4" t="s">
        <v>1987</v>
      </c>
      <c r="K828" s="4" t="s">
        <v>7383</v>
      </c>
      <c r="L828" s="4" t="s">
        <v>7384</v>
      </c>
    </row>
    <row r="829">
      <c r="A829" s="55" t="s">
        <v>7385</v>
      </c>
      <c r="B829" s="53" t="s">
        <v>5559</v>
      </c>
      <c r="C829" s="56">
        <v>45582.416666666664</v>
      </c>
      <c r="D829" s="57" t="s">
        <v>2154</v>
      </c>
      <c r="E829" s="56">
        <v>45582.5</v>
      </c>
      <c r="F829" s="53" t="s">
        <v>7332</v>
      </c>
      <c r="G829" s="4" t="s">
        <v>110</v>
      </c>
      <c r="H829" s="4" t="s">
        <v>1987</v>
      </c>
      <c r="K829" s="4" t="s">
        <v>7386</v>
      </c>
      <c r="L829" s="4"/>
    </row>
    <row r="830">
      <c r="A830" s="55" t="s">
        <v>7387</v>
      </c>
      <c r="B830" s="53" t="s">
        <v>5559</v>
      </c>
      <c r="C830" s="56">
        <v>45583.333333333336</v>
      </c>
      <c r="D830" s="57" t="s">
        <v>2147</v>
      </c>
      <c r="E830" s="56">
        <v>45583.395833333336</v>
      </c>
      <c r="F830" s="53" t="s">
        <v>7388</v>
      </c>
      <c r="G830" s="4" t="s">
        <v>110</v>
      </c>
      <c r="H830" s="4" t="s">
        <v>1991</v>
      </c>
      <c r="K830" s="4" t="s">
        <v>7389</v>
      </c>
      <c r="L830" s="4" t="s">
        <v>7390</v>
      </c>
    </row>
    <row r="831">
      <c r="A831" s="55" t="s">
        <v>7391</v>
      </c>
      <c r="B831" s="53" t="s">
        <v>1427</v>
      </c>
      <c r="C831" s="56">
        <v>45586.458333333336</v>
      </c>
      <c r="D831" s="57" t="s">
        <v>2154</v>
      </c>
      <c r="E831" s="56">
        <v>45586.541666666664</v>
      </c>
      <c r="F831" s="53" t="s">
        <v>7392</v>
      </c>
      <c r="G831" s="4" t="s">
        <v>110</v>
      </c>
      <c r="H831" s="4" t="s">
        <v>1987</v>
      </c>
      <c r="K831" s="4" t="s">
        <v>7393</v>
      </c>
      <c r="L831" s="4" t="s">
        <v>7394</v>
      </c>
    </row>
    <row r="832">
      <c r="A832" s="55" t="s">
        <v>7395</v>
      </c>
      <c r="B832" s="53" t="s">
        <v>1427</v>
      </c>
      <c r="C832" s="56">
        <v>45587.333333333336</v>
      </c>
      <c r="D832" s="57" t="s">
        <v>6052</v>
      </c>
      <c r="E832" s="56">
        <v>45587.541666666664</v>
      </c>
      <c r="F832" s="53" t="s">
        <v>7396</v>
      </c>
      <c r="G832" s="4" t="s">
        <v>110</v>
      </c>
      <c r="H832" s="4" t="s">
        <v>1987</v>
      </c>
      <c r="K832" s="4" t="s">
        <v>7397</v>
      </c>
      <c r="L832" s="4" t="s">
        <v>7398</v>
      </c>
    </row>
    <row r="833">
      <c r="A833" s="66" t="s">
        <v>7399</v>
      </c>
      <c r="B833" s="53" t="s">
        <v>1427</v>
      </c>
      <c r="C833" s="56">
        <v>45588.333333333336</v>
      </c>
      <c r="D833" s="57" t="s">
        <v>6052</v>
      </c>
      <c r="E833" s="56">
        <v>45588.541666666664</v>
      </c>
      <c r="F833" s="53" t="s">
        <v>7400</v>
      </c>
      <c r="G833" s="4" t="s">
        <v>110</v>
      </c>
      <c r="H833" s="4" t="s">
        <v>1987</v>
      </c>
      <c r="K833" s="4" t="s">
        <v>7401</v>
      </c>
      <c r="L833" s="4" t="s">
        <v>7402</v>
      </c>
    </row>
    <row r="834">
      <c r="A834" s="55" t="s">
        <v>7403</v>
      </c>
      <c r="B834" s="53" t="s">
        <v>1427</v>
      </c>
      <c r="C834" s="56">
        <v>45589.375</v>
      </c>
      <c r="D834" s="57" t="s">
        <v>2148</v>
      </c>
      <c r="E834" s="56">
        <v>45589.541666666664</v>
      </c>
      <c r="F834" s="53" t="s">
        <v>7400</v>
      </c>
      <c r="G834" s="4" t="s">
        <v>110</v>
      </c>
      <c r="H834" s="4" t="s">
        <v>1987</v>
      </c>
      <c r="K834" s="4" t="s">
        <v>7404</v>
      </c>
      <c r="L834" s="4" t="s">
        <v>7405</v>
      </c>
    </row>
    <row r="835">
      <c r="A835" s="55" t="s">
        <v>7406</v>
      </c>
      <c r="B835" s="53" t="s">
        <v>1427</v>
      </c>
      <c r="C835" s="56">
        <v>45590.333333333336</v>
      </c>
      <c r="D835" s="57" t="s">
        <v>2147</v>
      </c>
      <c r="E835" s="56">
        <v>45590.375</v>
      </c>
      <c r="F835" s="53" t="s">
        <v>7400</v>
      </c>
      <c r="G835" s="4" t="s">
        <v>110</v>
      </c>
      <c r="H835" s="4" t="s">
        <v>1987</v>
      </c>
      <c r="K835" s="4" t="s">
        <v>7407</v>
      </c>
      <c r="L835" s="4" t="s">
        <v>7408</v>
      </c>
    </row>
    <row r="836">
      <c r="A836" s="55" t="s">
        <v>7409</v>
      </c>
      <c r="B836" s="53" t="s">
        <v>1540</v>
      </c>
      <c r="C836" s="56">
        <v>45583.395833333336</v>
      </c>
      <c r="D836" s="57" t="s">
        <v>2147</v>
      </c>
      <c r="E836" s="56">
        <v>45583.4375</v>
      </c>
      <c r="F836" s="53" t="s">
        <v>7410</v>
      </c>
      <c r="G836" s="4" t="s">
        <v>110</v>
      </c>
      <c r="H836" s="4" t="s">
        <v>1987</v>
      </c>
      <c r="K836" s="4" t="s">
        <v>7411</v>
      </c>
      <c r="L836" s="4"/>
    </row>
    <row r="837">
      <c r="A837" s="55" t="s">
        <v>7412</v>
      </c>
      <c r="B837" s="53" t="s">
        <v>1427</v>
      </c>
      <c r="C837" s="56">
        <v>45583.4375</v>
      </c>
      <c r="D837" s="57" t="s">
        <v>2154</v>
      </c>
      <c r="E837" s="56">
        <v>45583.5</v>
      </c>
      <c r="F837" s="53" t="s">
        <v>7413</v>
      </c>
      <c r="G837" s="4" t="s">
        <v>110</v>
      </c>
      <c r="H837" s="4" t="s">
        <v>1987</v>
      </c>
      <c r="K837" s="4" t="s">
        <v>7414</v>
      </c>
      <c r="L837" s="4"/>
    </row>
    <row r="838">
      <c r="A838" s="55"/>
      <c r="B838" s="53"/>
      <c r="C838" s="56"/>
      <c r="D838" s="61"/>
      <c r="E838" s="56"/>
      <c r="F838" s="53"/>
      <c r="G838" s="4"/>
      <c r="H838" s="4"/>
      <c r="K838" s="4"/>
      <c r="L838" s="4"/>
    </row>
    <row r="839">
      <c r="A839" s="55"/>
      <c r="B839" s="53"/>
      <c r="C839" s="56"/>
      <c r="D839" s="61"/>
      <c r="E839" s="56"/>
      <c r="F839" s="53"/>
      <c r="G839" s="4"/>
      <c r="H839" s="4"/>
      <c r="K839" s="4"/>
      <c r="L839" s="4"/>
    </row>
    <row r="840">
      <c r="A840" s="55" t="s">
        <v>7415</v>
      </c>
      <c r="B840" s="53" t="s">
        <v>6057</v>
      </c>
      <c r="C840" s="56">
        <v>45583.625</v>
      </c>
      <c r="D840" s="57" t="s">
        <v>2148</v>
      </c>
      <c r="E840" s="56">
        <v>45583.6875</v>
      </c>
      <c r="F840" s="53" t="s">
        <v>7375</v>
      </c>
      <c r="G840" s="4" t="s">
        <v>27</v>
      </c>
      <c r="H840" s="4" t="s">
        <v>1987</v>
      </c>
      <c r="K840" s="4" t="s">
        <v>7416</v>
      </c>
      <c r="L840" s="4" t="s">
        <v>7376</v>
      </c>
    </row>
    <row r="841">
      <c r="A841" s="55" t="s">
        <v>7417</v>
      </c>
      <c r="B841" s="53" t="s">
        <v>1540</v>
      </c>
      <c r="C841" s="56">
        <v>45586.333333333336</v>
      </c>
      <c r="D841" s="57" t="s">
        <v>2200</v>
      </c>
      <c r="E841" s="56">
        <v>45586.458333333336</v>
      </c>
      <c r="F841" s="53" t="s">
        <v>7418</v>
      </c>
      <c r="G841" s="4" t="s">
        <v>110</v>
      </c>
      <c r="H841" s="4" t="s">
        <v>1987</v>
      </c>
      <c r="K841" s="4" t="s">
        <v>7419</v>
      </c>
      <c r="L841" s="4" t="s">
        <v>7420</v>
      </c>
    </row>
    <row r="842">
      <c r="A842" s="55" t="s">
        <v>7421</v>
      </c>
      <c r="B842" s="53" t="s">
        <v>6057</v>
      </c>
      <c r="C842" s="56">
        <v>45586.395833333336</v>
      </c>
      <c r="D842" s="57" t="s">
        <v>2147</v>
      </c>
      <c r="E842" s="56">
        <v>45586.458333333336</v>
      </c>
      <c r="F842" s="53" t="s">
        <v>6053</v>
      </c>
      <c r="G842" s="4" t="s">
        <v>27</v>
      </c>
      <c r="H842" s="4" t="s">
        <v>1987</v>
      </c>
      <c r="K842" s="4" t="s">
        <v>7422</v>
      </c>
      <c r="L842" s="4"/>
    </row>
    <row r="843">
      <c r="A843" s="55" t="s">
        <v>7423</v>
      </c>
      <c r="B843" s="53" t="s">
        <v>1427</v>
      </c>
      <c r="C843" s="56">
        <v>45587.375</v>
      </c>
      <c r="D843" s="57" t="s">
        <v>6052</v>
      </c>
      <c r="E843" s="56">
        <v>45587.5625</v>
      </c>
      <c r="F843" s="53" t="s">
        <v>7424</v>
      </c>
      <c r="G843" s="4" t="s">
        <v>27</v>
      </c>
      <c r="H843" s="4" t="s">
        <v>1987</v>
      </c>
      <c r="K843" s="4" t="s">
        <v>7425</v>
      </c>
      <c r="L843" s="4" t="s">
        <v>7426</v>
      </c>
    </row>
    <row r="844">
      <c r="A844" s="55" t="s">
        <v>7427</v>
      </c>
      <c r="B844" s="53" t="s">
        <v>1427</v>
      </c>
      <c r="C844" s="56">
        <v>45589.375</v>
      </c>
      <c r="D844" s="57" t="s">
        <v>6052</v>
      </c>
      <c r="E844" s="56">
        <v>45589.5625</v>
      </c>
      <c r="F844" s="53" t="s">
        <v>7424</v>
      </c>
      <c r="G844" s="4" t="s">
        <v>27</v>
      </c>
      <c r="H844" s="4" t="s">
        <v>1987</v>
      </c>
      <c r="K844" s="4" t="s">
        <v>7428</v>
      </c>
      <c r="L844" s="4" t="s">
        <v>7429</v>
      </c>
    </row>
    <row r="845">
      <c r="A845" s="55" t="s">
        <v>7430</v>
      </c>
      <c r="B845" s="53" t="s">
        <v>1472</v>
      </c>
      <c r="C845" s="56">
        <v>45589.5625</v>
      </c>
      <c r="D845" s="57" t="s">
        <v>2147</v>
      </c>
      <c r="E845" s="56">
        <v>45589.625</v>
      </c>
      <c r="F845" s="53" t="s">
        <v>7431</v>
      </c>
      <c r="G845" s="4" t="s">
        <v>135</v>
      </c>
      <c r="H845" s="4" t="s">
        <v>1987</v>
      </c>
      <c r="K845" s="4" t="s">
        <v>7300</v>
      </c>
      <c r="L845" s="4" t="s">
        <v>7432</v>
      </c>
    </row>
    <row r="846">
      <c r="A846" s="55" t="s">
        <v>7433</v>
      </c>
      <c r="B846" s="53" t="s">
        <v>1554</v>
      </c>
      <c r="C846" s="56">
        <v>45586.458333333336</v>
      </c>
      <c r="D846" s="57" t="s">
        <v>2147</v>
      </c>
      <c r="E846" s="56">
        <v>45586.479166666664</v>
      </c>
      <c r="F846" s="53" t="s">
        <v>6053</v>
      </c>
      <c r="G846" s="4" t="s">
        <v>27</v>
      </c>
      <c r="H846" s="4" t="s">
        <v>1987</v>
      </c>
      <c r="K846" s="4" t="s">
        <v>7434</v>
      </c>
      <c r="L846" s="4" t="s">
        <v>7435</v>
      </c>
    </row>
    <row r="847">
      <c r="A847" s="55" t="s">
        <v>7436</v>
      </c>
      <c r="B847" s="53" t="s">
        <v>1554</v>
      </c>
      <c r="C847" s="56">
        <v>45586.583333333336</v>
      </c>
      <c r="D847" s="57" t="s">
        <v>2147</v>
      </c>
      <c r="E847" s="56">
        <v>45586.604166666664</v>
      </c>
      <c r="F847" s="53" t="s">
        <v>7437</v>
      </c>
      <c r="G847" s="4" t="s">
        <v>27</v>
      </c>
      <c r="H847" s="4" t="s">
        <v>1991</v>
      </c>
      <c r="K847" s="4" t="s">
        <v>7438</v>
      </c>
      <c r="L847" s="4" t="s">
        <v>7439</v>
      </c>
    </row>
    <row r="848">
      <c r="A848" s="55" t="s">
        <v>7440</v>
      </c>
      <c r="B848" s="53" t="s">
        <v>1438</v>
      </c>
      <c r="C848" s="56">
        <v>45586.479166666664</v>
      </c>
      <c r="D848" s="57" t="s">
        <v>2200</v>
      </c>
      <c r="E848" s="56">
        <v>45586.583333333336</v>
      </c>
      <c r="F848" s="53" t="s">
        <v>6053</v>
      </c>
      <c r="G848" s="4" t="s">
        <v>27</v>
      </c>
      <c r="H848" s="4" t="s">
        <v>1987</v>
      </c>
      <c r="K848" s="4" t="s">
        <v>7441</v>
      </c>
      <c r="L848" s="4"/>
    </row>
    <row r="849">
      <c r="A849" s="55" t="s">
        <v>7442</v>
      </c>
      <c r="B849" s="53" t="s">
        <v>1438</v>
      </c>
      <c r="C849" s="56">
        <v>45586.604166666664</v>
      </c>
      <c r="D849" s="57" t="s">
        <v>2200</v>
      </c>
      <c r="E849" s="56">
        <v>45586.75</v>
      </c>
      <c r="F849" s="53" t="s">
        <v>7279</v>
      </c>
      <c r="G849" s="4" t="s">
        <v>27</v>
      </c>
      <c r="H849" s="4" t="s">
        <v>1987</v>
      </c>
      <c r="K849" s="4" t="s">
        <v>7443</v>
      </c>
      <c r="L849" s="4" t="s">
        <v>7444</v>
      </c>
    </row>
    <row r="850">
      <c r="A850" s="55"/>
      <c r="B850" s="53"/>
      <c r="C850" s="56"/>
      <c r="D850" s="61"/>
      <c r="E850" s="56"/>
      <c r="F850" s="53"/>
      <c r="G850" s="4"/>
      <c r="H850" s="4"/>
      <c r="K850" s="4"/>
      <c r="L850" s="4"/>
    </row>
    <row r="851">
      <c r="A851" s="55" t="s">
        <v>7445</v>
      </c>
      <c r="B851" s="53" t="s">
        <v>6057</v>
      </c>
      <c r="C851" s="56">
        <v>45590.458333333336</v>
      </c>
      <c r="D851" s="57" t="s">
        <v>2147</v>
      </c>
      <c r="E851" s="56">
        <v>45590.625</v>
      </c>
      <c r="F851" s="53" t="s">
        <v>7446</v>
      </c>
      <c r="G851" s="4" t="s">
        <v>27</v>
      </c>
      <c r="H851" s="4" t="s">
        <v>1987</v>
      </c>
      <c r="K851" s="4"/>
      <c r="L851" s="4" t="s">
        <v>7447</v>
      </c>
    </row>
    <row r="852">
      <c r="A852" s="55"/>
      <c r="B852" s="53"/>
      <c r="C852" s="56"/>
      <c r="D852" s="61"/>
      <c r="E852" s="56"/>
      <c r="F852" s="53"/>
      <c r="G852" s="4"/>
      <c r="H852" s="4"/>
      <c r="K852" s="4"/>
      <c r="L852" s="4"/>
    </row>
    <row r="853">
      <c r="A853" s="55" t="s">
        <v>7448</v>
      </c>
      <c r="B853" s="53" t="s">
        <v>1472</v>
      </c>
      <c r="C853" s="56">
        <v>45586.5625</v>
      </c>
      <c r="D853" s="57" t="s">
        <v>2154</v>
      </c>
      <c r="E853" s="56">
        <v>45586.645833333336</v>
      </c>
      <c r="F853" s="53" t="s">
        <v>7449</v>
      </c>
      <c r="G853" s="4" t="s">
        <v>135</v>
      </c>
      <c r="H853" s="4" t="s">
        <v>1987</v>
      </c>
      <c r="K853" s="4" t="s">
        <v>7450</v>
      </c>
      <c r="L853" s="4"/>
    </row>
    <row r="854">
      <c r="A854" s="55" t="s">
        <v>7451</v>
      </c>
      <c r="B854" s="53" t="s">
        <v>6057</v>
      </c>
      <c r="C854" s="56">
        <v>45587.5625</v>
      </c>
      <c r="D854" s="57" t="s">
        <v>2147</v>
      </c>
      <c r="E854" s="56">
        <v>45587.625</v>
      </c>
      <c r="F854" s="53" t="s">
        <v>6053</v>
      </c>
      <c r="G854" s="4" t="s">
        <v>27</v>
      </c>
      <c r="H854" s="4" t="s">
        <v>1987</v>
      </c>
      <c r="K854" s="4" t="s">
        <v>7452</v>
      </c>
      <c r="L854" s="4"/>
    </row>
    <row r="855">
      <c r="A855" s="55" t="s">
        <v>7453</v>
      </c>
      <c r="B855" s="53" t="s">
        <v>1427</v>
      </c>
      <c r="C855" s="56">
        <v>45587.625</v>
      </c>
      <c r="D855" s="57" t="s">
        <v>2147</v>
      </c>
      <c r="E855" s="56">
        <v>45587.666666666664</v>
      </c>
      <c r="F855" s="53" t="s">
        <v>7454</v>
      </c>
      <c r="G855" s="4" t="s">
        <v>27</v>
      </c>
      <c r="H855" s="4" t="s">
        <v>1987</v>
      </c>
      <c r="K855" s="4" t="s">
        <v>7455</v>
      </c>
      <c r="L855" s="4"/>
    </row>
    <row r="856">
      <c r="A856" s="55" t="s">
        <v>7456</v>
      </c>
      <c r="B856" s="53" t="s">
        <v>6057</v>
      </c>
      <c r="C856" s="56">
        <v>45587.708333333336</v>
      </c>
      <c r="D856" s="57" t="s">
        <v>2154</v>
      </c>
      <c r="E856" s="56">
        <v>45587.875</v>
      </c>
      <c r="F856" s="53" t="s">
        <v>7457</v>
      </c>
      <c r="G856" s="4" t="s">
        <v>27</v>
      </c>
      <c r="H856" s="4" t="s">
        <v>1987</v>
      </c>
      <c r="K856" s="4" t="s">
        <v>7458</v>
      </c>
      <c r="L856" s="4"/>
    </row>
    <row r="857">
      <c r="A857" s="55" t="s">
        <v>7459</v>
      </c>
      <c r="B857" s="53" t="s">
        <v>6057</v>
      </c>
      <c r="C857" s="56">
        <v>45588.375</v>
      </c>
      <c r="D857" s="57" t="s">
        <v>2154</v>
      </c>
      <c r="E857" s="56">
        <v>45588.520833333336</v>
      </c>
      <c r="F857" s="53" t="s">
        <v>7460</v>
      </c>
      <c r="G857" s="4" t="s">
        <v>27</v>
      </c>
      <c r="H857" s="4" t="s">
        <v>1987</v>
      </c>
      <c r="K857" s="4" t="s">
        <v>7461</v>
      </c>
      <c r="L857" s="4" t="s">
        <v>7462</v>
      </c>
    </row>
    <row r="858">
      <c r="A858" s="55" t="s">
        <v>7463</v>
      </c>
      <c r="B858" s="53" t="s">
        <v>6057</v>
      </c>
      <c r="C858" s="56">
        <v>45589.75</v>
      </c>
      <c r="D858" s="57" t="s">
        <v>2147</v>
      </c>
      <c r="E858" s="56">
        <v>45589.791666666664</v>
      </c>
      <c r="F858" s="53" t="s">
        <v>7464</v>
      </c>
      <c r="G858" s="4" t="s">
        <v>27</v>
      </c>
      <c r="H858" s="4" t="s">
        <v>1991</v>
      </c>
      <c r="K858" s="4" t="s">
        <v>7465</v>
      </c>
      <c r="L858" s="4"/>
    </row>
    <row r="859">
      <c r="A859" s="55" t="s">
        <v>7466</v>
      </c>
      <c r="B859" s="53" t="s">
        <v>1554</v>
      </c>
      <c r="C859" s="56">
        <v>45588.520833333336</v>
      </c>
      <c r="D859" s="57" t="s">
        <v>6318</v>
      </c>
      <c r="E859" s="56">
        <v>45588.541666666664</v>
      </c>
      <c r="F859" s="53" t="s">
        <v>7467</v>
      </c>
      <c r="G859" s="4" t="s">
        <v>27</v>
      </c>
      <c r="H859" s="4" t="s">
        <v>1987</v>
      </c>
      <c r="K859" s="4" t="s">
        <v>7468</v>
      </c>
      <c r="L859" s="4"/>
    </row>
    <row r="860">
      <c r="A860" s="55" t="s">
        <v>7469</v>
      </c>
      <c r="B860" s="53" t="s">
        <v>1472</v>
      </c>
      <c r="C860" s="56">
        <v>45589.63888888889</v>
      </c>
      <c r="D860" s="57" t="s">
        <v>2154</v>
      </c>
      <c r="E860" s="56">
        <v>45589.72222222222</v>
      </c>
      <c r="F860" s="53" t="s">
        <v>7470</v>
      </c>
      <c r="G860" s="4" t="s">
        <v>27</v>
      </c>
      <c r="H860" s="4" t="s">
        <v>1991</v>
      </c>
      <c r="K860" s="4" t="s">
        <v>7471</v>
      </c>
      <c r="L860" s="4" t="s">
        <v>7472</v>
      </c>
    </row>
    <row r="861">
      <c r="A861" s="55" t="s">
        <v>7473</v>
      </c>
      <c r="B861" s="53" t="s">
        <v>1540</v>
      </c>
      <c r="C861" s="56">
        <v>45588.5625</v>
      </c>
      <c r="D861" s="57" t="s">
        <v>2154</v>
      </c>
      <c r="E861" s="56">
        <v>45588.645833333336</v>
      </c>
      <c r="F861" s="53" t="s">
        <v>7474</v>
      </c>
      <c r="G861" s="4" t="s">
        <v>27</v>
      </c>
      <c r="H861" s="4" t="s">
        <v>1987</v>
      </c>
      <c r="K861" s="4" t="s">
        <v>7475</v>
      </c>
      <c r="L861" s="4"/>
    </row>
    <row r="862">
      <c r="A862" s="55" t="s">
        <v>7476</v>
      </c>
      <c r="B862" s="53" t="s">
        <v>5377</v>
      </c>
      <c r="C862" s="56">
        <v>45587.6875</v>
      </c>
      <c r="D862" s="57" t="s">
        <v>2147</v>
      </c>
      <c r="E862" s="56">
        <v>45587.729166666664</v>
      </c>
      <c r="F862" s="53" t="s">
        <v>7477</v>
      </c>
      <c r="G862" s="4" t="s">
        <v>135</v>
      </c>
      <c r="H862" s="4" t="s">
        <v>1987</v>
      </c>
      <c r="K862" s="4" t="s">
        <v>7478</v>
      </c>
      <c r="L862" s="4"/>
    </row>
    <row r="863">
      <c r="A863" s="55" t="s">
        <v>7479</v>
      </c>
      <c r="B863" s="53" t="s">
        <v>5384</v>
      </c>
      <c r="C863" s="56">
        <v>45587.729166666664</v>
      </c>
      <c r="D863" s="57" t="s">
        <v>2147</v>
      </c>
      <c r="E863" s="56">
        <v>45587.770833333336</v>
      </c>
      <c r="F863" s="53" t="s">
        <v>7480</v>
      </c>
      <c r="G863" s="4" t="s">
        <v>135</v>
      </c>
      <c r="H863" s="4" t="s">
        <v>1987</v>
      </c>
      <c r="K863" s="4"/>
      <c r="L863" s="4" t="s">
        <v>7481</v>
      </c>
    </row>
    <row r="864">
      <c r="A864" s="55" t="s">
        <v>7482</v>
      </c>
      <c r="B864" s="53" t="s">
        <v>1540</v>
      </c>
      <c r="C864" s="56">
        <v>45589.333333333336</v>
      </c>
      <c r="D864" s="57" t="s">
        <v>2147</v>
      </c>
      <c r="E864" s="56">
        <v>45589.375</v>
      </c>
      <c r="F864" s="53" t="s">
        <v>7483</v>
      </c>
      <c r="G864" s="4" t="s">
        <v>110</v>
      </c>
      <c r="H864" s="4" t="s">
        <v>1987</v>
      </c>
      <c r="K864" s="4" t="s">
        <v>7484</v>
      </c>
      <c r="L864" s="4"/>
    </row>
    <row r="865">
      <c r="A865" s="55" t="s">
        <v>7485</v>
      </c>
      <c r="B865" s="53" t="s">
        <v>5377</v>
      </c>
      <c r="C865" s="56">
        <v>45590.666666666664</v>
      </c>
      <c r="D865" s="57" t="s">
        <v>2154</v>
      </c>
      <c r="E865" s="56">
        <v>45590.75</v>
      </c>
      <c r="F865" s="53" t="s">
        <v>7486</v>
      </c>
      <c r="G865" s="4" t="s">
        <v>27</v>
      </c>
      <c r="H865" s="4" t="s">
        <v>1991</v>
      </c>
      <c r="K865" s="4" t="s">
        <v>7487</v>
      </c>
      <c r="L865" s="4" t="s">
        <v>7488</v>
      </c>
    </row>
    <row r="866">
      <c r="A866" s="55" t="s">
        <v>7489</v>
      </c>
      <c r="B866" s="53" t="s">
        <v>5384</v>
      </c>
      <c r="C866" s="56">
        <v>45589.5625</v>
      </c>
      <c r="D866" s="57" t="s">
        <v>6318</v>
      </c>
      <c r="E866" s="56">
        <v>45589.625</v>
      </c>
      <c r="F866" s="53" t="s">
        <v>7490</v>
      </c>
      <c r="G866" s="4" t="s">
        <v>27</v>
      </c>
      <c r="H866" s="4" t="s">
        <v>1991</v>
      </c>
      <c r="K866" s="4" t="s">
        <v>7491</v>
      </c>
      <c r="L866" s="4" t="s">
        <v>7492</v>
      </c>
    </row>
    <row r="867">
      <c r="A867" s="55" t="s">
        <v>7493</v>
      </c>
      <c r="B867" s="53" t="s">
        <v>1438</v>
      </c>
      <c r="C867" s="56">
        <v>45589.625</v>
      </c>
      <c r="D867" s="57" t="s">
        <v>2154</v>
      </c>
      <c r="E867" s="56">
        <v>45589.729166666664</v>
      </c>
      <c r="F867" s="53" t="s">
        <v>7494</v>
      </c>
      <c r="G867" s="4" t="s">
        <v>135</v>
      </c>
      <c r="H867" s="4" t="s">
        <v>1987</v>
      </c>
      <c r="K867" s="4"/>
      <c r="L867" s="4" t="s">
        <v>7495</v>
      </c>
    </row>
    <row r="868">
      <c r="A868" s="55" t="s">
        <v>7496</v>
      </c>
      <c r="B868" s="53" t="s">
        <v>1540</v>
      </c>
      <c r="C868" s="56">
        <v>45590.395833333336</v>
      </c>
      <c r="D868" s="57" t="s">
        <v>6318</v>
      </c>
      <c r="E868" s="56">
        <v>45590.416666666664</v>
      </c>
      <c r="F868" s="53" t="s">
        <v>7497</v>
      </c>
      <c r="G868" s="4" t="s">
        <v>110</v>
      </c>
      <c r="H868" s="4" t="s">
        <v>1987</v>
      </c>
      <c r="K868" s="4" t="s">
        <v>7484</v>
      </c>
      <c r="L868" s="4" t="s">
        <v>7498</v>
      </c>
    </row>
    <row r="869">
      <c r="A869" s="55" t="s">
        <v>7499</v>
      </c>
      <c r="B869" s="53" t="s">
        <v>1427</v>
      </c>
      <c r="C869" s="56">
        <v>45590.375</v>
      </c>
      <c r="D869" s="57" t="s">
        <v>6318</v>
      </c>
      <c r="E869" s="56">
        <v>45590.395833333336</v>
      </c>
      <c r="F869" s="53" t="s">
        <v>7500</v>
      </c>
      <c r="G869" s="4" t="s">
        <v>110</v>
      </c>
      <c r="H869" s="4" t="s">
        <v>1987</v>
      </c>
      <c r="K869" s="4" t="s">
        <v>7501</v>
      </c>
      <c r="L869" s="4"/>
    </row>
    <row r="870">
      <c r="A870" s="55" t="s">
        <v>7502</v>
      </c>
      <c r="B870" s="53" t="s">
        <v>1540</v>
      </c>
      <c r="C870" s="56">
        <v>45590.375</v>
      </c>
      <c r="D870" s="57" t="s">
        <v>2154</v>
      </c>
      <c r="E870" s="56">
        <v>45590.458333333336</v>
      </c>
      <c r="F870" s="53" t="s">
        <v>6048</v>
      </c>
      <c r="G870" s="4" t="s">
        <v>27</v>
      </c>
      <c r="H870" s="4" t="s">
        <v>1987</v>
      </c>
      <c r="K870" s="4" t="s">
        <v>7503</v>
      </c>
      <c r="L870" s="4"/>
    </row>
    <row r="871">
      <c r="A871" s="55" t="s">
        <v>7504</v>
      </c>
      <c r="B871" s="53" t="s">
        <v>1540</v>
      </c>
      <c r="C871" s="56">
        <v>45590.416666666664</v>
      </c>
      <c r="D871" s="57" t="s">
        <v>2200</v>
      </c>
      <c r="E871" s="56">
        <v>45590.541666666664</v>
      </c>
      <c r="F871" s="53" t="s">
        <v>6319</v>
      </c>
      <c r="G871" s="4" t="s">
        <v>110</v>
      </c>
      <c r="H871" s="4" t="s">
        <v>1987</v>
      </c>
      <c r="K871" s="4" t="s">
        <v>7505</v>
      </c>
      <c r="L871" s="4"/>
    </row>
    <row r="872">
      <c r="A872" s="55" t="s">
        <v>7506</v>
      </c>
      <c r="B872" s="53" t="s">
        <v>1438</v>
      </c>
      <c r="C872" s="56">
        <v>45590.5625</v>
      </c>
      <c r="D872" s="57" t="s">
        <v>2154</v>
      </c>
      <c r="E872" s="56">
        <v>45590.6875</v>
      </c>
      <c r="F872" s="53" t="s">
        <v>6646</v>
      </c>
      <c r="G872" s="4" t="s">
        <v>135</v>
      </c>
      <c r="H872" s="4" t="s">
        <v>1987</v>
      </c>
      <c r="K872" s="4" t="s">
        <v>7507</v>
      </c>
      <c r="L872" s="4" t="s">
        <v>7508</v>
      </c>
    </row>
    <row r="873">
      <c r="A873" s="55" t="s">
        <v>7509</v>
      </c>
      <c r="B873" s="53" t="s">
        <v>1540</v>
      </c>
      <c r="C873" s="56">
        <v>45590.625</v>
      </c>
      <c r="D873" s="57" t="s">
        <v>2154</v>
      </c>
      <c r="E873" s="56">
        <v>45590.666666666664</v>
      </c>
      <c r="F873" s="53" t="s">
        <v>6048</v>
      </c>
      <c r="G873" s="4" t="s">
        <v>27</v>
      </c>
      <c r="H873" s="4" t="s">
        <v>1987</v>
      </c>
      <c r="K873" s="4" t="s">
        <v>7510</v>
      </c>
      <c r="L873" s="4"/>
    </row>
    <row r="874">
      <c r="A874" s="55" t="s">
        <v>7511</v>
      </c>
      <c r="B874" s="53" t="s">
        <v>1540</v>
      </c>
      <c r="C874" s="56">
        <v>45593.333333333336</v>
      </c>
      <c r="D874" s="57" t="s">
        <v>6318</v>
      </c>
      <c r="E874" s="56">
        <v>45593.354166666664</v>
      </c>
      <c r="F874" s="53" t="s">
        <v>7512</v>
      </c>
      <c r="G874" s="4" t="s">
        <v>110</v>
      </c>
      <c r="H874" s="4" t="s">
        <v>1987</v>
      </c>
      <c r="K874" s="4" t="s">
        <v>7513</v>
      </c>
      <c r="L874" s="4"/>
    </row>
    <row r="875">
      <c r="A875" s="55"/>
      <c r="B875" s="53"/>
      <c r="C875" s="56"/>
      <c r="D875" s="61"/>
      <c r="E875" s="56"/>
      <c r="F875" s="53"/>
      <c r="G875" s="4"/>
      <c r="H875" s="4"/>
      <c r="K875" s="4"/>
      <c r="L875" s="4"/>
    </row>
    <row r="876">
      <c r="A876" s="55" t="s">
        <v>7514</v>
      </c>
      <c r="B876" s="53" t="s">
        <v>1427</v>
      </c>
      <c r="C876" s="56">
        <v>45596.479166666664</v>
      </c>
      <c r="D876" s="57" t="s">
        <v>6052</v>
      </c>
      <c r="E876" s="56">
        <v>45596.541666666664</v>
      </c>
      <c r="F876" s="53" t="s">
        <v>6053</v>
      </c>
      <c r="G876" s="4" t="s">
        <v>27</v>
      </c>
      <c r="H876" s="4" t="s">
        <v>1987</v>
      </c>
      <c r="K876" s="4" t="s">
        <v>7515</v>
      </c>
      <c r="L876" s="4" t="s">
        <v>7516</v>
      </c>
    </row>
    <row r="877">
      <c r="A877" s="55" t="s">
        <v>7517</v>
      </c>
      <c r="B877" s="53" t="s">
        <v>1427</v>
      </c>
      <c r="C877" s="56">
        <v>45594.333333333336</v>
      </c>
      <c r="D877" s="57" t="s">
        <v>6052</v>
      </c>
      <c r="E877" s="56">
        <v>45594.541666666664</v>
      </c>
      <c r="F877" s="53" t="s">
        <v>6053</v>
      </c>
      <c r="G877" s="4" t="s">
        <v>27</v>
      </c>
      <c r="H877" s="4" t="s">
        <v>1987</v>
      </c>
      <c r="K877" s="4" t="s">
        <v>7518</v>
      </c>
      <c r="L877" s="4"/>
    </row>
    <row r="878">
      <c r="A878" s="55" t="s">
        <v>7519</v>
      </c>
      <c r="B878" s="53" t="s">
        <v>5457</v>
      </c>
      <c r="C878" s="56">
        <v>45593.5625</v>
      </c>
      <c r="D878" s="57" t="s">
        <v>2148</v>
      </c>
      <c r="E878" s="56">
        <v>45593.666666666664</v>
      </c>
      <c r="F878" s="53" t="s">
        <v>6103</v>
      </c>
      <c r="G878" s="4" t="s">
        <v>135</v>
      </c>
      <c r="H878" s="4" t="s">
        <v>1987</v>
      </c>
      <c r="K878" s="4" t="s">
        <v>7520</v>
      </c>
      <c r="L878" s="4" t="s">
        <v>7521</v>
      </c>
    </row>
    <row r="879">
      <c r="A879" s="55" t="s">
        <v>7522</v>
      </c>
      <c r="B879" s="53" t="s">
        <v>5377</v>
      </c>
      <c r="C879" s="56">
        <v>45594.5625</v>
      </c>
      <c r="D879" s="57" t="s">
        <v>2148</v>
      </c>
      <c r="E879" s="56">
        <v>45594.729166666664</v>
      </c>
      <c r="F879" s="53" t="s">
        <v>5377</v>
      </c>
      <c r="G879" s="4" t="s">
        <v>135</v>
      </c>
      <c r="H879" s="4" t="s">
        <v>1987</v>
      </c>
      <c r="K879" s="4"/>
      <c r="L879" s="4" t="s">
        <v>7523</v>
      </c>
    </row>
    <row r="880">
      <c r="A880" s="55" t="s">
        <v>7524</v>
      </c>
      <c r="B880" s="53" t="s">
        <v>5377</v>
      </c>
      <c r="C880" s="56">
        <v>45596.645833333336</v>
      </c>
      <c r="D880" s="57" t="s">
        <v>2148</v>
      </c>
      <c r="E880" s="56">
        <v>45596.729166666664</v>
      </c>
      <c r="F880" s="53" t="s">
        <v>7525</v>
      </c>
      <c r="G880" s="4" t="s">
        <v>135</v>
      </c>
      <c r="H880" s="4" t="s">
        <v>1987</v>
      </c>
      <c r="K880" s="4" t="s">
        <v>7526</v>
      </c>
      <c r="L880" s="4" t="s">
        <v>7527</v>
      </c>
    </row>
    <row r="881">
      <c r="A881" s="55"/>
      <c r="B881" s="53"/>
      <c r="C881" s="56"/>
      <c r="D881" s="61"/>
      <c r="E881" s="56"/>
      <c r="F881" s="53"/>
      <c r="G881" s="4"/>
      <c r="H881" s="4"/>
      <c r="K881" s="4"/>
      <c r="L881" s="4"/>
    </row>
    <row r="882">
      <c r="A882" s="55" t="s">
        <v>7528</v>
      </c>
      <c r="B882" s="53" t="s">
        <v>1427</v>
      </c>
      <c r="C882" s="56">
        <v>45595.5625</v>
      </c>
      <c r="D882" s="57" t="s">
        <v>2148</v>
      </c>
      <c r="E882" s="56">
        <v>45595.645833333336</v>
      </c>
      <c r="F882" s="53" t="s">
        <v>7529</v>
      </c>
      <c r="G882" s="4" t="s">
        <v>135</v>
      </c>
      <c r="H882" s="4" t="s">
        <v>1987</v>
      </c>
      <c r="K882" s="4" t="s">
        <v>7530</v>
      </c>
      <c r="L882" s="4" t="s">
        <v>7531</v>
      </c>
    </row>
    <row r="883">
      <c r="A883" s="55" t="s">
        <v>7532</v>
      </c>
      <c r="B883" s="53" t="s">
        <v>5559</v>
      </c>
      <c r="C883" s="56">
        <v>45593.354166666664</v>
      </c>
      <c r="D883" s="57" t="s">
        <v>2200</v>
      </c>
      <c r="E883" s="56">
        <v>45593.479166666664</v>
      </c>
      <c r="F883" s="53" t="s">
        <v>7533</v>
      </c>
      <c r="G883" s="4" t="s">
        <v>110</v>
      </c>
      <c r="H883" s="4" t="s">
        <v>1987</v>
      </c>
      <c r="K883" s="4" t="s">
        <v>7534</v>
      </c>
      <c r="L883" s="4" t="s">
        <v>7535</v>
      </c>
    </row>
    <row r="884">
      <c r="A884" s="55" t="s">
        <v>7536</v>
      </c>
      <c r="B884" s="53" t="s">
        <v>1427</v>
      </c>
      <c r="C884" s="56">
        <v>45594.354166666664</v>
      </c>
      <c r="D884" s="57" t="s">
        <v>6052</v>
      </c>
      <c r="E884" s="56">
        <v>45594.541666666664</v>
      </c>
      <c r="F884" s="53" t="s">
        <v>7537</v>
      </c>
      <c r="G884" s="4" t="s">
        <v>110</v>
      </c>
      <c r="H884" s="4" t="s">
        <v>1987</v>
      </c>
      <c r="K884" s="4" t="s">
        <v>7538</v>
      </c>
      <c r="L884" s="4" t="s">
        <v>7539</v>
      </c>
    </row>
    <row r="885">
      <c r="A885" s="55"/>
      <c r="B885" s="53"/>
      <c r="C885" s="56"/>
      <c r="D885" s="61"/>
      <c r="E885" s="56"/>
      <c r="F885" s="53"/>
      <c r="G885" s="4"/>
      <c r="H885" s="4"/>
      <c r="K885" s="4"/>
      <c r="L885" s="4"/>
    </row>
    <row r="886">
      <c r="A886" s="55"/>
      <c r="B886" s="53"/>
      <c r="C886" s="56"/>
      <c r="D886" s="61"/>
      <c r="E886" s="56"/>
      <c r="F886" s="53"/>
      <c r="G886" s="4"/>
      <c r="H886" s="4"/>
      <c r="K886" s="4"/>
      <c r="L886" s="4"/>
    </row>
    <row r="887">
      <c r="A887" s="55"/>
      <c r="B887" s="53"/>
      <c r="C887" s="56"/>
      <c r="D887" s="61"/>
      <c r="E887" s="56"/>
      <c r="F887" s="53"/>
      <c r="G887" s="4"/>
      <c r="H887" s="4"/>
      <c r="K887" s="4"/>
      <c r="L887" s="4"/>
    </row>
    <row r="888">
      <c r="A888" s="55" t="s">
        <v>7540</v>
      </c>
      <c r="B888" s="53" t="s">
        <v>5384</v>
      </c>
      <c r="C888" s="56">
        <v>45593.416666666664</v>
      </c>
      <c r="D888" s="57" t="s">
        <v>2148</v>
      </c>
      <c r="E888" s="56">
        <v>45593.5</v>
      </c>
      <c r="F888" s="53" t="s">
        <v>7541</v>
      </c>
      <c r="G888" s="4" t="s">
        <v>27</v>
      </c>
      <c r="H888" s="4" t="s">
        <v>1987</v>
      </c>
      <c r="K888" s="4" t="s">
        <v>7542</v>
      </c>
      <c r="L888" s="4"/>
    </row>
    <row r="889">
      <c r="A889" s="55" t="s">
        <v>7543</v>
      </c>
      <c r="B889" s="53" t="s">
        <v>6057</v>
      </c>
      <c r="C889" s="56">
        <v>45593.375</v>
      </c>
      <c r="D889" s="57" t="s">
        <v>2147</v>
      </c>
      <c r="E889" s="56">
        <v>45593.416666666664</v>
      </c>
      <c r="F889" s="53" t="s">
        <v>6053</v>
      </c>
      <c r="G889" s="4" t="s">
        <v>27</v>
      </c>
      <c r="H889" s="4" t="s">
        <v>1987</v>
      </c>
      <c r="K889" s="4" t="s">
        <v>7544</v>
      </c>
      <c r="L889" s="4"/>
    </row>
    <row r="890">
      <c r="A890" s="55" t="s">
        <v>7545</v>
      </c>
      <c r="B890" s="53" t="s">
        <v>1427</v>
      </c>
      <c r="C890" s="56">
        <v>45593.5</v>
      </c>
      <c r="D890" s="57" t="s">
        <v>2147</v>
      </c>
      <c r="E890" s="56">
        <v>45593.604166666664</v>
      </c>
      <c r="F890" s="53" t="s">
        <v>7546</v>
      </c>
      <c r="G890" s="4" t="s">
        <v>27</v>
      </c>
      <c r="H890" s="4" t="s">
        <v>1987</v>
      </c>
      <c r="K890" s="4" t="s">
        <v>7547</v>
      </c>
      <c r="L890" s="4" t="s">
        <v>7548</v>
      </c>
    </row>
    <row r="891">
      <c r="A891" s="55" t="s">
        <v>7549</v>
      </c>
      <c r="B891" s="53" t="s">
        <v>1427</v>
      </c>
      <c r="C891" s="56">
        <v>45593.479166666664</v>
      </c>
      <c r="D891" s="57" t="s">
        <v>6318</v>
      </c>
      <c r="E891" s="56">
        <v>45593.5</v>
      </c>
      <c r="F891" s="53" t="s">
        <v>6053</v>
      </c>
      <c r="G891" s="4" t="s">
        <v>110</v>
      </c>
      <c r="H891" s="4" t="s">
        <v>1987</v>
      </c>
      <c r="K891" s="4" t="s">
        <v>7550</v>
      </c>
      <c r="L891" s="4"/>
    </row>
    <row r="892">
      <c r="A892" s="66" t="s">
        <v>7551</v>
      </c>
      <c r="B892" s="53" t="s">
        <v>1427</v>
      </c>
      <c r="C892" s="56">
        <v>45593.5</v>
      </c>
      <c r="D892" s="57" t="s">
        <v>2147</v>
      </c>
      <c r="E892" s="56">
        <v>45593.541666666664</v>
      </c>
      <c r="F892" s="53" t="s">
        <v>6053</v>
      </c>
      <c r="G892" s="4" t="s">
        <v>110</v>
      </c>
      <c r="H892" s="4" t="s">
        <v>1987</v>
      </c>
      <c r="K892" s="4" t="s">
        <v>7552</v>
      </c>
      <c r="L892" s="4"/>
    </row>
    <row r="893">
      <c r="A893" s="55" t="s">
        <v>7553</v>
      </c>
      <c r="B893" s="53" t="s">
        <v>6057</v>
      </c>
      <c r="C893" s="56">
        <v>45593.604166666664</v>
      </c>
      <c r="D893" s="57" t="s">
        <v>2147</v>
      </c>
      <c r="E893" s="56">
        <v>45593.708333333336</v>
      </c>
      <c r="F893" s="53" t="s">
        <v>6053</v>
      </c>
      <c r="G893" s="4" t="s">
        <v>27</v>
      </c>
      <c r="H893" s="4" t="s">
        <v>1987</v>
      </c>
      <c r="K893" s="4" t="s">
        <v>7554</v>
      </c>
      <c r="L893" s="4" t="s">
        <v>7555</v>
      </c>
    </row>
    <row r="894">
      <c r="A894" s="55" t="s">
        <v>7556</v>
      </c>
      <c r="B894" s="53" t="s">
        <v>5377</v>
      </c>
      <c r="C894" s="56">
        <v>45593.708333333336</v>
      </c>
      <c r="D894" s="57" t="s">
        <v>2200</v>
      </c>
      <c r="E894" s="56">
        <v>45593.770833333336</v>
      </c>
      <c r="F894" s="53" t="s">
        <v>7557</v>
      </c>
      <c r="G894" s="4" t="s">
        <v>27</v>
      </c>
      <c r="H894" s="4" t="s">
        <v>1987</v>
      </c>
      <c r="K894" s="4" t="s">
        <v>7558</v>
      </c>
      <c r="L894" s="4" t="s">
        <v>7559</v>
      </c>
    </row>
    <row r="895">
      <c r="A895" s="55" t="s">
        <v>7560</v>
      </c>
      <c r="B895" s="53" t="s">
        <v>1557</v>
      </c>
      <c r="C895" s="56">
        <v>45595.541666666664</v>
      </c>
      <c r="D895" s="57" t="s">
        <v>6052</v>
      </c>
      <c r="E895" s="56">
        <v>45595.75</v>
      </c>
      <c r="F895" s="53" t="s">
        <v>6206</v>
      </c>
      <c r="G895" s="4" t="s">
        <v>27</v>
      </c>
      <c r="H895" s="4" t="s">
        <v>1987</v>
      </c>
      <c r="K895" s="4" t="s">
        <v>7561</v>
      </c>
      <c r="L895" s="4" t="s">
        <v>7562</v>
      </c>
    </row>
    <row r="896">
      <c r="A896" s="55"/>
      <c r="B896" s="53"/>
      <c r="C896" s="56"/>
      <c r="D896" s="61"/>
      <c r="E896" s="56"/>
      <c r="F896" s="53"/>
      <c r="G896" s="4"/>
      <c r="H896" s="4"/>
      <c r="K896" s="4"/>
      <c r="L896" s="4"/>
    </row>
    <row r="897">
      <c r="A897" s="55"/>
      <c r="B897" s="53"/>
      <c r="C897" s="56"/>
      <c r="D897" s="61"/>
      <c r="E897" s="56"/>
      <c r="F897" s="53"/>
      <c r="G897" s="4"/>
      <c r="H897" s="4"/>
      <c r="K897" s="4"/>
      <c r="L897" s="4"/>
    </row>
    <row r="898">
      <c r="A898" s="55" t="s">
        <v>7563</v>
      </c>
      <c r="B898" s="53" t="s">
        <v>1438</v>
      </c>
      <c r="C898" s="56">
        <v>45593.666666666664</v>
      </c>
      <c r="D898" s="57" t="s">
        <v>6318</v>
      </c>
      <c r="E898" s="56">
        <v>45593.6875</v>
      </c>
      <c r="F898" s="53" t="s">
        <v>7564</v>
      </c>
      <c r="G898" s="4" t="s">
        <v>135</v>
      </c>
      <c r="H898" s="4" t="s">
        <v>1987</v>
      </c>
      <c r="K898" s="4" t="s">
        <v>7565</v>
      </c>
      <c r="L898" s="4"/>
    </row>
    <row r="899">
      <c r="A899" s="55" t="s">
        <v>7566</v>
      </c>
      <c r="B899" s="53" t="s">
        <v>5457</v>
      </c>
      <c r="C899" s="56">
        <v>45593.6875</v>
      </c>
      <c r="D899" s="57" t="s">
        <v>2147</v>
      </c>
      <c r="E899" s="56">
        <v>45593.729166666664</v>
      </c>
      <c r="F899" s="53" t="s">
        <v>7567</v>
      </c>
      <c r="G899" s="4" t="s">
        <v>135</v>
      </c>
      <c r="H899" s="4" t="s">
        <v>1987</v>
      </c>
      <c r="K899" s="4" t="s">
        <v>7568</v>
      </c>
      <c r="L899" s="4"/>
    </row>
    <row r="900">
      <c r="A900" s="55" t="s">
        <v>7569</v>
      </c>
      <c r="B900" s="53" t="s">
        <v>1540</v>
      </c>
      <c r="C900" s="56">
        <v>45594.541666666664</v>
      </c>
      <c r="D900" s="57" t="s">
        <v>6318</v>
      </c>
      <c r="E900" s="56">
        <v>45594.5625</v>
      </c>
      <c r="F900" s="53" t="s">
        <v>7418</v>
      </c>
      <c r="G900" s="4" t="s">
        <v>110</v>
      </c>
      <c r="H900" s="4" t="s">
        <v>1987</v>
      </c>
      <c r="K900" s="4" t="s">
        <v>7570</v>
      </c>
      <c r="L900" s="4" t="s">
        <v>7571</v>
      </c>
    </row>
    <row r="901">
      <c r="A901" s="55" t="s">
        <v>7572</v>
      </c>
      <c r="B901" s="53" t="s">
        <v>1554</v>
      </c>
      <c r="C901" s="56">
        <v>45596.625</v>
      </c>
      <c r="D901" s="57" t="s">
        <v>2154</v>
      </c>
      <c r="E901" s="56">
        <v>45596.708333333336</v>
      </c>
      <c r="F901" s="53" t="s">
        <v>7573</v>
      </c>
      <c r="G901" s="4" t="s">
        <v>27</v>
      </c>
      <c r="H901" s="4" t="s">
        <v>1991</v>
      </c>
      <c r="K901" s="4" t="s">
        <v>7574</v>
      </c>
      <c r="L901" s="4"/>
    </row>
    <row r="902">
      <c r="A902" s="55"/>
      <c r="B902" s="53"/>
      <c r="C902" s="56"/>
      <c r="D902" s="61"/>
      <c r="E902" s="56"/>
      <c r="F902" s="53"/>
      <c r="G902" s="4"/>
      <c r="H902" s="4"/>
      <c r="K902" s="4"/>
      <c r="L902" s="4"/>
    </row>
    <row r="903">
      <c r="A903" s="55"/>
      <c r="B903" s="53"/>
      <c r="C903" s="56"/>
      <c r="D903" s="61"/>
      <c r="E903" s="56"/>
      <c r="F903" s="53"/>
      <c r="G903" s="4"/>
      <c r="H903" s="4"/>
      <c r="K903" s="4"/>
      <c r="L903" s="4"/>
    </row>
    <row r="904">
      <c r="A904" s="55" t="s">
        <v>7575</v>
      </c>
      <c r="B904" s="53" t="s">
        <v>1557</v>
      </c>
      <c r="C904" s="56">
        <v>45597.6875</v>
      </c>
      <c r="D904" s="57" t="s">
        <v>2154</v>
      </c>
      <c r="E904" s="56">
        <v>45597.770833333336</v>
      </c>
      <c r="F904" s="53" t="s">
        <v>7576</v>
      </c>
      <c r="G904" s="4" t="s">
        <v>27</v>
      </c>
      <c r="H904" s="4" t="s">
        <v>1991</v>
      </c>
      <c r="K904" s="4" t="s">
        <v>7577</v>
      </c>
      <c r="L904" s="4"/>
    </row>
    <row r="905">
      <c r="A905" s="55" t="s">
        <v>7578</v>
      </c>
      <c r="B905" s="53" t="s">
        <v>5377</v>
      </c>
      <c r="C905" s="56">
        <v>45594.541666666664</v>
      </c>
      <c r="D905" s="57" t="s">
        <v>6052</v>
      </c>
      <c r="E905" s="56">
        <v>45594.775</v>
      </c>
      <c r="F905" s="53" t="s">
        <v>7579</v>
      </c>
      <c r="G905" s="4" t="s">
        <v>27</v>
      </c>
      <c r="H905" s="4" t="s">
        <v>1987</v>
      </c>
      <c r="K905" s="4" t="s">
        <v>7580</v>
      </c>
      <c r="L905" s="4"/>
    </row>
    <row r="906">
      <c r="A906" s="55"/>
      <c r="B906" s="53"/>
      <c r="C906" s="56"/>
      <c r="D906" s="61"/>
      <c r="E906" s="56"/>
      <c r="F906" s="53"/>
      <c r="G906" s="4"/>
      <c r="H906" s="4"/>
      <c r="K906" s="4"/>
      <c r="L906" s="4"/>
    </row>
    <row r="907">
      <c r="A907" s="55" t="s">
        <v>7581</v>
      </c>
      <c r="B907" s="53" t="s">
        <v>1427</v>
      </c>
      <c r="C907" s="56">
        <v>45595.375</v>
      </c>
      <c r="D907" s="57" t="s">
        <v>6052</v>
      </c>
      <c r="E907" s="56">
        <v>45595.583333333336</v>
      </c>
      <c r="F907" s="53" t="s">
        <v>7582</v>
      </c>
      <c r="G907" s="4" t="s">
        <v>110</v>
      </c>
      <c r="H907" s="4" t="s">
        <v>1987</v>
      </c>
      <c r="K907" s="4"/>
      <c r="L907" s="4" t="s">
        <v>7583</v>
      </c>
    </row>
    <row r="908">
      <c r="A908" s="55" t="s">
        <v>7584</v>
      </c>
      <c r="B908" s="53" t="s">
        <v>5537</v>
      </c>
      <c r="C908" s="56">
        <v>45597.416666666664</v>
      </c>
      <c r="D908" s="57" t="s">
        <v>2200</v>
      </c>
      <c r="E908" s="56">
        <v>45597.541666666664</v>
      </c>
      <c r="F908" s="53" t="s">
        <v>2187</v>
      </c>
      <c r="G908" s="4" t="s">
        <v>110</v>
      </c>
      <c r="H908" s="4" t="s">
        <v>1987</v>
      </c>
      <c r="K908" s="4"/>
      <c r="L908" s="4" t="s">
        <v>7585</v>
      </c>
    </row>
    <row r="909">
      <c r="A909" s="55" t="s">
        <v>7586</v>
      </c>
      <c r="B909" s="53" t="s">
        <v>5377</v>
      </c>
      <c r="C909" s="56">
        <v>45597.5625</v>
      </c>
      <c r="D909" s="57" t="s">
        <v>2148</v>
      </c>
      <c r="E909" s="56">
        <v>45597.729166666664</v>
      </c>
      <c r="F909" s="53" t="s">
        <v>7587</v>
      </c>
      <c r="G909" s="4" t="s">
        <v>135</v>
      </c>
      <c r="H909" s="4" t="s">
        <v>1987</v>
      </c>
      <c r="K909" s="4" t="s">
        <v>7588</v>
      </c>
      <c r="L909" s="4" t="s">
        <v>7589</v>
      </c>
    </row>
    <row r="910">
      <c r="A910" s="55" t="s">
        <v>7590</v>
      </c>
      <c r="B910" s="53" t="s">
        <v>1554</v>
      </c>
      <c r="C910" s="56">
        <v>45595.416666666664</v>
      </c>
      <c r="D910" s="57" t="s">
        <v>2200</v>
      </c>
      <c r="E910" s="56">
        <v>45595.541666666664</v>
      </c>
      <c r="F910" s="53" t="s">
        <v>6146</v>
      </c>
      <c r="G910" s="4" t="s">
        <v>27</v>
      </c>
      <c r="H910" s="4" t="s">
        <v>1987</v>
      </c>
      <c r="K910" s="4" t="s">
        <v>7591</v>
      </c>
      <c r="L910" s="4"/>
    </row>
    <row r="911">
      <c r="A911" s="55" t="s">
        <v>7592</v>
      </c>
      <c r="B911" s="53" t="s">
        <v>6057</v>
      </c>
      <c r="C911" s="56">
        <v>45594.791666666664</v>
      </c>
      <c r="D911" s="57" t="s">
        <v>2147</v>
      </c>
      <c r="E911" s="56">
        <v>45594.833333333336</v>
      </c>
      <c r="F911" s="53" t="s">
        <v>7593</v>
      </c>
      <c r="G911" s="4" t="s">
        <v>27</v>
      </c>
      <c r="H911" s="4" t="s">
        <v>1987</v>
      </c>
      <c r="K911" s="4"/>
      <c r="L911" s="4" t="s">
        <v>7594</v>
      </c>
    </row>
    <row r="912">
      <c r="A912" s="55" t="s">
        <v>7595</v>
      </c>
      <c r="B912" s="53" t="s">
        <v>1438</v>
      </c>
      <c r="C912" s="56">
        <v>45595.645833333336</v>
      </c>
      <c r="D912" s="57" t="s">
        <v>2154</v>
      </c>
      <c r="E912" s="56">
        <v>45595.729166666664</v>
      </c>
      <c r="F912" s="53" t="s">
        <v>7596</v>
      </c>
      <c r="G912" s="4" t="s">
        <v>135</v>
      </c>
      <c r="H912" s="4" t="s">
        <v>1987</v>
      </c>
      <c r="K912" s="4" t="s">
        <v>7597</v>
      </c>
      <c r="L912" s="4"/>
    </row>
    <row r="913">
      <c r="A913" s="55"/>
      <c r="B913" s="53"/>
      <c r="C913" s="56"/>
      <c r="D913" s="61"/>
      <c r="E913" s="56"/>
      <c r="F913" s="53"/>
      <c r="G913" s="4"/>
      <c r="H913" s="4"/>
      <c r="K913" s="4"/>
      <c r="L913" s="4"/>
    </row>
    <row r="914">
      <c r="A914" s="55" t="s">
        <v>7598</v>
      </c>
      <c r="B914" s="53" t="s">
        <v>1557</v>
      </c>
      <c r="C914" s="56">
        <v>45597.395833333336</v>
      </c>
      <c r="D914" s="57" t="s">
        <v>2154</v>
      </c>
      <c r="E914" s="56">
        <v>45597.6875</v>
      </c>
      <c r="F914" s="53" t="s">
        <v>6206</v>
      </c>
      <c r="G914" s="4" t="s">
        <v>27</v>
      </c>
      <c r="H914" s="4" t="s">
        <v>1987</v>
      </c>
      <c r="K914" s="4" t="s">
        <v>7599</v>
      </c>
      <c r="L914" s="4" t="s">
        <v>7600</v>
      </c>
    </row>
    <row r="915">
      <c r="A915" s="55" t="s">
        <v>7601</v>
      </c>
      <c r="B915" s="53" t="s">
        <v>1557</v>
      </c>
      <c r="C915" s="56">
        <v>45596.375</v>
      </c>
      <c r="D915" s="57" t="s">
        <v>2154</v>
      </c>
      <c r="E915" s="56">
        <v>45596.479166666664</v>
      </c>
      <c r="F915" s="53" t="s">
        <v>6206</v>
      </c>
      <c r="G915" s="4" t="s">
        <v>27</v>
      </c>
      <c r="H915" s="4" t="s">
        <v>1987</v>
      </c>
      <c r="K915" s="4" t="s">
        <v>7602</v>
      </c>
      <c r="L915" s="4" t="s">
        <v>7603</v>
      </c>
    </row>
    <row r="916">
      <c r="A916" s="55"/>
      <c r="B916" s="53"/>
      <c r="C916" s="56"/>
      <c r="D916" s="61"/>
      <c r="E916" s="56"/>
      <c r="F916" s="53"/>
      <c r="G916" s="4"/>
      <c r="H916" s="4"/>
      <c r="K916" s="4"/>
      <c r="L916" s="4"/>
    </row>
    <row r="917">
      <c r="A917" s="55" t="s">
        <v>7604</v>
      </c>
      <c r="B917" s="53" t="s">
        <v>1427</v>
      </c>
      <c r="C917" s="56">
        <v>45596.333333333336</v>
      </c>
      <c r="D917" s="57" t="s">
        <v>6052</v>
      </c>
      <c r="E917" s="56">
        <v>45596.538194444445</v>
      </c>
      <c r="F917" s="53" t="s">
        <v>7605</v>
      </c>
      <c r="G917" s="4" t="s">
        <v>110</v>
      </c>
      <c r="H917" s="4" t="s">
        <v>1987</v>
      </c>
      <c r="K917" s="4" t="s">
        <v>7606</v>
      </c>
      <c r="L917" s="4" t="s">
        <v>7607</v>
      </c>
    </row>
    <row r="918">
      <c r="A918" s="55" t="s">
        <v>7608</v>
      </c>
      <c r="B918" s="53" t="s">
        <v>1540</v>
      </c>
      <c r="C918" s="56">
        <v>45596.538194444445</v>
      </c>
      <c r="D918" s="61"/>
      <c r="E918" s="56">
        <v>45596.541666666664</v>
      </c>
      <c r="F918" s="53" t="s">
        <v>7609</v>
      </c>
      <c r="G918" s="4" t="s">
        <v>110</v>
      </c>
      <c r="H918" s="4" t="s">
        <v>1987</v>
      </c>
      <c r="K918" s="4" t="s">
        <v>7610</v>
      </c>
      <c r="L918" s="4"/>
    </row>
    <row r="919">
      <c r="A919" s="55" t="s">
        <v>7611</v>
      </c>
      <c r="B919" s="53" t="s">
        <v>5377</v>
      </c>
      <c r="C919" s="56">
        <v>45596.583333333336</v>
      </c>
      <c r="D919" s="57" t="s">
        <v>6318</v>
      </c>
      <c r="E919" s="56">
        <v>45596.604166666664</v>
      </c>
      <c r="F919" s="53" t="s">
        <v>7612</v>
      </c>
      <c r="G919" s="4" t="s">
        <v>135</v>
      </c>
      <c r="H919" s="4" t="s">
        <v>1991</v>
      </c>
      <c r="K919" s="4" t="s">
        <v>7613</v>
      </c>
      <c r="L919" s="4"/>
    </row>
    <row r="920">
      <c r="A920" s="55" t="s">
        <v>7614</v>
      </c>
      <c r="B920" s="53" t="s">
        <v>1438</v>
      </c>
      <c r="C920" s="56">
        <v>45596.5625</v>
      </c>
      <c r="D920" s="57" t="s">
        <v>6318</v>
      </c>
      <c r="E920" s="56">
        <v>45596.583333333336</v>
      </c>
      <c r="F920" s="53" t="s">
        <v>7615</v>
      </c>
      <c r="G920" s="4" t="s">
        <v>135</v>
      </c>
      <c r="H920" s="4" t="s">
        <v>1987</v>
      </c>
      <c r="K920" s="4" t="s">
        <v>7616</v>
      </c>
      <c r="L920" s="4"/>
    </row>
    <row r="921">
      <c r="A921" s="55" t="s">
        <v>7617</v>
      </c>
      <c r="B921" s="53" t="s">
        <v>1438</v>
      </c>
      <c r="C921" s="56">
        <v>45596.604166666664</v>
      </c>
      <c r="D921" s="57" t="s">
        <v>2147</v>
      </c>
      <c r="E921" s="56">
        <v>45596.645833333336</v>
      </c>
      <c r="F921" s="53" t="s">
        <v>7615</v>
      </c>
      <c r="G921" s="4" t="s">
        <v>135</v>
      </c>
      <c r="H921" s="4" t="s">
        <v>1987</v>
      </c>
      <c r="K921" s="4" t="s">
        <v>7618</v>
      </c>
      <c r="L921" s="4"/>
    </row>
    <row r="922">
      <c r="A922" s="55" t="s">
        <v>7619</v>
      </c>
      <c r="B922" s="53" t="s">
        <v>1427</v>
      </c>
      <c r="C922" s="56">
        <v>45597.333333333336</v>
      </c>
      <c r="D922" s="57" t="s">
        <v>2154</v>
      </c>
      <c r="E922" s="56">
        <v>45597.416666666664</v>
      </c>
      <c r="F922" s="53" t="s">
        <v>7332</v>
      </c>
      <c r="G922" s="4" t="s">
        <v>110</v>
      </c>
      <c r="H922" s="4" t="s">
        <v>1987</v>
      </c>
      <c r="K922" s="4" t="s">
        <v>7620</v>
      </c>
      <c r="L922" s="4" t="s">
        <v>7621</v>
      </c>
    </row>
    <row r="923">
      <c r="A923" s="55" t="s">
        <v>7622</v>
      </c>
      <c r="B923" s="53" t="s">
        <v>6057</v>
      </c>
      <c r="C923" s="56">
        <v>45597.333333333336</v>
      </c>
      <c r="D923" s="57" t="s">
        <v>2147</v>
      </c>
      <c r="E923" s="56">
        <v>45597.395833333336</v>
      </c>
      <c r="F923" s="53" t="s">
        <v>7180</v>
      </c>
      <c r="G923" s="4" t="s">
        <v>27</v>
      </c>
      <c r="H923" s="4" t="s">
        <v>1987</v>
      </c>
      <c r="K923" s="4" t="s">
        <v>7623</v>
      </c>
      <c r="L923" s="4"/>
    </row>
    <row r="924">
      <c r="A924" s="55" t="s">
        <v>7624</v>
      </c>
      <c r="B924" s="53" t="s">
        <v>5537</v>
      </c>
      <c r="C924" s="56">
        <v>45600.333333333336</v>
      </c>
      <c r="D924" s="57" t="s">
        <v>6052</v>
      </c>
      <c r="E924" s="56">
        <v>45600.541666666664</v>
      </c>
      <c r="F924" s="53" t="s">
        <v>7332</v>
      </c>
      <c r="G924" s="4" t="s">
        <v>110</v>
      </c>
      <c r="H924" s="4" t="s">
        <v>1987</v>
      </c>
      <c r="K924" s="4" t="s">
        <v>7625</v>
      </c>
      <c r="L924" s="4"/>
    </row>
    <row r="925">
      <c r="A925" s="55" t="s">
        <v>7626</v>
      </c>
      <c r="B925" s="53" t="s">
        <v>1472</v>
      </c>
      <c r="C925" s="56">
        <v>45600.5625</v>
      </c>
      <c r="D925" s="57" t="s">
        <v>2154</v>
      </c>
      <c r="E925" s="56">
        <v>45600.645833333336</v>
      </c>
      <c r="F925" s="53" t="s">
        <v>7627</v>
      </c>
      <c r="G925" s="4" t="s">
        <v>135</v>
      </c>
      <c r="H925" s="4" t="s">
        <v>1987</v>
      </c>
      <c r="K925" s="4" t="s">
        <v>7628</v>
      </c>
      <c r="L925" s="4"/>
    </row>
    <row r="926">
      <c r="A926" s="55" t="s">
        <v>7629</v>
      </c>
      <c r="B926" s="53" t="s">
        <v>5384</v>
      </c>
      <c r="C926" s="56">
        <v>45600.645833333336</v>
      </c>
      <c r="D926" s="57" t="s">
        <v>2154</v>
      </c>
      <c r="E926" s="56">
        <v>45600.729166666664</v>
      </c>
      <c r="F926" s="53" t="s">
        <v>7630</v>
      </c>
      <c r="G926" s="4" t="s">
        <v>135</v>
      </c>
      <c r="H926" s="4" t="s">
        <v>1987</v>
      </c>
      <c r="K926" s="4" t="s">
        <v>7631</v>
      </c>
      <c r="L926" s="4"/>
    </row>
    <row r="927">
      <c r="A927" s="55" t="s">
        <v>7632</v>
      </c>
      <c r="B927" s="53" t="s">
        <v>5384</v>
      </c>
      <c r="C927" s="56">
        <v>45601.604166666664</v>
      </c>
      <c r="D927" s="57" t="s">
        <v>2154</v>
      </c>
      <c r="E927" s="56">
        <v>45601.729166666664</v>
      </c>
      <c r="F927" s="53" t="s">
        <v>7633</v>
      </c>
      <c r="G927" s="4" t="s">
        <v>135</v>
      </c>
      <c r="H927" s="4" t="s">
        <v>1987</v>
      </c>
      <c r="K927" s="4"/>
      <c r="L927" s="4" t="s">
        <v>7634</v>
      </c>
    </row>
    <row r="928">
      <c r="A928" s="55" t="s">
        <v>7635</v>
      </c>
      <c r="B928" s="53" t="s">
        <v>5384</v>
      </c>
      <c r="C928" s="56">
        <v>45603.5625</v>
      </c>
      <c r="D928" s="57" t="s">
        <v>2154</v>
      </c>
      <c r="E928" s="56">
        <v>45603.729166666664</v>
      </c>
      <c r="F928" s="53" t="s">
        <v>7630</v>
      </c>
      <c r="G928" s="4" t="s">
        <v>135</v>
      </c>
      <c r="H928" s="4" t="s">
        <v>1987</v>
      </c>
      <c r="K928" s="4" t="s">
        <v>7631</v>
      </c>
      <c r="L928" s="4" t="s">
        <v>7636</v>
      </c>
    </row>
    <row r="929">
      <c r="A929" s="55"/>
      <c r="B929" s="53"/>
      <c r="C929" s="56"/>
      <c r="D929" s="61"/>
      <c r="E929" s="56"/>
      <c r="F929" s="53"/>
      <c r="G929" s="4"/>
      <c r="H929" s="4"/>
      <c r="K929" s="4"/>
      <c r="L929" s="4"/>
    </row>
    <row r="930">
      <c r="A930" s="55" t="s">
        <v>7637</v>
      </c>
      <c r="B930" s="53" t="s">
        <v>5384</v>
      </c>
      <c r="C930" s="56">
        <v>45604.5625</v>
      </c>
      <c r="D930" s="57" t="s">
        <v>2154</v>
      </c>
      <c r="E930" s="56">
        <v>45604.729166666664</v>
      </c>
      <c r="F930" s="53" t="s">
        <v>7638</v>
      </c>
      <c r="G930" s="4" t="s">
        <v>135</v>
      </c>
      <c r="H930" s="4" t="s">
        <v>1987</v>
      </c>
      <c r="K930" s="4"/>
      <c r="L930" s="4" t="s">
        <v>7639</v>
      </c>
    </row>
    <row r="931">
      <c r="A931" s="55" t="s">
        <v>7640</v>
      </c>
      <c r="B931" s="53" t="s">
        <v>5377</v>
      </c>
      <c r="C931" s="56">
        <v>45605.375</v>
      </c>
      <c r="D931" s="57" t="s">
        <v>2148</v>
      </c>
      <c r="E931" s="56">
        <v>45605.541666666664</v>
      </c>
      <c r="F931" s="53" t="s">
        <v>7641</v>
      </c>
      <c r="G931" s="4" t="s">
        <v>135</v>
      </c>
      <c r="H931" s="4" t="s">
        <v>1987</v>
      </c>
      <c r="K931" s="4" t="s">
        <v>7642</v>
      </c>
      <c r="L931" s="4" t="s">
        <v>7643</v>
      </c>
    </row>
    <row r="932">
      <c r="A932" s="55" t="s">
        <v>7644</v>
      </c>
      <c r="B932" s="53" t="s">
        <v>5537</v>
      </c>
      <c r="C932" s="56">
        <v>45601.333333333336</v>
      </c>
      <c r="D932" s="57" t="s">
        <v>2148</v>
      </c>
      <c r="E932" s="56">
        <v>45601.5</v>
      </c>
      <c r="F932" s="53" t="s">
        <v>7645</v>
      </c>
      <c r="G932" s="4" t="s">
        <v>110</v>
      </c>
      <c r="H932" s="4" t="s">
        <v>1987</v>
      </c>
      <c r="K932" s="4" t="s">
        <v>7646</v>
      </c>
      <c r="L932" s="4" t="s">
        <v>7647</v>
      </c>
    </row>
    <row r="933">
      <c r="A933" s="55"/>
      <c r="B933" s="53"/>
      <c r="C933" s="56"/>
      <c r="D933" s="61"/>
      <c r="E933" s="56"/>
      <c r="F933" s="53"/>
      <c r="G933" s="4"/>
      <c r="H933" s="4"/>
      <c r="K933" s="4"/>
      <c r="L933" s="4"/>
    </row>
    <row r="934">
      <c r="A934" s="55" t="s">
        <v>7648</v>
      </c>
      <c r="B934" s="53" t="s">
        <v>1540</v>
      </c>
      <c r="C934" s="56">
        <v>45602.333333333336</v>
      </c>
      <c r="D934" s="57" t="s">
        <v>2148</v>
      </c>
      <c r="E934" s="56">
        <v>45602.5</v>
      </c>
      <c r="F934" s="53" t="s">
        <v>7649</v>
      </c>
      <c r="G934" s="4" t="s">
        <v>110</v>
      </c>
      <c r="H934" s="4" t="s">
        <v>1987</v>
      </c>
      <c r="K934" s="4" t="s">
        <v>7650</v>
      </c>
      <c r="L934" s="4"/>
    </row>
    <row r="935">
      <c r="A935" s="55"/>
      <c r="B935" s="53"/>
      <c r="C935" s="56"/>
      <c r="D935" s="61"/>
      <c r="E935" s="56"/>
      <c r="F935" s="53"/>
      <c r="G935" s="4"/>
      <c r="H935" s="4"/>
      <c r="K935" s="4"/>
      <c r="L935" s="4"/>
    </row>
    <row r="936">
      <c r="A936" s="55" t="s">
        <v>7651</v>
      </c>
      <c r="B936" s="53" t="s">
        <v>5559</v>
      </c>
      <c r="C936" s="56">
        <v>45604.416666666664</v>
      </c>
      <c r="D936" s="57" t="s">
        <v>2154</v>
      </c>
      <c r="E936" s="56">
        <v>45604.5</v>
      </c>
      <c r="F936" s="53" t="s">
        <v>7652</v>
      </c>
      <c r="G936" s="4" t="s">
        <v>110</v>
      </c>
      <c r="H936" s="4" t="s">
        <v>1987</v>
      </c>
      <c r="K936" s="4" t="s">
        <v>7653</v>
      </c>
      <c r="L936" s="4" t="s">
        <v>7654</v>
      </c>
    </row>
    <row r="937">
      <c r="A937" s="55" t="s">
        <v>7655</v>
      </c>
      <c r="B937" s="53" t="s">
        <v>1554</v>
      </c>
      <c r="C937" s="56">
        <v>45602.625</v>
      </c>
      <c r="D937" s="57" t="s">
        <v>2154</v>
      </c>
      <c r="E937" s="56">
        <v>45602.708333333336</v>
      </c>
      <c r="F937" s="53" t="s">
        <v>7656</v>
      </c>
      <c r="G937" s="4" t="s">
        <v>27</v>
      </c>
      <c r="H937" s="4" t="s">
        <v>1991</v>
      </c>
      <c r="K937" s="4" t="s">
        <v>7657</v>
      </c>
      <c r="L937" s="4"/>
    </row>
    <row r="938">
      <c r="A938" s="55" t="s">
        <v>7658</v>
      </c>
      <c r="B938" s="53" t="s">
        <v>1427</v>
      </c>
      <c r="C938" s="56">
        <v>45601.333333333336</v>
      </c>
      <c r="D938" s="57" t="s">
        <v>6052</v>
      </c>
      <c r="E938" s="56">
        <v>45601.541666666664</v>
      </c>
      <c r="F938" s="53" t="s">
        <v>6053</v>
      </c>
      <c r="G938" s="4" t="s">
        <v>27</v>
      </c>
      <c r="H938" s="4" t="s">
        <v>1987</v>
      </c>
      <c r="K938" s="4" t="s">
        <v>7659</v>
      </c>
      <c r="L938" s="4"/>
    </row>
    <row r="939">
      <c r="A939" s="55" t="s">
        <v>7660</v>
      </c>
      <c r="B939" s="53" t="s">
        <v>6057</v>
      </c>
      <c r="C939" s="56">
        <v>45600.583333333336</v>
      </c>
      <c r="D939" s="57" t="s">
        <v>6052</v>
      </c>
      <c r="E939" s="56">
        <v>45600.916666666664</v>
      </c>
      <c r="F939" s="53" t="s">
        <v>7661</v>
      </c>
      <c r="G939" s="4" t="s">
        <v>27</v>
      </c>
      <c r="H939" s="4" t="s">
        <v>1987</v>
      </c>
      <c r="K939" s="4"/>
      <c r="L939" s="4" t="s">
        <v>7662</v>
      </c>
    </row>
    <row r="940">
      <c r="A940" s="55" t="s">
        <v>7663</v>
      </c>
      <c r="B940" s="53" t="s">
        <v>6057</v>
      </c>
      <c r="C940" s="56">
        <v>45601.583333333336</v>
      </c>
      <c r="D940" s="57" t="s">
        <v>2148</v>
      </c>
      <c r="E940" s="56">
        <v>45601.75</v>
      </c>
      <c r="F940" s="53" t="s">
        <v>6053</v>
      </c>
      <c r="G940" s="4" t="s">
        <v>27</v>
      </c>
      <c r="H940" s="4" t="s">
        <v>1987</v>
      </c>
      <c r="K940" s="4" t="s">
        <v>7664</v>
      </c>
      <c r="L940" s="4"/>
    </row>
    <row r="941">
      <c r="A941" s="55" t="s">
        <v>7665</v>
      </c>
      <c r="B941" s="53" t="s">
        <v>1427</v>
      </c>
      <c r="C941" s="56">
        <v>45603.333333333336</v>
      </c>
      <c r="D941" s="57" t="s">
        <v>6052</v>
      </c>
      <c r="E941" s="56">
        <v>45603.520833333336</v>
      </c>
      <c r="F941" s="53" t="s">
        <v>6053</v>
      </c>
      <c r="G941" s="4" t="s">
        <v>27</v>
      </c>
      <c r="H941" s="4" t="s">
        <v>1987</v>
      </c>
      <c r="K941" s="4" t="s">
        <v>7666</v>
      </c>
      <c r="L941" s="4" t="s">
        <v>7667</v>
      </c>
    </row>
    <row r="942">
      <c r="A942" s="55" t="s">
        <v>7668</v>
      </c>
      <c r="B942" s="53" t="s">
        <v>5533</v>
      </c>
      <c r="C942" s="56">
        <v>45603.708333333336</v>
      </c>
      <c r="D942" s="57" t="s">
        <v>2147</v>
      </c>
      <c r="E942" s="56">
        <v>45603.75</v>
      </c>
      <c r="F942" s="53" t="s">
        <v>7669</v>
      </c>
      <c r="G942" s="4" t="s">
        <v>27</v>
      </c>
      <c r="H942" s="4" t="s">
        <v>1991</v>
      </c>
      <c r="K942" s="4" t="s">
        <v>7670</v>
      </c>
      <c r="L942" s="4"/>
    </row>
    <row r="943">
      <c r="A943" s="55" t="s">
        <v>7671</v>
      </c>
      <c r="B943" s="53" t="s">
        <v>6057</v>
      </c>
      <c r="C943" s="56">
        <v>45602.375</v>
      </c>
      <c r="D943" s="57" t="s">
        <v>2154</v>
      </c>
      <c r="E943" s="56">
        <v>45602.625</v>
      </c>
      <c r="F943" s="53" t="s">
        <v>6053</v>
      </c>
      <c r="G943" s="4" t="s">
        <v>27</v>
      </c>
      <c r="H943" s="4" t="s">
        <v>1987</v>
      </c>
      <c r="K943" s="4" t="s">
        <v>7672</v>
      </c>
      <c r="L943" s="4" t="s">
        <v>7673</v>
      </c>
    </row>
    <row r="944">
      <c r="A944" s="55" t="s">
        <v>7674</v>
      </c>
      <c r="B944" s="53" t="s">
        <v>1540</v>
      </c>
      <c r="C944" s="56">
        <v>45603.333333333336</v>
      </c>
      <c r="D944" s="57" t="s">
        <v>2148</v>
      </c>
      <c r="E944" s="56">
        <v>45603.5</v>
      </c>
      <c r="F944" s="53" t="s">
        <v>7649</v>
      </c>
      <c r="G944" s="4" t="s">
        <v>110</v>
      </c>
      <c r="H944" s="4" t="s">
        <v>1987</v>
      </c>
      <c r="K944" s="4" t="s">
        <v>7675</v>
      </c>
      <c r="L944" s="4"/>
    </row>
    <row r="945">
      <c r="A945" s="55" t="s">
        <v>7676</v>
      </c>
      <c r="B945" s="53" t="s">
        <v>1438</v>
      </c>
      <c r="C945" s="56">
        <v>45603.520833333336</v>
      </c>
      <c r="D945" s="57" t="s">
        <v>2154</v>
      </c>
      <c r="E945" s="56">
        <v>45603.604166666664</v>
      </c>
      <c r="F945" s="53" t="s">
        <v>7677</v>
      </c>
      <c r="G945" s="4" t="s">
        <v>27</v>
      </c>
      <c r="H945" s="4" t="s">
        <v>1991</v>
      </c>
      <c r="K945" s="4" t="s">
        <v>7678</v>
      </c>
      <c r="L945" s="4" t="s">
        <v>7679</v>
      </c>
    </row>
    <row r="946">
      <c r="A946" s="55" t="s">
        <v>7680</v>
      </c>
      <c r="B946" s="53" t="s">
        <v>1472</v>
      </c>
      <c r="C946" s="56">
        <v>45603.75</v>
      </c>
      <c r="D946" s="57" t="s">
        <v>2154</v>
      </c>
      <c r="E946" s="56">
        <v>45603.8125</v>
      </c>
      <c r="F946" s="53" t="s">
        <v>6130</v>
      </c>
      <c r="G946" s="4" t="s">
        <v>27</v>
      </c>
      <c r="H946" s="4" t="s">
        <v>1991</v>
      </c>
      <c r="K946" s="4" t="s">
        <v>7681</v>
      </c>
      <c r="L946" s="4" t="s">
        <v>7682</v>
      </c>
    </row>
    <row r="947">
      <c r="A947" s="55" t="s">
        <v>7683</v>
      </c>
      <c r="B947" s="53" t="s">
        <v>1472</v>
      </c>
      <c r="C947" s="56">
        <v>45601.5625</v>
      </c>
      <c r="D947" s="57" t="s">
        <v>2147</v>
      </c>
      <c r="E947" s="56">
        <v>45601.604166666664</v>
      </c>
      <c r="F947" s="53" t="s">
        <v>7684</v>
      </c>
      <c r="G947" s="4" t="s">
        <v>135</v>
      </c>
      <c r="H947" s="4" t="s">
        <v>1987</v>
      </c>
      <c r="K947" s="4" t="s">
        <v>7685</v>
      </c>
      <c r="L947" s="4"/>
    </row>
    <row r="948">
      <c r="A948" s="66" t="s">
        <v>7686</v>
      </c>
      <c r="B948" s="53" t="s">
        <v>1557</v>
      </c>
      <c r="C948" s="56">
        <v>45604.666666666664</v>
      </c>
      <c r="D948" s="57" t="s">
        <v>2154</v>
      </c>
      <c r="E948" s="56">
        <v>45604.8125</v>
      </c>
      <c r="F948" s="53" t="s">
        <v>7687</v>
      </c>
      <c r="G948" s="4" t="s">
        <v>27</v>
      </c>
      <c r="H948" s="4" t="s">
        <v>1991</v>
      </c>
      <c r="K948" s="4" t="s">
        <v>7688</v>
      </c>
      <c r="L948" s="4" t="s">
        <v>7689</v>
      </c>
    </row>
    <row r="949">
      <c r="A949" s="55"/>
      <c r="B949" s="53"/>
      <c r="C949" s="56"/>
      <c r="D949" s="61"/>
      <c r="E949" s="56"/>
      <c r="F949" s="53"/>
      <c r="G949" s="4"/>
      <c r="H949" s="4"/>
      <c r="K949" s="4"/>
      <c r="L949" s="4"/>
    </row>
    <row r="950">
      <c r="A950" s="66" t="s">
        <v>7690</v>
      </c>
      <c r="B950" s="53" t="s">
        <v>6057</v>
      </c>
      <c r="C950" s="56">
        <v>45603.604166666664</v>
      </c>
      <c r="D950" s="57" t="s">
        <v>2154</v>
      </c>
      <c r="E950" s="56">
        <v>45603.708333333336</v>
      </c>
      <c r="F950" s="53" t="s">
        <v>6053</v>
      </c>
      <c r="G950" s="4" t="s">
        <v>27</v>
      </c>
      <c r="H950" s="4" t="s">
        <v>1987</v>
      </c>
      <c r="K950" s="4"/>
      <c r="L950" s="4" t="s">
        <v>7691</v>
      </c>
    </row>
    <row r="951">
      <c r="A951" s="55" t="s">
        <v>7692</v>
      </c>
      <c r="B951" s="53" t="s">
        <v>1472</v>
      </c>
      <c r="C951" s="56">
        <v>45609.395833333336</v>
      </c>
      <c r="D951" s="57" t="s">
        <v>2154</v>
      </c>
      <c r="E951" s="56">
        <v>45609.5</v>
      </c>
      <c r="F951" s="53" t="s">
        <v>7693</v>
      </c>
      <c r="G951" s="4" t="s">
        <v>27</v>
      </c>
      <c r="H951" s="4" t="s">
        <v>1991</v>
      </c>
      <c r="K951" s="4" t="s">
        <v>7694</v>
      </c>
      <c r="L951" s="4" t="s">
        <v>7695</v>
      </c>
    </row>
    <row r="952">
      <c r="A952" s="55" t="s">
        <v>7696</v>
      </c>
      <c r="B952" s="53" t="s">
        <v>5457</v>
      </c>
      <c r="C952" s="56">
        <v>45604.333333333336</v>
      </c>
      <c r="D952" s="57" t="s">
        <v>2147</v>
      </c>
      <c r="E952" s="56">
        <v>45604.375</v>
      </c>
      <c r="F952" s="53" t="s">
        <v>7355</v>
      </c>
      <c r="G952" s="4" t="s">
        <v>27</v>
      </c>
      <c r="H952" s="4" t="s">
        <v>1991</v>
      </c>
      <c r="K952" s="4" t="s">
        <v>7697</v>
      </c>
      <c r="L952" s="4"/>
    </row>
    <row r="953">
      <c r="A953" s="55" t="s">
        <v>7698</v>
      </c>
      <c r="B953" s="53" t="s">
        <v>5559</v>
      </c>
      <c r="C953" s="56">
        <v>45604.375</v>
      </c>
      <c r="D953" s="61"/>
      <c r="E953" s="56">
        <v>45604.479166666664</v>
      </c>
      <c r="F953" s="53" t="s">
        <v>7699</v>
      </c>
      <c r="G953" s="4" t="s">
        <v>27</v>
      </c>
      <c r="H953" s="4" t="s">
        <v>1987</v>
      </c>
      <c r="K953" s="4" t="s">
        <v>7700</v>
      </c>
      <c r="L953" s="4" t="s">
        <v>7701</v>
      </c>
    </row>
    <row r="954">
      <c r="A954" s="55" t="s">
        <v>7702</v>
      </c>
      <c r="B954" s="53" t="s">
        <v>1540</v>
      </c>
      <c r="C954" s="56">
        <v>45604.333333333336</v>
      </c>
      <c r="D954" s="57" t="s">
        <v>2154</v>
      </c>
      <c r="E954" s="56">
        <v>45604.416666666664</v>
      </c>
      <c r="F954" s="53" t="s">
        <v>7703</v>
      </c>
      <c r="G954" s="4" t="s">
        <v>110</v>
      </c>
      <c r="H954" s="4" t="s">
        <v>1987</v>
      </c>
      <c r="K954" s="4"/>
      <c r="L954" s="4" t="s">
        <v>7704</v>
      </c>
    </row>
    <row r="955">
      <c r="A955" s="55" t="s">
        <v>7705</v>
      </c>
      <c r="B955" s="53" t="s">
        <v>6057</v>
      </c>
      <c r="C955" s="56">
        <v>45604.58472222222</v>
      </c>
      <c r="D955" s="57" t="s">
        <v>2147</v>
      </c>
      <c r="E955" s="56">
        <v>45604.666666666664</v>
      </c>
      <c r="F955" s="53" t="s">
        <v>6053</v>
      </c>
      <c r="G955" s="4" t="s">
        <v>27</v>
      </c>
      <c r="H955" s="4" t="s">
        <v>1987</v>
      </c>
      <c r="K955" s="4" t="s">
        <v>7706</v>
      </c>
      <c r="L955" s="4" t="s">
        <v>7707</v>
      </c>
    </row>
    <row r="956">
      <c r="A956" s="55" t="s">
        <v>7708</v>
      </c>
      <c r="B956" s="53" t="s">
        <v>5559</v>
      </c>
      <c r="C956" s="56">
        <v>45607.333333333336</v>
      </c>
      <c r="D956" s="57" t="s">
        <v>2148</v>
      </c>
      <c r="E956" s="56">
        <v>45607.5</v>
      </c>
      <c r="F956" s="53" t="s">
        <v>6146</v>
      </c>
      <c r="G956" s="4" t="s">
        <v>110</v>
      </c>
      <c r="H956" s="4" t="s">
        <v>1987</v>
      </c>
      <c r="K956" s="4"/>
      <c r="L956" s="4" t="s">
        <v>7709</v>
      </c>
    </row>
    <row r="957">
      <c r="A957" s="55" t="s">
        <v>7710</v>
      </c>
      <c r="B957" s="53" t="s">
        <v>5559</v>
      </c>
      <c r="C957" s="56">
        <v>45609.333333333336</v>
      </c>
      <c r="D957" s="57" t="s">
        <v>2148</v>
      </c>
      <c r="E957" s="56">
        <v>45609.395833333336</v>
      </c>
      <c r="F957" s="53" t="s">
        <v>6189</v>
      </c>
      <c r="G957" s="4" t="s">
        <v>110</v>
      </c>
      <c r="H957" s="4" t="s">
        <v>1987</v>
      </c>
      <c r="K957" s="4"/>
      <c r="L957" s="4" t="s">
        <v>7711</v>
      </c>
    </row>
    <row r="958">
      <c r="A958" s="55" t="s">
        <v>7712</v>
      </c>
      <c r="B958" s="53" t="s">
        <v>5537</v>
      </c>
      <c r="C958" s="56">
        <v>45608.333333333336</v>
      </c>
      <c r="D958" s="57" t="s">
        <v>2148</v>
      </c>
      <c r="E958" s="56">
        <v>45608.5</v>
      </c>
      <c r="F958" s="53" t="s">
        <v>7713</v>
      </c>
      <c r="G958" s="4" t="s">
        <v>110</v>
      </c>
      <c r="H958" s="4" t="s">
        <v>1987</v>
      </c>
      <c r="K958" s="4" t="s">
        <v>7714</v>
      </c>
      <c r="L958" s="4" t="s">
        <v>7715</v>
      </c>
    </row>
    <row r="959">
      <c r="A959" s="55" t="s">
        <v>7716</v>
      </c>
      <c r="B959" s="53" t="s">
        <v>1557</v>
      </c>
      <c r="C959" s="56">
        <v>45605.416666666664</v>
      </c>
      <c r="D959" s="57" t="s">
        <v>2147</v>
      </c>
      <c r="E959" s="56">
        <v>45605.479166666664</v>
      </c>
      <c r="F959" s="53" t="s">
        <v>7717</v>
      </c>
      <c r="G959" s="4" t="s">
        <v>27</v>
      </c>
      <c r="H959" s="4" t="s">
        <v>1987</v>
      </c>
      <c r="K959" s="4" t="s">
        <v>7718</v>
      </c>
      <c r="L959" s="4" t="s">
        <v>7719</v>
      </c>
    </row>
    <row r="960">
      <c r="A960" s="55" t="s">
        <v>7720</v>
      </c>
      <c r="B960" s="53" t="s">
        <v>1557</v>
      </c>
      <c r="C960" s="56">
        <v>45607.375</v>
      </c>
      <c r="D960" s="57" t="s">
        <v>6318</v>
      </c>
      <c r="E960" s="56">
        <v>45607.395833333336</v>
      </c>
      <c r="F960" s="53" t="s">
        <v>7721</v>
      </c>
      <c r="G960" s="4" t="s">
        <v>27</v>
      </c>
      <c r="H960" s="4" t="s">
        <v>1987</v>
      </c>
      <c r="K960" s="4" t="s">
        <v>7722</v>
      </c>
      <c r="L960" s="4"/>
    </row>
    <row r="961">
      <c r="A961" s="55" t="s">
        <v>7723</v>
      </c>
      <c r="B961" s="53" t="s">
        <v>6057</v>
      </c>
      <c r="C961" s="56">
        <v>45607.395833333336</v>
      </c>
      <c r="D961" s="57" t="s">
        <v>6318</v>
      </c>
      <c r="E961" s="56">
        <v>45607.416666666664</v>
      </c>
      <c r="F961" s="53" t="s">
        <v>6053</v>
      </c>
      <c r="G961" s="4" t="s">
        <v>27</v>
      </c>
      <c r="H961" s="4" t="s">
        <v>1987</v>
      </c>
      <c r="K961" s="4" t="s">
        <v>7724</v>
      </c>
      <c r="L961" s="4"/>
    </row>
    <row r="962">
      <c r="A962" s="55" t="s">
        <v>7725</v>
      </c>
      <c r="B962" s="53" t="s">
        <v>5457</v>
      </c>
      <c r="C962" s="56">
        <v>45607.416666666664</v>
      </c>
      <c r="D962" s="57" t="s">
        <v>2147</v>
      </c>
      <c r="E962" s="56">
        <v>45607.47222222222</v>
      </c>
      <c r="F962" s="53" t="s">
        <v>7726</v>
      </c>
      <c r="G962" s="4" t="s">
        <v>27</v>
      </c>
      <c r="H962" s="4" t="s">
        <v>1987</v>
      </c>
      <c r="K962" s="4" t="s">
        <v>7727</v>
      </c>
      <c r="L962" s="4" t="s">
        <v>7728</v>
      </c>
    </row>
    <row r="963">
      <c r="A963" s="55" t="s">
        <v>7729</v>
      </c>
      <c r="B963" s="53" t="s">
        <v>6057</v>
      </c>
      <c r="C963" s="56">
        <v>45607.47222222222</v>
      </c>
      <c r="D963" s="57" t="s">
        <v>6318</v>
      </c>
      <c r="E963" s="56">
        <v>45607.493055555555</v>
      </c>
      <c r="F963" s="53" t="s">
        <v>6053</v>
      </c>
      <c r="G963" s="4" t="s">
        <v>27</v>
      </c>
      <c r="H963" s="4" t="s">
        <v>1987</v>
      </c>
      <c r="K963" s="4" t="s">
        <v>7730</v>
      </c>
      <c r="L963" s="4"/>
    </row>
    <row r="964">
      <c r="A964" s="55" t="s">
        <v>7731</v>
      </c>
      <c r="B964" s="53" t="s">
        <v>1438</v>
      </c>
      <c r="C964" s="56">
        <v>45607.493055555555</v>
      </c>
      <c r="D964" s="57" t="s">
        <v>2147</v>
      </c>
      <c r="E964" s="56">
        <v>45607.618055555555</v>
      </c>
      <c r="F964" s="53" t="s">
        <v>6240</v>
      </c>
      <c r="G964" s="4" t="s">
        <v>27</v>
      </c>
      <c r="H964" s="4" t="s">
        <v>1987</v>
      </c>
      <c r="K964" s="4" t="s">
        <v>7732</v>
      </c>
      <c r="L964" s="4" t="s">
        <v>7733</v>
      </c>
    </row>
    <row r="965">
      <c r="A965" s="55" t="s">
        <v>7734</v>
      </c>
      <c r="B965" s="53" t="s">
        <v>5377</v>
      </c>
      <c r="C965" s="56">
        <v>45607.5625</v>
      </c>
      <c r="D965" s="57" t="s">
        <v>2147</v>
      </c>
      <c r="E965" s="56">
        <v>45607.65625</v>
      </c>
      <c r="F965" s="53" t="s">
        <v>7735</v>
      </c>
      <c r="G965" s="4" t="s">
        <v>135</v>
      </c>
      <c r="H965" s="4" t="s">
        <v>1987</v>
      </c>
      <c r="K965" s="4" t="s">
        <v>7736</v>
      </c>
      <c r="L965" s="4" t="s">
        <v>7737</v>
      </c>
    </row>
    <row r="966">
      <c r="A966" s="55" t="s">
        <v>7738</v>
      </c>
      <c r="B966" s="53" t="s">
        <v>1438</v>
      </c>
      <c r="C966" s="56">
        <v>45612.375</v>
      </c>
      <c r="D966" s="57" t="s">
        <v>2148</v>
      </c>
      <c r="E966" s="56">
        <v>45612.541666666664</v>
      </c>
      <c r="F966" s="53" t="s">
        <v>7739</v>
      </c>
      <c r="G966" s="4" t="s">
        <v>135</v>
      </c>
      <c r="H966" s="4" t="s">
        <v>1987</v>
      </c>
      <c r="K966" s="4" t="s">
        <v>7740</v>
      </c>
      <c r="L966" s="4" t="s">
        <v>7741</v>
      </c>
    </row>
    <row r="967">
      <c r="A967" s="55" t="s">
        <v>7742</v>
      </c>
      <c r="B967" s="53" t="s">
        <v>5384</v>
      </c>
      <c r="C967" s="56">
        <v>45607.65625</v>
      </c>
      <c r="D967" s="57" t="s">
        <v>2147</v>
      </c>
      <c r="E967" s="56">
        <v>45607.729166666664</v>
      </c>
      <c r="F967" s="53" t="s">
        <v>7743</v>
      </c>
      <c r="G967" s="4" t="s">
        <v>135</v>
      </c>
      <c r="H967" s="4" t="s">
        <v>1987</v>
      </c>
      <c r="K967" s="4" t="s">
        <v>7744</v>
      </c>
      <c r="L967" s="4" t="s">
        <v>7745</v>
      </c>
    </row>
    <row r="968">
      <c r="A968" s="55"/>
      <c r="B968" s="53"/>
      <c r="C968" s="56"/>
      <c r="D968" s="61"/>
      <c r="E968" s="56"/>
      <c r="F968" s="53"/>
      <c r="G968" s="4"/>
      <c r="H968" s="4"/>
      <c r="K968" s="4"/>
      <c r="L968" s="4"/>
    </row>
    <row r="969">
      <c r="A969" s="55" t="s">
        <v>7746</v>
      </c>
      <c r="B969" s="53" t="s">
        <v>1438</v>
      </c>
      <c r="C969" s="56">
        <v>45610.5625</v>
      </c>
      <c r="D969" s="57" t="s">
        <v>2148</v>
      </c>
      <c r="E969" s="56">
        <v>45610.729166666664</v>
      </c>
      <c r="F969" s="53" t="s">
        <v>7739</v>
      </c>
      <c r="G969" s="4" t="s">
        <v>135</v>
      </c>
      <c r="H969" s="4" t="s">
        <v>1987</v>
      </c>
      <c r="K969" s="4" t="s">
        <v>7747</v>
      </c>
      <c r="L969" s="4"/>
    </row>
    <row r="970">
      <c r="A970" s="55" t="s">
        <v>7748</v>
      </c>
      <c r="B970" s="53" t="s">
        <v>5578</v>
      </c>
      <c r="C970" s="56">
        <v>45607.63958333333</v>
      </c>
      <c r="D970" s="57" t="s">
        <v>6318</v>
      </c>
      <c r="E970" s="56">
        <v>45607.64027777778</v>
      </c>
      <c r="F970" s="53" t="s">
        <v>6376</v>
      </c>
      <c r="G970" s="4" t="s">
        <v>27</v>
      </c>
      <c r="H970" s="4" t="s">
        <v>1991</v>
      </c>
      <c r="K970" s="4" t="s">
        <v>7749</v>
      </c>
      <c r="L970" s="4"/>
    </row>
    <row r="971">
      <c r="A971" s="55" t="s">
        <v>7750</v>
      </c>
      <c r="B971" s="53" t="s">
        <v>5559</v>
      </c>
      <c r="C971" s="56">
        <v>45609.354166666664</v>
      </c>
      <c r="D971" s="57" t="s">
        <v>2154</v>
      </c>
      <c r="E971" s="56">
        <v>45609.375</v>
      </c>
      <c r="F971" s="53" t="s">
        <v>7751</v>
      </c>
      <c r="G971" s="4" t="s">
        <v>27</v>
      </c>
      <c r="H971" s="4" t="s">
        <v>1991</v>
      </c>
      <c r="K971" s="4" t="s">
        <v>7752</v>
      </c>
      <c r="L971" s="4" t="s">
        <v>7753</v>
      </c>
    </row>
    <row r="972">
      <c r="A972" s="55" t="s">
        <v>7754</v>
      </c>
      <c r="B972" s="53" t="s">
        <v>5537</v>
      </c>
      <c r="C972" s="56">
        <v>45607.666666666664</v>
      </c>
      <c r="D972" s="57" t="s">
        <v>2147</v>
      </c>
      <c r="E972" s="56">
        <v>45607.729166666664</v>
      </c>
      <c r="F972" s="53" t="s">
        <v>7755</v>
      </c>
      <c r="G972" s="4" t="s">
        <v>27</v>
      </c>
      <c r="H972" s="4" t="s">
        <v>1987</v>
      </c>
      <c r="K972" s="4"/>
      <c r="L972" s="4" t="s">
        <v>7756</v>
      </c>
    </row>
    <row r="973">
      <c r="A973" s="66" t="s">
        <v>7757</v>
      </c>
      <c r="B973" s="53" t="s">
        <v>1427</v>
      </c>
      <c r="C973" s="56">
        <v>45608.375</v>
      </c>
      <c r="D973" s="57" t="s">
        <v>2148</v>
      </c>
      <c r="E973" s="56">
        <v>45608.520833333336</v>
      </c>
      <c r="F973" s="53" t="s">
        <v>7400</v>
      </c>
      <c r="G973" s="4" t="s">
        <v>27</v>
      </c>
      <c r="H973" s="4" t="s">
        <v>1987</v>
      </c>
      <c r="K973" s="4" t="s">
        <v>7758</v>
      </c>
      <c r="L973" s="4"/>
    </row>
    <row r="974">
      <c r="A974" s="55" t="s">
        <v>7759</v>
      </c>
      <c r="B974" s="53" t="s">
        <v>1427</v>
      </c>
      <c r="C974" s="56">
        <v>45610.424305555556</v>
      </c>
      <c r="D974" s="57" t="s">
        <v>6052</v>
      </c>
      <c r="E974" s="56">
        <v>45610.541666666664</v>
      </c>
      <c r="F974" s="53" t="s">
        <v>7424</v>
      </c>
      <c r="G974" s="4" t="s">
        <v>27</v>
      </c>
      <c r="H974" s="4" t="s">
        <v>1987</v>
      </c>
      <c r="K974" s="4" t="s">
        <v>7760</v>
      </c>
      <c r="L974" s="4" t="s">
        <v>7761</v>
      </c>
    </row>
    <row r="975">
      <c r="A975" s="55" t="s">
        <v>7762</v>
      </c>
      <c r="B975" s="53" t="s">
        <v>5537</v>
      </c>
      <c r="C975" s="56">
        <v>45609.395833333336</v>
      </c>
      <c r="D975" s="57" t="s">
        <v>2148</v>
      </c>
      <c r="E975" s="56">
        <v>45609.5</v>
      </c>
      <c r="F975" s="53" t="s">
        <v>7713</v>
      </c>
      <c r="G975" s="4" t="s">
        <v>110</v>
      </c>
      <c r="H975" s="4" t="s">
        <v>1987</v>
      </c>
      <c r="K975" s="4" t="s">
        <v>7714</v>
      </c>
      <c r="L975" s="4" t="s">
        <v>7763</v>
      </c>
    </row>
    <row r="976">
      <c r="A976" s="55" t="s">
        <v>7764</v>
      </c>
      <c r="B976" s="53" t="s">
        <v>5559</v>
      </c>
      <c r="C976" s="56">
        <v>45610.333333333336</v>
      </c>
      <c r="D976" s="57" t="s">
        <v>6052</v>
      </c>
      <c r="E976" s="56">
        <v>45610.541666666664</v>
      </c>
      <c r="F976" s="53" t="s">
        <v>6146</v>
      </c>
      <c r="G976" s="4" t="s">
        <v>110</v>
      </c>
      <c r="H976" s="4" t="s">
        <v>1987</v>
      </c>
      <c r="K976" s="4" t="s">
        <v>7765</v>
      </c>
      <c r="L976" s="4" t="s">
        <v>7766</v>
      </c>
    </row>
    <row r="977">
      <c r="A977" s="55" t="s">
        <v>7767</v>
      </c>
      <c r="B977" s="53" t="s">
        <v>1540</v>
      </c>
      <c r="C977" s="56">
        <v>45611.53125</v>
      </c>
      <c r="D977" s="61"/>
      <c r="E977" s="56">
        <v>45611.541666666664</v>
      </c>
      <c r="F977" s="53" t="s">
        <v>7768</v>
      </c>
      <c r="G977" s="4" t="s">
        <v>110</v>
      </c>
      <c r="H977" s="4" t="s">
        <v>1987</v>
      </c>
      <c r="K977" s="4" t="s">
        <v>7769</v>
      </c>
      <c r="L977" s="4" t="s">
        <v>7770</v>
      </c>
    </row>
    <row r="978">
      <c r="A978" s="66" t="s">
        <v>7771</v>
      </c>
      <c r="B978" s="53" t="s">
        <v>5384</v>
      </c>
      <c r="C978" s="56">
        <v>45608.5625</v>
      </c>
      <c r="D978" s="57" t="s">
        <v>2147</v>
      </c>
      <c r="E978" s="56">
        <v>45608.729166666664</v>
      </c>
      <c r="F978" s="53" t="s">
        <v>7772</v>
      </c>
      <c r="G978" s="4" t="s">
        <v>135</v>
      </c>
      <c r="H978" s="4" t="s">
        <v>1991</v>
      </c>
      <c r="K978" s="4" t="s">
        <v>7773</v>
      </c>
      <c r="L978" s="4" t="s">
        <v>7774</v>
      </c>
    </row>
    <row r="979">
      <c r="A979" s="55" t="s">
        <v>7775</v>
      </c>
      <c r="B979" s="53" t="s">
        <v>1438</v>
      </c>
      <c r="C979" s="56">
        <v>45611.5625</v>
      </c>
      <c r="D979" s="57" t="s">
        <v>2148</v>
      </c>
      <c r="E979" s="56">
        <v>45611.729166666664</v>
      </c>
      <c r="F979" s="53" t="s">
        <v>7739</v>
      </c>
      <c r="G979" s="4" t="s">
        <v>135</v>
      </c>
      <c r="H979" s="4" t="s">
        <v>1987</v>
      </c>
      <c r="K979" s="4" t="s">
        <v>7776</v>
      </c>
      <c r="L979" s="4"/>
    </row>
    <row r="980">
      <c r="A980" s="55" t="s">
        <v>7777</v>
      </c>
      <c r="B980" s="53" t="s">
        <v>1438</v>
      </c>
      <c r="C980" s="56">
        <v>45608.583333333336</v>
      </c>
      <c r="D980" s="57" t="s">
        <v>2154</v>
      </c>
      <c r="E980" s="56">
        <v>45608.666666666664</v>
      </c>
      <c r="F980" s="53" t="s">
        <v>6053</v>
      </c>
      <c r="G980" s="4" t="s">
        <v>27</v>
      </c>
      <c r="H980" s="4" t="s">
        <v>1987</v>
      </c>
      <c r="K980" s="4" t="s">
        <v>7778</v>
      </c>
      <c r="L980" s="4"/>
    </row>
    <row r="981">
      <c r="A981" s="55" t="s">
        <v>7779</v>
      </c>
      <c r="B981" s="53" t="s">
        <v>6057</v>
      </c>
      <c r="C981" s="56">
        <v>45608.666666666664</v>
      </c>
      <c r="D981" s="57" t="s">
        <v>2147</v>
      </c>
      <c r="E981" s="56">
        <v>45608.729166666664</v>
      </c>
      <c r="F981" s="53" t="s">
        <v>6053</v>
      </c>
      <c r="G981" s="4" t="s">
        <v>27</v>
      </c>
      <c r="H981" s="4" t="s">
        <v>1987</v>
      </c>
      <c r="K981" s="4"/>
      <c r="L981" s="4" t="s">
        <v>7780</v>
      </c>
    </row>
    <row r="982">
      <c r="A982" s="55" t="s">
        <v>7781</v>
      </c>
      <c r="B982" s="53" t="s">
        <v>1427</v>
      </c>
      <c r="C982" s="56">
        <v>45608.729166666664</v>
      </c>
      <c r="D982" s="57" t="s">
        <v>2147</v>
      </c>
      <c r="E982" s="56">
        <v>45608.770833333336</v>
      </c>
      <c r="F982" s="53" t="s">
        <v>6053</v>
      </c>
      <c r="G982" s="4" t="s">
        <v>27</v>
      </c>
      <c r="H982" s="4" t="s">
        <v>1987</v>
      </c>
      <c r="K982" s="4" t="s">
        <v>7782</v>
      </c>
      <c r="L982" s="4"/>
    </row>
    <row r="983">
      <c r="A983" s="55"/>
      <c r="B983" s="53"/>
      <c r="C983" s="56"/>
      <c r="D983" s="61"/>
      <c r="E983" s="56"/>
      <c r="F983" s="53"/>
      <c r="G983" s="4"/>
      <c r="H983" s="4"/>
      <c r="K983" s="4"/>
      <c r="L983" s="4"/>
    </row>
    <row r="984">
      <c r="A984" s="55" t="s">
        <v>7783</v>
      </c>
      <c r="B984" s="53" t="s">
        <v>5533</v>
      </c>
      <c r="C984" s="56">
        <v>45586.708333333336</v>
      </c>
      <c r="D984" s="57" t="s">
        <v>2200</v>
      </c>
      <c r="E984" s="56">
        <v>45586.833333333336</v>
      </c>
      <c r="F984" s="53"/>
      <c r="G984" s="4"/>
      <c r="H984" s="4" t="s">
        <v>1987</v>
      </c>
      <c r="K984" s="4" t="s">
        <v>7784</v>
      </c>
      <c r="L984" s="4"/>
    </row>
    <row r="985">
      <c r="A985" s="55" t="s">
        <v>7785</v>
      </c>
      <c r="B985" s="53" t="s">
        <v>5533</v>
      </c>
      <c r="C985" s="56">
        <v>45586.708333333336</v>
      </c>
      <c r="D985" s="57" t="s">
        <v>2200</v>
      </c>
      <c r="E985" s="56">
        <v>45586.833333333336</v>
      </c>
      <c r="F985" s="53"/>
      <c r="G985" s="4"/>
      <c r="H985" s="4" t="s">
        <v>1987</v>
      </c>
      <c r="K985" s="4" t="s">
        <v>7786</v>
      </c>
      <c r="L985" s="4"/>
    </row>
    <row r="986">
      <c r="A986" s="55" t="s">
        <v>7787</v>
      </c>
      <c r="B986" s="53" t="s">
        <v>5533</v>
      </c>
      <c r="C986" s="56">
        <v>45586.708333333336</v>
      </c>
      <c r="D986" s="57" t="s">
        <v>2200</v>
      </c>
      <c r="E986" s="56">
        <v>45586.833333333336</v>
      </c>
      <c r="F986" s="53"/>
      <c r="G986" s="4" t="s">
        <v>6035</v>
      </c>
      <c r="H986" s="4" t="s">
        <v>1987</v>
      </c>
      <c r="K986" s="4" t="s">
        <v>7788</v>
      </c>
      <c r="L986" s="4"/>
    </row>
    <row r="987">
      <c r="A987" s="55" t="s">
        <v>7789</v>
      </c>
      <c r="B987" s="53" t="s">
        <v>5533</v>
      </c>
      <c r="C987" s="56">
        <v>45596.771527777775</v>
      </c>
      <c r="D987" s="57" t="s">
        <v>2154</v>
      </c>
      <c r="E987" s="56">
        <v>45596.85486111111</v>
      </c>
      <c r="F987" s="53" t="s">
        <v>7790</v>
      </c>
      <c r="G987" s="4" t="s">
        <v>6035</v>
      </c>
      <c r="H987" s="4" t="s">
        <v>1991</v>
      </c>
      <c r="K987" s="4" t="s">
        <v>7791</v>
      </c>
      <c r="L987" s="4"/>
    </row>
    <row r="988">
      <c r="A988" s="55" t="s">
        <v>7792</v>
      </c>
      <c r="B988" s="53" t="s">
        <v>5533</v>
      </c>
      <c r="C988" s="56">
        <v>45600.708333333336</v>
      </c>
      <c r="D988" s="57" t="s">
        <v>2200</v>
      </c>
      <c r="E988" s="56">
        <v>45600.833333333336</v>
      </c>
      <c r="F988" s="53" t="s">
        <v>7793</v>
      </c>
      <c r="G988" s="4"/>
      <c r="H988" s="4" t="s">
        <v>1987</v>
      </c>
      <c r="K988" s="4" t="s">
        <v>7794</v>
      </c>
      <c r="L988" s="4"/>
    </row>
    <row r="989">
      <c r="A989" s="55" t="s">
        <v>7795</v>
      </c>
      <c r="B989" s="53" t="s">
        <v>5533</v>
      </c>
      <c r="C989" s="56">
        <v>45593.708333333336</v>
      </c>
      <c r="D989" s="57" t="s">
        <v>2200</v>
      </c>
      <c r="E989" s="56">
        <v>45593.833333333336</v>
      </c>
      <c r="F989" s="53" t="s">
        <v>7796</v>
      </c>
      <c r="G989" s="4" t="s">
        <v>6035</v>
      </c>
      <c r="H989" s="4" t="s">
        <v>1987</v>
      </c>
      <c r="K989" s="4" t="s">
        <v>7797</v>
      </c>
      <c r="L989" s="4"/>
    </row>
    <row r="990">
      <c r="A990" s="55" t="s">
        <v>7798</v>
      </c>
      <c r="B990" s="53" t="s">
        <v>5533</v>
      </c>
      <c r="C990" s="56">
        <v>45590.64861111111</v>
      </c>
      <c r="D990" s="57" t="s">
        <v>2154</v>
      </c>
      <c r="E990" s="56">
        <v>45590.731944444444</v>
      </c>
      <c r="F990" s="53"/>
      <c r="G990" s="4" t="s">
        <v>6035</v>
      </c>
      <c r="H990" s="4" t="s">
        <v>1991</v>
      </c>
      <c r="K990" s="4" t="s">
        <v>7799</v>
      </c>
      <c r="L990" s="4"/>
    </row>
    <row r="991">
      <c r="A991" s="55" t="s">
        <v>7800</v>
      </c>
      <c r="B991" s="53" t="s">
        <v>5533</v>
      </c>
      <c r="C991" s="56">
        <v>45600.77777777778</v>
      </c>
      <c r="D991" s="57" t="s">
        <v>2200</v>
      </c>
      <c r="E991" s="56">
        <v>45600.90277777778</v>
      </c>
      <c r="F991" s="53"/>
      <c r="G991" s="4" t="s">
        <v>6035</v>
      </c>
      <c r="H991" s="4" t="s">
        <v>1987</v>
      </c>
      <c r="K991" s="4" t="s">
        <v>7801</v>
      </c>
      <c r="L991" s="4"/>
    </row>
    <row r="992">
      <c r="A992" s="55" t="s">
        <v>7802</v>
      </c>
      <c r="B992" s="53" t="s">
        <v>5533</v>
      </c>
      <c r="C992" s="56">
        <v>45607.791666666664</v>
      </c>
      <c r="D992" s="57" t="s">
        <v>2200</v>
      </c>
      <c r="E992" s="56">
        <v>45607.916666666664</v>
      </c>
      <c r="F992" s="53" t="s">
        <v>7803</v>
      </c>
      <c r="G992" s="4" t="s">
        <v>6035</v>
      </c>
      <c r="H992" s="4" t="s">
        <v>1987</v>
      </c>
      <c r="K992" s="4" t="s">
        <v>7804</v>
      </c>
      <c r="L992" s="4"/>
    </row>
    <row r="993">
      <c r="A993" s="55" t="s">
        <v>7805</v>
      </c>
      <c r="B993" s="53" t="s">
        <v>5533</v>
      </c>
      <c r="C993" s="56">
        <v>45608.708333333336</v>
      </c>
      <c r="D993" s="57" t="s">
        <v>2148</v>
      </c>
      <c r="E993" s="56">
        <v>45608.875</v>
      </c>
      <c r="F993" s="53" t="s">
        <v>7806</v>
      </c>
      <c r="G993" s="4" t="s">
        <v>6035</v>
      </c>
      <c r="H993" s="4" t="s">
        <v>1987</v>
      </c>
      <c r="K993" s="4" t="s">
        <v>7807</v>
      </c>
      <c r="L993" s="4"/>
    </row>
    <row r="994">
      <c r="A994" s="55" t="s">
        <v>7808</v>
      </c>
      <c r="B994" s="53" t="s">
        <v>1554</v>
      </c>
      <c r="C994" s="56">
        <v>45610.625</v>
      </c>
      <c r="D994" s="57" t="s">
        <v>2154</v>
      </c>
      <c r="E994" s="56">
        <v>45610.6875</v>
      </c>
      <c r="F994" s="53" t="s">
        <v>7573</v>
      </c>
      <c r="G994" s="4" t="s">
        <v>27</v>
      </c>
      <c r="H994" s="4" t="s">
        <v>1987</v>
      </c>
      <c r="K994" s="4" t="s">
        <v>7809</v>
      </c>
      <c r="L994" s="4" t="s">
        <v>7810</v>
      </c>
    </row>
    <row r="995">
      <c r="A995" s="55" t="s">
        <v>7811</v>
      </c>
      <c r="B995" s="53" t="s">
        <v>5571</v>
      </c>
      <c r="C995" s="56">
        <v>45618.416666666664</v>
      </c>
      <c r="D995" s="57" t="s">
        <v>2154</v>
      </c>
      <c r="E995" s="56">
        <v>45618.5</v>
      </c>
      <c r="F995" s="53" t="s">
        <v>7812</v>
      </c>
      <c r="G995" s="4" t="s">
        <v>27</v>
      </c>
      <c r="H995" s="4" t="s">
        <v>1991</v>
      </c>
      <c r="K995" s="4" t="s">
        <v>7813</v>
      </c>
      <c r="L995" s="4" t="s">
        <v>7814</v>
      </c>
    </row>
    <row r="996">
      <c r="A996" s="55" t="s">
        <v>7815</v>
      </c>
      <c r="B996" s="53" t="s">
        <v>6057</v>
      </c>
      <c r="C996" s="56">
        <v>45610.375</v>
      </c>
      <c r="D996" s="57" t="s">
        <v>2147</v>
      </c>
      <c r="E996" s="56">
        <v>45610.424305555556</v>
      </c>
      <c r="F996" s="53" t="s">
        <v>6053</v>
      </c>
      <c r="G996" s="4" t="s">
        <v>27</v>
      </c>
      <c r="H996" s="4" t="s">
        <v>1987</v>
      </c>
      <c r="K996" s="4" t="s">
        <v>7816</v>
      </c>
      <c r="L996" s="4"/>
    </row>
    <row r="997">
      <c r="A997" s="55" t="s">
        <v>7817</v>
      </c>
      <c r="B997" s="53" t="s">
        <v>5537</v>
      </c>
      <c r="C997" s="56">
        <v>45611.333333333336</v>
      </c>
      <c r="D997" s="57" t="s">
        <v>6052</v>
      </c>
      <c r="E997" s="56">
        <v>45611.53125</v>
      </c>
      <c r="F997" s="53" t="s">
        <v>7818</v>
      </c>
      <c r="G997" s="4" t="s">
        <v>110</v>
      </c>
      <c r="H997" s="4" t="s">
        <v>1987</v>
      </c>
      <c r="K997" s="4" t="s">
        <v>7819</v>
      </c>
      <c r="L997" s="4" t="s">
        <v>7820</v>
      </c>
    </row>
    <row r="998">
      <c r="A998" s="55" t="s">
        <v>7821</v>
      </c>
      <c r="B998" s="53" t="s">
        <v>5537</v>
      </c>
      <c r="C998" s="56">
        <v>45615.333333333336</v>
      </c>
      <c r="D998" s="57" t="s">
        <v>6318</v>
      </c>
      <c r="E998" s="56">
        <v>45615.354166666664</v>
      </c>
      <c r="F998" s="53" t="s">
        <v>7822</v>
      </c>
      <c r="G998" s="4" t="s">
        <v>110</v>
      </c>
      <c r="H998" s="4" t="s">
        <v>1987</v>
      </c>
      <c r="K998" s="4" t="s">
        <v>7823</v>
      </c>
      <c r="L998" s="4"/>
    </row>
    <row r="999">
      <c r="A999" s="55" t="s">
        <v>7824</v>
      </c>
      <c r="B999" s="53" t="s">
        <v>1427</v>
      </c>
      <c r="C999" s="56">
        <v>45615.416666666664</v>
      </c>
      <c r="D999" s="57" t="s">
        <v>2154</v>
      </c>
      <c r="E999" s="56">
        <v>45615.520833333336</v>
      </c>
      <c r="F999" s="53" t="s">
        <v>6053</v>
      </c>
      <c r="G999" s="4" t="s">
        <v>27</v>
      </c>
      <c r="H999" s="4" t="s">
        <v>1987</v>
      </c>
      <c r="K999" s="4" t="s">
        <v>7825</v>
      </c>
      <c r="L999" s="4"/>
    </row>
    <row r="1000">
      <c r="A1000" s="55" t="s">
        <v>7826</v>
      </c>
      <c r="B1000" s="53" t="s">
        <v>6057</v>
      </c>
      <c r="C1000" s="56">
        <v>45615.333333333336</v>
      </c>
      <c r="D1000" s="57" t="s">
        <v>2154</v>
      </c>
      <c r="E1000" s="56">
        <v>45615.416666666664</v>
      </c>
      <c r="F1000" s="53" t="s">
        <v>7180</v>
      </c>
      <c r="G1000" s="4" t="s">
        <v>27</v>
      </c>
      <c r="H1000" s="4" t="s">
        <v>1987</v>
      </c>
      <c r="K1000" s="4" t="s">
        <v>7827</v>
      </c>
      <c r="L1000" s="4"/>
    </row>
    <row r="1001">
      <c r="A1001" s="55" t="s">
        <v>7828</v>
      </c>
      <c r="B1001" s="53" t="s">
        <v>5377</v>
      </c>
      <c r="C1001" s="56">
        <v>45615.604166666664</v>
      </c>
      <c r="D1001" s="57" t="s">
        <v>6318</v>
      </c>
      <c r="E1001" s="56">
        <v>45615.625</v>
      </c>
      <c r="F1001" s="53" t="s">
        <v>7829</v>
      </c>
      <c r="G1001" s="4" t="s">
        <v>135</v>
      </c>
      <c r="H1001" s="4" t="s">
        <v>1991</v>
      </c>
      <c r="K1001" s="4" t="s">
        <v>7830</v>
      </c>
      <c r="L1001" s="4"/>
    </row>
    <row r="1002">
      <c r="A1002" s="55" t="s">
        <v>7831</v>
      </c>
      <c r="B1002" s="53" t="s">
        <v>1438</v>
      </c>
      <c r="C1002" s="56">
        <v>45615.5625</v>
      </c>
      <c r="D1002" s="57" t="s">
        <v>2147</v>
      </c>
      <c r="E1002" s="56">
        <v>45615.604166666664</v>
      </c>
      <c r="F1002" s="53" t="s">
        <v>7832</v>
      </c>
      <c r="G1002" s="4" t="s">
        <v>135</v>
      </c>
      <c r="H1002" s="4" t="s">
        <v>1987</v>
      </c>
      <c r="K1002" s="4" t="s">
        <v>7833</v>
      </c>
      <c r="L1002" s="4"/>
    </row>
    <row r="1003">
      <c r="A1003" s="55" t="s">
        <v>7834</v>
      </c>
      <c r="B1003" s="53" t="s">
        <v>1438</v>
      </c>
      <c r="C1003" s="56">
        <v>45615.625</v>
      </c>
      <c r="D1003" s="57" t="s">
        <v>2200</v>
      </c>
      <c r="E1003" s="56">
        <v>45615.729166666664</v>
      </c>
      <c r="F1003" s="53" t="s">
        <v>7832</v>
      </c>
      <c r="G1003" s="4" t="s">
        <v>135</v>
      </c>
      <c r="H1003" s="4" t="s">
        <v>1987</v>
      </c>
      <c r="K1003" s="4" t="s">
        <v>7835</v>
      </c>
      <c r="L1003" s="4"/>
    </row>
    <row r="1004">
      <c r="A1004" s="55" t="s">
        <v>7836</v>
      </c>
      <c r="B1004" s="53" t="s">
        <v>6057</v>
      </c>
      <c r="C1004" s="56">
        <v>45615.354166666664</v>
      </c>
      <c r="D1004" s="57" t="s">
        <v>6052</v>
      </c>
      <c r="E1004" s="56">
        <v>45615.541666666664</v>
      </c>
      <c r="F1004" s="53" t="s">
        <v>7332</v>
      </c>
      <c r="G1004" s="4" t="s">
        <v>110</v>
      </c>
      <c r="H1004" s="4" t="s">
        <v>1987</v>
      </c>
      <c r="K1004" s="4" t="s">
        <v>7837</v>
      </c>
      <c r="L1004" s="4"/>
    </row>
    <row r="1005">
      <c r="A1005" s="55" t="s">
        <v>7838</v>
      </c>
      <c r="B1005" s="53" t="s">
        <v>6057</v>
      </c>
      <c r="C1005" s="56">
        <v>45615.5625</v>
      </c>
      <c r="D1005" s="57" t="s">
        <v>6052</v>
      </c>
      <c r="E1005" s="56">
        <v>45615.75</v>
      </c>
      <c r="F1005" s="53" t="s">
        <v>6053</v>
      </c>
      <c r="G1005" s="4" t="s">
        <v>27</v>
      </c>
      <c r="H1005" s="4" t="s">
        <v>1987</v>
      </c>
      <c r="K1005" s="4"/>
      <c r="L1005" s="4" t="s">
        <v>7839</v>
      </c>
    </row>
    <row r="1006">
      <c r="A1006" s="55" t="s">
        <v>7840</v>
      </c>
      <c r="B1006" s="53" t="s">
        <v>6057</v>
      </c>
      <c r="C1006" s="56">
        <v>45616.354166666664</v>
      </c>
      <c r="D1006" s="57" t="s">
        <v>2147</v>
      </c>
      <c r="E1006" s="56">
        <v>45616.4375</v>
      </c>
      <c r="F1006" s="53" t="s">
        <v>7841</v>
      </c>
      <c r="G1006" s="4" t="s">
        <v>110</v>
      </c>
      <c r="H1006" s="4" t="s">
        <v>1987</v>
      </c>
      <c r="K1006" s="4" t="s">
        <v>7842</v>
      </c>
      <c r="L1006" s="4" t="s">
        <v>7843</v>
      </c>
    </row>
    <row r="1007">
      <c r="A1007" s="55" t="s">
        <v>7844</v>
      </c>
      <c r="B1007" s="53" t="s">
        <v>1438</v>
      </c>
      <c r="C1007" s="56">
        <v>45617.5625</v>
      </c>
      <c r="D1007" s="57" t="s">
        <v>2154</v>
      </c>
      <c r="E1007" s="56">
        <v>45617.729166666664</v>
      </c>
      <c r="F1007" s="53" t="s">
        <v>6240</v>
      </c>
      <c r="G1007" s="4" t="s">
        <v>135</v>
      </c>
      <c r="H1007" s="4" t="s">
        <v>1987</v>
      </c>
      <c r="K1007" s="4" t="s">
        <v>7845</v>
      </c>
      <c r="L1007" s="4" t="s">
        <v>7846</v>
      </c>
    </row>
    <row r="1008">
      <c r="A1008" s="55" t="s">
        <v>7847</v>
      </c>
      <c r="B1008" s="53" t="s">
        <v>1427</v>
      </c>
      <c r="C1008" s="56">
        <v>45617.427777777775</v>
      </c>
      <c r="D1008" s="57" t="s">
        <v>6052</v>
      </c>
      <c r="E1008" s="56">
        <v>45617.625</v>
      </c>
      <c r="F1008" s="53" t="s">
        <v>7400</v>
      </c>
      <c r="G1008" s="4" t="s">
        <v>27</v>
      </c>
      <c r="H1008" s="4" t="s">
        <v>1991</v>
      </c>
      <c r="K1008" s="4" t="s">
        <v>7848</v>
      </c>
      <c r="L1008" s="4" t="s">
        <v>7849</v>
      </c>
    </row>
    <row r="1009">
      <c r="A1009" s="55" t="s">
        <v>7850</v>
      </c>
      <c r="B1009" s="53" t="s">
        <v>1438</v>
      </c>
      <c r="C1009" s="56">
        <v>45619.375</v>
      </c>
      <c r="D1009" s="57" t="s">
        <v>2148</v>
      </c>
      <c r="E1009" s="56">
        <v>45619.541666666664</v>
      </c>
      <c r="F1009" s="53" t="s">
        <v>7400</v>
      </c>
      <c r="G1009" s="4" t="s">
        <v>135</v>
      </c>
      <c r="H1009" s="4" t="s">
        <v>1987</v>
      </c>
      <c r="K1009" s="4" t="s">
        <v>7851</v>
      </c>
      <c r="L1009" s="4"/>
    </row>
    <row r="1010">
      <c r="A1010" s="55" t="s">
        <v>7852</v>
      </c>
      <c r="B1010" s="53" t="s">
        <v>1540</v>
      </c>
      <c r="C1010" s="56">
        <v>45617.333333333336</v>
      </c>
      <c r="D1010" s="57" t="s">
        <v>2147</v>
      </c>
      <c r="E1010" s="56">
        <v>45617.395833333336</v>
      </c>
      <c r="F1010" s="53" t="s">
        <v>7853</v>
      </c>
      <c r="G1010" s="4" t="s">
        <v>110</v>
      </c>
      <c r="H1010" s="4" t="s">
        <v>1987</v>
      </c>
      <c r="K1010" s="4" t="s">
        <v>7854</v>
      </c>
      <c r="L1010" s="4" t="s">
        <v>7855</v>
      </c>
    </row>
    <row r="1011">
      <c r="A1011" s="55" t="s">
        <v>7856</v>
      </c>
      <c r="B1011" s="53" t="s">
        <v>5559</v>
      </c>
      <c r="C1011" s="56">
        <v>45618.333333333336</v>
      </c>
      <c r="D1011" s="57" t="s">
        <v>2148</v>
      </c>
      <c r="E1011" s="56">
        <v>45618.458333333336</v>
      </c>
      <c r="F1011" s="53" t="s">
        <v>2192</v>
      </c>
      <c r="G1011" s="4" t="s">
        <v>110</v>
      </c>
      <c r="H1011" s="4" t="s">
        <v>1987</v>
      </c>
      <c r="K1011" s="4" t="s">
        <v>7857</v>
      </c>
      <c r="L1011" s="4"/>
    </row>
    <row r="1012">
      <c r="A1012" s="55" t="s">
        <v>7858</v>
      </c>
      <c r="B1012" s="53" t="s">
        <v>6069</v>
      </c>
      <c r="C1012" s="56">
        <v>45621.333333333336</v>
      </c>
      <c r="D1012" s="57" t="s">
        <v>2148</v>
      </c>
      <c r="E1012" s="56">
        <v>45621.5</v>
      </c>
      <c r="F1012" s="53" t="s">
        <v>6069</v>
      </c>
      <c r="G1012" s="4" t="s">
        <v>110</v>
      </c>
      <c r="H1012" s="4" t="s">
        <v>1987</v>
      </c>
      <c r="K1012" s="4" t="s">
        <v>7859</v>
      </c>
      <c r="L1012" s="4"/>
    </row>
    <row r="1013">
      <c r="A1013" s="55" t="s">
        <v>7860</v>
      </c>
      <c r="B1013" s="53" t="s">
        <v>6069</v>
      </c>
      <c r="C1013" s="56">
        <v>45622.333333333336</v>
      </c>
      <c r="D1013" s="57" t="s">
        <v>2148</v>
      </c>
      <c r="E1013" s="56">
        <v>45622.5</v>
      </c>
      <c r="F1013" s="53" t="s">
        <v>6069</v>
      </c>
      <c r="G1013" s="4" t="s">
        <v>110</v>
      </c>
      <c r="H1013" s="4" t="s">
        <v>1987</v>
      </c>
      <c r="K1013" s="4" t="s">
        <v>7861</v>
      </c>
      <c r="L1013" s="4"/>
    </row>
    <row r="1014">
      <c r="A1014" s="55" t="s">
        <v>7862</v>
      </c>
      <c r="B1014" s="53" t="s">
        <v>6069</v>
      </c>
      <c r="C1014" s="56">
        <v>45623.333333333336</v>
      </c>
      <c r="D1014" s="57" t="s">
        <v>2148</v>
      </c>
      <c r="E1014" s="56">
        <v>45623.5</v>
      </c>
      <c r="F1014" s="53" t="s">
        <v>6069</v>
      </c>
      <c r="G1014" s="4" t="s">
        <v>110</v>
      </c>
      <c r="H1014" s="4" t="s">
        <v>1987</v>
      </c>
      <c r="K1014" s="4" t="s">
        <v>7863</v>
      </c>
      <c r="L1014" s="4"/>
    </row>
    <row r="1015">
      <c r="A1015" s="55" t="s">
        <v>7864</v>
      </c>
      <c r="B1015" s="53" t="s">
        <v>6069</v>
      </c>
      <c r="C1015" s="56">
        <v>45624.333333333336</v>
      </c>
      <c r="D1015" s="57" t="s">
        <v>2148</v>
      </c>
      <c r="E1015" s="56">
        <v>45624.5</v>
      </c>
      <c r="F1015" s="53" t="s">
        <v>6069</v>
      </c>
      <c r="G1015" s="4" t="s">
        <v>110</v>
      </c>
      <c r="H1015" s="4" t="s">
        <v>1987</v>
      </c>
      <c r="K1015" s="4" t="s">
        <v>7865</v>
      </c>
      <c r="L1015" s="4"/>
    </row>
    <row r="1016">
      <c r="A1016" s="55" t="s">
        <v>7866</v>
      </c>
      <c r="B1016" s="53" t="s">
        <v>6069</v>
      </c>
      <c r="C1016" s="56">
        <v>45625.333333333336</v>
      </c>
      <c r="D1016" s="57" t="s">
        <v>2148</v>
      </c>
      <c r="E1016" s="56">
        <v>45625.5</v>
      </c>
      <c r="F1016" s="53" t="s">
        <v>6069</v>
      </c>
      <c r="G1016" s="4" t="s">
        <v>110</v>
      </c>
      <c r="H1016" s="4" t="s">
        <v>1987</v>
      </c>
      <c r="K1016" s="4" t="s">
        <v>7867</v>
      </c>
      <c r="L1016" s="4"/>
    </row>
    <row r="1017">
      <c r="A1017" s="55" t="s">
        <v>7868</v>
      </c>
      <c r="B1017" s="53" t="s">
        <v>1554</v>
      </c>
      <c r="C1017" s="56">
        <v>45618.645833333336</v>
      </c>
      <c r="D1017" s="57" t="s">
        <v>2147</v>
      </c>
      <c r="E1017" s="56">
        <v>45618.6875</v>
      </c>
      <c r="F1017" s="53" t="s">
        <v>7573</v>
      </c>
      <c r="G1017" s="4" t="s">
        <v>27</v>
      </c>
      <c r="H1017" s="4" t="s">
        <v>1991</v>
      </c>
      <c r="K1017" s="4"/>
      <c r="L1017" s="4" t="s">
        <v>7869</v>
      </c>
    </row>
    <row r="1018">
      <c r="A1018" s="55"/>
      <c r="B1018" s="53"/>
      <c r="C1018" s="56"/>
      <c r="D1018" s="61"/>
      <c r="E1018" s="56"/>
      <c r="F1018" s="53"/>
      <c r="G1018" s="4"/>
      <c r="H1018" s="4"/>
      <c r="K1018" s="4"/>
      <c r="L1018" s="4"/>
    </row>
    <row r="1019">
      <c r="A1019" s="55" t="s">
        <v>7870</v>
      </c>
      <c r="B1019" s="53" t="s">
        <v>6057</v>
      </c>
      <c r="C1019" s="56">
        <v>45616.354166666664</v>
      </c>
      <c r="D1019" s="57" t="s">
        <v>2147</v>
      </c>
      <c r="E1019" s="56">
        <v>45616.625</v>
      </c>
      <c r="F1019" s="53" t="s">
        <v>7180</v>
      </c>
      <c r="G1019" s="4" t="s">
        <v>27</v>
      </c>
      <c r="H1019" s="4" t="s">
        <v>1987</v>
      </c>
      <c r="K1019" s="4" t="s">
        <v>7871</v>
      </c>
      <c r="L1019" s="4"/>
    </row>
    <row r="1020">
      <c r="A1020" s="55" t="s">
        <v>7872</v>
      </c>
      <c r="B1020" s="53" t="s">
        <v>1540</v>
      </c>
      <c r="C1020" s="56">
        <v>45616.625</v>
      </c>
      <c r="D1020" s="57" t="s">
        <v>2147</v>
      </c>
      <c r="E1020" s="56">
        <v>45616.6875</v>
      </c>
      <c r="F1020" s="53" t="s">
        <v>7873</v>
      </c>
      <c r="G1020" s="4" t="s">
        <v>27</v>
      </c>
      <c r="H1020" s="4" t="s">
        <v>1987</v>
      </c>
      <c r="K1020" s="4" t="s">
        <v>7874</v>
      </c>
      <c r="L1020" s="4"/>
    </row>
    <row r="1021">
      <c r="A1021" s="55" t="s">
        <v>7875</v>
      </c>
      <c r="B1021" s="53" t="s">
        <v>1540</v>
      </c>
      <c r="C1021" s="56">
        <v>45616.4375</v>
      </c>
      <c r="D1021" s="61"/>
      <c r="E1021" s="56">
        <v>45616.604166666664</v>
      </c>
      <c r="F1021" s="53" t="s">
        <v>7876</v>
      </c>
      <c r="G1021" s="4" t="s">
        <v>110</v>
      </c>
      <c r="H1021" s="4" t="s">
        <v>1987</v>
      </c>
      <c r="K1021" s="4" t="s">
        <v>7877</v>
      </c>
      <c r="L1021" s="4"/>
    </row>
    <row r="1022">
      <c r="A1022" s="55" t="s">
        <v>7878</v>
      </c>
      <c r="B1022" s="53" t="s">
        <v>6057</v>
      </c>
      <c r="C1022" s="56">
        <v>45616.6875</v>
      </c>
      <c r="D1022" s="57" t="s">
        <v>2147</v>
      </c>
      <c r="E1022" s="56">
        <v>45616.75</v>
      </c>
      <c r="F1022" s="53" t="s">
        <v>7879</v>
      </c>
      <c r="G1022" s="4" t="s">
        <v>27</v>
      </c>
      <c r="H1022" s="4" t="s">
        <v>1987</v>
      </c>
      <c r="K1022" s="4" t="s">
        <v>7880</v>
      </c>
      <c r="L1022" s="4"/>
    </row>
    <row r="1023">
      <c r="A1023" s="55" t="s">
        <v>7881</v>
      </c>
      <c r="B1023" s="53" t="s">
        <v>1557</v>
      </c>
      <c r="C1023" s="56">
        <v>45618.708333333336</v>
      </c>
      <c r="D1023" s="57" t="s">
        <v>2154</v>
      </c>
      <c r="E1023" s="56">
        <v>45618.791666666664</v>
      </c>
      <c r="F1023" s="53" t="s">
        <v>7882</v>
      </c>
      <c r="G1023" s="4" t="s">
        <v>27</v>
      </c>
      <c r="H1023" s="4" t="s">
        <v>1991</v>
      </c>
      <c r="K1023" s="4" t="s">
        <v>7883</v>
      </c>
      <c r="L1023" s="4"/>
    </row>
    <row r="1024">
      <c r="A1024" s="55" t="s">
        <v>7884</v>
      </c>
      <c r="B1024" s="53" t="s">
        <v>6057</v>
      </c>
      <c r="C1024" s="56">
        <v>45617.375</v>
      </c>
      <c r="D1024" s="61"/>
      <c r="E1024" s="56">
        <v>45617.427777777775</v>
      </c>
      <c r="F1024" s="53" t="s">
        <v>6053</v>
      </c>
      <c r="G1024" s="4" t="s">
        <v>27</v>
      </c>
      <c r="H1024" s="4" t="s">
        <v>1987</v>
      </c>
      <c r="K1024" s="4" t="s">
        <v>7885</v>
      </c>
      <c r="L1024" s="4"/>
    </row>
    <row r="1025">
      <c r="A1025" s="55" t="s">
        <v>7886</v>
      </c>
      <c r="B1025" s="52" t="s">
        <v>1438</v>
      </c>
      <c r="C1025" s="56">
        <v>45617.666666666664</v>
      </c>
      <c r="D1025" s="57" t="s">
        <v>2147</v>
      </c>
      <c r="E1025" s="56">
        <v>45617.75</v>
      </c>
      <c r="F1025" s="53" t="s">
        <v>6370</v>
      </c>
      <c r="G1025" s="4" t="s">
        <v>27</v>
      </c>
      <c r="H1025" s="4" t="s">
        <v>1987</v>
      </c>
      <c r="K1025" s="4" t="s">
        <v>7887</v>
      </c>
      <c r="L1025" s="4"/>
    </row>
    <row r="1026">
      <c r="A1026" s="55" t="s">
        <v>7888</v>
      </c>
      <c r="B1026" s="52" t="s">
        <v>1438</v>
      </c>
      <c r="C1026" s="56">
        <v>45621.645833333336</v>
      </c>
      <c r="D1026" s="57" t="s">
        <v>2147</v>
      </c>
      <c r="E1026" s="56">
        <v>45621.697916666664</v>
      </c>
      <c r="F1026" s="53" t="s">
        <v>7889</v>
      </c>
      <c r="G1026" s="4" t="s">
        <v>27</v>
      </c>
      <c r="H1026" s="4" t="s">
        <v>1991</v>
      </c>
      <c r="K1026" s="4" t="s">
        <v>7890</v>
      </c>
      <c r="L1026" s="4" t="s">
        <v>7891</v>
      </c>
    </row>
    <row r="1027">
      <c r="A1027" s="55" t="s">
        <v>7892</v>
      </c>
      <c r="B1027" s="52" t="s">
        <v>1438</v>
      </c>
      <c r="C1027" s="56">
        <v>45619.395833333336</v>
      </c>
      <c r="D1027" s="57" t="s">
        <v>2147</v>
      </c>
      <c r="E1027" s="56">
        <v>45619.4375</v>
      </c>
      <c r="F1027" s="53" t="s">
        <v>7893</v>
      </c>
      <c r="G1027" s="4" t="s">
        <v>27</v>
      </c>
      <c r="H1027" s="4" t="s">
        <v>1987</v>
      </c>
      <c r="K1027" s="4" t="s">
        <v>7894</v>
      </c>
      <c r="L1027" s="4"/>
    </row>
    <row r="1028">
      <c r="A1028" s="55" t="s">
        <v>7895</v>
      </c>
      <c r="B1028" s="52" t="s">
        <v>6057</v>
      </c>
      <c r="C1028" s="56">
        <v>45621.375</v>
      </c>
      <c r="D1028" s="57" t="s">
        <v>2147</v>
      </c>
      <c r="E1028" s="56">
        <v>45621.458333333336</v>
      </c>
      <c r="F1028" s="53" t="s">
        <v>7896</v>
      </c>
      <c r="G1028" s="4" t="s">
        <v>27</v>
      </c>
      <c r="H1028" s="4" t="s">
        <v>1987</v>
      </c>
      <c r="K1028" s="4" t="s">
        <v>7897</v>
      </c>
      <c r="L1028" s="4"/>
    </row>
    <row r="1029">
      <c r="A1029" s="55" t="s">
        <v>7898</v>
      </c>
      <c r="B1029" s="52" t="s">
        <v>1427</v>
      </c>
      <c r="C1029" s="56">
        <v>45621.458333333336</v>
      </c>
      <c r="D1029" s="57" t="s">
        <v>2147</v>
      </c>
      <c r="E1029" s="56">
        <v>45621.520833333336</v>
      </c>
      <c r="F1029" s="53" t="s">
        <v>7899</v>
      </c>
      <c r="G1029" s="4" t="s">
        <v>27</v>
      </c>
      <c r="H1029" s="4" t="s">
        <v>1987</v>
      </c>
      <c r="K1029" s="4" t="s">
        <v>7900</v>
      </c>
      <c r="L1029" s="4" t="s">
        <v>7901</v>
      </c>
    </row>
    <row r="1030">
      <c r="A1030" s="55" t="s">
        <v>7902</v>
      </c>
      <c r="B1030" s="52" t="s">
        <v>1427</v>
      </c>
      <c r="C1030" s="56">
        <v>45622.4375</v>
      </c>
      <c r="D1030" s="57" t="s">
        <v>6052</v>
      </c>
      <c r="E1030" s="56">
        <v>45622.75</v>
      </c>
      <c r="F1030" s="53" t="s">
        <v>7903</v>
      </c>
      <c r="G1030" s="4" t="s">
        <v>27</v>
      </c>
      <c r="H1030" s="4" t="s">
        <v>1987</v>
      </c>
      <c r="K1030" s="4" t="s">
        <v>7904</v>
      </c>
      <c r="L1030" s="4" t="s">
        <v>7905</v>
      </c>
    </row>
    <row r="1031">
      <c r="A1031" s="55" t="s">
        <v>7906</v>
      </c>
      <c r="B1031" s="52" t="s">
        <v>1427</v>
      </c>
      <c r="C1031" s="56">
        <v>45623.583333333336</v>
      </c>
      <c r="D1031" s="57" t="s">
        <v>6052</v>
      </c>
      <c r="E1031" s="56">
        <v>45623.6875</v>
      </c>
      <c r="F1031" s="53" t="s">
        <v>7907</v>
      </c>
      <c r="G1031" s="4" t="s">
        <v>27</v>
      </c>
      <c r="H1031" s="4" t="s">
        <v>1987</v>
      </c>
      <c r="K1031" s="4" t="s">
        <v>7908</v>
      </c>
      <c r="L1031" s="4" t="s">
        <v>7909</v>
      </c>
    </row>
    <row r="1032">
      <c r="A1032" s="55" t="s">
        <v>7910</v>
      </c>
      <c r="B1032" s="52" t="s">
        <v>1438</v>
      </c>
      <c r="C1032" s="56">
        <v>45621.5625</v>
      </c>
      <c r="D1032" s="57" t="s">
        <v>2148</v>
      </c>
      <c r="E1032" s="56">
        <v>45621.770833333336</v>
      </c>
      <c r="F1032" s="53" t="s">
        <v>6646</v>
      </c>
      <c r="G1032" s="4" t="s">
        <v>135</v>
      </c>
      <c r="H1032" s="4" t="s">
        <v>1987</v>
      </c>
      <c r="K1032" s="4" t="s">
        <v>7911</v>
      </c>
      <c r="L1032" s="4" t="s">
        <v>7912</v>
      </c>
    </row>
    <row r="1033">
      <c r="A1033" s="55"/>
      <c r="B1033" s="52"/>
      <c r="C1033" s="56"/>
      <c r="D1033" s="61"/>
      <c r="E1033" s="56"/>
      <c r="F1033" s="53"/>
      <c r="G1033" s="4"/>
      <c r="H1033" s="4"/>
      <c r="K1033" s="4"/>
      <c r="L1033" s="4"/>
    </row>
    <row r="1034">
      <c r="A1034" s="55"/>
      <c r="B1034" s="52"/>
      <c r="C1034" s="56"/>
      <c r="D1034" s="61"/>
      <c r="E1034" s="56"/>
      <c r="F1034" s="53"/>
      <c r="G1034" s="4"/>
      <c r="H1034" s="4"/>
      <c r="K1034" s="4"/>
      <c r="L1034" s="4"/>
    </row>
    <row r="1035">
      <c r="A1035" s="55" t="s">
        <v>7913</v>
      </c>
      <c r="B1035" s="52" t="s">
        <v>1438</v>
      </c>
      <c r="C1035" s="56">
        <v>45622.5625</v>
      </c>
      <c r="D1035" s="57" t="s">
        <v>2148</v>
      </c>
      <c r="E1035" s="56">
        <v>45622.770833333336</v>
      </c>
      <c r="F1035" s="53" t="s">
        <v>6646</v>
      </c>
      <c r="G1035" s="4" t="s">
        <v>135</v>
      </c>
      <c r="H1035" s="4" t="s">
        <v>1987</v>
      </c>
      <c r="K1035" s="4" t="s">
        <v>7914</v>
      </c>
      <c r="L1035" s="4" t="s">
        <v>7915</v>
      </c>
    </row>
    <row r="1036">
      <c r="A1036" s="55"/>
      <c r="B1036" s="52"/>
      <c r="C1036" s="56"/>
      <c r="D1036" s="61"/>
      <c r="E1036" s="56"/>
      <c r="F1036" s="53"/>
      <c r="G1036" s="4"/>
      <c r="H1036" s="4"/>
      <c r="K1036" s="4"/>
      <c r="L1036" s="4"/>
    </row>
    <row r="1037">
      <c r="A1037" s="55"/>
      <c r="B1037" s="52"/>
      <c r="C1037" s="56"/>
      <c r="D1037" s="61"/>
      <c r="E1037" s="56"/>
      <c r="F1037" s="53"/>
      <c r="G1037" s="4"/>
      <c r="H1037" s="4"/>
      <c r="K1037" s="4"/>
      <c r="L1037" s="4"/>
    </row>
    <row r="1038">
      <c r="A1038" s="55"/>
      <c r="B1038" s="52"/>
      <c r="C1038" s="56"/>
      <c r="D1038" s="61"/>
      <c r="E1038" s="56"/>
      <c r="F1038" s="53"/>
      <c r="G1038" s="4"/>
      <c r="H1038" s="4"/>
      <c r="K1038" s="4"/>
      <c r="L1038" s="4"/>
    </row>
    <row r="1039">
      <c r="A1039" s="55" t="s">
        <v>7916</v>
      </c>
      <c r="B1039" s="53" t="s">
        <v>1557</v>
      </c>
      <c r="C1039" s="56">
        <v>45618.5</v>
      </c>
      <c r="D1039" s="57" t="s">
        <v>2200</v>
      </c>
      <c r="E1039" s="56">
        <v>45618.625</v>
      </c>
      <c r="F1039" s="53" t="s">
        <v>6053</v>
      </c>
      <c r="G1039" s="4" t="s">
        <v>27</v>
      </c>
      <c r="H1039" s="4" t="s">
        <v>1987</v>
      </c>
      <c r="K1039" s="4" t="s">
        <v>7917</v>
      </c>
      <c r="L1039" s="4" t="s">
        <v>7918</v>
      </c>
    </row>
    <row r="1040">
      <c r="A1040" s="55" t="s">
        <v>7919</v>
      </c>
      <c r="B1040" s="52" t="s">
        <v>1554</v>
      </c>
      <c r="C1040" s="56">
        <v>45618.5</v>
      </c>
      <c r="D1040" s="57" t="s">
        <v>2200</v>
      </c>
      <c r="E1040" s="56">
        <v>45618.625</v>
      </c>
      <c r="F1040" s="53" t="s">
        <v>6053</v>
      </c>
      <c r="G1040" s="4" t="s">
        <v>27</v>
      </c>
      <c r="H1040" s="4" t="s">
        <v>1987</v>
      </c>
      <c r="K1040" s="4" t="s">
        <v>7917</v>
      </c>
      <c r="L1040" s="4" t="s">
        <v>7918</v>
      </c>
    </row>
    <row r="1041">
      <c r="A1041" s="55" t="s">
        <v>7920</v>
      </c>
      <c r="B1041" s="52" t="s">
        <v>6057</v>
      </c>
      <c r="C1041" s="56">
        <v>45619.4375</v>
      </c>
      <c r="D1041" s="57" t="s">
        <v>2154</v>
      </c>
      <c r="E1041" s="56">
        <v>45619.520833333336</v>
      </c>
      <c r="F1041" s="53" t="s">
        <v>7921</v>
      </c>
      <c r="G1041" s="4" t="s">
        <v>27</v>
      </c>
      <c r="H1041" s="4" t="s">
        <v>1987</v>
      </c>
      <c r="K1041" s="4"/>
      <c r="L1041" s="4" t="s">
        <v>7922</v>
      </c>
    </row>
    <row r="1042">
      <c r="A1042" s="55" t="s">
        <v>7923</v>
      </c>
      <c r="B1042" s="52" t="s">
        <v>6057</v>
      </c>
      <c r="C1042" s="56">
        <v>45621.520833333336</v>
      </c>
      <c r="D1042" s="57" t="s">
        <v>2147</v>
      </c>
      <c r="E1042" s="56">
        <v>45621.645833333336</v>
      </c>
      <c r="F1042" s="53" t="s">
        <v>6053</v>
      </c>
      <c r="G1042" s="4" t="s">
        <v>27</v>
      </c>
      <c r="H1042" s="4" t="s">
        <v>1987</v>
      </c>
      <c r="K1042" s="4"/>
      <c r="L1042" s="4" t="s">
        <v>7924</v>
      </c>
    </row>
    <row r="1043">
      <c r="A1043" s="55" t="s">
        <v>7925</v>
      </c>
      <c r="B1043" s="52" t="s">
        <v>6057</v>
      </c>
      <c r="C1043" s="56">
        <v>45621.697916666664</v>
      </c>
      <c r="D1043" s="57" t="s">
        <v>2200</v>
      </c>
      <c r="E1043" s="56">
        <v>45621.822916666664</v>
      </c>
      <c r="F1043" s="53" t="s">
        <v>7841</v>
      </c>
      <c r="G1043" s="4" t="s">
        <v>27</v>
      </c>
      <c r="H1043" s="4" t="s">
        <v>1987</v>
      </c>
      <c r="K1043" s="4"/>
      <c r="L1043" s="4" t="s">
        <v>7926</v>
      </c>
    </row>
    <row r="1044">
      <c r="A1044" s="55" t="s">
        <v>7927</v>
      </c>
      <c r="B1044" s="52" t="s">
        <v>6057</v>
      </c>
      <c r="C1044" s="56">
        <v>45622.375</v>
      </c>
      <c r="D1044" s="57" t="s">
        <v>2147</v>
      </c>
      <c r="E1044" s="56">
        <v>45622.4375</v>
      </c>
      <c r="F1044" s="53" t="s">
        <v>6053</v>
      </c>
      <c r="G1044" s="4" t="s">
        <v>27</v>
      </c>
      <c r="H1044" s="4" t="s">
        <v>1987</v>
      </c>
      <c r="K1044" s="4" t="s">
        <v>7928</v>
      </c>
      <c r="L1044" s="4" t="s">
        <v>7929</v>
      </c>
    </row>
    <row r="1045">
      <c r="A1045" s="55"/>
      <c r="B1045" s="52"/>
      <c r="C1045" s="56"/>
      <c r="D1045" s="61"/>
      <c r="E1045" s="56"/>
      <c r="F1045" s="53"/>
      <c r="G1045" s="4"/>
      <c r="H1045" s="4"/>
      <c r="K1045" s="4"/>
      <c r="L1045" s="4"/>
    </row>
    <row r="1046">
      <c r="A1046" s="55" t="s">
        <v>7930</v>
      </c>
      <c r="B1046" s="52" t="s">
        <v>5384</v>
      </c>
      <c r="C1046" s="56">
        <v>45625.375</v>
      </c>
      <c r="D1046" s="57" t="s">
        <v>2147</v>
      </c>
      <c r="E1046" s="56">
        <v>45625.416666666664</v>
      </c>
      <c r="F1046" s="53" t="s">
        <v>7931</v>
      </c>
      <c r="G1046" s="4" t="s">
        <v>27</v>
      </c>
      <c r="H1046" s="4" t="s">
        <v>1991</v>
      </c>
      <c r="K1046" s="4" t="s">
        <v>7932</v>
      </c>
      <c r="L1046" s="4"/>
    </row>
    <row r="1047">
      <c r="A1047" s="55"/>
      <c r="B1047" s="52"/>
      <c r="C1047" s="56"/>
      <c r="D1047" s="61"/>
      <c r="E1047" s="56"/>
      <c r="F1047" s="53"/>
      <c r="G1047" s="4"/>
      <c r="H1047" s="4"/>
      <c r="K1047" s="4"/>
      <c r="L1047" s="4"/>
    </row>
    <row r="1048">
      <c r="A1048" s="55"/>
      <c r="B1048" s="52"/>
      <c r="C1048" s="56"/>
      <c r="D1048" s="61"/>
      <c r="E1048" s="56"/>
      <c r="F1048" s="53"/>
      <c r="G1048" s="4"/>
      <c r="H1048" s="4"/>
      <c r="K1048" s="4"/>
      <c r="L1048" s="4"/>
    </row>
    <row r="1049">
      <c r="A1049" s="55" t="s">
        <v>7933</v>
      </c>
      <c r="B1049" s="52" t="s">
        <v>5571</v>
      </c>
      <c r="C1049" s="56">
        <v>45624.5625</v>
      </c>
      <c r="D1049" s="57" t="s">
        <v>2147</v>
      </c>
      <c r="E1049" s="56">
        <v>45624.770833333336</v>
      </c>
      <c r="F1049" s="53" t="s">
        <v>7934</v>
      </c>
      <c r="G1049" s="4" t="s">
        <v>135</v>
      </c>
      <c r="H1049" s="4" t="s">
        <v>1987</v>
      </c>
      <c r="K1049" s="4" t="s">
        <v>7935</v>
      </c>
      <c r="L1049" s="4" t="s">
        <v>7936</v>
      </c>
    </row>
    <row r="1050">
      <c r="A1050" s="55" t="s">
        <v>7937</v>
      </c>
      <c r="B1050" s="52" t="s">
        <v>5571</v>
      </c>
      <c r="C1050" s="56">
        <v>45625.5625</v>
      </c>
      <c r="D1050" s="57" t="s">
        <v>2147</v>
      </c>
      <c r="E1050" s="56">
        <v>45625.770833333336</v>
      </c>
      <c r="F1050" s="53" t="s">
        <v>7934</v>
      </c>
      <c r="G1050" s="4" t="s">
        <v>135</v>
      </c>
      <c r="H1050" s="4" t="s">
        <v>1987</v>
      </c>
      <c r="K1050" s="4" t="s">
        <v>7938</v>
      </c>
      <c r="L1050" s="4" t="s">
        <v>7939</v>
      </c>
    </row>
    <row r="1051">
      <c r="A1051" s="55" t="s">
        <v>7940</v>
      </c>
      <c r="B1051" s="52" t="s">
        <v>5571</v>
      </c>
      <c r="C1051" s="56">
        <v>45626.375</v>
      </c>
      <c r="D1051" s="57" t="s">
        <v>2147</v>
      </c>
      <c r="E1051" s="56">
        <v>45626.541666666664</v>
      </c>
      <c r="F1051" s="53" t="s">
        <v>7934</v>
      </c>
      <c r="G1051" s="4" t="s">
        <v>135</v>
      </c>
      <c r="H1051" s="4" t="s">
        <v>1987</v>
      </c>
      <c r="K1051" s="4" t="s">
        <v>7941</v>
      </c>
      <c r="L1051" s="4" t="s">
        <v>7942</v>
      </c>
    </row>
    <row r="1052">
      <c r="A1052" s="55" t="s">
        <v>7943</v>
      </c>
      <c r="B1052" s="52" t="s">
        <v>5571</v>
      </c>
      <c r="C1052" s="56">
        <v>45628.5625</v>
      </c>
      <c r="D1052" s="57" t="s">
        <v>2148</v>
      </c>
      <c r="E1052" s="56">
        <v>45628.729166666664</v>
      </c>
      <c r="F1052" s="53" t="s">
        <v>5377</v>
      </c>
      <c r="G1052" s="4" t="s">
        <v>135</v>
      </c>
      <c r="H1052" s="4" t="s">
        <v>1987</v>
      </c>
      <c r="K1052" s="4" t="s">
        <v>7944</v>
      </c>
      <c r="L1052" s="4" t="s">
        <v>7945</v>
      </c>
    </row>
    <row r="1053">
      <c r="A1053" s="55"/>
      <c r="B1053" s="52"/>
      <c r="C1053" s="56"/>
      <c r="D1053" s="61"/>
      <c r="E1053" s="56"/>
      <c r="F1053" s="53"/>
      <c r="G1053" s="4"/>
      <c r="H1053" s="4"/>
      <c r="K1053" s="4"/>
      <c r="L1053" s="4"/>
    </row>
    <row r="1054">
      <c r="A1054" s="55" t="s">
        <v>7946</v>
      </c>
      <c r="B1054" s="52" t="s">
        <v>5377</v>
      </c>
      <c r="C1054" s="56">
        <v>45631.5625</v>
      </c>
      <c r="D1054" s="57" t="s">
        <v>2148</v>
      </c>
      <c r="E1054" s="56">
        <v>45631.729166666664</v>
      </c>
      <c r="F1054" s="53" t="s">
        <v>5377</v>
      </c>
      <c r="G1054" s="4" t="s">
        <v>135</v>
      </c>
      <c r="H1054" s="4" t="s">
        <v>1991</v>
      </c>
      <c r="K1054" s="4" t="s">
        <v>7947</v>
      </c>
      <c r="L1054" s="4" t="s">
        <v>7948</v>
      </c>
    </row>
    <row r="1055">
      <c r="A1055" s="55" t="s">
        <v>7949</v>
      </c>
      <c r="B1055" s="52" t="s">
        <v>5377</v>
      </c>
      <c r="C1055" s="56">
        <v>45630.604166666664</v>
      </c>
      <c r="D1055" s="57" t="s">
        <v>2148</v>
      </c>
      <c r="E1055" s="56">
        <v>45630.729166666664</v>
      </c>
      <c r="F1055" s="53" t="s">
        <v>5377</v>
      </c>
      <c r="G1055" s="4" t="s">
        <v>135</v>
      </c>
      <c r="H1055" s="4" t="s">
        <v>1987</v>
      </c>
      <c r="K1055" s="4" t="s">
        <v>7950</v>
      </c>
      <c r="L1055" s="4" t="s">
        <v>7951</v>
      </c>
    </row>
    <row r="1056">
      <c r="A1056" s="55" t="s">
        <v>7952</v>
      </c>
      <c r="B1056" s="52" t="s">
        <v>6057</v>
      </c>
      <c r="C1056" s="56">
        <v>45623.375</v>
      </c>
      <c r="D1056" s="57" t="s">
        <v>2147</v>
      </c>
      <c r="E1056" s="56">
        <v>45623.416666666664</v>
      </c>
      <c r="F1056" s="53" t="s">
        <v>6053</v>
      </c>
      <c r="G1056" s="4" t="s">
        <v>27</v>
      </c>
      <c r="H1056" s="4" t="s">
        <v>1987</v>
      </c>
      <c r="K1056" s="4" t="s">
        <v>7953</v>
      </c>
      <c r="L1056" s="4"/>
    </row>
    <row r="1057">
      <c r="A1057" s="55" t="s">
        <v>7954</v>
      </c>
      <c r="B1057" s="52" t="s">
        <v>1438</v>
      </c>
      <c r="C1057" s="56">
        <v>45623.416666666664</v>
      </c>
      <c r="D1057" s="57" t="s">
        <v>2154</v>
      </c>
      <c r="E1057" s="56">
        <v>45623.5</v>
      </c>
      <c r="F1057" s="53" t="s">
        <v>7955</v>
      </c>
      <c r="G1057" s="4" t="s">
        <v>27</v>
      </c>
      <c r="H1057" s="4" t="s">
        <v>1987</v>
      </c>
      <c r="K1057" s="4" t="s">
        <v>7956</v>
      </c>
      <c r="L1057" s="4"/>
    </row>
    <row r="1058">
      <c r="A1058" s="55" t="s">
        <v>7957</v>
      </c>
      <c r="B1058" s="52" t="s">
        <v>6057</v>
      </c>
      <c r="C1058" s="56">
        <v>45623.5</v>
      </c>
      <c r="D1058" s="57" t="s">
        <v>2147</v>
      </c>
      <c r="E1058" s="56">
        <v>45623.583333333336</v>
      </c>
      <c r="F1058" s="53" t="s">
        <v>6053</v>
      </c>
      <c r="G1058" s="4" t="s">
        <v>27</v>
      </c>
      <c r="H1058" s="4" t="s">
        <v>1987</v>
      </c>
      <c r="K1058" s="4" t="s">
        <v>7958</v>
      </c>
      <c r="L1058" s="4"/>
    </row>
    <row r="1059">
      <c r="A1059" s="55" t="s">
        <v>7959</v>
      </c>
      <c r="B1059" s="52" t="s">
        <v>1438</v>
      </c>
      <c r="C1059" s="56">
        <v>45623.6875</v>
      </c>
      <c r="D1059" s="57" t="s">
        <v>2154</v>
      </c>
      <c r="E1059" s="56">
        <v>45623.770833333336</v>
      </c>
      <c r="F1059" s="53" t="s">
        <v>7955</v>
      </c>
      <c r="G1059" s="4" t="s">
        <v>27</v>
      </c>
      <c r="H1059" s="4" t="s">
        <v>1987</v>
      </c>
      <c r="K1059" s="4" t="s">
        <v>7960</v>
      </c>
      <c r="L1059" s="4"/>
    </row>
    <row r="1060">
      <c r="A1060" s="55"/>
      <c r="B1060" s="52"/>
      <c r="C1060" s="56"/>
      <c r="D1060" s="61"/>
      <c r="E1060" s="56"/>
      <c r="F1060" s="53"/>
      <c r="G1060" s="4"/>
      <c r="H1060" s="4"/>
      <c r="K1060" s="4"/>
      <c r="L1060" s="4"/>
    </row>
    <row r="1061">
      <c r="A1061" s="55" t="s">
        <v>7961</v>
      </c>
      <c r="B1061" s="52" t="s">
        <v>1438</v>
      </c>
      <c r="C1061" s="56">
        <v>45630.5625</v>
      </c>
      <c r="D1061" s="57" t="s">
        <v>2154</v>
      </c>
      <c r="E1061" s="56">
        <v>45630.604166666664</v>
      </c>
      <c r="F1061" s="53" t="s">
        <v>7962</v>
      </c>
      <c r="G1061" s="4" t="s">
        <v>27</v>
      </c>
      <c r="H1061" s="4" t="s">
        <v>1991</v>
      </c>
      <c r="K1061" s="4" t="s">
        <v>7963</v>
      </c>
      <c r="L1061" s="4" t="s">
        <v>7964</v>
      </c>
    </row>
    <row r="1062">
      <c r="A1062" s="55" t="s">
        <v>7965</v>
      </c>
      <c r="B1062" s="52" t="s">
        <v>6057</v>
      </c>
      <c r="C1062" s="56">
        <v>45624.375</v>
      </c>
      <c r="D1062" s="57" t="s">
        <v>2147</v>
      </c>
      <c r="E1062" s="56">
        <v>45624.416666666664</v>
      </c>
      <c r="F1062" s="53" t="s">
        <v>6053</v>
      </c>
      <c r="G1062" s="4" t="s">
        <v>27</v>
      </c>
      <c r="H1062" s="4" t="s">
        <v>1987</v>
      </c>
      <c r="K1062" s="4" t="s">
        <v>7966</v>
      </c>
      <c r="L1062" s="4"/>
    </row>
    <row r="1063">
      <c r="A1063" s="55" t="s">
        <v>7967</v>
      </c>
      <c r="B1063" s="52" t="s">
        <v>1438</v>
      </c>
      <c r="C1063" s="56">
        <v>45624.416666666664</v>
      </c>
      <c r="D1063" s="61"/>
      <c r="E1063" s="56">
        <v>45624.510416666664</v>
      </c>
      <c r="F1063" s="53" t="s">
        <v>7968</v>
      </c>
      <c r="G1063" s="4" t="s">
        <v>27</v>
      </c>
      <c r="H1063" s="4" t="s">
        <v>1987</v>
      </c>
      <c r="K1063" s="4" t="s">
        <v>7969</v>
      </c>
      <c r="L1063" s="4"/>
    </row>
    <row r="1064">
      <c r="A1064" s="55" t="s">
        <v>7970</v>
      </c>
      <c r="B1064" s="52" t="s">
        <v>1438</v>
      </c>
      <c r="C1064" s="56">
        <v>45630.5625</v>
      </c>
      <c r="D1064" s="57" t="s">
        <v>2147</v>
      </c>
      <c r="E1064" s="56">
        <v>45630.604166666664</v>
      </c>
      <c r="F1064" s="53" t="s">
        <v>7971</v>
      </c>
      <c r="G1064" s="4" t="s">
        <v>135</v>
      </c>
      <c r="H1064" s="4" t="s">
        <v>1987</v>
      </c>
      <c r="K1064" s="4" t="s">
        <v>7972</v>
      </c>
      <c r="L1064" s="4"/>
    </row>
    <row r="1065">
      <c r="A1065" s="55" t="s">
        <v>7973</v>
      </c>
      <c r="B1065" s="52" t="s">
        <v>6057</v>
      </c>
      <c r="C1065" s="56">
        <v>45624.510416666664</v>
      </c>
      <c r="D1065" s="57" t="s">
        <v>2154</v>
      </c>
      <c r="E1065" s="56">
        <v>45624.59375</v>
      </c>
      <c r="F1065" s="53" t="s">
        <v>6053</v>
      </c>
      <c r="G1065" s="4" t="s">
        <v>27</v>
      </c>
      <c r="H1065" s="4" t="s">
        <v>1987</v>
      </c>
      <c r="K1065" s="4" t="s">
        <v>7974</v>
      </c>
      <c r="L1065" s="4"/>
    </row>
    <row r="1066">
      <c r="A1066" s="55" t="s">
        <v>7975</v>
      </c>
      <c r="B1066" s="52" t="s">
        <v>5571</v>
      </c>
      <c r="C1066" s="56">
        <v>45624.59375</v>
      </c>
      <c r="D1066" s="57" t="s">
        <v>2147</v>
      </c>
      <c r="E1066" s="56">
        <v>45624.62986111111</v>
      </c>
      <c r="F1066" s="53" t="s">
        <v>7279</v>
      </c>
      <c r="G1066" s="4" t="s">
        <v>27</v>
      </c>
      <c r="H1066" s="4" t="s">
        <v>1987</v>
      </c>
      <c r="K1066" s="4" t="s">
        <v>7976</v>
      </c>
      <c r="L1066" s="4"/>
    </row>
    <row r="1067">
      <c r="A1067" s="55" t="s">
        <v>7977</v>
      </c>
      <c r="B1067" s="52" t="s">
        <v>6057</v>
      </c>
      <c r="C1067" s="56">
        <v>45624.666666666664</v>
      </c>
      <c r="D1067" s="57" t="s">
        <v>2147</v>
      </c>
      <c r="E1067" s="56">
        <v>45624.791666666664</v>
      </c>
      <c r="F1067" s="53" t="s">
        <v>7978</v>
      </c>
      <c r="G1067" s="4" t="s">
        <v>27</v>
      </c>
      <c r="H1067" s="4" t="s">
        <v>1987</v>
      </c>
      <c r="K1067" s="4" t="s">
        <v>7979</v>
      </c>
      <c r="L1067" s="4"/>
    </row>
    <row r="1068">
      <c r="A1068" s="55" t="s">
        <v>7980</v>
      </c>
      <c r="B1068" s="52" t="s">
        <v>5571</v>
      </c>
      <c r="C1068" s="56">
        <v>45625.5625</v>
      </c>
      <c r="D1068" s="57" t="s">
        <v>2147</v>
      </c>
      <c r="E1068" s="56">
        <v>45625.625</v>
      </c>
      <c r="F1068" s="53" t="s">
        <v>6244</v>
      </c>
      <c r="G1068" s="4" t="s">
        <v>27</v>
      </c>
      <c r="H1068" s="4" t="s">
        <v>1987</v>
      </c>
      <c r="K1068" s="4" t="s">
        <v>7981</v>
      </c>
      <c r="L1068" s="4"/>
    </row>
    <row r="1069">
      <c r="A1069" s="55" t="s">
        <v>7982</v>
      </c>
      <c r="B1069" s="52" t="s">
        <v>6057</v>
      </c>
      <c r="C1069" s="56">
        <v>45625.625</v>
      </c>
      <c r="D1069" s="57" t="s">
        <v>2148</v>
      </c>
      <c r="E1069" s="56">
        <v>45625.791666666664</v>
      </c>
      <c r="F1069" s="53" t="s">
        <v>6053</v>
      </c>
      <c r="G1069" s="4" t="s">
        <v>27</v>
      </c>
      <c r="H1069" s="4" t="s">
        <v>1987</v>
      </c>
      <c r="K1069" s="4" t="s">
        <v>7983</v>
      </c>
      <c r="L1069" s="4"/>
    </row>
    <row r="1070">
      <c r="A1070" s="55" t="s">
        <v>7984</v>
      </c>
      <c r="B1070" s="52" t="s">
        <v>6057</v>
      </c>
      <c r="C1070" s="56">
        <v>45626.375</v>
      </c>
      <c r="D1070" s="57" t="s">
        <v>2148</v>
      </c>
      <c r="E1070" s="56">
        <v>45626.541666666664</v>
      </c>
      <c r="F1070" s="53" t="s">
        <v>6053</v>
      </c>
      <c r="G1070" s="4" t="s">
        <v>27</v>
      </c>
      <c r="H1070" s="4" t="s">
        <v>1987</v>
      </c>
      <c r="K1070" s="4"/>
      <c r="L1070" s="4" t="s">
        <v>7985</v>
      </c>
    </row>
    <row r="1071">
      <c r="A1071" s="55" t="s">
        <v>7986</v>
      </c>
      <c r="B1071" s="52" t="s">
        <v>6069</v>
      </c>
      <c r="C1071" s="56">
        <v>45612.375</v>
      </c>
      <c r="D1071" s="57" t="s">
        <v>2147</v>
      </c>
      <c r="E1071" s="56">
        <v>45612.416666666664</v>
      </c>
      <c r="F1071" s="53" t="s">
        <v>7987</v>
      </c>
      <c r="G1071" s="4" t="s">
        <v>7183</v>
      </c>
      <c r="H1071" s="4" t="s">
        <v>1987</v>
      </c>
      <c r="K1071" s="4" t="s">
        <v>7988</v>
      </c>
      <c r="L1071" s="4"/>
    </row>
    <row r="1072">
      <c r="A1072" s="55" t="s">
        <v>7989</v>
      </c>
      <c r="B1072" s="52" t="s">
        <v>1472</v>
      </c>
      <c r="C1072" s="56">
        <v>45628.375</v>
      </c>
      <c r="D1072" s="57" t="s">
        <v>2147</v>
      </c>
      <c r="E1072" s="56">
        <v>45628.416666666664</v>
      </c>
      <c r="F1072" s="53" t="s">
        <v>7990</v>
      </c>
      <c r="G1072" s="4" t="s">
        <v>27</v>
      </c>
      <c r="H1072" s="4" t="s">
        <v>1987</v>
      </c>
      <c r="K1072" s="4" t="s">
        <v>7991</v>
      </c>
      <c r="L1072" s="4"/>
    </row>
    <row r="1073">
      <c r="A1073" s="55" t="s">
        <v>7992</v>
      </c>
      <c r="B1073" s="52" t="s">
        <v>1427</v>
      </c>
      <c r="C1073" s="56">
        <v>45628.416666666664</v>
      </c>
      <c r="D1073" s="57" t="s">
        <v>2147</v>
      </c>
      <c r="E1073" s="56">
        <v>45628.541666666664</v>
      </c>
      <c r="F1073" s="53" t="s">
        <v>6053</v>
      </c>
      <c r="G1073" s="4" t="s">
        <v>27</v>
      </c>
      <c r="H1073" s="4" t="s">
        <v>1987</v>
      </c>
      <c r="K1073" s="4" t="s">
        <v>7993</v>
      </c>
      <c r="L1073" s="4"/>
    </row>
    <row r="1074">
      <c r="A1074" s="55" t="s">
        <v>7994</v>
      </c>
      <c r="B1074" s="52" t="s">
        <v>5537</v>
      </c>
      <c r="C1074" s="56">
        <v>45629.333333333336</v>
      </c>
      <c r="D1074" s="57" t="s">
        <v>6052</v>
      </c>
      <c r="E1074" s="56">
        <v>45629.541666666664</v>
      </c>
      <c r="F1074" s="53" t="s">
        <v>2187</v>
      </c>
      <c r="G1074" s="4" t="s">
        <v>110</v>
      </c>
      <c r="H1074" s="4" t="s">
        <v>1987</v>
      </c>
      <c r="K1074" s="4" t="s">
        <v>7995</v>
      </c>
      <c r="L1074" s="4" t="s">
        <v>7996</v>
      </c>
    </row>
    <row r="1075">
      <c r="A1075" s="55" t="s">
        <v>7997</v>
      </c>
      <c r="B1075" s="52" t="s">
        <v>5537</v>
      </c>
      <c r="C1075" s="56">
        <v>45630.333333333336</v>
      </c>
      <c r="D1075" s="57" t="s">
        <v>6052</v>
      </c>
      <c r="E1075" s="56">
        <v>45630.479166666664</v>
      </c>
      <c r="F1075" s="53" t="s">
        <v>7998</v>
      </c>
      <c r="G1075" s="4" t="s">
        <v>110</v>
      </c>
      <c r="H1075" s="4" t="s">
        <v>1987</v>
      </c>
      <c r="K1075" s="4"/>
      <c r="L1075" s="4" t="s">
        <v>7999</v>
      </c>
    </row>
    <row r="1076">
      <c r="A1076" s="55" t="s">
        <v>8000</v>
      </c>
      <c r="B1076" s="52" t="s">
        <v>5559</v>
      </c>
      <c r="C1076" s="56">
        <v>45631.333333333336</v>
      </c>
      <c r="D1076" s="57" t="s">
        <v>6052</v>
      </c>
      <c r="E1076" s="56">
        <v>45631.541666666664</v>
      </c>
      <c r="F1076" s="53" t="s">
        <v>8001</v>
      </c>
      <c r="G1076" s="4" t="s">
        <v>110</v>
      </c>
      <c r="H1076" s="4" t="s">
        <v>1987</v>
      </c>
      <c r="K1076" s="4" t="s">
        <v>8002</v>
      </c>
      <c r="L1076" s="4" t="s">
        <v>8003</v>
      </c>
    </row>
    <row r="1077">
      <c r="A1077" s="55" t="s">
        <v>8004</v>
      </c>
      <c r="B1077" s="52" t="s">
        <v>5559</v>
      </c>
      <c r="C1077" s="56">
        <v>45635.333333333336</v>
      </c>
      <c r="D1077" s="57" t="s">
        <v>6052</v>
      </c>
      <c r="E1077" s="56">
        <v>45635.541666666664</v>
      </c>
      <c r="F1077" s="53" t="s">
        <v>8001</v>
      </c>
      <c r="G1077" s="4" t="s">
        <v>110</v>
      </c>
      <c r="H1077" s="4" t="s">
        <v>1987</v>
      </c>
      <c r="K1077" s="4" t="s">
        <v>8005</v>
      </c>
      <c r="L1077" s="4" t="s">
        <v>8006</v>
      </c>
    </row>
    <row r="1078">
      <c r="A1078" s="55" t="s">
        <v>8007</v>
      </c>
      <c r="B1078" s="52" t="s">
        <v>5377</v>
      </c>
      <c r="C1078" s="56">
        <v>45632.5625</v>
      </c>
      <c r="D1078" s="57" t="s">
        <v>2148</v>
      </c>
      <c r="E1078" s="56">
        <v>45632.729166666664</v>
      </c>
      <c r="F1078" s="53" t="s">
        <v>5377</v>
      </c>
      <c r="G1078" s="4" t="s">
        <v>135</v>
      </c>
      <c r="H1078" s="4" t="s">
        <v>1987</v>
      </c>
      <c r="K1078" s="4" t="s">
        <v>8008</v>
      </c>
      <c r="L1078" s="4"/>
    </row>
    <row r="1079">
      <c r="A1079" s="66" t="s">
        <v>8009</v>
      </c>
      <c r="B1079" s="52" t="s">
        <v>5377</v>
      </c>
      <c r="C1079" s="56">
        <v>45633.375</v>
      </c>
      <c r="D1079" s="57" t="s">
        <v>2148</v>
      </c>
      <c r="E1079" s="56">
        <v>45633.541666666664</v>
      </c>
      <c r="F1079" s="53" t="s">
        <v>8010</v>
      </c>
      <c r="G1079" s="4" t="s">
        <v>135</v>
      </c>
      <c r="H1079" s="4" t="s">
        <v>1987</v>
      </c>
      <c r="K1079" s="4" t="s">
        <v>8011</v>
      </c>
      <c r="L1079" s="4" t="s">
        <v>8012</v>
      </c>
    </row>
    <row r="1080">
      <c r="A1080" s="55" t="s">
        <v>8013</v>
      </c>
      <c r="B1080" s="52" t="s">
        <v>1427</v>
      </c>
      <c r="C1080" s="56">
        <v>45631.375</v>
      </c>
      <c r="D1080" s="57" t="s">
        <v>6052</v>
      </c>
      <c r="E1080" s="56">
        <v>45631.583333333336</v>
      </c>
      <c r="F1080" s="53" t="s">
        <v>6231</v>
      </c>
      <c r="G1080" s="4" t="s">
        <v>27</v>
      </c>
      <c r="H1080" s="4" t="s">
        <v>1987</v>
      </c>
      <c r="K1080" s="4" t="s">
        <v>8014</v>
      </c>
      <c r="L1080" s="4" t="s">
        <v>8015</v>
      </c>
    </row>
    <row r="1081">
      <c r="A1081" s="55" t="s">
        <v>8016</v>
      </c>
      <c r="B1081" s="52" t="s">
        <v>1472</v>
      </c>
      <c r="C1081" s="56">
        <v>45628.625</v>
      </c>
      <c r="D1081" s="57" t="s">
        <v>2154</v>
      </c>
      <c r="E1081" s="56">
        <v>45628.708333333336</v>
      </c>
      <c r="F1081" s="53" t="s">
        <v>8017</v>
      </c>
      <c r="G1081" s="4" t="s">
        <v>27</v>
      </c>
      <c r="H1081" s="4" t="s">
        <v>1987</v>
      </c>
      <c r="K1081" s="4" t="s">
        <v>8018</v>
      </c>
      <c r="L1081" s="4"/>
    </row>
    <row r="1082">
      <c r="A1082" s="55" t="s">
        <v>8019</v>
      </c>
      <c r="B1082" s="52" t="s">
        <v>1554</v>
      </c>
      <c r="C1082" s="56">
        <v>45630.645833333336</v>
      </c>
      <c r="D1082" s="57" t="s">
        <v>2147</v>
      </c>
      <c r="E1082" s="56">
        <v>45630.6875</v>
      </c>
      <c r="F1082" s="53" t="s">
        <v>7573</v>
      </c>
      <c r="G1082" s="4" t="s">
        <v>27</v>
      </c>
      <c r="H1082" s="4" t="s">
        <v>1991</v>
      </c>
      <c r="K1082" s="4" t="s">
        <v>8020</v>
      </c>
      <c r="L1082" s="4"/>
    </row>
    <row r="1083">
      <c r="A1083" s="55"/>
      <c r="B1083" s="52"/>
      <c r="C1083" s="56"/>
      <c r="D1083" s="61"/>
      <c r="E1083" s="56"/>
      <c r="F1083" s="53"/>
      <c r="G1083" s="4"/>
      <c r="H1083" s="4"/>
      <c r="K1083" s="4"/>
      <c r="L1083" s="4"/>
    </row>
    <row r="1084">
      <c r="A1084" s="55" t="s">
        <v>8021</v>
      </c>
      <c r="B1084" s="52" t="s">
        <v>5384</v>
      </c>
      <c r="C1084" s="56">
        <v>45635.5625</v>
      </c>
      <c r="D1084" s="57" t="s">
        <v>2148</v>
      </c>
      <c r="E1084" s="56">
        <v>45635.729166666664</v>
      </c>
      <c r="F1084" s="53" t="s">
        <v>1420</v>
      </c>
      <c r="G1084" s="4" t="s">
        <v>135</v>
      </c>
      <c r="H1084" s="4" t="s">
        <v>1987</v>
      </c>
      <c r="K1084" s="4" t="s">
        <v>8022</v>
      </c>
      <c r="L1084" s="4"/>
    </row>
    <row r="1085">
      <c r="A1085" s="55"/>
      <c r="B1085" s="52"/>
      <c r="C1085" s="56"/>
      <c r="D1085" s="61"/>
      <c r="E1085" s="56"/>
      <c r="F1085" s="53"/>
      <c r="G1085" s="4"/>
      <c r="H1085" s="4"/>
      <c r="K1085" s="4"/>
      <c r="L1085" s="4"/>
    </row>
    <row r="1086">
      <c r="A1086" s="55"/>
      <c r="B1086" s="52"/>
      <c r="C1086" s="56"/>
      <c r="D1086" s="61"/>
      <c r="E1086" s="56"/>
      <c r="F1086" s="53"/>
      <c r="G1086" s="4"/>
      <c r="H1086" s="4"/>
      <c r="K1086" s="4"/>
      <c r="L1086" s="4"/>
    </row>
    <row r="1087">
      <c r="A1087" s="55" t="s">
        <v>8023</v>
      </c>
      <c r="B1087" s="52" t="s">
        <v>5537</v>
      </c>
      <c r="C1087" s="56">
        <v>45629.333333333336</v>
      </c>
      <c r="D1087" s="57" t="s">
        <v>2147</v>
      </c>
      <c r="E1087" s="56">
        <v>45629.375</v>
      </c>
      <c r="F1087" s="53" t="s">
        <v>8024</v>
      </c>
      <c r="G1087" s="4" t="s">
        <v>27</v>
      </c>
      <c r="H1087" s="4" t="s">
        <v>1991</v>
      </c>
      <c r="K1087" s="4" t="s">
        <v>8025</v>
      </c>
      <c r="L1087" s="4"/>
    </row>
    <row r="1088">
      <c r="A1088" s="55" t="s">
        <v>8026</v>
      </c>
      <c r="B1088" s="52" t="s">
        <v>5377</v>
      </c>
      <c r="C1088" s="56">
        <v>45631.6875</v>
      </c>
      <c r="D1088" s="57" t="s">
        <v>2154</v>
      </c>
      <c r="E1088" s="56">
        <v>45631.8125</v>
      </c>
      <c r="F1088" s="53" t="s">
        <v>8027</v>
      </c>
      <c r="G1088" s="4" t="s">
        <v>27</v>
      </c>
      <c r="H1088" s="4" t="s">
        <v>1987</v>
      </c>
      <c r="K1088" s="4" t="s">
        <v>8028</v>
      </c>
      <c r="L1088" s="4" t="s">
        <v>8029</v>
      </c>
    </row>
    <row r="1089">
      <c r="A1089" s="55" t="s">
        <v>8030</v>
      </c>
      <c r="B1089" s="52" t="s">
        <v>6057</v>
      </c>
      <c r="C1089" s="56">
        <v>45624.336805555555</v>
      </c>
      <c r="D1089" s="61"/>
      <c r="E1089" s="56"/>
      <c r="F1089" s="53"/>
      <c r="G1089" s="4"/>
      <c r="H1089" s="4" t="s">
        <v>1987</v>
      </c>
      <c r="K1089" s="4" t="s">
        <v>8031</v>
      </c>
      <c r="L1089" s="4"/>
    </row>
    <row r="1090">
      <c r="A1090" s="55" t="s">
        <v>8032</v>
      </c>
      <c r="B1090" s="52" t="s">
        <v>5537</v>
      </c>
      <c r="C1090" s="56">
        <v>45630.458333333336</v>
      </c>
      <c r="D1090" s="57" t="s">
        <v>2147</v>
      </c>
      <c r="E1090" s="56">
        <v>45630.520833333336</v>
      </c>
      <c r="F1090" s="53" t="s">
        <v>8033</v>
      </c>
      <c r="G1090" s="4" t="s">
        <v>27</v>
      </c>
      <c r="H1090" s="4" t="s">
        <v>1991</v>
      </c>
      <c r="K1090" s="4" t="s">
        <v>8034</v>
      </c>
      <c r="L1090" s="4" t="s">
        <v>8035</v>
      </c>
    </row>
    <row r="1091">
      <c r="A1091" s="55" t="s">
        <v>8036</v>
      </c>
      <c r="B1091" s="52" t="s">
        <v>5377</v>
      </c>
      <c r="C1091" s="56">
        <v>45629.5625</v>
      </c>
      <c r="D1091" s="57" t="s">
        <v>2147</v>
      </c>
      <c r="E1091" s="56">
        <v>45629.604166666664</v>
      </c>
      <c r="F1091" s="53" t="s">
        <v>7579</v>
      </c>
      <c r="G1091" s="4" t="s">
        <v>27</v>
      </c>
      <c r="H1091" s="4" t="s">
        <v>1987</v>
      </c>
      <c r="K1091" s="4" t="s">
        <v>8037</v>
      </c>
      <c r="L1091" s="4"/>
    </row>
    <row r="1092">
      <c r="A1092" s="55" t="s">
        <v>8038</v>
      </c>
      <c r="B1092" s="52" t="s">
        <v>5559</v>
      </c>
      <c r="C1092" s="56">
        <v>45630.479166666664</v>
      </c>
      <c r="D1092" s="61"/>
      <c r="E1092" s="56">
        <v>45630.541666666664</v>
      </c>
      <c r="F1092" s="53" t="s">
        <v>8039</v>
      </c>
      <c r="G1092" s="4" t="s">
        <v>110</v>
      </c>
      <c r="H1092" s="4" t="s">
        <v>1987</v>
      </c>
      <c r="K1092" s="4" t="s">
        <v>8040</v>
      </c>
      <c r="L1092" s="4"/>
    </row>
    <row r="1093">
      <c r="A1093" s="55" t="s">
        <v>8041</v>
      </c>
      <c r="B1093" s="52" t="s">
        <v>1540</v>
      </c>
      <c r="C1093" s="56">
        <v>45632.538194444445</v>
      </c>
      <c r="D1093" s="61"/>
      <c r="E1093" s="56">
        <v>45632.541666666664</v>
      </c>
      <c r="F1093" s="53" t="s">
        <v>8042</v>
      </c>
      <c r="G1093" s="4" t="s">
        <v>110</v>
      </c>
      <c r="H1093" s="4" t="s">
        <v>1987</v>
      </c>
      <c r="K1093" s="4" t="s">
        <v>8043</v>
      </c>
      <c r="L1093" s="4"/>
    </row>
    <row r="1094">
      <c r="A1094" s="55" t="s">
        <v>8044</v>
      </c>
      <c r="B1094" s="52" t="s">
        <v>6057</v>
      </c>
      <c r="C1094" s="56">
        <v>45628.541666666664</v>
      </c>
      <c r="D1094" s="57" t="s">
        <v>2147</v>
      </c>
      <c r="E1094" s="56">
        <v>45628.625</v>
      </c>
      <c r="F1094" s="53"/>
      <c r="G1094" s="4" t="s">
        <v>27</v>
      </c>
      <c r="H1094" s="4" t="s">
        <v>1987</v>
      </c>
      <c r="K1094" s="4" t="s">
        <v>8045</v>
      </c>
      <c r="L1094" s="4"/>
    </row>
    <row r="1095">
      <c r="A1095" s="55" t="s">
        <v>8046</v>
      </c>
      <c r="B1095" s="52" t="s">
        <v>6057</v>
      </c>
      <c r="C1095" s="56">
        <v>45628.708333333336</v>
      </c>
      <c r="D1095" s="57" t="s">
        <v>2154</v>
      </c>
      <c r="E1095" s="56">
        <v>45628.791666666664</v>
      </c>
      <c r="F1095" s="53" t="s">
        <v>6053</v>
      </c>
      <c r="G1095" s="4" t="s">
        <v>27</v>
      </c>
      <c r="H1095" s="4" t="s">
        <v>1987</v>
      </c>
      <c r="K1095" s="4"/>
      <c r="L1095" s="4" t="s">
        <v>8047</v>
      </c>
    </row>
    <row r="1096">
      <c r="A1096" s="55" t="s">
        <v>8048</v>
      </c>
      <c r="B1096" s="52" t="s">
        <v>1554</v>
      </c>
      <c r="C1096" s="56">
        <v>45630.604166666664</v>
      </c>
      <c r="D1096" s="57" t="s">
        <v>2147</v>
      </c>
      <c r="E1096" s="56">
        <v>45630.645833333336</v>
      </c>
      <c r="F1096" s="53" t="s">
        <v>7573</v>
      </c>
      <c r="G1096" s="4" t="s">
        <v>27</v>
      </c>
      <c r="H1096" s="4" t="s">
        <v>1987</v>
      </c>
      <c r="K1096" s="4" t="s">
        <v>8049</v>
      </c>
      <c r="L1096" s="4"/>
    </row>
    <row r="1097">
      <c r="A1097" s="55" t="s">
        <v>8050</v>
      </c>
      <c r="B1097" s="52" t="s">
        <v>5384</v>
      </c>
      <c r="C1097" s="56">
        <v>45629.375</v>
      </c>
      <c r="D1097" s="57" t="s">
        <v>2200</v>
      </c>
      <c r="E1097" s="56">
        <v>45629.5</v>
      </c>
      <c r="F1097" s="53" t="s">
        <v>8051</v>
      </c>
      <c r="G1097" s="4" t="s">
        <v>27</v>
      </c>
      <c r="H1097" s="4" t="s">
        <v>1987</v>
      </c>
      <c r="K1097" s="4"/>
      <c r="L1097" s="4" t="s">
        <v>8052</v>
      </c>
    </row>
    <row r="1098">
      <c r="A1098" s="55" t="s">
        <v>8053</v>
      </c>
      <c r="B1098" s="52" t="s">
        <v>5377</v>
      </c>
      <c r="C1098" s="56">
        <v>45629.604166666664</v>
      </c>
      <c r="D1098" s="57" t="s">
        <v>2147</v>
      </c>
      <c r="E1098" s="56">
        <v>45629.645833333336</v>
      </c>
      <c r="F1098" s="53" t="s">
        <v>8054</v>
      </c>
      <c r="G1098" s="4" t="s">
        <v>27</v>
      </c>
      <c r="H1098" s="4" t="s">
        <v>1987</v>
      </c>
      <c r="K1098" s="4"/>
      <c r="L1098" s="4" t="s">
        <v>8055</v>
      </c>
    </row>
    <row r="1099">
      <c r="A1099" s="55" t="s">
        <v>8056</v>
      </c>
      <c r="B1099" s="52" t="s">
        <v>1427</v>
      </c>
      <c r="C1099" s="56">
        <v>45629.645833333336</v>
      </c>
      <c r="D1099" s="57" t="s">
        <v>2154</v>
      </c>
      <c r="E1099" s="56">
        <v>45629.75</v>
      </c>
      <c r="F1099" s="53" t="s">
        <v>8057</v>
      </c>
      <c r="G1099" s="4" t="s">
        <v>27</v>
      </c>
      <c r="H1099" s="4" t="s">
        <v>1987</v>
      </c>
      <c r="K1099" s="4"/>
      <c r="L1099" s="4" t="s">
        <v>8058</v>
      </c>
    </row>
    <row r="1100">
      <c r="A1100" s="55" t="s">
        <v>8059</v>
      </c>
      <c r="B1100" s="52" t="s">
        <v>6057</v>
      </c>
      <c r="C1100" s="56">
        <v>45629.75</v>
      </c>
      <c r="D1100" s="57" t="s">
        <v>2154</v>
      </c>
      <c r="E1100" s="56">
        <v>45629.833333333336</v>
      </c>
      <c r="F1100" s="53" t="s">
        <v>8060</v>
      </c>
      <c r="G1100" s="4" t="s">
        <v>27</v>
      </c>
      <c r="H1100" s="4" t="s">
        <v>1987</v>
      </c>
      <c r="K1100" s="4" t="s">
        <v>8061</v>
      </c>
      <c r="L1100" s="4"/>
    </row>
    <row r="1101">
      <c r="A1101" s="55" t="s">
        <v>8062</v>
      </c>
      <c r="B1101" s="52" t="s">
        <v>6057</v>
      </c>
      <c r="C1101" s="56">
        <v>45630.375</v>
      </c>
      <c r="D1101" s="57" t="s">
        <v>2154</v>
      </c>
      <c r="E1101" s="56">
        <v>45630.458333333336</v>
      </c>
      <c r="F1101" s="53" t="s">
        <v>6053</v>
      </c>
      <c r="G1101" s="4" t="s">
        <v>27</v>
      </c>
      <c r="H1101" s="4" t="s">
        <v>1987</v>
      </c>
      <c r="K1101" s="4"/>
      <c r="L1101" s="4" t="s">
        <v>8063</v>
      </c>
    </row>
    <row r="1102">
      <c r="A1102" s="55" t="s">
        <v>8064</v>
      </c>
      <c r="B1102" s="52" t="s">
        <v>6057</v>
      </c>
      <c r="C1102" s="56">
        <v>45630.6875</v>
      </c>
      <c r="D1102" s="57" t="s">
        <v>2154</v>
      </c>
      <c r="E1102" s="56">
        <v>45630.770833333336</v>
      </c>
      <c r="F1102" s="53" t="s">
        <v>6053</v>
      </c>
      <c r="G1102" s="4" t="s">
        <v>27</v>
      </c>
      <c r="H1102" s="4" t="s">
        <v>1987</v>
      </c>
      <c r="K1102" s="4" t="s">
        <v>8065</v>
      </c>
      <c r="L1102" s="4"/>
    </row>
    <row r="1103">
      <c r="A1103" s="55" t="s">
        <v>8066</v>
      </c>
      <c r="B1103" s="52" t="s">
        <v>6057</v>
      </c>
      <c r="C1103" s="56">
        <v>45631.583333333336</v>
      </c>
      <c r="D1103" s="57" t="s">
        <v>2154</v>
      </c>
      <c r="E1103" s="56">
        <v>45631.6875</v>
      </c>
      <c r="F1103" s="53" t="s">
        <v>7180</v>
      </c>
      <c r="G1103" s="4" t="s">
        <v>27</v>
      </c>
      <c r="H1103" s="4" t="s">
        <v>1987</v>
      </c>
      <c r="K1103" s="4"/>
      <c r="L1103" s="4" t="s">
        <v>8067</v>
      </c>
    </row>
    <row r="1104">
      <c r="A1104" s="55" t="s">
        <v>8068</v>
      </c>
      <c r="B1104" s="52" t="s">
        <v>6057</v>
      </c>
      <c r="C1104" s="56">
        <v>45632.375</v>
      </c>
      <c r="D1104" s="57" t="s">
        <v>2154</v>
      </c>
      <c r="E1104" s="56">
        <v>45632.458333333336</v>
      </c>
      <c r="F1104" s="53" t="s">
        <v>8069</v>
      </c>
      <c r="G1104" s="4" t="s">
        <v>27</v>
      </c>
      <c r="H1104" s="4" t="s">
        <v>1987</v>
      </c>
      <c r="K1104" s="4" t="s">
        <v>8070</v>
      </c>
      <c r="L1104" s="4"/>
    </row>
    <row r="1105">
      <c r="A1105" s="55" t="s">
        <v>8071</v>
      </c>
      <c r="B1105" s="52" t="s">
        <v>5559</v>
      </c>
      <c r="C1105" s="56">
        <v>45632.458333333336</v>
      </c>
      <c r="D1105" s="57" t="s">
        <v>2147</v>
      </c>
      <c r="E1105" s="56">
        <v>45632.5</v>
      </c>
      <c r="F1105" s="53" t="s">
        <v>8072</v>
      </c>
      <c r="G1105" s="4" t="s">
        <v>27</v>
      </c>
      <c r="H1105" s="4" t="s">
        <v>1987</v>
      </c>
      <c r="K1105" s="4" t="s">
        <v>8073</v>
      </c>
      <c r="L1105" s="4"/>
    </row>
    <row r="1106">
      <c r="A1106" s="55" t="s">
        <v>8074</v>
      </c>
      <c r="B1106" s="52" t="s">
        <v>5377</v>
      </c>
      <c r="C1106" s="56">
        <v>45632.583333333336</v>
      </c>
      <c r="D1106" s="57" t="s">
        <v>2147</v>
      </c>
      <c r="E1106" s="56">
        <v>45632.625</v>
      </c>
      <c r="F1106" s="53" t="s">
        <v>8075</v>
      </c>
      <c r="G1106" s="4" t="s">
        <v>27</v>
      </c>
      <c r="H1106" s="4" t="s">
        <v>1987</v>
      </c>
      <c r="K1106" s="4" t="s">
        <v>8076</v>
      </c>
      <c r="L1106" s="4"/>
    </row>
    <row r="1107">
      <c r="A1107" s="55" t="s">
        <v>8077</v>
      </c>
      <c r="B1107" s="52" t="s">
        <v>6057</v>
      </c>
      <c r="C1107" s="56">
        <v>45632.5</v>
      </c>
      <c r="D1107" s="57" t="s">
        <v>2147</v>
      </c>
      <c r="E1107" s="56">
        <v>45632.583333333336</v>
      </c>
      <c r="F1107" s="53" t="s">
        <v>6053</v>
      </c>
      <c r="G1107" s="4" t="s">
        <v>27</v>
      </c>
      <c r="H1107" s="4" t="s">
        <v>1987</v>
      </c>
      <c r="K1107" s="4" t="s">
        <v>8078</v>
      </c>
      <c r="L1107" s="4"/>
    </row>
    <row r="1108">
      <c r="A1108" s="55" t="s">
        <v>8079</v>
      </c>
      <c r="B1108" s="52" t="s">
        <v>6057</v>
      </c>
      <c r="C1108" s="56">
        <v>45632.625</v>
      </c>
      <c r="D1108" s="57" t="s">
        <v>2154</v>
      </c>
      <c r="E1108" s="56">
        <v>45632.75</v>
      </c>
      <c r="F1108" s="53" t="s">
        <v>6053</v>
      </c>
      <c r="G1108" s="4" t="s">
        <v>27</v>
      </c>
      <c r="H1108" s="4" t="s">
        <v>1987</v>
      </c>
      <c r="K1108" s="4" t="s">
        <v>8080</v>
      </c>
      <c r="L1108" s="4"/>
    </row>
    <row r="1109">
      <c r="A1109" s="55" t="s">
        <v>8081</v>
      </c>
      <c r="B1109" s="52" t="s">
        <v>5571</v>
      </c>
      <c r="C1109" s="56">
        <v>45636.5625</v>
      </c>
      <c r="D1109" s="57" t="s">
        <v>2148</v>
      </c>
      <c r="E1109" s="56">
        <v>45636.729166666664</v>
      </c>
      <c r="F1109" s="53" t="s">
        <v>8082</v>
      </c>
      <c r="G1109" s="4" t="s">
        <v>135</v>
      </c>
      <c r="H1109" s="4" t="s">
        <v>1987</v>
      </c>
      <c r="K1109" s="4" t="s">
        <v>8083</v>
      </c>
      <c r="L1109" s="4" t="s">
        <v>8084</v>
      </c>
    </row>
    <row r="1110">
      <c r="A1110" s="55" t="s">
        <v>8085</v>
      </c>
      <c r="B1110" s="52" t="s">
        <v>5384</v>
      </c>
      <c r="C1110" s="56">
        <v>45637.5625</v>
      </c>
      <c r="D1110" s="57" t="s">
        <v>2148</v>
      </c>
      <c r="E1110" s="56">
        <v>45637.729166666664</v>
      </c>
      <c r="F1110" s="53" t="s">
        <v>1420</v>
      </c>
      <c r="G1110" s="4" t="s">
        <v>135</v>
      </c>
      <c r="H1110" s="4" t="s">
        <v>1987</v>
      </c>
      <c r="K1110" s="4" t="s">
        <v>8086</v>
      </c>
      <c r="L1110" s="4"/>
    </row>
    <row r="1111">
      <c r="A1111" s="55" t="s">
        <v>8087</v>
      </c>
      <c r="B1111" s="52" t="s">
        <v>5384</v>
      </c>
      <c r="C1111" s="56">
        <v>45638.5625</v>
      </c>
      <c r="D1111" s="57" t="s">
        <v>2148</v>
      </c>
      <c r="E1111" s="56">
        <v>45638.729166666664</v>
      </c>
      <c r="F1111" s="53" t="s">
        <v>5795</v>
      </c>
      <c r="G1111" s="4" t="s">
        <v>135</v>
      </c>
      <c r="H1111" s="4" t="s">
        <v>1987</v>
      </c>
      <c r="K1111" s="4" t="s">
        <v>8086</v>
      </c>
      <c r="L1111" s="4" t="s">
        <v>8088</v>
      </c>
    </row>
    <row r="1112">
      <c r="A1112" s="55" t="s">
        <v>8089</v>
      </c>
      <c r="B1112" s="52" t="s">
        <v>5559</v>
      </c>
      <c r="C1112" s="56">
        <v>45632.333333333336</v>
      </c>
      <c r="D1112" s="57" t="s">
        <v>6052</v>
      </c>
      <c r="E1112" s="56">
        <v>45632.541666666664</v>
      </c>
      <c r="F1112" s="53" t="s">
        <v>8090</v>
      </c>
      <c r="G1112" s="4" t="s">
        <v>110</v>
      </c>
      <c r="H1112" s="4" t="s">
        <v>1987</v>
      </c>
      <c r="K1112" s="4" t="s">
        <v>8091</v>
      </c>
      <c r="L1112" s="4"/>
    </row>
    <row r="1113">
      <c r="A1113" s="55" t="s">
        <v>8092</v>
      </c>
      <c r="B1113" s="52" t="s">
        <v>5559</v>
      </c>
      <c r="C1113" s="56">
        <v>45636.333333333336</v>
      </c>
      <c r="D1113" s="57" t="s">
        <v>6052</v>
      </c>
      <c r="E1113" s="56">
        <v>45636.541666666664</v>
      </c>
      <c r="F1113" s="53" t="s">
        <v>8001</v>
      </c>
      <c r="G1113" s="4" t="s">
        <v>110</v>
      </c>
      <c r="H1113" s="4" t="s">
        <v>1987</v>
      </c>
      <c r="K1113" s="4" t="s">
        <v>8093</v>
      </c>
      <c r="L1113" s="4" t="s">
        <v>8094</v>
      </c>
    </row>
    <row r="1114">
      <c r="A1114" s="55" t="s">
        <v>8095</v>
      </c>
      <c r="B1114" s="52" t="s">
        <v>1472</v>
      </c>
      <c r="C1114" s="56">
        <v>45635.375</v>
      </c>
      <c r="D1114" s="57" t="s">
        <v>2154</v>
      </c>
      <c r="E1114" s="56">
        <v>45635.458333333336</v>
      </c>
      <c r="F1114" s="53" t="s">
        <v>6130</v>
      </c>
      <c r="G1114" s="4" t="s">
        <v>27</v>
      </c>
      <c r="H1114" s="4" t="s">
        <v>1991</v>
      </c>
      <c r="K1114" s="4" t="s">
        <v>8096</v>
      </c>
      <c r="L1114" s="4"/>
    </row>
    <row r="1115">
      <c r="A1115" s="55" t="s">
        <v>8097</v>
      </c>
      <c r="B1115" s="52" t="s">
        <v>5533</v>
      </c>
      <c r="C1115" s="56">
        <v>45637.708333333336</v>
      </c>
      <c r="D1115" s="57" t="s">
        <v>2147</v>
      </c>
      <c r="E1115" s="56">
        <v>45637.75</v>
      </c>
      <c r="F1115" s="53" t="s">
        <v>8098</v>
      </c>
      <c r="G1115" s="4" t="s">
        <v>27</v>
      </c>
      <c r="H1115" s="4" t="s">
        <v>1991</v>
      </c>
      <c r="K1115" s="4" t="s">
        <v>8099</v>
      </c>
      <c r="L1115" s="4"/>
    </row>
    <row r="1116">
      <c r="A1116" s="55" t="s">
        <v>8100</v>
      </c>
      <c r="B1116" s="52" t="s">
        <v>6069</v>
      </c>
      <c r="C1116" s="56">
        <v>45639.5625</v>
      </c>
      <c r="D1116" s="57" t="s">
        <v>2148</v>
      </c>
      <c r="E1116" s="56">
        <v>45639.729166666664</v>
      </c>
      <c r="F1116" s="53" t="s">
        <v>7339</v>
      </c>
      <c r="G1116" s="4" t="s">
        <v>135</v>
      </c>
      <c r="H1116" s="4" t="s">
        <v>1987</v>
      </c>
      <c r="K1116" s="4" t="s">
        <v>8101</v>
      </c>
      <c r="L1116" s="4" t="s">
        <v>8102</v>
      </c>
    </row>
    <row r="1117">
      <c r="A1117" s="55" t="s">
        <v>8103</v>
      </c>
      <c r="B1117" s="52" t="s">
        <v>5559</v>
      </c>
      <c r="C1117" s="56">
        <v>45637.333333333336</v>
      </c>
      <c r="D1117" s="57" t="s">
        <v>6052</v>
      </c>
      <c r="E1117" s="56">
        <v>45637.541666666664</v>
      </c>
      <c r="F1117" s="53" t="s">
        <v>2192</v>
      </c>
      <c r="G1117" s="4" t="s">
        <v>110</v>
      </c>
      <c r="H1117" s="4" t="s">
        <v>1987</v>
      </c>
      <c r="K1117" s="4" t="s">
        <v>8104</v>
      </c>
      <c r="L1117" s="4" t="s">
        <v>8105</v>
      </c>
    </row>
    <row r="1118">
      <c r="A1118" s="55" t="s">
        <v>8106</v>
      </c>
      <c r="B1118" s="52" t="s">
        <v>5559</v>
      </c>
      <c r="C1118" s="56">
        <v>45635.520833333336</v>
      </c>
      <c r="D1118" s="57" t="s">
        <v>2147</v>
      </c>
      <c r="E1118" s="56">
        <v>45635.541666666664</v>
      </c>
      <c r="F1118" s="53" t="s">
        <v>8107</v>
      </c>
      <c r="G1118" s="4" t="s">
        <v>27</v>
      </c>
      <c r="H1118" s="4" t="s">
        <v>1987</v>
      </c>
      <c r="K1118" s="4" t="s">
        <v>8108</v>
      </c>
      <c r="L1118" s="4"/>
    </row>
    <row r="1119">
      <c r="A1119" s="55" t="s">
        <v>8109</v>
      </c>
      <c r="B1119" s="52" t="s">
        <v>5384</v>
      </c>
      <c r="C1119" s="56">
        <v>45635.59027777778</v>
      </c>
      <c r="D1119" s="57" t="s">
        <v>2154</v>
      </c>
      <c r="E1119" s="56">
        <v>45635.67361111111</v>
      </c>
      <c r="F1119" s="53" t="s">
        <v>8110</v>
      </c>
      <c r="G1119" s="4" t="s">
        <v>27</v>
      </c>
      <c r="H1119" s="4" t="s">
        <v>1987</v>
      </c>
      <c r="K1119" s="4" t="s">
        <v>8111</v>
      </c>
      <c r="L1119" s="4" t="s">
        <v>8112</v>
      </c>
    </row>
    <row r="1120">
      <c r="A1120" s="55" t="s">
        <v>8113</v>
      </c>
      <c r="B1120" s="52" t="s">
        <v>5578</v>
      </c>
      <c r="C1120" s="56">
        <v>45635.67361111111</v>
      </c>
      <c r="D1120" s="57" t="s">
        <v>2147</v>
      </c>
      <c r="E1120" s="56">
        <v>45635.71527777778</v>
      </c>
      <c r="F1120" s="53" t="s">
        <v>8114</v>
      </c>
      <c r="G1120" s="4" t="s">
        <v>27</v>
      </c>
      <c r="H1120" s="4" t="s">
        <v>1987</v>
      </c>
      <c r="K1120" s="4" t="s">
        <v>8115</v>
      </c>
      <c r="L1120" s="4" t="s">
        <v>8116</v>
      </c>
    </row>
    <row r="1121">
      <c r="A1121" s="55"/>
      <c r="B1121" s="52"/>
      <c r="C1121" s="56"/>
      <c r="D1121" s="61"/>
      <c r="E1121" s="56"/>
      <c r="F1121" s="53"/>
      <c r="G1121" s="4"/>
      <c r="H1121" s="4"/>
      <c r="K1121" s="4"/>
      <c r="L1121" s="4"/>
    </row>
    <row r="1122">
      <c r="A1122" s="55" t="s">
        <v>8117</v>
      </c>
      <c r="B1122" s="52" t="s">
        <v>1540</v>
      </c>
      <c r="C1122" s="56">
        <v>45638.604166666664</v>
      </c>
      <c r="D1122" s="57" t="s">
        <v>2154</v>
      </c>
      <c r="E1122" s="56">
        <v>45638.645833333336</v>
      </c>
      <c r="F1122" s="53" t="s">
        <v>8118</v>
      </c>
      <c r="G1122" s="4" t="s">
        <v>27</v>
      </c>
      <c r="H1122" s="4" t="s">
        <v>1991</v>
      </c>
      <c r="K1122" s="4" t="s">
        <v>8119</v>
      </c>
      <c r="L1122" s="4" t="s">
        <v>8120</v>
      </c>
    </row>
    <row r="1123">
      <c r="A1123" s="55" t="s">
        <v>8121</v>
      </c>
      <c r="B1123" s="52" t="s">
        <v>1427</v>
      </c>
      <c r="C1123" s="56">
        <v>45636.333333333336</v>
      </c>
      <c r="D1123" s="57" t="s">
        <v>6052</v>
      </c>
      <c r="E1123" s="56">
        <v>45636.583333333336</v>
      </c>
      <c r="F1123" s="53" t="s">
        <v>6053</v>
      </c>
      <c r="G1123" s="4" t="s">
        <v>27</v>
      </c>
      <c r="H1123" s="4" t="s">
        <v>1987</v>
      </c>
      <c r="K1123" s="4" t="s">
        <v>8122</v>
      </c>
      <c r="L1123" s="4"/>
    </row>
    <row r="1124">
      <c r="A1124" s="55" t="s">
        <v>8123</v>
      </c>
      <c r="B1124" s="52" t="s">
        <v>1427</v>
      </c>
      <c r="C1124" s="56">
        <v>45640.375</v>
      </c>
      <c r="D1124" s="57" t="s">
        <v>6052</v>
      </c>
      <c r="E1124" s="56">
        <v>45640.416666666664</v>
      </c>
      <c r="F1124" s="53" t="s">
        <v>6053</v>
      </c>
      <c r="G1124" s="4" t="s">
        <v>27</v>
      </c>
      <c r="H1124" s="4" t="s">
        <v>1987</v>
      </c>
      <c r="K1124" s="4" t="s">
        <v>8124</v>
      </c>
      <c r="L1124" s="4" t="s">
        <v>8125</v>
      </c>
    </row>
    <row r="1125">
      <c r="A1125" s="55" t="s">
        <v>8126</v>
      </c>
      <c r="B1125" s="52" t="s">
        <v>6057</v>
      </c>
      <c r="C1125" s="56">
        <v>45635.458333333336</v>
      </c>
      <c r="D1125" s="57" t="s">
        <v>2147</v>
      </c>
      <c r="E1125" s="56">
        <v>45635.520833333336</v>
      </c>
      <c r="F1125" s="53" t="s">
        <v>6053</v>
      </c>
      <c r="G1125" s="4" t="s">
        <v>27</v>
      </c>
      <c r="H1125" s="4" t="s">
        <v>1987</v>
      </c>
      <c r="K1125" s="4"/>
      <c r="L1125" s="4" t="s">
        <v>8127</v>
      </c>
    </row>
    <row r="1126">
      <c r="A1126" s="55" t="s">
        <v>8128</v>
      </c>
      <c r="B1126" s="52" t="s">
        <v>6057</v>
      </c>
      <c r="C1126" s="56">
        <v>45635.541666666664</v>
      </c>
      <c r="D1126" s="57" t="s">
        <v>2147</v>
      </c>
      <c r="E1126" s="56">
        <v>45635.59027777778</v>
      </c>
      <c r="F1126" s="53" t="s">
        <v>6053</v>
      </c>
      <c r="G1126" s="4" t="s">
        <v>27</v>
      </c>
      <c r="H1126" s="4" t="s">
        <v>1987</v>
      </c>
      <c r="K1126" s="4" t="s">
        <v>8129</v>
      </c>
      <c r="L1126" s="4" t="s">
        <v>8127</v>
      </c>
    </row>
    <row r="1127">
      <c r="A1127" s="55" t="s">
        <v>8130</v>
      </c>
      <c r="B1127" s="52" t="s">
        <v>6057</v>
      </c>
      <c r="C1127" s="56">
        <v>45635.71527777778</v>
      </c>
      <c r="D1127" s="57" t="s">
        <v>2147</v>
      </c>
      <c r="E1127" s="56">
        <v>45635.81736111111</v>
      </c>
      <c r="F1127" s="53" t="s">
        <v>6053</v>
      </c>
      <c r="G1127" s="4" t="s">
        <v>27</v>
      </c>
      <c r="H1127" s="4" t="s">
        <v>1987</v>
      </c>
      <c r="K1127" s="4" t="s">
        <v>8131</v>
      </c>
      <c r="L1127" s="4" t="s">
        <v>8127</v>
      </c>
    </row>
    <row r="1128">
      <c r="A1128" s="66" t="s">
        <v>8132</v>
      </c>
      <c r="B1128" s="52" t="s">
        <v>1472</v>
      </c>
      <c r="C1128" s="56">
        <v>45637.5</v>
      </c>
      <c r="D1128" s="57" t="s">
        <v>2147</v>
      </c>
      <c r="E1128" s="56">
        <v>45637.541666666664</v>
      </c>
      <c r="F1128" s="53" t="s">
        <v>6130</v>
      </c>
      <c r="G1128" s="4" t="s">
        <v>27</v>
      </c>
      <c r="H1128" s="4" t="s">
        <v>1991</v>
      </c>
      <c r="K1128" s="4" t="s">
        <v>8133</v>
      </c>
      <c r="L1128" s="4"/>
    </row>
    <row r="1129">
      <c r="A1129" s="55" t="s">
        <v>8134</v>
      </c>
      <c r="B1129" s="52" t="s">
        <v>5571</v>
      </c>
      <c r="C1129" s="56">
        <v>45642.4375</v>
      </c>
      <c r="D1129" s="57" t="s">
        <v>2154</v>
      </c>
      <c r="E1129" s="56">
        <v>45642.510416666664</v>
      </c>
      <c r="F1129" s="53" t="s">
        <v>8135</v>
      </c>
      <c r="G1129" s="4" t="s">
        <v>27</v>
      </c>
      <c r="H1129" s="4" t="s">
        <v>1991</v>
      </c>
      <c r="K1129" s="4" t="s">
        <v>8136</v>
      </c>
      <c r="L1129" s="4" t="s">
        <v>8137</v>
      </c>
    </row>
    <row r="1130">
      <c r="A1130" s="55" t="s">
        <v>8138</v>
      </c>
      <c r="B1130" s="52" t="s">
        <v>5384</v>
      </c>
      <c r="C1130" s="56">
        <v>45637.67083333333</v>
      </c>
      <c r="D1130" s="57" t="s">
        <v>2147</v>
      </c>
      <c r="E1130" s="56">
        <v>45637.708333333336</v>
      </c>
      <c r="F1130" s="53" t="s">
        <v>8139</v>
      </c>
      <c r="G1130" s="4" t="s">
        <v>27</v>
      </c>
      <c r="H1130" s="4" t="s">
        <v>1987</v>
      </c>
      <c r="K1130" s="4" t="s">
        <v>8140</v>
      </c>
      <c r="L1130" s="4" t="s">
        <v>8141</v>
      </c>
    </row>
    <row r="1131">
      <c r="A1131" s="55" t="s">
        <v>8142</v>
      </c>
      <c r="B1131" s="52" t="s">
        <v>5533</v>
      </c>
      <c r="C1131" s="56">
        <v>45659.708333333336</v>
      </c>
      <c r="D1131" s="57" t="s">
        <v>2147</v>
      </c>
      <c r="E1131" s="56">
        <v>45659.770833333336</v>
      </c>
      <c r="F1131" s="53" t="s">
        <v>8143</v>
      </c>
      <c r="G1131" s="4" t="s">
        <v>27</v>
      </c>
      <c r="H1131" s="4" t="s">
        <v>1991</v>
      </c>
      <c r="K1131" s="4" t="s">
        <v>8144</v>
      </c>
      <c r="L1131" s="4" t="s">
        <v>8145</v>
      </c>
    </row>
    <row r="1132">
      <c r="A1132" s="55" t="s">
        <v>8146</v>
      </c>
      <c r="B1132" s="52" t="s">
        <v>1554</v>
      </c>
      <c r="C1132" s="56">
        <v>45645.604166666664</v>
      </c>
      <c r="D1132" s="57" t="s">
        <v>2154</v>
      </c>
      <c r="E1132" s="56">
        <v>45645.6875</v>
      </c>
      <c r="F1132" s="53" t="s">
        <v>7573</v>
      </c>
      <c r="G1132" s="4" t="s">
        <v>27</v>
      </c>
      <c r="H1132" s="4" t="s">
        <v>1991</v>
      </c>
      <c r="K1132" s="4" t="s">
        <v>8147</v>
      </c>
      <c r="L1132" s="4"/>
    </row>
    <row r="1133">
      <c r="A1133" s="55" t="s">
        <v>8148</v>
      </c>
      <c r="B1133" s="52" t="s">
        <v>1427</v>
      </c>
      <c r="C1133" s="56">
        <v>45638.645833333336</v>
      </c>
      <c r="D1133" s="57" t="s">
        <v>2154</v>
      </c>
      <c r="E1133" s="56">
        <v>45638.791666666664</v>
      </c>
      <c r="F1133" s="53" t="s">
        <v>8149</v>
      </c>
      <c r="G1133" s="4" t="s">
        <v>27</v>
      </c>
      <c r="H1133" s="4" t="s">
        <v>1987</v>
      </c>
      <c r="K1133" s="4" t="s">
        <v>8150</v>
      </c>
      <c r="L1133" s="4" t="s">
        <v>8151</v>
      </c>
    </row>
    <row r="1134">
      <c r="A1134" s="55"/>
      <c r="B1134" s="52"/>
      <c r="C1134" s="56"/>
      <c r="D1134" s="61"/>
      <c r="E1134" s="56"/>
      <c r="F1134" s="53"/>
      <c r="G1134" s="4"/>
      <c r="H1134" s="4"/>
      <c r="K1134" s="4"/>
      <c r="L1134" s="4"/>
    </row>
    <row r="1135">
      <c r="A1135" s="55"/>
      <c r="B1135" s="52"/>
      <c r="C1135" s="56"/>
      <c r="D1135" s="61"/>
      <c r="E1135" s="56"/>
      <c r="F1135" s="53"/>
      <c r="G1135" s="4"/>
      <c r="H1135" s="4"/>
      <c r="K1135" s="4"/>
      <c r="L1135" s="4"/>
    </row>
    <row r="1136">
      <c r="A1136" s="55" t="s">
        <v>8152</v>
      </c>
      <c r="B1136" s="52" t="s">
        <v>6057</v>
      </c>
      <c r="C1136" s="56">
        <v>45638.375</v>
      </c>
      <c r="D1136" s="57" t="s">
        <v>2148</v>
      </c>
      <c r="E1136" s="56">
        <v>45638.4375</v>
      </c>
      <c r="F1136" s="53" t="s">
        <v>8153</v>
      </c>
      <c r="G1136" s="4" t="s">
        <v>27</v>
      </c>
      <c r="H1136" s="4" t="s">
        <v>1987</v>
      </c>
      <c r="K1136" s="4" t="s">
        <v>8154</v>
      </c>
      <c r="L1136" s="4" t="s">
        <v>8155</v>
      </c>
    </row>
    <row r="1137">
      <c r="A1137" s="55" t="s">
        <v>8156</v>
      </c>
      <c r="B1137" s="52" t="s">
        <v>1427</v>
      </c>
      <c r="C1137" s="56">
        <v>45638.4375</v>
      </c>
      <c r="D1137" s="57" t="s">
        <v>2154</v>
      </c>
      <c r="E1137" s="56">
        <v>45638.5625</v>
      </c>
      <c r="F1137" s="53" t="s">
        <v>8149</v>
      </c>
      <c r="G1137" s="4" t="s">
        <v>27</v>
      </c>
      <c r="H1137" s="4" t="s">
        <v>1987</v>
      </c>
      <c r="K1137" s="4" t="s">
        <v>8157</v>
      </c>
      <c r="L1137" s="4" t="s">
        <v>8151</v>
      </c>
    </row>
    <row r="1138">
      <c r="A1138" s="55" t="s">
        <v>8158</v>
      </c>
      <c r="B1138" s="52" t="s">
        <v>5377</v>
      </c>
      <c r="C1138" s="56">
        <v>45642.5625</v>
      </c>
      <c r="D1138" s="57" t="s">
        <v>2147</v>
      </c>
      <c r="E1138" s="56">
        <v>45642.625</v>
      </c>
      <c r="F1138" s="53" t="s">
        <v>8159</v>
      </c>
      <c r="G1138" s="4" t="s">
        <v>135</v>
      </c>
      <c r="H1138" s="4" t="s">
        <v>1987</v>
      </c>
      <c r="K1138" s="4" t="s">
        <v>8160</v>
      </c>
      <c r="L1138" s="4" t="s">
        <v>8161</v>
      </c>
    </row>
    <row r="1139">
      <c r="A1139" s="55" t="s">
        <v>8162</v>
      </c>
      <c r="B1139" s="52" t="s">
        <v>1540</v>
      </c>
      <c r="C1139" s="56">
        <v>45638.333333333336</v>
      </c>
      <c r="D1139" s="61"/>
      <c r="E1139" s="56">
        <v>45638.4375</v>
      </c>
      <c r="F1139" s="53" t="s">
        <v>5992</v>
      </c>
      <c r="G1139" s="4" t="s">
        <v>110</v>
      </c>
      <c r="H1139" s="4" t="s">
        <v>1987</v>
      </c>
      <c r="K1139" s="4"/>
      <c r="L1139" s="4" t="s">
        <v>8163</v>
      </c>
    </row>
    <row r="1140">
      <c r="A1140" s="55" t="s">
        <v>8164</v>
      </c>
      <c r="B1140" s="52" t="s">
        <v>8165</v>
      </c>
      <c r="C1140" s="56">
        <v>45638.4375</v>
      </c>
      <c r="D1140" s="61"/>
      <c r="E1140" s="56">
        <v>45638.541666666664</v>
      </c>
      <c r="F1140" s="53" t="s">
        <v>8166</v>
      </c>
      <c r="G1140" s="4" t="s">
        <v>110</v>
      </c>
      <c r="H1140" s="4" t="s">
        <v>1987</v>
      </c>
      <c r="K1140" s="4" t="s">
        <v>8167</v>
      </c>
      <c r="L1140" s="4"/>
    </row>
    <row r="1141">
      <c r="A1141" s="55" t="s">
        <v>8168</v>
      </c>
      <c r="B1141" s="52" t="s">
        <v>1540</v>
      </c>
      <c r="C1141" s="56">
        <v>45638.541666666664</v>
      </c>
      <c r="D1141" s="57" t="s">
        <v>2147</v>
      </c>
      <c r="E1141" s="56">
        <v>45638.583333333336</v>
      </c>
      <c r="F1141" s="53" t="s">
        <v>5992</v>
      </c>
      <c r="G1141" s="4" t="s">
        <v>110</v>
      </c>
      <c r="H1141" s="4" t="s">
        <v>1987</v>
      </c>
      <c r="K1141" s="4"/>
      <c r="L1141" s="4" t="s">
        <v>8169</v>
      </c>
    </row>
    <row r="1142">
      <c r="A1142" s="55" t="s">
        <v>8170</v>
      </c>
      <c r="B1142" s="52" t="s">
        <v>1540</v>
      </c>
      <c r="C1142" s="56">
        <v>45639.333333333336</v>
      </c>
      <c r="D1142" s="57" t="s">
        <v>6052</v>
      </c>
      <c r="E1142" s="56">
        <v>45639.541666666664</v>
      </c>
      <c r="F1142" s="53" t="s">
        <v>7332</v>
      </c>
      <c r="G1142" s="4" t="s">
        <v>110</v>
      </c>
      <c r="H1142" s="4" t="s">
        <v>1987</v>
      </c>
      <c r="K1142" s="4" t="s">
        <v>8171</v>
      </c>
      <c r="L1142" s="4"/>
    </row>
    <row r="1143">
      <c r="A1143" s="55" t="s">
        <v>8172</v>
      </c>
      <c r="B1143" s="52" t="s">
        <v>5578</v>
      </c>
      <c r="C1143" s="56">
        <v>45643.583333333336</v>
      </c>
      <c r="D1143" s="57" t="s">
        <v>2147</v>
      </c>
      <c r="E1143" s="56">
        <v>45643.625</v>
      </c>
      <c r="F1143" s="53" t="s">
        <v>8173</v>
      </c>
      <c r="G1143" s="4" t="s">
        <v>27</v>
      </c>
      <c r="H1143" s="4" t="s">
        <v>1991</v>
      </c>
      <c r="K1143" s="4" t="s">
        <v>8174</v>
      </c>
      <c r="L1143" s="4"/>
    </row>
    <row r="1144">
      <c r="A1144" s="55" t="s">
        <v>8175</v>
      </c>
      <c r="B1144" s="52" t="s">
        <v>5559</v>
      </c>
      <c r="C1144" s="56">
        <v>45639.375</v>
      </c>
      <c r="D1144" s="57" t="s">
        <v>2147</v>
      </c>
      <c r="E1144" s="56">
        <v>45639.416666666664</v>
      </c>
      <c r="F1144" s="53" t="s">
        <v>8176</v>
      </c>
      <c r="G1144" s="4" t="s">
        <v>27</v>
      </c>
      <c r="H1144" s="4" t="s">
        <v>1987</v>
      </c>
      <c r="K1144" s="4" t="s">
        <v>8177</v>
      </c>
      <c r="L1144" s="4"/>
    </row>
    <row r="1145">
      <c r="A1145" s="55" t="s">
        <v>8178</v>
      </c>
      <c r="B1145" s="52" t="s">
        <v>1540</v>
      </c>
      <c r="C1145" s="56">
        <v>45642.333333333336</v>
      </c>
      <c r="D1145" s="57" t="s">
        <v>6052</v>
      </c>
      <c r="E1145" s="56">
        <v>45642.5</v>
      </c>
      <c r="F1145" s="53" t="s">
        <v>7332</v>
      </c>
      <c r="G1145" s="4" t="s">
        <v>110</v>
      </c>
      <c r="H1145" s="4" t="s">
        <v>1987</v>
      </c>
      <c r="K1145" s="4" t="s">
        <v>8179</v>
      </c>
      <c r="L1145" s="4" t="s">
        <v>8180</v>
      </c>
    </row>
    <row r="1146">
      <c r="A1146" s="55" t="s">
        <v>8181</v>
      </c>
      <c r="B1146" s="52" t="s">
        <v>5537</v>
      </c>
      <c r="C1146" s="56">
        <v>45642.5</v>
      </c>
      <c r="D1146" s="57" t="s">
        <v>2147</v>
      </c>
      <c r="E1146" s="56">
        <v>45642.541666666664</v>
      </c>
      <c r="F1146" s="53" t="s">
        <v>8033</v>
      </c>
      <c r="G1146" s="4" t="s">
        <v>110</v>
      </c>
      <c r="H1146" s="4" t="s">
        <v>1987</v>
      </c>
      <c r="K1146" s="4"/>
      <c r="L1146" s="4" t="s">
        <v>8182</v>
      </c>
    </row>
    <row r="1147">
      <c r="A1147" s="55" t="s">
        <v>8183</v>
      </c>
      <c r="B1147" s="52" t="s">
        <v>5537</v>
      </c>
      <c r="C1147" s="56">
        <v>45643.333333333336</v>
      </c>
      <c r="D1147" s="57" t="s">
        <v>2147</v>
      </c>
      <c r="E1147" s="56">
        <v>45643.5</v>
      </c>
      <c r="F1147" s="53" t="s">
        <v>8024</v>
      </c>
      <c r="G1147" s="4" t="s">
        <v>110</v>
      </c>
      <c r="H1147" s="4" t="s">
        <v>1987</v>
      </c>
      <c r="K1147" s="4" t="s">
        <v>8184</v>
      </c>
      <c r="L1147" s="4" t="s">
        <v>8185</v>
      </c>
    </row>
    <row r="1148">
      <c r="A1148" s="55"/>
      <c r="B1148" s="52"/>
      <c r="C1148" s="56"/>
      <c r="D1148" s="61"/>
      <c r="E1148" s="56"/>
      <c r="F1148" s="53"/>
      <c r="G1148" s="4"/>
      <c r="H1148" s="4"/>
      <c r="K1148" s="4"/>
      <c r="L1148" s="4"/>
    </row>
    <row r="1149">
      <c r="A1149" s="55" t="s">
        <v>8186</v>
      </c>
      <c r="B1149" s="52" t="s">
        <v>1427</v>
      </c>
      <c r="C1149" s="56">
        <v>45646.333333333336</v>
      </c>
      <c r="D1149" s="57" t="s">
        <v>6052</v>
      </c>
      <c r="E1149" s="56">
        <v>45646.541666666664</v>
      </c>
      <c r="F1149" s="53" t="s">
        <v>7332</v>
      </c>
      <c r="G1149" s="4" t="s">
        <v>110</v>
      </c>
      <c r="H1149" s="4" t="s">
        <v>1987</v>
      </c>
      <c r="K1149" s="4"/>
      <c r="L1149" s="4" t="s">
        <v>8187</v>
      </c>
    </row>
    <row r="1150">
      <c r="A1150" s="55"/>
      <c r="B1150" s="52"/>
      <c r="C1150" s="56"/>
      <c r="D1150" s="61"/>
      <c r="E1150" s="56"/>
      <c r="F1150" s="53"/>
      <c r="G1150" s="4"/>
      <c r="H1150" s="4"/>
      <c r="K1150" s="4"/>
      <c r="L1150" s="4"/>
    </row>
    <row r="1151">
      <c r="A1151" s="55" t="s">
        <v>8188</v>
      </c>
      <c r="B1151" s="52" t="s">
        <v>1472</v>
      </c>
      <c r="C1151" s="56">
        <v>45642.645833333336</v>
      </c>
      <c r="D1151" s="57" t="s">
        <v>2148</v>
      </c>
      <c r="E1151" s="56">
        <v>45642.729166666664</v>
      </c>
      <c r="F1151" s="53" t="s">
        <v>8189</v>
      </c>
      <c r="G1151" s="4" t="s">
        <v>135</v>
      </c>
      <c r="H1151" s="4" t="s">
        <v>1987</v>
      </c>
      <c r="K1151" s="4" t="s">
        <v>8190</v>
      </c>
      <c r="L1151" s="4" t="s">
        <v>8191</v>
      </c>
    </row>
    <row r="1152">
      <c r="A1152" s="55" t="s">
        <v>8192</v>
      </c>
      <c r="B1152" s="52" t="s">
        <v>1472</v>
      </c>
      <c r="C1152" s="56">
        <v>45643.5625</v>
      </c>
      <c r="D1152" s="57" t="s">
        <v>2148</v>
      </c>
      <c r="E1152" s="56">
        <v>45643.729166666664</v>
      </c>
      <c r="F1152" s="53" t="s">
        <v>8189</v>
      </c>
      <c r="G1152" s="4" t="s">
        <v>135</v>
      </c>
      <c r="H1152" s="4" t="s">
        <v>1987</v>
      </c>
      <c r="K1152" s="4" t="s">
        <v>8193</v>
      </c>
      <c r="L1152" s="4"/>
    </row>
    <row r="1153">
      <c r="A1153" s="55"/>
      <c r="B1153" s="52"/>
      <c r="C1153" s="56"/>
      <c r="D1153" s="61"/>
      <c r="E1153" s="56"/>
      <c r="F1153" s="53"/>
      <c r="G1153" s="4"/>
      <c r="H1153" s="4"/>
      <c r="K1153" s="4"/>
      <c r="L1153" s="4"/>
    </row>
    <row r="1154">
      <c r="A1154" s="55" t="s">
        <v>8194</v>
      </c>
      <c r="B1154" s="52" t="s">
        <v>5377</v>
      </c>
      <c r="C1154" s="56">
        <v>45645.5625</v>
      </c>
      <c r="D1154" s="57" t="s">
        <v>2148</v>
      </c>
      <c r="E1154" s="56">
        <v>45645.729166666664</v>
      </c>
      <c r="F1154" s="53" t="s">
        <v>5377</v>
      </c>
      <c r="G1154" s="4" t="s">
        <v>135</v>
      </c>
      <c r="H1154" s="4" t="s">
        <v>1987</v>
      </c>
      <c r="K1154" s="4"/>
      <c r="L1154" s="4" t="s">
        <v>8195</v>
      </c>
    </row>
    <row r="1155">
      <c r="A1155" s="55" t="s">
        <v>8196</v>
      </c>
      <c r="B1155" s="52" t="s">
        <v>1438</v>
      </c>
      <c r="C1155" s="56">
        <v>45646.5625</v>
      </c>
      <c r="D1155" s="57" t="s">
        <v>2148</v>
      </c>
      <c r="E1155" s="56">
        <v>45646.729166666664</v>
      </c>
      <c r="F1155" s="53" t="s">
        <v>6646</v>
      </c>
      <c r="G1155" s="4" t="s">
        <v>135</v>
      </c>
      <c r="H1155" s="4" t="s">
        <v>1987</v>
      </c>
      <c r="K1155" s="4" t="s">
        <v>8197</v>
      </c>
      <c r="L1155" s="4"/>
    </row>
    <row r="1156">
      <c r="A1156" s="55" t="s">
        <v>8198</v>
      </c>
      <c r="B1156" s="52" t="s">
        <v>5384</v>
      </c>
      <c r="C1156" s="56">
        <v>45639.5</v>
      </c>
      <c r="D1156" s="57" t="s">
        <v>6318</v>
      </c>
      <c r="E1156" s="56">
        <v>45639.520833333336</v>
      </c>
      <c r="F1156" s="53" t="s">
        <v>8199</v>
      </c>
      <c r="G1156" s="4" t="s">
        <v>27</v>
      </c>
      <c r="H1156" s="4" t="s">
        <v>1987</v>
      </c>
      <c r="K1156" s="4" t="s">
        <v>8200</v>
      </c>
      <c r="L1156" s="4"/>
    </row>
    <row r="1157">
      <c r="A1157" s="55" t="s">
        <v>8201</v>
      </c>
      <c r="B1157" s="52" t="s">
        <v>1427</v>
      </c>
      <c r="C1157" s="56">
        <v>45639.666666666664</v>
      </c>
      <c r="D1157" s="57" t="s">
        <v>2200</v>
      </c>
      <c r="E1157" s="56">
        <v>45639.791666666664</v>
      </c>
      <c r="F1157" s="53" t="s">
        <v>6053</v>
      </c>
      <c r="G1157" s="4" t="s">
        <v>27</v>
      </c>
      <c r="H1157" s="4" t="s">
        <v>1987</v>
      </c>
      <c r="K1157" s="4" t="s">
        <v>8202</v>
      </c>
      <c r="L1157" s="4"/>
    </row>
    <row r="1158">
      <c r="A1158" s="55" t="s">
        <v>8203</v>
      </c>
      <c r="B1158" s="52" t="s">
        <v>5533</v>
      </c>
      <c r="C1158" s="56">
        <v>45622.75</v>
      </c>
      <c r="D1158" s="57" t="s">
        <v>2147</v>
      </c>
      <c r="E1158" s="56">
        <v>45622.78055555555</v>
      </c>
      <c r="F1158" s="53" t="s">
        <v>8204</v>
      </c>
      <c r="G1158" s="4" t="s">
        <v>6035</v>
      </c>
      <c r="H1158" s="4" t="s">
        <v>1991</v>
      </c>
      <c r="K1158" s="4" t="s">
        <v>8205</v>
      </c>
      <c r="L1158" s="4"/>
    </row>
    <row r="1159">
      <c r="A1159" s="55" t="s">
        <v>8206</v>
      </c>
      <c r="B1159" s="52" t="s">
        <v>5533</v>
      </c>
      <c r="C1159" s="56">
        <v>45624.708333333336</v>
      </c>
      <c r="D1159" s="61"/>
      <c r="E1159" s="56">
        <v>45624.791666666664</v>
      </c>
      <c r="F1159" s="52" t="s">
        <v>6053</v>
      </c>
      <c r="G1159" s="4" t="s">
        <v>6035</v>
      </c>
      <c r="H1159" s="4" t="s">
        <v>1987</v>
      </c>
      <c r="K1159" s="4" t="s">
        <v>8207</v>
      </c>
      <c r="L1159" s="4"/>
    </row>
    <row r="1160">
      <c r="A1160" s="55" t="s">
        <v>8208</v>
      </c>
      <c r="B1160" s="52" t="s">
        <v>5533</v>
      </c>
      <c r="C1160" s="56">
        <v>45637.708333333336</v>
      </c>
      <c r="D1160" s="57" t="s">
        <v>2147</v>
      </c>
      <c r="E1160" s="56">
        <v>45637.75</v>
      </c>
      <c r="F1160" s="53" t="s">
        <v>8209</v>
      </c>
      <c r="G1160" s="4" t="s">
        <v>6035</v>
      </c>
      <c r="H1160" s="4" t="s">
        <v>1987</v>
      </c>
      <c r="K1160" s="4" t="s">
        <v>8210</v>
      </c>
      <c r="L1160" s="4"/>
    </row>
    <row r="1161">
      <c r="A1161" s="55" t="s">
        <v>8211</v>
      </c>
      <c r="B1161" s="52" t="s">
        <v>5533</v>
      </c>
      <c r="C1161" s="56">
        <v>45638.708333333336</v>
      </c>
      <c r="D1161" s="57" t="s">
        <v>2200</v>
      </c>
      <c r="E1161" s="56">
        <v>45638.833333333336</v>
      </c>
      <c r="F1161" s="53" t="s">
        <v>8212</v>
      </c>
      <c r="G1161" s="4" t="s">
        <v>6035</v>
      </c>
      <c r="H1161" s="4" t="s">
        <v>1987</v>
      </c>
      <c r="K1161" s="4" t="s">
        <v>8213</v>
      </c>
      <c r="L1161" s="4"/>
    </row>
    <row r="1162">
      <c r="A1162" s="55" t="s">
        <v>8214</v>
      </c>
      <c r="B1162" s="52" t="s">
        <v>5533</v>
      </c>
      <c r="C1162" s="56">
        <v>45635.708333333336</v>
      </c>
      <c r="D1162" s="61"/>
      <c r="E1162" s="56">
        <v>45635.833333333336</v>
      </c>
      <c r="F1162" s="53" t="s">
        <v>8212</v>
      </c>
      <c r="G1162" s="4" t="s">
        <v>6035</v>
      </c>
      <c r="H1162" s="4" t="s">
        <v>1987</v>
      </c>
      <c r="K1162" s="4" t="s">
        <v>8215</v>
      </c>
      <c r="L1162" s="4"/>
    </row>
    <row r="1163">
      <c r="A1163" s="55" t="s">
        <v>8216</v>
      </c>
      <c r="B1163" s="52" t="s">
        <v>5533</v>
      </c>
      <c r="C1163" s="56">
        <v>45628.708333333336</v>
      </c>
      <c r="D1163" s="61"/>
      <c r="E1163" s="56">
        <v>45628.833333333336</v>
      </c>
      <c r="F1163" s="53" t="s">
        <v>8217</v>
      </c>
      <c r="G1163" s="4" t="s">
        <v>6035</v>
      </c>
      <c r="H1163" s="4" t="s">
        <v>1987</v>
      </c>
      <c r="K1163" s="4" t="s">
        <v>8218</v>
      </c>
      <c r="L1163" s="4"/>
    </row>
    <row r="1164">
      <c r="A1164" s="55" t="s">
        <v>8219</v>
      </c>
      <c r="B1164" s="52" t="s">
        <v>5533</v>
      </c>
      <c r="C1164" s="56">
        <v>45630.708333333336</v>
      </c>
      <c r="D1164" s="61"/>
      <c r="E1164" s="56">
        <v>45630.833333333336</v>
      </c>
      <c r="F1164" s="53" t="s">
        <v>8220</v>
      </c>
      <c r="G1164" s="4" t="s">
        <v>6035</v>
      </c>
      <c r="H1164" s="4" t="s">
        <v>1987</v>
      </c>
      <c r="K1164" s="4" t="s">
        <v>8221</v>
      </c>
      <c r="L1164" s="4"/>
    </row>
    <row r="1165">
      <c r="A1165" s="55" t="s">
        <v>8222</v>
      </c>
      <c r="B1165" s="52" t="s">
        <v>5533</v>
      </c>
      <c r="C1165" s="56">
        <v>45616.708333333336</v>
      </c>
      <c r="D1165" s="61"/>
      <c r="E1165" s="56">
        <v>45616.833333333336</v>
      </c>
      <c r="F1165" s="53" t="s">
        <v>8223</v>
      </c>
      <c r="G1165" s="4" t="s">
        <v>6035</v>
      </c>
      <c r="H1165" s="4" t="s">
        <v>1987</v>
      </c>
      <c r="K1165" s="4" t="s">
        <v>8224</v>
      </c>
      <c r="L1165" s="4"/>
    </row>
    <row r="1166">
      <c r="A1166" s="55" t="s">
        <v>8225</v>
      </c>
      <c r="B1166" s="52" t="s">
        <v>5533</v>
      </c>
      <c r="C1166" s="56">
        <v>45617.708333333336</v>
      </c>
      <c r="D1166" s="61"/>
      <c r="E1166" s="56">
        <v>45617.833333333336</v>
      </c>
      <c r="F1166" s="53" t="s">
        <v>8226</v>
      </c>
      <c r="G1166" s="4" t="s">
        <v>6035</v>
      </c>
      <c r="H1166" s="4" t="s">
        <v>1987</v>
      </c>
      <c r="K1166" s="4" t="s">
        <v>8227</v>
      </c>
      <c r="L1166" s="4"/>
    </row>
    <row r="1167">
      <c r="A1167" s="55" t="s">
        <v>8228</v>
      </c>
      <c r="B1167" s="52" t="s">
        <v>5533</v>
      </c>
      <c r="C1167" s="56">
        <v>45631.729166666664</v>
      </c>
      <c r="D1167" s="61"/>
      <c r="E1167" s="56">
        <v>45631.8125</v>
      </c>
      <c r="F1167" s="53" t="s">
        <v>8229</v>
      </c>
      <c r="G1167" s="4" t="s">
        <v>6035</v>
      </c>
      <c r="H1167" s="4" t="s">
        <v>1987</v>
      </c>
      <c r="K1167" s="4" t="s">
        <v>8230</v>
      </c>
      <c r="L1167" s="4"/>
    </row>
    <row r="1168">
      <c r="A1168" s="55" t="s">
        <v>8231</v>
      </c>
      <c r="B1168" s="52" t="s">
        <v>6057</v>
      </c>
      <c r="C1168" s="56">
        <v>45636.583333333336</v>
      </c>
      <c r="D1168" s="57" t="s">
        <v>2147</v>
      </c>
      <c r="E1168" s="56">
        <v>45636.75</v>
      </c>
      <c r="F1168" s="53" t="s">
        <v>6053</v>
      </c>
      <c r="G1168" s="4" t="s">
        <v>27</v>
      </c>
      <c r="H1168" s="4" t="s">
        <v>1987</v>
      </c>
      <c r="K1168" s="4" t="s">
        <v>8232</v>
      </c>
      <c r="L1168" s="4"/>
    </row>
    <row r="1169">
      <c r="A1169" s="55" t="s">
        <v>8233</v>
      </c>
      <c r="B1169" s="52" t="s">
        <v>5571</v>
      </c>
      <c r="C1169" s="56">
        <v>45642.625</v>
      </c>
      <c r="D1169" s="57" t="s">
        <v>6318</v>
      </c>
      <c r="E1169" s="56">
        <v>45642.645833333336</v>
      </c>
      <c r="F1169" s="53" t="s">
        <v>8234</v>
      </c>
      <c r="G1169" s="4" t="s">
        <v>135</v>
      </c>
      <c r="H1169" s="4" t="s">
        <v>1987</v>
      </c>
      <c r="K1169" s="4" t="s">
        <v>8235</v>
      </c>
      <c r="L1169" s="4" t="s">
        <v>8236</v>
      </c>
    </row>
    <row r="1170">
      <c r="A1170" s="55" t="s">
        <v>8237</v>
      </c>
      <c r="B1170" s="52" t="s">
        <v>6057</v>
      </c>
      <c r="C1170" s="56">
        <v>45637.375</v>
      </c>
      <c r="D1170" s="57" t="s">
        <v>2200</v>
      </c>
      <c r="E1170" s="56">
        <v>45637.5</v>
      </c>
      <c r="F1170" s="53" t="s">
        <v>6053</v>
      </c>
      <c r="G1170" s="4" t="s">
        <v>27</v>
      </c>
      <c r="H1170" s="4" t="s">
        <v>1987</v>
      </c>
      <c r="K1170" s="4" t="s">
        <v>8238</v>
      </c>
      <c r="L1170" s="4"/>
    </row>
    <row r="1171">
      <c r="A1171" s="55" t="s">
        <v>8239</v>
      </c>
      <c r="B1171" s="52" t="s">
        <v>6057</v>
      </c>
      <c r="C1171" s="56">
        <v>45637.541666666664</v>
      </c>
      <c r="D1171" s="57" t="s">
        <v>2154</v>
      </c>
      <c r="E1171" s="56">
        <v>45637.67013888889</v>
      </c>
      <c r="F1171" s="53" t="s">
        <v>6053</v>
      </c>
      <c r="G1171" s="4" t="s">
        <v>27</v>
      </c>
      <c r="H1171" s="4" t="s">
        <v>1987</v>
      </c>
      <c r="K1171" s="4" t="s">
        <v>8240</v>
      </c>
      <c r="L1171" s="4"/>
    </row>
    <row r="1172">
      <c r="A1172" s="55" t="s">
        <v>8241</v>
      </c>
      <c r="B1172" s="52" t="s">
        <v>6057</v>
      </c>
      <c r="C1172" s="56">
        <v>45638.5625</v>
      </c>
      <c r="D1172" s="57" t="s">
        <v>2147</v>
      </c>
      <c r="E1172" s="56">
        <v>45638.604166666664</v>
      </c>
      <c r="F1172" s="53" t="s">
        <v>6053</v>
      </c>
      <c r="G1172" s="4" t="s">
        <v>27</v>
      </c>
      <c r="H1172" s="4" t="s">
        <v>1987</v>
      </c>
      <c r="K1172" s="4" t="s">
        <v>8242</v>
      </c>
      <c r="L1172" s="4"/>
    </row>
    <row r="1173">
      <c r="A1173" s="55" t="s">
        <v>8243</v>
      </c>
      <c r="B1173" s="52" t="s">
        <v>6057</v>
      </c>
      <c r="C1173" s="56">
        <v>45640.416666666664</v>
      </c>
      <c r="D1173" s="57" t="s">
        <v>2147</v>
      </c>
      <c r="E1173" s="56">
        <v>45640.541666666664</v>
      </c>
      <c r="F1173" s="53" t="s">
        <v>6053</v>
      </c>
      <c r="G1173" s="4" t="s">
        <v>27</v>
      </c>
      <c r="H1173" s="4" t="s">
        <v>1987</v>
      </c>
      <c r="K1173" s="4" t="s">
        <v>8244</v>
      </c>
      <c r="L1173" s="4"/>
    </row>
    <row r="1174">
      <c r="A1174" s="55" t="s">
        <v>8245</v>
      </c>
      <c r="B1174" s="52" t="s">
        <v>6057</v>
      </c>
      <c r="C1174" s="56">
        <v>45639.416666666664</v>
      </c>
      <c r="D1174" s="57" t="s">
        <v>2154</v>
      </c>
      <c r="E1174" s="56">
        <v>45639.5</v>
      </c>
      <c r="F1174" s="53" t="s">
        <v>6053</v>
      </c>
      <c r="G1174" s="4" t="s">
        <v>27</v>
      </c>
      <c r="H1174" s="4" t="s">
        <v>1987</v>
      </c>
      <c r="K1174" s="4" t="s">
        <v>8246</v>
      </c>
      <c r="L1174" s="4"/>
    </row>
    <row r="1175">
      <c r="A1175" s="55" t="s">
        <v>8247</v>
      </c>
      <c r="B1175" s="52" t="s">
        <v>6057</v>
      </c>
      <c r="C1175" s="56">
        <v>45639.520833333336</v>
      </c>
      <c r="D1175" s="57" t="s">
        <v>2147</v>
      </c>
      <c r="E1175" s="56">
        <v>45639.666666666664</v>
      </c>
      <c r="F1175" s="53" t="s">
        <v>6053</v>
      </c>
      <c r="G1175" s="4" t="s">
        <v>27</v>
      </c>
      <c r="H1175" s="4" t="s">
        <v>1987</v>
      </c>
      <c r="K1175" s="4" t="s">
        <v>8248</v>
      </c>
      <c r="L1175" s="4"/>
    </row>
    <row r="1176">
      <c r="A1176" s="66" t="s">
        <v>8249</v>
      </c>
      <c r="B1176" s="52" t="s">
        <v>1427</v>
      </c>
      <c r="C1176" s="56">
        <v>45643.5</v>
      </c>
      <c r="D1176" s="57" t="s">
        <v>2147</v>
      </c>
      <c r="E1176" s="56">
        <v>45643.541666666664</v>
      </c>
      <c r="F1176" s="53" t="s">
        <v>8250</v>
      </c>
      <c r="G1176" s="4" t="s">
        <v>110</v>
      </c>
      <c r="H1176" s="4" t="s">
        <v>1991</v>
      </c>
      <c r="K1176" s="4" t="s">
        <v>8251</v>
      </c>
      <c r="L1176" s="4"/>
    </row>
    <row r="1177">
      <c r="A1177" s="66" t="s">
        <v>8252</v>
      </c>
      <c r="B1177" s="52" t="s">
        <v>1427</v>
      </c>
      <c r="C1177" s="56">
        <v>45643.333333333336</v>
      </c>
      <c r="D1177" s="57" t="s">
        <v>2154</v>
      </c>
      <c r="E1177" s="56">
        <v>45643.583333333336</v>
      </c>
      <c r="F1177" s="53" t="s">
        <v>7400</v>
      </c>
      <c r="G1177" s="4" t="s">
        <v>27</v>
      </c>
      <c r="H1177" s="4" t="s">
        <v>1987</v>
      </c>
      <c r="K1177" s="4" t="s">
        <v>8253</v>
      </c>
    </row>
    <row r="1178">
      <c r="A1178" s="55"/>
      <c r="B1178" s="52"/>
      <c r="C1178" s="56"/>
      <c r="D1178" s="61"/>
      <c r="E1178" s="56"/>
      <c r="F1178" s="53"/>
      <c r="G1178" s="4"/>
      <c r="H1178" s="4"/>
      <c r="K1178" s="4"/>
      <c r="L1178" s="4"/>
    </row>
    <row r="1179">
      <c r="A1179" s="55" t="s">
        <v>8254</v>
      </c>
      <c r="B1179" s="52" t="s">
        <v>5537</v>
      </c>
      <c r="C1179" s="56">
        <v>45642.5625</v>
      </c>
      <c r="D1179" s="57" t="s">
        <v>2147</v>
      </c>
      <c r="E1179" s="56">
        <v>45642.604166666664</v>
      </c>
      <c r="F1179" s="53" t="s">
        <v>8255</v>
      </c>
      <c r="G1179" s="4" t="s">
        <v>27</v>
      </c>
      <c r="H1179" s="4" t="s">
        <v>1987</v>
      </c>
      <c r="K1179" s="4"/>
      <c r="L1179" s="4" t="s">
        <v>8256</v>
      </c>
    </row>
    <row r="1180">
      <c r="A1180" s="55" t="s">
        <v>8257</v>
      </c>
      <c r="B1180" s="52" t="s">
        <v>1472</v>
      </c>
      <c r="C1180" s="56">
        <v>45642.645833333336</v>
      </c>
      <c r="D1180" s="57" t="s">
        <v>2147</v>
      </c>
      <c r="E1180" s="56">
        <v>45642.6875</v>
      </c>
      <c r="F1180" s="53" t="s">
        <v>8110</v>
      </c>
      <c r="G1180" s="4" t="s">
        <v>27</v>
      </c>
      <c r="H1180" s="4" t="s">
        <v>1987</v>
      </c>
      <c r="K1180" s="4" t="s">
        <v>8258</v>
      </c>
      <c r="L1180" s="4"/>
    </row>
    <row r="1181">
      <c r="A1181" s="55" t="s">
        <v>8259</v>
      </c>
      <c r="B1181" s="52" t="s">
        <v>6057</v>
      </c>
      <c r="C1181" s="56">
        <v>45642.416666666664</v>
      </c>
      <c r="D1181" s="57" t="s">
        <v>6318</v>
      </c>
      <c r="E1181" s="56">
        <v>45642.4375</v>
      </c>
      <c r="F1181" s="53" t="s">
        <v>6053</v>
      </c>
      <c r="G1181" s="4" t="s">
        <v>27</v>
      </c>
      <c r="H1181" s="4" t="s">
        <v>1987</v>
      </c>
      <c r="K1181" s="4" t="s">
        <v>8260</v>
      </c>
      <c r="L1181" s="4"/>
    </row>
    <row r="1182">
      <c r="A1182" s="55" t="s">
        <v>8261</v>
      </c>
      <c r="B1182" s="52" t="s">
        <v>5384</v>
      </c>
      <c r="C1182" s="56">
        <v>45645.375</v>
      </c>
      <c r="D1182" s="57" t="s">
        <v>2147</v>
      </c>
      <c r="E1182" s="56">
        <v>45645.416666666664</v>
      </c>
      <c r="F1182" s="53" t="s">
        <v>6517</v>
      </c>
      <c r="G1182" s="4" t="s">
        <v>27</v>
      </c>
      <c r="H1182" s="4" t="s">
        <v>1991</v>
      </c>
      <c r="K1182" s="4" t="s">
        <v>8262</v>
      </c>
      <c r="L1182" s="4" t="s">
        <v>8263</v>
      </c>
    </row>
    <row r="1183">
      <c r="A1183" s="55" t="s">
        <v>8264</v>
      </c>
      <c r="B1183" s="52" t="s">
        <v>6057</v>
      </c>
      <c r="C1183" s="56">
        <v>45643.625</v>
      </c>
      <c r="D1183" s="57" t="s">
        <v>2147</v>
      </c>
      <c r="E1183" s="56">
        <v>45643.75</v>
      </c>
      <c r="F1183" s="53" t="s">
        <v>8265</v>
      </c>
      <c r="G1183" s="4" t="s">
        <v>27</v>
      </c>
      <c r="H1183" s="4" t="s">
        <v>1987</v>
      </c>
      <c r="K1183" s="4" t="s">
        <v>8266</v>
      </c>
      <c r="L1183" s="4"/>
    </row>
    <row r="1184">
      <c r="A1184" s="55" t="s">
        <v>8267</v>
      </c>
      <c r="B1184" s="52" t="s">
        <v>6057</v>
      </c>
      <c r="C1184" s="56">
        <v>45642.510416666664</v>
      </c>
      <c r="D1184" s="57" t="s">
        <v>2200</v>
      </c>
      <c r="E1184" s="56">
        <v>45642.5625</v>
      </c>
      <c r="F1184" s="53" t="s">
        <v>6053</v>
      </c>
      <c r="G1184" s="4" t="s">
        <v>27</v>
      </c>
      <c r="H1184" s="4" t="s">
        <v>1987</v>
      </c>
      <c r="K1184" s="4"/>
      <c r="L1184" s="4" t="s">
        <v>8268</v>
      </c>
    </row>
    <row r="1185">
      <c r="A1185" s="55" t="s">
        <v>8269</v>
      </c>
      <c r="B1185" s="52" t="s">
        <v>6057</v>
      </c>
      <c r="C1185" s="56">
        <v>45642.604166666664</v>
      </c>
      <c r="D1185" s="57" t="s">
        <v>2200</v>
      </c>
      <c r="E1185" s="56">
        <v>45642.645833333336</v>
      </c>
      <c r="F1185" s="53" t="s">
        <v>6053</v>
      </c>
      <c r="G1185" s="4" t="s">
        <v>27</v>
      </c>
      <c r="H1185" s="4" t="s">
        <v>1987</v>
      </c>
      <c r="K1185" s="4"/>
      <c r="L1185" s="4" t="s">
        <v>8270</v>
      </c>
    </row>
    <row r="1186">
      <c r="A1186" s="55" t="s">
        <v>8271</v>
      </c>
      <c r="B1186" s="52" t="s">
        <v>6057</v>
      </c>
      <c r="C1186" s="56">
        <v>45642.6875</v>
      </c>
      <c r="D1186" s="57" t="s">
        <v>2200</v>
      </c>
      <c r="E1186" s="56">
        <v>45642.791666666664</v>
      </c>
      <c r="F1186" s="53" t="s">
        <v>6053</v>
      </c>
      <c r="G1186" s="4" t="s">
        <v>27</v>
      </c>
      <c r="H1186" s="4" t="s">
        <v>1987</v>
      </c>
      <c r="K1186" s="4"/>
      <c r="L1186" s="4" t="s">
        <v>8272</v>
      </c>
    </row>
    <row r="1187">
      <c r="A1187" s="55" t="s">
        <v>8273</v>
      </c>
      <c r="B1187" s="52" t="s">
        <v>5537</v>
      </c>
      <c r="C1187" s="56">
        <v>45646.583333333336</v>
      </c>
      <c r="D1187" s="57" t="s">
        <v>2147</v>
      </c>
      <c r="E1187" s="56">
        <v>45646.625</v>
      </c>
      <c r="F1187" s="53" t="s">
        <v>6333</v>
      </c>
      <c r="G1187" s="4" t="s">
        <v>27</v>
      </c>
      <c r="H1187" s="4" t="s">
        <v>1991</v>
      </c>
      <c r="K1187" s="4"/>
      <c r="L1187" s="4" t="s">
        <v>8274</v>
      </c>
    </row>
    <row r="1188">
      <c r="A1188" s="55" t="s">
        <v>8275</v>
      </c>
      <c r="B1188" s="52" t="s">
        <v>5377</v>
      </c>
      <c r="C1188" s="56">
        <v>45643.59375</v>
      </c>
      <c r="D1188" s="57" t="s">
        <v>6318</v>
      </c>
      <c r="E1188" s="56">
        <v>45643.604166666664</v>
      </c>
      <c r="F1188" s="53" t="s">
        <v>7612</v>
      </c>
      <c r="G1188" s="4" t="s">
        <v>135</v>
      </c>
      <c r="H1188" s="4" t="s">
        <v>1991</v>
      </c>
      <c r="K1188" s="4" t="s">
        <v>8276</v>
      </c>
      <c r="L1188" s="4"/>
    </row>
    <row r="1189">
      <c r="A1189" s="55" t="s">
        <v>8277</v>
      </c>
      <c r="B1189" s="52" t="s">
        <v>5537</v>
      </c>
      <c r="C1189" s="56">
        <v>45644.333333333336</v>
      </c>
      <c r="D1189" s="57" t="s">
        <v>2200</v>
      </c>
      <c r="E1189" s="56">
        <v>45644.4375</v>
      </c>
      <c r="F1189" s="53" t="s">
        <v>7332</v>
      </c>
      <c r="G1189" s="4" t="s">
        <v>110</v>
      </c>
      <c r="H1189" s="4" t="s">
        <v>1987</v>
      </c>
      <c r="K1189" s="4" t="s">
        <v>8278</v>
      </c>
      <c r="L1189" s="4" t="s">
        <v>8279</v>
      </c>
    </row>
    <row r="1190">
      <c r="A1190" s="55" t="s">
        <v>8280</v>
      </c>
      <c r="B1190" s="52" t="s">
        <v>1427</v>
      </c>
      <c r="C1190" s="56">
        <v>45645.333333333336</v>
      </c>
      <c r="D1190" s="57" t="s">
        <v>6052</v>
      </c>
      <c r="E1190" s="56">
        <v>45645.541666666664</v>
      </c>
      <c r="F1190" s="53" t="s">
        <v>7332</v>
      </c>
      <c r="G1190" s="4" t="s">
        <v>110</v>
      </c>
      <c r="H1190" s="4" t="s">
        <v>1987</v>
      </c>
      <c r="K1190" s="4" t="s">
        <v>8281</v>
      </c>
      <c r="L1190" s="4" t="s">
        <v>8282</v>
      </c>
    </row>
    <row r="1191">
      <c r="A1191" s="55" t="s">
        <v>8283</v>
      </c>
      <c r="B1191" s="52" t="s">
        <v>1554</v>
      </c>
      <c r="C1191" s="56">
        <v>45645.416666666664</v>
      </c>
      <c r="D1191" s="57" t="s">
        <v>2148</v>
      </c>
      <c r="E1191" s="56">
        <v>45645.604166666664</v>
      </c>
      <c r="F1191" s="53" t="s">
        <v>8284</v>
      </c>
      <c r="G1191" s="4" t="s">
        <v>27</v>
      </c>
      <c r="H1191" s="4" t="s">
        <v>1987</v>
      </c>
      <c r="K1191" s="4"/>
      <c r="L1191" s="4" t="s">
        <v>8285</v>
      </c>
    </row>
    <row r="1192">
      <c r="A1192" s="55"/>
      <c r="B1192" s="52"/>
      <c r="C1192" s="56"/>
      <c r="D1192" s="61"/>
      <c r="E1192" s="56"/>
      <c r="F1192" s="53"/>
      <c r="G1192" s="4"/>
      <c r="H1192" s="4"/>
      <c r="K1192" s="4"/>
      <c r="L1192" s="4"/>
    </row>
    <row r="1193">
      <c r="A1193" s="55" t="s">
        <v>8286</v>
      </c>
      <c r="B1193" s="52" t="s">
        <v>6057</v>
      </c>
      <c r="C1193" s="56">
        <v>45644.416666666664</v>
      </c>
      <c r="D1193" s="57" t="s">
        <v>2148</v>
      </c>
      <c r="E1193" s="56">
        <v>45644.791666666664</v>
      </c>
      <c r="F1193" s="53" t="s">
        <v>6053</v>
      </c>
      <c r="G1193" s="4" t="s">
        <v>27</v>
      </c>
      <c r="H1193" s="4" t="s">
        <v>1987</v>
      </c>
      <c r="K1193" s="4" t="s">
        <v>8287</v>
      </c>
      <c r="L1193" s="4" t="s">
        <v>8288</v>
      </c>
    </row>
    <row r="1194">
      <c r="A1194" s="55" t="s">
        <v>8289</v>
      </c>
      <c r="B1194" s="52" t="s">
        <v>1427</v>
      </c>
      <c r="C1194" s="56">
        <v>45644.4375</v>
      </c>
      <c r="D1194" s="57" t="s">
        <v>2200</v>
      </c>
      <c r="E1194" s="56">
        <v>45644.541666666664</v>
      </c>
      <c r="F1194" s="53" t="s">
        <v>8290</v>
      </c>
      <c r="G1194" s="4" t="s">
        <v>110</v>
      </c>
      <c r="H1194" s="4" t="s">
        <v>1987</v>
      </c>
      <c r="K1194" s="4" t="s">
        <v>8291</v>
      </c>
      <c r="L1194" s="4"/>
    </row>
    <row r="1195">
      <c r="A1195" s="55" t="s">
        <v>8292</v>
      </c>
      <c r="B1195" s="52" t="s">
        <v>1472</v>
      </c>
      <c r="C1195" s="56">
        <v>45644.5625</v>
      </c>
      <c r="D1195" s="57" t="s">
        <v>2154</v>
      </c>
      <c r="E1195" s="56">
        <v>45644.729166666664</v>
      </c>
      <c r="F1195" s="53" t="s">
        <v>8293</v>
      </c>
      <c r="G1195" s="4" t="s">
        <v>135</v>
      </c>
      <c r="H1195" s="4" t="s">
        <v>1987</v>
      </c>
      <c r="K1195" s="4" t="s">
        <v>8294</v>
      </c>
      <c r="L1195" s="4" t="s">
        <v>8295</v>
      </c>
    </row>
    <row r="1196">
      <c r="A1196" s="55" t="s">
        <v>8296</v>
      </c>
      <c r="B1196" s="52" t="s">
        <v>1427</v>
      </c>
      <c r="C1196" s="56">
        <v>45644.375</v>
      </c>
      <c r="D1196" s="57" t="s">
        <v>2147</v>
      </c>
      <c r="E1196" s="56">
        <v>45644.416666666664</v>
      </c>
      <c r="F1196" s="53" t="s">
        <v>8297</v>
      </c>
      <c r="G1196" s="4" t="s">
        <v>27</v>
      </c>
      <c r="H1196" s="4" t="s">
        <v>1987</v>
      </c>
      <c r="K1196" s="4" t="s">
        <v>8298</v>
      </c>
      <c r="L1196" s="4"/>
    </row>
    <row r="1197">
      <c r="A1197" s="55" t="s">
        <v>8299</v>
      </c>
      <c r="B1197" s="52" t="s">
        <v>5377</v>
      </c>
      <c r="C1197" s="56">
        <v>45645.708333333336</v>
      </c>
      <c r="D1197" s="57" t="s">
        <v>2147</v>
      </c>
      <c r="E1197" s="56">
        <v>45645.760416666664</v>
      </c>
      <c r="F1197" s="53" t="s">
        <v>8300</v>
      </c>
      <c r="G1197" s="4" t="s">
        <v>27</v>
      </c>
      <c r="H1197" s="4" t="s">
        <v>1987</v>
      </c>
      <c r="K1197" s="4" t="s">
        <v>8301</v>
      </c>
      <c r="L1197" s="4"/>
    </row>
    <row r="1198">
      <c r="A1198" s="55" t="s">
        <v>8302</v>
      </c>
      <c r="B1198" s="52" t="s">
        <v>1472</v>
      </c>
      <c r="C1198" s="56">
        <v>45649.416666666664</v>
      </c>
      <c r="D1198" s="57" t="s">
        <v>2154</v>
      </c>
      <c r="E1198" s="56">
        <v>45649.5</v>
      </c>
      <c r="F1198" s="53" t="s">
        <v>8303</v>
      </c>
      <c r="G1198" s="4" t="s">
        <v>27</v>
      </c>
      <c r="H1198" s="4" t="s">
        <v>1991</v>
      </c>
      <c r="K1198" s="4" t="s">
        <v>8304</v>
      </c>
      <c r="L1198" s="4" t="s">
        <v>8305</v>
      </c>
    </row>
    <row r="1199">
      <c r="A1199" s="55" t="s">
        <v>8306</v>
      </c>
      <c r="B1199" s="52" t="s">
        <v>5559</v>
      </c>
      <c r="C1199" s="56">
        <v>45649.333333333336</v>
      </c>
      <c r="D1199" s="57" t="s">
        <v>6052</v>
      </c>
      <c r="E1199" s="56">
        <v>45649.354166666664</v>
      </c>
      <c r="F1199" s="53" t="s">
        <v>7332</v>
      </c>
      <c r="G1199" s="4" t="s">
        <v>110</v>
      </c>
      <c r="H1199" s="4" t="s">
        <v>1987</v>
      </c>
      <c r="K1199" s="4" t="s">
        <v>8307</v>
      </c>
      <c r="L1199" s="4" t="s">
        <v>8308</v>
      </c>
    </row>
    <row r="1200">
      <c r="A1200" s="55" t="s">
        <v>8309</v>
      </c>
      <c r="B1200" s="52" t="s">
        <v>1427</v>
      </c>
      <c r="C1200" s="56">
        <v>45650.333333333336</v>
      </c>
      <c r="D1200" s="57" t="s">
        <v>6052</v>
      </c>
      <c r="E1200" s="56">
        <v>45650.541666666664</v>
      </c>
      <c r="F1200" s="53" t="s">
        <v>7332</v>
      </c>
      <c r="G1200" s="4" t="s">
        <v>110</v>
      </c>
      <c r="H1200" s="4" t="s">
        <v>1987</v>
      </c>
      <c r="K1200" s="4" t="s">
        <v>8310</v>
      </c>
      <c r="L1200" s="4" t="s">
        <v>8311</v>
      </c>
    </row>
    <row r="1201">
      <c r="A1201" s="55" t="s">
        <v>8312</v>
      </c>
      <c r="B1201" s="52" t="s">
        <v>1427</v>
      </c>
      <c r="C1201" s="56">
        <v>45652.333333333336</v>
      </c>
      <c r="D1201" s="57" t="s">
        <v>6052</v>
      </c>
      <c r="E1201" s="56">
        <v>45652.541666666664</v>
      </c>
      <c r="F1201" s="53" t="s">
        <v>8290</v>
      </c>
      <c r="G1201" s="4" t="s">
        <v>110</v>
      </c>
      <c r="H1201" s="4" t="s">
        <v>1987</v>
      </c>
      <c r="K1201" s="4" t="s">
        <v>8313</v>
      </c>
      <c r="L1201" s="4" t="s">
        <v>8314</v>
      </c>
    </row>
    <row r="1202">
      <c r="A1202" s="55" t="s">
        <v>8315</v>
      </c>
      <c r="B1202" s="52" t="s">
        <v>1427</v>
      </c>
      <c r="C1202" s="56">
        <v>45653.333333333336</v>
      </c>
      <c r="D1202" s="57" t="s">
        <v>2200</v>
      </c>
      <c r="E1202" s="56">
        <v>45653.444444444445</v>
      </c>
      <c r="F1202" s="53" t="s">
        <v>7332</v>
      </c>
      <c r="G1202" s="4" t="s">
        <v>110</v>
      </c>
      <c r="H1202" s="4" t="s">
        <v>1987</v>
      </c>
      <c r="K1202" s="4" t="s">
        <v>8316</v>
      </c>
      <c r="L1202" s="4" t="s">
        <v>8317</v>
      </c>
    </row>
    <row r="1203">
      <c r="A1203" s="55" t="s">
        <v>8318</v>
      </c>
      <c r="B1203" s="52" t="s">
        <v>1427</v>
      </c>
      <c r="C1203" s="56">
        <v>45650.375</v>
      </c>
      <c r="D1203" s="57" t="s">
        <v>2147</v>
      </c>
      <c r="E1203" s="56">
        <v>45650.5625</v>
      </c>
      <c r="F1203" s="53" t="s">
        <v>7424</v>
      </c>
      <c r="G1203" s="4" t="s">
        <v>27</v>
      </c>
      <c r="H1203" s="4" t="s">
        <v>1987</v>
      </c>
      <c r="K1203" s="4" t="s">
        <v>8319</v>
      </c>
      <c r="L1203" s="4" t="s">
        <v>8320</v>
      </c>
    </row>
    <row r="1204">
      <c r="A1204" s="55" t="s">
        <v>8321</v>
      </c>
      <c r="B1204" s="52" t="s">
        <v>1427</v>
      </c>
      <c r="C1204" s="56">
        <v>45652.416666666664</v>
      </c>
      <c r="D1204" s="57" t="s">
        <v>2147</v>
      </c>
      <c r="E1204" s="56">
        <v>45652.541666666664</v>
      </c>
      <c r="F1204" s="53" t="s">
        <v>7424</v>
      </c>
      <c r="G1204" s="4" t="s">
        <v>27</v>
      </c>
      <c r="H1204" s="4" t="s">
        <v>1987</v>
      </c>
      <c r="K1204" s="4" t="s">
        <v>8322</v>
      </c>
      <c r="L1204" s="4" t="s">
        <v>8323</v>
      </c>
    </row>
    <row r="1205">
      <c r="A1205" s="55"/>
      <c r="B1205" s="52"/>
      <c r="C1205" s="56"/>
      <c r="D1205" s="61"/>
      <c r="E1205" s="56"/>
      <c r="F1205" s="53"/>
      <c r="G1205" s="4"/>
      <c r="H1205" s="4"/>
      <c r="K1205" s="4"/>
      <c r="L1205" s="4"/>
    </row>
    <row r="1206">
      <c r="A1206" s="55" t="s">
        <v>8324</v>
      </c>
      <c r="B1206" s="52" t="s">
        <v>5377</v>
      </c>
      <c r="C1206" s="56">
        <v>45650.333333333336</v>
      </c>
      <c r="D1206" s="57" t="s">
        <v>2148</v>
      </c>
      <c r="E1206" s="56">
        <v>45650.5</v>
      </c>
      <c r="F1206" s="53" t="s">
        <v>8325</v>
      </c>
      <c r="G1206" s="4" t="s">
        <v>135</v>
      </c>
      <c r="H1206" s="4" t="s">
        <v>1987</v>
      </c>
      <c r="K1206" s="4" t="s">
        <v>8326</v>
      </c>
      <c r="L1206" s="4" t="s">
        <v>8327</v>
      </c>
    </row>
    <row r="1207">
      <c r="A1207" s="55" t="s">
        <v>8328</v>
      </c>
      <c r="B1207" s="52" t="s">
        <v>5377</v>
      </c>
      <c r="C1207" s="56">
        <v>45652.645833333336</v>
      </c>
      <c r="D1207" s="57" t="s">
        <v>2148</v>
      </c>
      <c r="E1207" s="56">
        <v>45652.729166666664</v>
      </c>
      <c r="F1207" s="53" t="s">
        <v>6646</v>
      </c>
      <c r="G1207" s="4" t="s">
        <v>135</v>
      </c>
      <c r="H1207" s="4" t="s">
        <v>1987</v>
      </c>
      <c r="K1207" s="4" t="s">
        <v>8329</v>
      </c>
      <c r="L1207" s="4" t="s">
        <v>8330</v>
      </c>
    </row>
    <row r="1208">
      <c r="A1208" s="55" t="s">
        <v>8331</v>
      </c>
      <c r="B1208" s="52" t="s">
        <v>5377</v>
      </c>
      <c r="C1208" s="56">
        <v>45649.5625</v>
      </c>
      <c r="D1208" s="57" t="s">
        <v>2148</v>
      </c>
      <c r="E1208" s="56">
        <v>45649.729166666664</v>
      </c>
      <c r="F1208" s="53" t="s">
        <v>7332</v>
      </c>
      <c r="G1208" s="4" t="s">
        <v>135</v>
      </c>
      <c r="H1208" s="4" t="s">
        <v>1987</v>
      </c>
      <c r="K1208" s="4" t="s">
        <v>8332</v>
      </c>
      <c r="L1208" s="4"/>
    </row>
    <row r="1209">
      <c r="A1209" s="55" t="s">
        <v>8333</v>
      </c>
      <c r="B1209" s="52" t="s">
        <v>5377</v>
      </c>
      <c r="C1209" s="56">
        <v>45653.5625</v>
      </c>
      <c r="D1209" s="57" t="s">
        <v>2148</v>
      </c>
      <c r="E1209" s="56">
        <v>45653.729166666664</v>
      </c>
      <c r="F1209" s="53" t="s">
        <v>8334</v>
      </c>
      <c r="G1209" s="4" t="s">
        <v>135</v>
      </c>
      <c r="H1209" s="4" t="s">
        <v>1987</v>
      </c>
      <c r="K1209" s="4" t="s">
        <v>8335</v>
      </c>
      <c r="L1209" s="4" t="s">
        <v>8336</v>
      </c>
    </row>
    <row r="1210">
      <c r="A1210" s="55" t="s">
        <v>8337</v>
      </c>
      <c r="B1210" s="52" t="s">
        <v>1554</v>
      </c>
      <c r="C1210" s="56">
        <v>45649.625</v>
      </c>
      <c r="D1210" s="57" t="s">
        <v>2148</v>
      </c>
      <c r="E1210" s="56">
        <v>45649.75</v>
      </c>
      <c r="F1210" s="53" t="s">
        <v>8338</v>
      </c>
      <c r="G1210" s="4" t="s">
        <v>27</v>
      </c>
      <c r="H1210" s="4" t="s">
        <v>1987</v>
      </c>
      <c r="K1210" s="4" t="s">
        <v>8339</v>
      </c>
      <c r="L1210" s="4" t="s">
        <v>8340</v>
      </c>
    </row>
    <row r="1211">
      <c r="A1211" s="55" t="s">
        <v>8341</v>
      </c>
      <c r="B1211" s="52" t="s">
        <v>1554</v>
      </c>
      <c r="C1211" s="56">
        <v>45653.604166666664</v>
      </c>
      <c r="D1211" s="57" t="s">
        <v>2154</v>
      </c>
      <c r="E1211" s="56">
        <v>45653.729166666664</v>
      </c>
      <c r="F1211" s="53" t="s">
        <v>8342</v>
      </c>
      <c r="G1211" s="4" t="s">
        <v>27</v>
      </c>
      <c r="H1211" s="4" t="s">
        <v>1991</v>
      </c>
      <c r="K1211" s="4" t="s">
        <v>8343</v>
      </c>
      <c r="L1211" s="4" t="s">
        <v>8344</v>
      </c>
    </row>
    <row r="1212">
      <c r="A1212" s="55" t="s">
        <v>8345</v>
      </c>
      <c r="B1212" s="52" t="s">
        <v>1427</v>
      </c>
      <c r="C1212" s="56">
        <v>45649.333333333336</v>
      </c>
      <c r="D1212" s="57" t="s">
        <v>2147</v>
      </c>
      <c r="E1212" s="56">
        <v>45649.416666666664</v>
      </c>
      <c r="F1212" s="53" t="s">
        <v>8346</v>
      </c>
      <c r="G1212" s="4" t="s">
        <v>27</v>
      </c>
      <c r="H1212" s="4" t="s">
        <v>1987</v>
      </c>
      <c r="K1212" s="4" t="s">
        <v>8347</v>
      </c>
      <c r="L1212" s="4" t="s">
        <v>8348</v>
      </c>
    </row>
    <row r="1213">
      <c r="A1213" s="55" t="s">
        <v>8349</v>
      </c>
      <c r="B1213" s="52" t="s">
        <v>1427</v>
      </c>
      <c r="C1213" s="56">
        <v>45649.354166666664</v>
      </c>
      <c r="D1213" s="57" t="s">
        <v>2154</v>
      </c>
      <c r="E1213" s="56">
        <v>45649.4375</v>
      </c>
      <c r="F1213" s="53" t="s">
        <v>8350</v>
      </c>
      <c r="G1213" s="4" t="s">
        <v>110</v>
      </c>
      <c r="H1213" s="4" t="s">
        <v>1987</v>
      </c>
      <c r="K1213" s="4" t="s">
        <v>8351</v>
      </c>
      <c r="L1213" s="4"/>
    </row>
    <row r="1214">
      <c r="A1214" s="55" t="s">
        <v>8352</v>
      </c>
      <c r="B1214" s="52" t="s">
        <v>1540</v>
      </c>
      <c r="C1214" s="56">
        <v>45649.4375</v>
      </c>
      <c r="D1214" s="57" t="s">
        <v>6318</v>
      </c>
      <c r="E1214" s="56">
        <v>45649.458333333336</v>
      </c>
      <c r="F1214" s="53" t="s">
        <v>8042</v>
      </c>
      <c r="G1214" s="4" t="s">
        <v>110</v>
      </c>
      <c r="H1214" s="4" t="s">
        <v>1987</v>
      </c>
      <c r="K1214" s="4" t="s">
        <v>8353</v>
      </c>
      <c r="L1214" s="4"/>
    </row>
    <row r="1215">
      <c r="A1215" s="55" t="s">
        <v>8354</v>
      </c>
      <c r="B1215" s="52" t="s">
        <v>1427</v>
      </c>
      <c r="C1215" s="56">
        <v>45649.458333333336</v>
      </c>
      <c r="D1215" s="57" t="s">
        <v>2154</v>
      </c>
      <c r="E1215" s="56">
        <v>45649.541666666664</v>
      </c>
      <c r="F1215" s="53" t="s">
        <v>8355</v>
      </c>
      <c r="G1215" s="4" t="s">
        <v>110</v>
      </c>
      <c r="H1215" s="4" t="s">
        <v>1987</v>
      </c>
      <c r="K1215" s="4" t="s">
        <v>8356</v>
      </c>
      <c r="L1215" s="4"/>
    </row>
    <row r="1216">
      <c r="A1216" s="55" t="s">
        <v>8357</v>
      </c>
      <c r="B1216" s="52" t="s">
        <v>6057</v>
      </c>
      <c r="C1216" s="56">
        <v>45649.5</v>
      </c>
      <c r="D1216" s="57" t="s">
        <v>2154</v>
      </c>
      <c r="E1216" s="56">
        <v>45649.583333333336</v>
      </c>
      <c r="F1216" s="53" t="s">
        <v>6053</v>
      </c>
      <c r="G1216" s="4" t="s">
        <v>27</v>
      </c>
      <c r="H1216" s="4" t="s">
        <v>1987</v>
      </c>
      <c r="K1216" s="4" t="s">
        <v>8358</v>
      </c>
      <c r="L1216" s="4" t="s">
        <v>8359</v>
      </c>
    </row>
    <row r="1217">
      <c r="A1217" s="55" t="s">
        <v>8360</v>
      </c>
      <c r="B1217" s="52" t="s">
        <v>1472</v>
      </c>
      <c r="C1217" s="56">
        <v>45651.333333333336</v>
      </c>
      <c r="D1217" s="57" t="s">
        <v>6052</v>
      </c>
      <c r="E1217" s="56">
        <v>45651.583333333336</v>
      </c>
      <c r="F1217" s="53" t="s">
        <v>8361</v>
      </c>
      <c r="G1217" s="4" t="s">
        <v>27</v>
      </c>
      <c r="H1217" s="4" t="s">
        <v>1987</v>
      </c>
      <c r="K1217" s="4" t="s">
        <v>8362</v>
      </c>
      <c r="L1217" s="4"/>
    </row>
    <row r="1218">
      <c r="A1218" s="55" t="s">
        <v>8363</v>
      </c>
      <c r="B1218" s="52" t="s">
        <v>1427</v>
      </c>
      <c r="C1218" s="56">
        <v>45651.583333333336</v>
      </c>
      <c r="D1218" s="57" t="s">
        <v>2154</v>
      </c>
      <c r="E1218" s="56">
        <v>45651.666666666664</v>
      </c>
      <c r="F1218" s="53" t="s">
        <v>8364</v>
      </c>
      <c r="G1218" s="4" t="s">
        <v>27</v>
      </c>
      <c r="H1218" s="4" t="s">
        <v>1987</v>
      </c>
      <c r="K1218" s="4" t="s">
        <v>8365</v>
      </c>
      <c r="L1218" s="4"/>
    </row>
    <row r="1219">
      <c r="A1219" s="55" t="s">
        <v>8366</v>
      </c>
      <c r="B1219" s="52" t="s">
        <v>5384</v>
      </c>
      <c r="C1219" s="56">
        <v>45652.5625</v>
      </c>
      <c r="D1219" s="57" t="s">
        <v>2154</v>
      </c>
      <c r="E1219" s="56">
        <v>45652.645833333336</v>
      </c>
      <c r="F1219" s="53" t="s">
        <v>8367</v>
      </c>
      <c r="G1219" s="4" t="s">
        <v>135</v>
      </c>
      <c r="H1219" s="4" t="s">
        <v>1987</v>
      </c>
      <c r="K1219" s="4" t="s">
        <v>8368</v>
      </c>
      <c r="L1219" s="4"/>
    </row>
    <row r="1220">
      <c r="A1220" s="55" t="s">
        <v>8369</v>
      </c>
      <c r="B1220" s="52" t="s">
        <v>5377</v>
      </c>
      <c r="C1220" s="56">
        <v>45652.6875</v>
      </c>
      <c r="D1220" s="57" t="s">
        <v>2147</v>
      </c>
      <c r="E1220" s="56">
        <v>45652.729166666664</v>
      </c>
      <c r="F1220" s="53" t="s">
        <v>7579</v>
      </c>
      <c r="G1220" s="4" t="s">
        <v>27</v>
      </c>
      <c r="H1220" s="4" t="s">
        <v>1987</v>
      </c>
      <c r="K1220" s="4" t="s">
        <v>8370</v>
      </c>
      <c r="L1220" s="4"/>
    </row>
    <row r="1221">
      <c r="A1221" s="66" t="s">
        <v>8371</v>
      </c>
      <c r="B1221" s="52" t="s">
        <v>1540</v>
      </c>
      <c r="C1221" s="56">
        <v>45653.444444444445</v>
      </c>
      <c r="D1221" s="57" t="s">
        <v>2154</v>
      </c>
      <c r="E1221" s="56">
        <v>45653.541666666664</v>
      </c>
      <c r="F1221" s="53" t="s">
        <v>8372</v>
      </c>
      <c r="G1221" s="4" t="s">
        <v>110</v>
      </c>
      <c r="H1221" s="4" t="s">
        <v>1987</v>
      </c>
      <c r="K1221" s="4" t="s">
        <v>8373</v>
      </c>
      <c r="L1221" s="4"/>
    </row>
    <row r="1222">
      <c r="A1222" s="55" t="s">
        <v>8374</v>
      </c>
      <c r="B1222" s="52" t="s">
        <v>1554</v>
      </c>
      <c r="C1222" s="56">
        <v>45653.375</v>
      </c>
      <c r="D1222" s="57" t="s">
        <v>6052</v>
      </c>
      <c r="E1222" s="56">
        <v>45653.604166666664</v>
      </c>
      <c r="F1222" s="53" t="s">
        <v>8375</v>
      </c>
      <c r="G1222" s="4" t="s">
        <v>27</v>
      </c>
      <c r="H1222" s="4" t="s">
        <v>1987</v>
      </c>
      <c r="K1222" s="4" t="s">
        <v>8376</v>
      </c>
      <c r="L1222" s="4"/>
    </row>
    <row r="1223">
      <c r="A1223" s="55" t="s">
        <v>8377</v>
      </c>
      <c r="B1223" s="52" t="s">
        <v>6057</v>
      </c>
      <c r="C1223" s="56">
        <v>45652.541666666664</v>
      </c>
      <c r="D1223" s="57" t="s">
        <v>2148</v>
      </c>
      <c r="E1223" s="56">
        <v>45652.6875</v>
      </c>
      <c r="F1223" s="53" t="s">
        <v>6053</v>
      </c>
      <c r="G1223" s="4" t="s">
        <v>27</v>
      </c>
      <c r="H1223" s="4" t="s">
        <v>1987</v>
      </c>
      <c r="K1223" s="4"/>
      <c r="L1223" s="4" t="s">
        <v>8378</v>
      </c>
    </row>
    <row r="1224">
      <c r="A1224" s="55" t="s">
        <v>8379</v>
      </c>
      <c r="B1224" s="52" t="s">
        <v>6057</v>
      </c>
      <c r="C1224" s="56">
        <v>45650.5625</v>
      </c>
      <c r="D1224" s="57" t="s">
        <v>2147</v>
      </c>
      <c r="E1224" s="56">
        <v>45650.75</v>
      </c>
      <c r="F1224" s="53" t="s">
        <v>6053</v>
      </c>
      <c r="G1224" s="4" t="s">
        <v>27</v>
      </c>
      <c r="H1224" s="4" t="s">
        <v>1987</v>
      </c>
      <c r="K1224" s="4" t="s">
        <v>8380</v>
      </c>
      <c r="L1224" s="4"/>
    </row>
    <row r="1225">
      <c r="A1225" s="55" t="s">
        <v>8381</v>
      </c>
      <c r="B1225" s="52" t="s">
        <v>6057</v>
      </c>
      <c r="C1225" s="56">
        <v>45654.375</v>
      </c>
      <c r="D1225" s="57" t="s">
        <v>2148</v>
      </c>
      <c r="E1225" s="56">
        <v>45654.541666666664</v>
      </c>
      <c r="F1225" s="53" t="s">
        <v>6053</v>
      </c>
      <c r="G1225" s="4" t="s">
        <v>27</v>
      </c>
      <c r="H1225" s="4" t="s">
        <v>1987</v>
      </c>
      <c r="K1225" s="4" t="s">
        <v>8382</v>
      </c>
      <c r="L1225" s="4"/>
    </row>
    <row r="1226">
      <c r="A1226" s="55" t="s">
        <v>8383</v>
      </c>
      <c r="B1226" s="52" t="s">
        <v>5377</v>
      </c>
      <c r="C1226" s="56">
        <v>45656.5625</v>
      </c>
      <c r="D1226" s="57" t="s">
        <v>2148</v>
      </c>
      <c r="E1226" s="56">
        <v>45656.729166666664</v>
      </c>
      <c r="F1226" s="53" t="s">
        <v>5377</v>
      </c>
      <c r="G1226" s="4" t="s">
        <v>135</v>
      </c>
      <c r="H1226" s="4" t="s">
        <v>1987</v>
      </c>
      <c r="K1226" s="4" t="s">
        <v>8384</v>
      </c>
      <c r="L1226" s="4" t="s">
        <v>8385</v>
      </c>
    </row>
    <row r="1227">
      <c r="A1227" s="55" t="s">
        <v>8386</v>
      </c>
      <c r="B1227" s="52" t="s">
        <v>5377</v>
      </c>
      <c r="C1227" s="56">
        <v>45657.333333333336</v>
      </c>
      <c r="D1227" s="57" t="s">
        <v>2148</v>
      </c>
      <c r="E1227" s="56">
        <v>45657.5</v>
      </c>
      <c r="F1227" s="53" t="s">
        <v>5377</v>
      </c>
      <c r="G1227" s="4" t="s">
        <v>135</v>
      </c>
      <c r="H1227" s="4" t="s">
        <v>1987</v>
      </c>
      <c r="K1227" s="4" t="s">
        <v>8387</v>
      </c>
      <c r="L1227" s="4" t="s">
        <v>8388</v>
      </c>
    </row>
    <row r="1228">
      <c r="A1228" s="55" t="s">
        <v>8389</v>
      </c>
      <c r="B1228" s="52" t="s">
        <v>5559</v>
      </c>
      <c r="C1228" s="56">
        <v>45656.375</v>
      </c>
      <c r="D1228" s="57" t="s">
        <v>6052</v>
      </c>
      <c r="E1228" s="56">
        <v>45656.583333333336</v>
      </c>
      <c r="F1228" s="53" t="s">
        <v>8090</v>
      </c>
      <c r="G1228" s="4" t="s">
        <v>110</v>
      </c>
      <c r="H1228" s="4" t="s">
        <v>1987</v>
      </c>
      <c r="K1228" s="4" t="s">
        <v>8390</v>
      </c>
      <c r="L1228" s="4"/>
    </row>
    <row r="1229">
      <c r="A1229" s="55" t="s">
        <v>8391</v>
      </c>
      <c r="B1229" s="52" t="s">
        <v>5559</v>
      </c>
      <c r="C1229" s="56">
        <v>45657.333333333336</v>
      </c>
      <c r="D1229" s="57" t="s">
        <v>6052</v>
      </c>
      <c r="E1229" s="56">
        <v>45657.541666666664</v>
      </c>
      <c r="F1229" s="53" t="s">
        <v>8090</v>
      </c>
      <c r="G1229" s="4" t="s">
        <v>110</v>
      </c>
      <c r="H1229" s="4" t="s">
        <v>1987</v>
      </c>
      <c r="K1229" s="4"/>
      <c r="L1229" s="4" t="s">
        <v>8392</v>
      </c>
    </row>
    <row r="1230">
      <c r="A1230" s="55" t="s">
        <v>8393</v>
      </c>
      <c r="B1230" s="52" t="s">
        <v>5559</v>
      </c>
      <c r="C1230" s="56">
        <v>45659.333333333336</v>
      </c>
      <c r="D1230" s="57" t="s">
        <v>6052</v>
      </c>
      <c r="E1230" s="56">
        <v>45659.541666666664</v>
      </c>
      <c r="F1230" s="53" t="s">
        <v>8090</v>
      </c>
      <c r="G1230" s="4" t="s">
        <v>110</v>
      </c>
      <c r="H1230" s="4" t="s">
        <v>1987</v>
      </c>
      <c r="K1230" s="4" t="s">
        <v>8394</v>
      </c>
      <c r="L1230" s="4"/>
    </row>
    <row r="1231">
      <c r="A1231" s="55" t="s">
        <v>8395</v>
      </c>
      <c r="B1231" s="52" t="s">
        <v>5559</v>
      </c>
      <c r="C1231" s="56">
        <v>45660.333333333336</v>
      </c>
      <c r="D1231" s="57" t="s">
        <v>6052</v>
      </c>
      <c r="E1231" s="56">
        <v>45660.541666666664</v>
      </c>
      <c r="F1231" s="53" t="s">
        <v>8090</v>
      </c>
      <c r="G1231" s="4" t="s">
        <v>110</v>
      </c>
      <c r="H1231" s="4" t="s">
        <v>1987</v>
      </c>
      <c r="K1231" s="4" t="s">
        <v>8396</v>
      </c>
      <c r="L1231" s="4"/>
    </row>
    <row r="1232">
      <c r="A1232" s="55" t="s">
        <v>8397</v>
      </c>
      <c r="B1232" s="52" t="s">
        <v>5384</v>
      </c>
      <c r="C1232" s="56">
        <v>45659.5625</v>
      </c>
      <c r="D1232" s="57" t="s">
        <v>2148</v>
      </c>
      <c r="E1232" s="56">
        <v>45659.729166666664</v>
      </c>
      <c r="F1232" s="53" t="s">
        <v>1420</v>
      </c>
      <c r="G1232" s="4" t="s">
        <v>135</v>
      </c>
      <c r="H1232" s="4" t="s">
        <v>1987</v>
      </c>
      <c r="K1232" s="4" t="s">
        <v>8398</v>
      </c>
      <c r="L1232" s="4"/>
    </row>
    <row r="1233">
      <c r="A1233" s="55" t="s">
        <v>8399</v>
      </c>
      <c r="B1233" s="52" t="s">
        <v>5384</v>
      </c>
      <c r="C1233" s="56">
        <v>45660.614583333336</v>
      </c>
      <c r="D1233" s="57" t="s">
        <v>2148</v>
      </c>
      <c r="E1233" s="56">
        <v>45660.729166666664</v>
      </c>
      <c r="F1233" s="53" t="s">
        <v>8400</v>
      </c>
      <c r="G1233" s="4" t="s">
        <v>135</v>
      </c>
      <c r="H1233" s="4" t="s">
        <v>1987</v>
      </c>
      <c r="K1233" s="4" t="s">
        <v>8401</v>
      </c>
      <c r="L1233" s="4" t="s">
        <v>8402</v>
      </c>
    </row>
    <row r="1234">
      <c r="A1234" s="55" t="s">
        <v>8403</v>
      </c>
      <c r="B1234" s="52" t="s">
        <v>5559</v>
      </c>
      <c r="C1234" s="56">
        <v>45656.416666666664</v>
      </c>
      <c r="D1234" s="57" t="s">
        <v>2147</v>
      </c>
      <c r="E1234" s="56">
        <v>45656.458333333336</v>
      </c>
      <c r="F1234" s="53" t="s">
        <v>8404</v>
      </c>
      <c r="G1234" s="4" t="s">
        <v>27</v>
      </c>
      <c r="H1234" s="4" t="s">
        <v>1987</v>
      </c>
      <c r="K1234" s="4" t="s">
        <v>8405</v>
      </c>
      <c r="L1234" s="4"/>
    </row>
    <row r="1235">
      <c r="A1235" s="55"/>
      <c r="B1235" s="52"/>
      <c r="C1235" s="56"/>
      <c r="D1235" s="61"/>
      <c r="E1235" s="56"/>
      <c r="F1235" s="53"/>
      <c r="G1235" s="4"/>
      <c r="H1235" s="4"/>
      <c r="K1235" s="4"/>
      <c r="L1235" s="4"/>
    </row>
    <row r="1236">
      <c r="A1236" s="55" t="s">
        <v>8406</v>
      </c>
      <c r="B1236" s="52" t="s">
        <v>1427</v>
      </c>
      <c r="C1236" s="56">
        <v>45657.375</v>
      </c>
      <c r="D1236" s="57" t="s">
        <v>6052</v>
      </c>
      <c r="E1236" s="56">
        <v>45657.541666666664</v>
      </c>
      <c r="F1236" s="53" t="s">
        <v>7400</v>
      </c>
      <c r="G1236" s="4" t="s">
        <v>27</v>
      </c>
      <c r="H1236" s="4" t="s">
        <v>1987</v>
      </c>
      <c r="K1236" s="4" t="s">
        <v>8407</v>
      </c>
      <c r="L1236" s="4" t="s">
        <v>8408</v>
      </c>
    </row>
    <row r="1237">
      <c r="A1237" s="66" t="s">
        <v>8409</v>
      </c>
      <c r="B1237" s="52" t="s">
        <v>1427</v>
      </c>
      <c r="C1237" s="56">
        <v>45659.458333333336</v>
      </c>
      <c r="D1237" s="57" t="s">
        <v>6052</v>
      </c>
      <c r="E1237" s="56">
        <v>45659.645833333336</v>
      </c>
      <c r="F1237" s="53" t="s">
        <v>7400</v>
      </c>
      <c r="G1237" s="4" t="s">
        <v>27</v>
      </c>
      <c r="H1237" s="4" t="s">
        <v>1987</v>
      </c>
      <c r="K1237" s="4" t="s">
        <v>8410</v>
      </c>
      <c r="L1237" s="4" t="s">
        <v>8411</v>
      </c>
    </row>
    <row r="1238">
      <c r="A1238" s="55" t="s">
        <v>8412</v>
      </c>
      <c r="B1238" s="52" t="s">
        <v>5559</v>
      </c>
      <c r="C1238" s="56">
        <v>45659.416666666664</v>
      </c>
      <c r="D1238" s="57" t="s">
        <v>2147</v>
      </c>
      <c r="E1238" s="56">
        <v>45659.458333333336</v>
      </c>
      <c r="F1238" s="53" t="s">
        <v>8404</v>
      </c>
      <c r="G1238" s="4" t="s">
        <v>27</v>
      </c>
      <c r="H1238" s="4" t="s">
        <v>1987</v>
      </c>
      <c r="K1238" s="4" t="s">
        <v>8413</v>
      </c>
      <c r="L1238" s="4"/>
    </row>
    <row r="1239">
      <c r="A1239" s="55" t="s">
        <v>8414</v>
      </c>
      <c r="B1239" s="52" t="s">
        <v>6057</v>
      </c>
      <c r="C1239" s="56">
        <v>45656.458333333336</v>
      </c>
      <c r="D1239" s="57" t="s">
        <v>2148</v>
      </c>
      <c r="E1239" s="56">
        <v>45656.791666666664</v>
      </c>
      <c r="F1239" s="53" t="s">
        <v>7180</v>
      </c>
      <c r="G1239" s="4" t="s">
        <v>27</v>
      </c>
      <c r="H1239" s="4" t="s">
        <v>1987</v>
      </c>
      <c r="K1239" s="4" t="s">
        <v>8415</v>
      </c>
      <c r="L1239" s="4"/>
    </row>
    <row r="1240">
      <c r="A1240" s="55" t="s">
        <v>8416</v>
      </c>
      <c r="B1240" s="52" t="s">
        <v>6057</v>
      </c>
      <c r="C1240" s="56">
        <v>45657.541666666664</v>
      </c>
      <c r="D1240" s="61"/>
      <c r="E1240" s="56">
        <v>45657.708333333336</v>
      </c>
      <c r="F1240" s="53" t="s">
        <v>7180</v>
      </c>
      <c r="G1240" s="4" t="s">
        <v>27</v>
      </c>
      <c r="H1240" s="4" t="s">
        <v>1987</v>
      </c>
      <c r="K1240" s="4" t="s">
        <v>8417</v>
      </c>
      <c r="L1240" s="4"/>
    </row>
    <row r="1241">
      <c r="A1241" s="55" t="s">
        <v>8418</v>
      </c>
      <c r="B1241" s="52" t="s">
        <v>1427</v>
      </c>
      <c r="C1241" s="56">
        <v>45660.41111111111</v>
      </c>
      <c r="D1241" s="57" t="s">
        <v>2147</v>
      </c>
      <c r="E1241" s="56">
        <v>45660.520833333336</v>
      </c>
      <c r="F1241" s="53" t="s">
        <v>8419</v>
      </c>
      <c r="G1241" s="4" t="s">
        <v>27</v>
      </c>
      <c r="H1241" s="4" t="s">
        <v>1987</v>
      </c>
      <c r="K1241" s="4" t="s">
        <v>8420</v>
      </c>
      <c r="L1241" s="4" t="s">
        <v>8421</v>
      </c>
    </row>
    <row r="1242">
      <c r="A1242" s="55" t="s">
        <v>8422</v>
      </c>
      <c r="B1242" s="52" t="s">
        <v>5559</v>
      </c>
      <c r="C1242" s="56">
        <v>45660.520833333336</v>
      </c>
      <c r="D1242" s="57" t="s">
        <v>6318</v>
      </c>
      <c r="E1242" s="56">
        <v>45660.5625</v>
      </c>
      <c r="F1242" s="53" t="s">
        <v>6053</v>
      </c>
      <c r="G1242" s="4" t="s">
        <v>27</v>
      </c>
      <c r="H1242" s="4" t="s">
        <v>1987</v>
      </c>
      <c r="K1242" s="4"/>
      <c r="L1242" s="4" t="s">
        <v>8423</v>
      </c>
    </row>
    <row r="1243">
      <c r="A1243" s="55" t="s">
        <v>8424</v>
      </c>
      <c r="B1243" s="52" t="s">
        <v>1554</v>
      </c>
      <c r="C1243" s="56">
        <v>45660.5625</v>
      </c>
      <c r="D1243" s="57" t="s">
        <v>2147</v>
      </c>
      <c r="E1243" s="56">
        <v>45660.75</v>
      </c>
      <c r="F1243" s="53" t="s">
        <v>8425</v>
      </c>
      <c r="G1243" s="4" t="s">
        <v>27</v>
      </c>
      <c r="H1243" s="4" t="s">
        <v>1987</v>
      </c>
      <c r="K1243" s="4" t="s">
        <v>8426</v>
      </c>
      <c r="L1243" s="4" t="s">
        <v>8427</v>
      </c>
    </row>
    <row r="1244">
      <c r="A1244" s="55" t="s">
        <v>8428</v>
      </c>
      <c r="B1244" s="52" t="s">
        <v>5377</v>
      </c>
      <c r="C1244" s="56">
        <v>45660.5625</v>
      </c>
      <c r="D1244" s="61"/>
      <c r="E1244" s="56">
        <v>45660.614583333336</v>
      </c>
      <c r="F1244" s="53" t="s">
        <v>8429</v>
      </c>
      <c r="G1244" s="4" t="s">
        <v>135</v>
      </c>
      <c r="H1244" s="4" t="s">
        <v>1987</v>
      </c>
      <c r="K1244" s="4" t="s">
        <v>8430</v>
      </c>
      <c r="L1244" s="4" t="s">
        <v>8431</v>
      </c>
    </row>
    <row r="1245">
      <c r="A1245" s="55" t="s">
        <v>8432</v>
      </c>
      <c r="B1245" s="52" t="s">
        <v>6069</v>
      </c>
      <c r="C1245" s="56">
        <v>45650.74444444444</v>
      </c>
      <c r="D1245" s="57" t="s">
        <v>2147</v>
      </c>
      <c r="E1245" s="56">
        <v>45650.78611111111</v>
      </c>
      <c r="F1245" s="53" t="s">
        <v>8433</v>
      </c>
      <c r="G1245" s="4" t="s">
        <v>7183</v>
      </c>
      <c r="H1245" s="4" t="s">
        <v>1987</v>
      </c>
      <c r="K1245" s="4" t="s">
        <v>8434</v>
      </c>
      <c r="L1245" s="4"/>
    </row>
    <row r="1246">
      <c r="A1246" s="55" t="s">
        <v>8435</v>
      </c>
      <c r="B1246" s="52" t="s">
        <v>1472</v>
      </c>
      <c r="C1246" s="56">
        <v>45663.55416666667</v>
      </c>
      <c r="D1246" s="57" t="s">
        <v>2147</v>
      </c>
      <c r="E1246" s="56">
        <v>45663.59583333333</v>
      </c>
      <c r="F1246" s="53" t="s">
        <v>8436</v>
      </c>
      <c r="G1246" s="4" t="s">
        <v>27</v>
      </c>
      <c r="H1246" s="4" t="s">
        <v>1987</v>
      </c>
      <c r="K1246" s="4" t="s">
        <v>8437</v>
      </c>
      <c r="L1246" s="4"/>
    </row>
    <row r="1247">
      <c r="A1247" s="55" t="s">
        <v>8438</v>
      </c>
      <c r="B1247" s="52" t="s">
        <v>5384</v>
      </c>
      <c r="C1247" s="56">
        <v>45663.5625</v>
      </c>
      <c r="D1247" s="57" t="s">
        <v>2148</v>
      </c>
      <c r="E1247" s="56">
        <v>45663.729166666664</v>
      </c>
      <c r="F1247" s="53" t="s">
        <v>8439</v>
      </c>
      <c r="G1247" s="4" t="s">
        <v>135</v>
      </c>
      <c r="H1247" s="4" t="s">
        <v>1987</v>
      </c>
      <c r="K1247" s="4" t="s">
        <v>8440</v>
      </c>
      <c r="L1247" s="4"/>
    </row>
    <row r="1248">
      <c r="A1248" s="55" t="s">
        <v>8441</v>
      </c>
      <c r="B1248" s="52" t="s">
        <v>5384</v>
      </c>
      <c r="C1248" s="56">
        <v>45664.5625</v>
      </c>
      <c r="D1248" s="57" t="s">
        <v>2147</v>
      </c>
      <c r="E1248" s="56">
        <v>45664.729166666664</v>
      </c>
      <c r="F1248" s="53" t="s">
        <v>8442</v>
      </c>
      <c r="G1248" s="4" t="s">
        <v>135</v>
      </c>
      <c r="H1248" s="4" t="s">
        <v>1991</v>
      </c>
      <c r="K1248" s="4" t="s">
        <v>8443</v>
      </c>
      <c r="L1248" s="4" t="s">
        <v>8444</v>
      </c>
    </row>
    <row r="1249">
      <c r="A1249" s="55" t="s">
        <v>8445</v>
      </c>
      <c r="B1249" s="52" t="s">
        <v>6069</v>
      </c>
      <c r="C1249" s="56">
        <v>45672.333333333336</v>
      </c>
      <c r="D1249" s="57" t="s">
        <v>2147</v>
      </c>
      <c r="E1249" s="56">
        <v>45672.375</v>
      </c>
      <c r="F1249" s="53" t="s">
        <v>6069</v>
      </c>
      <c r="G1249" s="4" t="s">
        <v>27</v>
      </c>
      <c r="H1249" s="4" t="s">
        <v>1987</v>
      </c>
      <c r="K1249" s="4" t="s">
        <v>8446</v>
      </c>
      <c r="L1249" s="4" t="s">
        <v>8447</v>
      </c>
    </row>
    <row r="1250">
      <c r="A1250" s="55" t="s">
        <v>8448</v>
      </c>
      <c r="B1250" s="52" t="s">
        <v>6069</v>
      </c>
      <c r="C1250" s="56">
        <v>45673.333333333336</v>
      </c>
      <c r="D1250" s="57" t="s">
        <v>2147</v>
      </c>
      <c r="E1250" s="56">
        <v>45673.375</v>
      </c>
      <c r="F1250" s="53" t="s">
        <v>6069</v>
      </c>
      <c r="G1250" s="4" t="s">
        <v>27</v>
      </c>
      <c r="H1250" s="4" t="s">
        <v>1987</v>
      </c>
      <c r="K1250" s="4" t="s">
        <v>8449</v>
      </c>
      <c r="L1250" s="4" t="s">
        <v>8450</v>
      </c>
    </row>
    <row r="1251">
      <c r="A1251" s="55" t="s">
        <v>8451</v>
      </c>
      <c r="B1251" s="52" t="s">
        <v>6069</v>
      </c>
      <c r="C1251" s="56">
        <v>45674.333333333336</v>
      </c>
      <c r="D1251" s="57" t="s">
        <v>2147</v>
      </c>
      <c r="E1251" s="56">
        <v>45674.375</v>
      </c>
      <c r="F1251" s="53" t="s">
        <v>6069</v>
      </c>
      <c r="G1251" s="4" t="s">
        <v>27</v>
      </c>
      <c r="H1251" s="4" t="s">
        <v>1987</v>
      </c>
      <c r="K1251" s="4" t="s">
        <v>8452</v>
      </c>
      <c r="L1251" s="4" t="s">
        <v>8453</v>
      </c>
    </row>
    <row r="1252">
      <c r="A1252" s="55" t="s">
        <v>8454</v>
      </c>
      <c r="B1252" s="52" t="s">
        <v>6069</v>
      </c>
      <c r="C1252" s="56">
        <v>45677.333333333336</v>
      </c>
      <c r="D1252" s="57" t="s">
        <v>2147</v>
      </c>
      <c r="E1252" s="56">
        <v>45677.375</v>
      </c>
      <c r="F1252" s="53" t="s">
        <v>6069</v>
      </c>
      <c r="G1252" s="4" t="s">
        <v>27</v>
      </c>
      <c r="H1252" s="4" t="s">
        <v>1987</v>
      </c>
      <c r="K1252" s="4" t="s">
        <v>8455</v>
      </c>
      <c r="L1252" s="4" t="s">
        <v>8456</v>
      </c>
    </row>
    <row r="1253">
      <c r="A1253" s="55" t="s">
        <v>8457</v>
      </c>
      <c r="B1253" s="52" t="s">
        <v>6069</v>
      </c>
      <c r="C1253" s="56">
        <v>45678.333333333336</v>
      </c>
      <c r="D1253" s="57" t="s">
        <v>2147</v>
      </c>
      <c r="E1253" s="56">
        <v>45678.375</v>
      </c>
      <c r="F1253" s="53" t="s">
        <v>6069</v>
      </c>
      <c r="G1253" s="4" t="s">
        <v>27</v>
      </c>
      <c r="H1253" s="4" t="s">
        <v>1987</v>
      </c>
      <c r="K1253" s="4" t="s">
        <v>8458</v>
      </c>
      <c r="L1253" s="4" t="s">
        <v>8459</v>
      </c>
    </row>
    <row r="1254">
      <c r="A1254" s="55" t="s">
        <v>8460</v>
      </c>
      <c r="B1254" s="52" t="s">
        <v>6069</v>
      </c>
      <c r="C1254" s="56">
        <v>45679.333333333336</v>
      </c>
      <c r="D1254" s="57" t="s">
        <v>2147</v>
      </c>
      <c r="E1254" s="56">
        <v>45679.375</v>
      </c>
      <c r="F1254" s="53" t="s">
        <v>6069</v>
      </c>
      <c r="G1254" s="4" t="s">
        <v>27</v>
      </c>
      <c r="H1254" s="4" t="s">
        <v>1987</v>
      </c>
      <c r="K1254" s="4" t="s">
        <v>8461</v>
      </c>
      <c r="L1254" s="4" t="s">
        <v>8462</v>
      </c>
    </row>
    <row r="1255">
      <c r="A1255" s="55" t="s">
        <v>8463</v>
      </c>
      <c r="B1255" s="52" t="s">
        <v>6069</v>
      </c>
      <c r="C1255" s="56">
        <v>45680.333333333336</v>
      </c>
      <c r="D1255" s="57" t="s">
        <v>2147</v>
      </c>
      <c r="E1255" s="56">
        <v>45680.375</v>
      </c>
      <c r="F1255" s="53" t="s">
        <v>6069</v>
      </c>
      <c r="G1255" s="4" t="s">
        <v>27</v>
      </c>
      <c r="H1255" s="4" t="s">
        <v>1987</v>
      </c>
      <c r="K1255" s="4" t="s">
        <v>8464</v>
      </c>
      <c r="L1255" s="4" t="s">
        <v>8465</v>
      </c>
    </row>
    <row r="1256">
      <c r="A1256" s="55" t="s">
        <v>8466</v>
      </c>
      <c r="B1256" s="52" t="s">
        <v>6069</v>
      </c>
      <c r="C1256" s="56">
        <v>45681.333333333336</v>
      </c>
      <c r="D1256" s="57" t="s">
        <v>2147</v>
      </c>
      <c r="E1256" s="56">
        <v>45681.375</v>
      </c>
      <c r="F1256" s="53" t="s">
        <v>6069</v>
      </c>
      <c r="G1256" s="4" t="s">
        <v>27</v>
      </c>
      <c r="H1256" s="4" t="s">
        <v>1987</v>
      </c>
      <c r="K1256" s="4" t="s">
        <v>8467</v>
      </c>
      <c r="L1256" s="4" t="s">
        <v>8468</v>
      </c>
    </row>
    <row r="1257">
      <c r="A1257" s="55" t="s">
        <v>8469</v>
      </c>
      <c r="B1257" s="52" t="s">
        <v>5384</v>
      </c>
      <c r="C1257" s="56">
        <v>45665.59375</v>
      </c>
      <c r="D1257" s="57" t="s">
        <v>2147</v>
      </c>
      <c r="E1257" s="56">
        <v>45665.625</v>
      </c>
      <c r="F1257" s="53" t="s">
        <v>8470</v>
      </c>
      <c r="G1257" s="4" t="s">
        <v>135</v>
      </c>
      <c r="H1257" s="4" t="s">
        <v>1987</v>
      </c>
      <c r="K1257" s="4" t="s">
        <v>8471</v>
      </c>
      <c r="L1257" s="4" t="s">
        <v>8472</v>
      </c>
    </row>
    <row r="1258">
      <c r="A1258" s="55" t="s">
        <v>8473</v>
      </c>
      <c r="B1258" s="52" t="s">
        <v>5377</v>
      </c>
      <c r="C1258" s="56">
        <v>45665.75</v>
      </c>
      <c r="D1258" s="57" t="s">
        <v>2154</v>
      </c>
      <c r="E1258" s="56">
        <v>45665.833333333336</v>
      </c>
      <c r="F1258" s="53" t="s">
        <v>8474</v>
      </c>
      <c r="G1258" s="4" t="s">
        <v>27</v>
      </c>
      <c r="H1258" s="4" t="s">
        <v>1991</v>
      </c>
      <c r="K1258" s="4" t="s">
        <v>8475</v>
      </c>
      <c r="L1258" s="4" t="s">
        <v>8476</v>
      </c>
    </row>
    <row r="1259">
      <c r="A1259" s="55" t="s">
        <v>8477</v>
      </c>
      <c r="B1259" s="52" t="s">
        <v>5559</v>
      </c>
      <c r="C1259" s="56">
        <v>45664.333333333336</v>
      </c>
      <c r="D1259" s="57" t="s">
        <v>6052</v>
      </c>
      <c r="E1259" s="56">
        <v>45664.541666666664</v>
      </c>
      <c r="F1259" s="53" t="s">
        <v>8478</v>
      </c>
      <c r="G1259" s="4" t="s">
        <v>110</v>
      </c>
      <c r="H1259" s="4" t="s">
        <v>1987</v>
      </c>
      <c r="K1259" s="4" t="s">
        <v>8479</v>
      </c>
      <c r="L1259" s="4" t="s">
        <v>8480</v>
      </c>
    </row>
    <row r="1260">
      <c r="A1260" s="55" t="s">
        <v>8481</v>
      </c>
      <c r="B1260" s="52" t="s">
        <v>5571</v>
      </c>
      <c r="C1260" s="56">
        <v>45665.625</v>
      </c>
      <c r="D1260" s="57" t="s">
        <v>2147</v>
      </c>
      <c r="E1260" s="56">
        <v>45665.729166666664</v>
      </c>
      <c r="F1260" s="53" t="s">
        <v>6244</v>
      </c>
      <c r="G1260" s="4" t="s">
        <v>135</v>
      </c>
      <c r="H1260" s="4" t="s">
        <v>1987</v>
      </c>
      <c r="K1260" s="4"/>
      <c r="L1260" s="4" t="s">
        <v>8482</v>
      </c>
    </row>
    <row r="1261">
      <c r="A1261" s="55" t="s">
        <v>8483</v>
      </c>
      <c r="B1261" s="52" t="s">
        <v>5571</v>
      </c>
      <c r="C1261" s="56">
        <v>45666.625</v>
      </c>
      <c r="D1261" s="57" t="s">
        <v>2147</v>
      </c>
      <c r="E1261" s="56">
        <v>45666.729166666664</v>
      </c>
      <c r="F1261" s="53" t="s">
        <v>6244</v>
      </c>
      <c r="G1261" s="4" t="s">
        <v>135</v>
      </c>
      <c r="H1261" s="4" t="s">
        <v>1987</v>
      </c>
      <c r="K1261" s="4" t="s">
        <v>8484</v>
      </c>
      <c r="L1261" s="4" t="s">
        <v>8485</v>
      </c>
    </row>
    <row r="1262">
      <c r="A1262" s="55" t="s">
        <v>8486</v>
      </c>
      <c r="B1262" s="52" t="s">
        <v>5571</v>
      </c>
      <c r="C1262" s="56">
        <v>45667.625</v>
      </c>
      <c r="D1262" s="57" t="s">
        <v>2147</v>
      </c>
      <c r="E1262" s="56">
        <v>45667.729166666664</v>
      </c>
      <c r="F1262" s="53" t="s">
        <v>6244</v>
      </c>
      <c r="G1262" s="4" t="s">
        <v>135</v>
      </c>
      <c r="H1262" s="4" t="s">
        <v>1987</v>
      </c>
      <c r="K1262" s="4" t="s">
        <v>8487</v>
      </c>
      <c r="L1262" s="4" t="s">
        <v>8488</v>
      </c>
    </row>
    <row r="1263">
      <c r="A1263" s="55" t="s">
        <v>8489</v>
      </c>
      <c r="B1263" s="52" t="s">
        <v>1438</v>
      </c>
      <c r="C1263" s="56">
        <v>45670.5625</v>
      </c>
      <c r="D1263" s="57" t="s">
        <v>2147</v>
      </c>
      <c r="E1263" s="56">
        <v>45670.604166666664</v>
      </c>
      <c r="F1263" s="53" t="s">
        <v>6646</v>
      </c>
      <c r="G1263" s="4" t="s">
        <v>135</v>
      </c>
      <c r="H1263" s="4" t="s">
        <v>1987</v>
      </c>
      <c r="K1263" s="4" t="s">
        <v>8490</v>
      </c>
      <c r="L1263" s="4" t="s">
        <v>8491</v>
      </c>
    </row>
    <row r="1264">
      <c r="A1264" s="55" t="s">
        <v>8492</v>
      </c>
      <c r="B1264" s="52" t="s">
        <v>6057</v>
      </c>
      <c r="C1264" s="56">
        <v>45671.625</v>
      </c>
      <c r="D1264" s="57" t="s">
        <v>2147</v>
      </c>
      <c r="E1264" s="56">
        <v>45671.760416666664</v>
      </c>
      <c r="F1264" s="53" t="s">
        <v>8493</v>
      </c>
      <c r="G1264" s="4" t="s">
        <v>135</v>
      </c>
      <c r="H1264" s="4" t="s">
        <v>1987</v>
      </c>
      <c r="K1264" s="4" t="s">
        <v>8494</v>
      </c>
      <c r="L1264" s="4" t="s">
        <v>8495</v>
      </c>
    </row>
    <row r="1265">
      <c r="A1265" s="55"/>
      <c r="B1265" s="52"/>
      <c r="C1265" s="56"/>
      <c r="D1265" s="61"/>
      <c r="E1265" s="56"/>
      <c r="F1265" s="53"/>
      <c r="G1265" s="4"/>
      <c r="H1265" s="4"/>
      <c r="K1265" s="4"/>
      <c r="L1265" s="4"/>
    </row>
    <row r="1266">
      <c r="A1266" s="55" t="s">
        <v>8496</v>
      </c>
      <c r="B1266" s="52" t="s">
        <v>1438</v>
      </c>
      <c r="C1266" s="56">
        <v>45673.5625</v>
      </c>
      <c r="D1266" s="57" t="s">
        <v>2147</v>
      </c>
      <c r="E1266" s="56">
        <v>45673.729166666664</v>
      </c>
      <c r="F1266" s="53" t="s">
        <v>6646</v>
      </c>
      <c r="G1266" s="4" t="s">
        <v>135</v>
      </c>
      <c r="H1266" s="4" t="s">
        <v>1987</v>
      </c>
      <c r="K1266" s="4" t="s">
        <v>8497</v>
      </c>
      <c r="L1266" s="4"/>
    </row>
    <row r="1267">
      <c r="A1267" s="55" t="s">
        <v>8498</v>
      </c>
      <c r="B1267" s="52" t="s">
        <v>1438</v>
      </c>
      <c r="C1267" s="56">
        <v>45674.5625</v>
      </c>
      <c r="D1267" s="57" t="s">
        <v>2147</v>
      </c>
      <c r="E1267" s="56">
        <v>45674.729166666664</v>
      </c>
      <c r="F1267" s="53" t="s">
        <v>6627</v>
      </c>
      <c r="G1267" s="4" t="s">
        <v>135</v>
      </c>
      <c r="H1267" s="4" t="s">
        <v>1987</v>
      </c>
      <c r="K1267" s="4" t="s">
        <v>8499</v>
      </c>
      <c r="L1267" s="4" t="s">
        <v>8500</v>
      </c>
    </row>
    <row r="1268">
      <c r="A1268" s="55" t="s">
        <v>8501</v>
      </c>
      <c r="B1268" s="52" t="s">
        <v>5377</v>
      </c>
      <c r="C1268" s="56">
        <v>45678.5625</v>
      </c>
      <c r="D1268" s="57" t="s">
        <v>2147</v>
      </c>
      <c r="E1268" s="56">
        <v>45678.604166666664</v>
      </c>
      <c r="F1268" s="53" t="s">
        <v>8502</v>
      </c>
      <c r="G1268" s="4" t="s">
        <v>135</v>
      </c>
      <c r="H1268" s="4" t="s">
        <v>1987</v>
      </c>
      <c r="K1268" s="4" t="s">
        <v>8503</v>
      </c>
      <c r="L1268" s="4" t="s">
        <v>8504</v>
      </c>
    </row>
    <row r="1269">
      <c r="A1269" s="55"/>
      <c r="B1269" s="52"/>
      <c r="C1269" s="56"/>
      <c r="D1269" s="61"/>
      <c r="E1269" s="56"/>
      <c r="F1269" s="53"/>
      <c r="G1269" s="4"/>
      <c r="H1269" s="4"/>
      <c r="K1269" s="4"/>
      <c r="L1269" s="4"/>
    </row>
    <row r="1270">
      <c r="A1270" s="55"/>
      <c r="B1270" s="52"/>
      <c r="C1270" s="56"/>
      <c r="D1270" s="61"/>
      <c r="E1270" s="56"/>
      <c r="F1270" s="53"/>
      <c r="G1270" s="4"/>
      <c r="H1270" s="4"/>
      <c r="K1270" s="4"/>
      <c r="L1270" s="4"/>
    </row>
    <row r="1271">
      <c r="A1271" s="55"/>
      <c r="B1271" s="52"/>
      <c r="C1271" s="56"/>
      <c r="D1271" s="61"/>
      <c r="E1271" s="56"/>
      <c r="F1271" s="53"/>
      <c r="G1271" s="4"/>
      <c r="H1271" s="4"/>
      <c r="K1271" s="4"/>
      <c r="L1271" s="4"/>
    </row>
    <row r="1272">
      <c r="A1272" s="55"/>
      <c r="B1272" s="52"/>
      <c r="C1272" s="56"/>
      <c r="D1272" s="61"/>
      <c r="E1272" s="56"/>
      <c r="F1272" s="53"/>
      <c r="G1272" s="4"/>
      <c r="H1272" s="4"/>
      <c r="K1272" s="4"/>
      <c r="L1272" s="4"/>
    </row>
    <row r="1273">
      <c r="A1273" s="55" t="s">
        <v>8505</v>
      </c>
      <c r="B1273" s="52" t="s">
        <v>1540</v>
      </c>
      <c r="C1273" s="56">
        <v>45665.333333333336</v>
      </c>
      <c r="D1273" s="57" t="s">
        <v>6052</v>
      </c>
      <c r="E1273" s="56">
        <v>45665.5625</v>
      </c>
      <c r="F1273" s="53" t="s">
        <v>6048</v>
      </c>
      <c r="G1273" s="4" t="s">
        <v>110</v>
      </c>
      <c r="H1273" s="4" t="s">
        <v>1987</v>
      </c>
      <c r="K1273" s="4"/>
      <c r="L1273" s="4" t="s">
        <v>8506</v>
      </c>
    </row>
    <row r="1274">
      <c r="A1274" s="55" t="s">
        <v>8507</v>
      </c>
      <c r="B1274" s="52" t="s">
        <v>1540</v>
      </c>
      <c r="C1274" s="56">
        <v>45666.333333333336</v>
      </c>
      <c r="D1274" s="57" t="s">
        <v>6052</v>
      </c>
      <c r="E1274" s="56">
        <v>45666.583333333336</v>
      </c>
      <c r="F1274" s="53" t="s">
        <v>6048</v>
      </c>
      <c r="G1274" s="4" t="s">
        <v>110</v>
      </c>
      <c r="H1274" s="4" t="s">
        <v>1987</v>
      </c>
      <c r="K1274" s="4" t="s">
        <v>8508</v>
      </c>
      <c r="L1274" s="4" t="s">
        <v>8509</v>
      </c>
    </row>
    <row r="1275">
      <c r="A1275" s="55" t="s">
        <v>8510</v>
      </c>
      <c r="B1275" s="52" t="s">
        <v>1540</v>
      </c>
      <c r="C1275" s="56">
        <v>45667.333333333336</v>
      </c>
      <c r="D1275" s="57" t="s">
        <v>6052</v>
      </c>
      <c r="E1275" s="56">
        <v>45667.583333333336</v>
      </c>
      <c r="F1275" s="53" t="s">
        <v>6048</v>
      </c>
      <c r="G1275" s="4" t="s">
        <v>110</v>
      </c>
      <c r="H1275" s="4" t="s">
        <v>1987</v>
      </c>
      <c r="K1275" s="4" t="s">
        <v>8511</v>
      </c>
      <c r="L1275" s="4" t="s">
        <v>8512</v>
      </c>
    </row>
    <row r="1276">
      <c r="A1276" s="66" t="s">
        <v>8513</v>
      </c>
      <c r="B1276" s="52" t="s">
        <v>1540</v>
      </c>
      <c r="C1276" s="56">
        <v>45670.333333333336</v>
      </c>
      <c r="D1276" s="57" t="s">
        <v>6052</v>
      </c>
      <c r="E1276" s="56">
        <v>45670.583333333336</v>
      </c>
      <c r="F1276" s="53" t="s">
        <v>1536</v>
      </c>
      <c r="G1276" s="4" t="s">
        <v>110</v>
      </c>
      <c r="H1276" s="4" t="s">
        <v>1987</v>
      </c>
      <c r="K1276" s="4" t="s">
        <v>8514</v>
      </c>
      <c r="L1276" s="4" t="s">
        <v>8515</v>
      </c>
    </row>
    <row r="1277">
      <c r="A1277" s="55" t="s">
        <v>8516</v>
      </c>
      <c r="B1277" s="52" t="s">
        <v>5537</v>
      </c>
      <c r="C1277" s="56">
        <v>45671.489583333336</v>
      </c>
      <c r="D1277" s="57" t="s">
        <v>6052</v>
      </c>
      <c r="E1277" s="56">
        <v>45671.520833333336</v>
      </c>
      <c r="F1277" s="53" t="s">
        <v>7279</v>
      </c>
      <c r="G1277" s="4" t="s">
        <v>110</v>
      </c>
      <c r="H1277" s="4" t="s">
        <v>1987</v>
      </c>
      <c r="K1277" s="4" t="s">
        <v>8517</v>
      </c>
      <c r="L1277" s="4" t="s">
        <v>8518</v>
      </c>
    </row>
    <row r="1278">
      <c r="A1278" s="55" t="s">
        <v>8519</v>
      </c>
      <c r="B1278" s="52" t="s">
        <v>1438</v>
      </c>
      <c r="C1278" s="56">
        <v>45672.333333333336</v>
      </c>
      <c r="D1278" s="57" t="s">
        <v>6052</v>
      </c>
      <c r="E1278" s="56">
        <v>45672.5</v>
      </c>
      <c r="F1278" s="53" t="s">
        <v>6646</v>
      </c>
      <c r="G1278" s="4" t="s">
        <v>110</v>
      </c>
      <c r="H1278" s="4" t="s">
        <v>1987</v>
      </c>
      <c r="K1278" s="4" t="s">
        <v>8520</v>
      </c>
      <c r="L1278" s="4" t="s">
        <v>8521</v>
      </c>
    </row>
    <row r="1279">
      <c r="A1279" s="55" t="s">
        <v>8522</v>
      </c>
      <c r="B1279" s="52" t="s">
        <v>6057</v>
      </c>
      <c r="C1279" s="56">
        <v>45665.5625</v>
      </c>
      <c r="D1279" s="57" t="s">
        <v>2147</v>
      </c>
      <c r="E1279" s="56">
        <v>45665.59375</v>
      </c>
      <c r="F1279" s="53" t="s">
        <v>8523</v>
      </c>
      <c r="G1279" s="4" t="s">
        <v>135</v>
      </c>
      <c r="H1279" s="4" t="s">
        <v>1987</v>
      </c>
      <c r="K1279" s="4" t="s">
        <v>8524</v>
      </c>
      <c r="L1279" s="4"/>
    </row>
    <row r="1280">
      <c r="A1280" s="55" t="s">
        <v>8525</v>
      </c>
      <c r="B1280" s="52" t="s">
        <v>5571</v>
      </c>
      <c r="C1280" s="56">
        <v>45665.645833333336</v>
      </c>
      <c r="D1280" s="57" t="s">
        <v>2147</v>
      </c>
      <c r="E1280" s="56">
        <v>45665.6875</v>
      </c>
      <c r="F1280" s="53" t="s">
        <v>6244</v>
      </c>
      <c r="G1280" s="4" t="s">
        <v>27</v>
      </c>
      <c r="H1280" s="4" t="s">
        <v>1987</v>
      </c>
      <c r="K1280" s="4" t="s">
        <v>8526</v>
      </c>
      <c r="L1280" s="4"/>
    </row>
    <row r="1281">
      <c r="A1281" s="55" t="s">
        <v>8527</v>
      </c>
      <c r="B1281" s="52" t="s">
        <v>1540</v>
      </c>
      <c r="C1281" s="56">
        <v>45665.4375</v>
      </c>
      <c r="D1281" s="57" t="s">
        <v>2154</v>
      </c>
      <c r="E1281" s="56">
        <v>45665.520833333336</v>
      </c>
      <c r="F1281" s="53" t="s">
        <v>8528</v>
      </c>
      <c r="G1281" s="4" t="s">
        <v>27</v>
      </c>
      <c r="H1281" s="4" t="s">
        <v>1987</v>
      </c>
      <c r="K1281" s="4" t="s">
        <v>8529</v>
      </c>
      <c r="L1281" s="4" t="s">
        <v>8530</v>
      </c>
    </row>
    <row r="1282">
      <c r="A1282" s="55" t="s">
        <v>8531</v>
      </c>
      <c r="B1282" s="52" t="s">
        <v>6057</v>
      </c>
      <c r="C1282" s="56">
        <v>45661.333333333336</v>
      </c>
      <c r="D1282" s="57" t="s">
        <v>2148</v>
      </c>
      <c r="E1282" s="56">
        <v>45661.5</v>
      </c>
      <c r="F1282" s="53" t="s">
        <v>6057</v>
      </c>
      <c r="G1282" s="4" t="s">
        <v>27</v>
      </c>
      <c r="H1282" s="4" t="s">
        <v>1987</v>
      </c>
      <c r="K1282" s="4" t="s">
        <v>8532</v>
      </c>
      <c r="L1282" s="4"/>
    </row>
    <row r="1283">
      <c r="A1283" s="55" t="s">
        <v>8533</v>
      </c>
      <c r="B1283" s="52" t="s">
        <v>6057</v>
      </c>
      <c r="C1283" s="56">
        <v>45659.375</v>
      </c>
      <c r="D1283" s="57" t="s">
        <v>2147</v>
      </c>
      <c r="E1283" s="56">
        <v>45659.416666666664</v>
      </c>
      <c r="F1283" s="53" t="s">
        <v>6057</v>
      </c>
      <c r="G1283" s="4" t="s">
        <v>27</v>
      </c>
      <c r="H1283" s="4" t="s">
        <v>1987</v>
      </c>
      <c r="K1283" s="4" t="s">
        <v>8534</v>
      </c>
      <c r="L1283" s="4"/>
    </row>
    <row r="1284">
      <c r="A1284" s="55" t="s">
        <v>8535</v>
      </c>
      <c r="B1284" s="52" t="s">
        <v>6057</v>
      </c>
      <c r="C1284" s="56">
        <v>45660.375</v>
      </c>
      <c r="D1284" s="57" t="s">
        <v>2147</v>
      </c>
      <c r="E1284" s="56">
        <v>45660.410416666666</v>
      </c>
      <c r="F1284" s="53" t="s">
        <v>8536</v>
      </c>
      <c r="G1284" s="4" t="s">
        <v>27</v>
      </c>
      <c r="H1284" s="4" t="s">
        <v>1987</v>
      </c>
      <c r="K1284" s="4"/>
      <c r="L1284" s="4" t="s">
        <v>8537</v>
      </c>
    </row>
    <row r="1285">
      <c r="A1285" s="55" t="s">
        <v>8538</v>
      </c>
      <c r="B1285" s="52" t="s">
        <v>6057</v>
      </c>
      <c r="C1285" s="56">
        <v>45663.375</v>
      </c>
      <c r="D1285" s="57" t="s">
        <v>2147</v>
      </c>
      <c r="E1285" s="56">
        <v>45663.55347222222</v>
      </c>
      <c r="F1285" s="53" t="s">
        <v>8536</v>
      </c>
      <c r="G1285" s="4" t="s">
        <v>27</v>
      </c>
      <c r="H1285" s="4" t="s">
        <v>1987</v>
      </c>
      <c r="K1285" s="4" t="s">
        <v>8539</v>
      </c>
      <c r="L1285" s="4"/>
    </row>
    <row r="1286">
      <c r="A1286" s="55" t="s">
        <v>8540</v>
      </c>
      <c r="B1286" s="52" t="s">
        <v>6057</v>
      </c>
      <c r="C1286" s="56">
        <v>45663.59583333333</v>
      </c>
      <c r="D1286" s="57" t="s">
        <v>2147</v>
      </c>
      <c r="E1286" s="56">
        <v>45663.770833333336</v>
      </c>
      <c r="F1286" s="53" t="s">
        <v>8536</v>
      </c>
      <c r="G1286" s="4" t="s">
        <v>27</v>
      </c>
      <c r="H1286" s="4" t="s">
        <v>1987</v>
      </c>
      <c r="K1286" s="4" t="s">
        <v>8541</v>
      </c>
      <c r="L1286" s="4"/>
    </row>
    <row r="1287">
      <c r="A1287" s="55" t="s">
        <v>8542</v>
      </c>
      <c r="B1287" s="52" t="s">
        <v>6057</v>
      </c>
      <c r="C1287" s="56">
        <v>45664.375</v>
      </c>
      <c r="D1287" s="57" t="s">
        <v>2154</v>
      </c>
      <c r="E1287" s="56">
        <v>45664.770833333336</v>
      </c>
      <c r="F1287" s="53" t="s">
        <v>8536</v>
      </c>
      <c r="G1287" s="4" t="s">
        <v>27</v>
      </c>
      <c r="H1287" s="4" t="s">
        <v>1987</v>
      </c>
      <c r="K1287" s="4" t="s">
        <v>8543</v>
      </c>
      <c r="L1287" s="4" t="s">
        <v>8544</v>
      </c>
    </row>
    <row r="1288">
      <c r="A1288" s="55" t="s">
        <v>8545</v>
      </c>
      <c r="B1288" s="52" t="s">
        <v>1427</v>
      </c>
      <c r="C1288" s="56">
        <v>45666.375</v>
      </c>
      <c r="D1288" s="57" t="s">
        <v>2147</v>
      </c>
      <c r="E1288" s="56">
        <v>45666.583333333336</v>
      </c>
      <c r="F1288" s="53" t="s">
        <v>7424</v>
      </c>
      <c r="G1288" s="4" t="s">
        <v>27</v>
      </c>
      <c r="H1288" s="4" t="s">
        <v>1987</v>
      </c>
      <c r="K1288" s="4" t="s">
        <v>8546</v>
      </c>
      <c r="L1288" s="4" t="s">
        <v>8547</v>
      </c>
    </row>
    <row r="1289">
      <c r="A1289" s="55" t="s">
        <v>8548</v>
      </c>
      <c r="B1289" s="52" t="s">
        <v>6057</v>
      </c>
      <c r="C1289" s="56">
        <v>45665.375</v>
      </c>
      <c r="D1289" s="57" t="s">
        <v>2147</v>
      </c>
      <c r="E1289" s="56">
        <v>45665.4375</v>
      </c>
      <c r="F1289" s="53" t="s">
        <v>8536</v>
      </c>
      <c r="G1289" s="4" t="s">
        <v>27</v>
      </c>
      <c r="H1289" s="4" t="s">
        <v>1987</v>
      </c>
      <c r="K1289" s="4" t="s">
        <v>8549</v>
      </c>
      <c r="L1289" s="4"/>
    </row>
    <row r="1290">
      <c r="A1290" s="55" t="s">
        <v>8550</v>
      </c>
      <c r="B1290" s="52" t="s">
        <v>6057</v>
      </c>
      <c r="C1290" s="56">
        <v>45665.520833333336</v>
      </c>
      <c r="D1290" s="57" t="s">
        <v>2154</v>
      </c>
      <c r="E1290" s="56">
        <v>45665.645833333336</v>
      </c>
      <c r="F1290" s="53" t="s">
        <v>8536</v>
      </c>
      <c r="G1290" s="4" t="s">
        <v>27</v>
      </c>
      <c r="H1290" s="4" t="s">
        <v>1987</v>
      </c>
      <c r="K1290" s="4" t="s">
        <v>8551</v>
      </c>
      <c r="L1290" s="4"/>
    </row>
    <row r="1291">
      <c r="A1291" s="55" t="s">
        <v>8552</v>
      </c>
      <c r="B1291" s="52" t="s">
        <v>6057</v>
      </c>
      <c r="C1291" s="56">
        <v>45665.833333333336</v>
      </c>
      <c r="D1291" s="57" t="s">
        <v>2154</v>
      </c>
      <c r="E1291" s="56">
        <v>45665.875</v>
      </c>
      <c r="F1291" s="53" t="s">
        <v>8536</v>
      </c>
      <c r="G1291" s="4" t="s">
        <v>27</v>
      </c>
      <c r="H1291" s="4" t="s">
        <v>1987</v>
      </c>
      <c r="K1291" s="4" t="s">
        <v>8553</v>
      </c>
      <c r="L1291" s="4"/>
    </row>
    <row r="1292">
      <c r="A1292" s="55" t="s">
        <v>8554</v>
      </c>
      <c r="B1292" s="52" t="s">
        <v>6057</v>
      </c>
      <c r="C1292" s="56">
        <v>45665.5625</v>
      </c>
      <c r="D1292" s="57" t="s">
        <v>6318</v>
      </c>
      <c r="E1292" s="56">
        <v>45665.59375</v>
      </c>
      <c r="F1292" s="53" t="s">
        <v>8555</v>
      </c>
      <c r="G1292" s="4" t="s">
        <v>110</v>
      </c>
      <c r="H1292" s="4" t="s">
        <v>1987</v>
      </c>
      <c r="K1292" s="4"/>
      <c r="L1292" s="4" t="s">
        <v>8556</v>
      </c>
    </row>
    <row r="1293">
      <c r="A1293" s="55" t="s">
        <v>8557</v>
      </c>
      <c r="B1293" s="52" t="s">
        <v>1438</v>
      </c>
      <c r="C1293" s="56">
        <v>45670.5625</v>
      </c>
      <c r="D1293" s="57" t="s">
        <v>2147</v>
      </c>
      <c r="E1293" s="56">
        <v>45670.604166666664</v>
      </c>
      <c r="F1293" s="53" t="s">
        <v>8558</v>
      </c>
      <c r="G1293" s="4" t="s">
        <v>27</v>
      </c>
      <c r="H1293" s="4" t="s">
        <v>1991</v>
      </c>
      <c r="K1293" s="4" t="s">
        <v>8559</v>
      </c>
      <c r="L1293" s="4"/>
    </row>
    <row r="1294">
      <c r="A1294" s="55" t="s">
        <v>8560</v>
      </c>
      <c r="B1294" s="52" t="s">
        <v>5377</v>
      </c>
      <c r="C1294" s="56">
        <v>45666.5625</v>
      </c>
      <c r="D1294" s="57" t="s">
        <v>2147</v>
      </c>
      <c r="E1294" s="56">
        <v>45666.604166666664</v>
      </c>
      <c r="F1294" s="53" t="s">
        <v>8561</v>
      </c>
      <c r="G1294" s="4" t="s">
        <v>135</v>
      </c>
      <c r="H1294" s="4" t="s">
        <v>1987</v>
      </c>
      <c r="K1294" s="4" t="s">
        <v>8562</v>
      </c>
      <c r="L1294" s="4"/>
    </row>
    <row r="1295">
      <c r="A1295" s="55" t="s">
        <v>8563</v>
      </c>
      <c r="B1295" s="52" t="s">
        <v>5384</v>
      </c>
      <c r="C1295" s="56">
        <v>45666.604166666664</v>
      </c>
      <c r="D1295" s="57" t="s">
        <v>6318</v>
      </c>
      <c r="E1295" s="56">
        <v>45666.625</v>
      </c>
      <c r="F1295" s="53" t="s">
        <v>6517</v>
      </c>
      <c r="G1295" s="4" t="s">
        <v>135</v>
      </c>
      <c r="H1295" s="4" t="s">
        <v>1991</v>
      </c>
      <c r="K1295" s="4" t="s">
        <v>8564</v>
      </c>
      <c r="L1295" s="4"/>
    </row>
    <row r="1296">
      <c r="A1296" s="55" t="s">
        <v>8565</v>
      </c>
      <c r="B1296" s="52" t="s">
        <v>1540</v>
      </c>
      <c r="C1296" s="56">
        <v>45666.75</v>
      </c>
      <c r="D1296" s="57" t="s">
        <v>6052</v>
      </c>
      <c r="E1296" s="56">
        <v>45666.958333333336</v>
      </c>
      <c r="F1296" s="53" t="s">
        <v>8566</v>
      </c>
      <c r="G1296" s="4" t="s">
        <v>27</v>
      </c>
      <c r="H1296" s="4" t="s">
        <v>1987</v>
      </c>
      <c r="K1296" s="4" t="s">
        <v>8567</v>
      </c>
      <c r="L1296" s="4" t="s">
        <v>8568</v>
      </c>
    </row>
    <row r="1297">
      <c r="A1297" s="55" t="s">
        <v>8569</v>
      </c>
      <c r="B1297" s="52" t="s">
        <v>1427</v>
      </c>
      <c r="C1297" s="56">
        <v>45667.375</v>
      </c>
      <c r="D1297" s="57" t="s">
        <v>2148</v>
      </c>
      <c r="E1297" s="56">
        <v>45667.791666666664</v>
      </c>
      <c r="F1297" s="53" t="s">
        <v>7424</v>
      </c>
      <c r="G1297" s="4" t="s">
        <v>27</v>
      </c>
      <c r="H1297" s="4" t="s">
        <v>1987</v>
      </c>
      <c r="K1297" s="4" t="s">
        <v>8570</v>
      </c>
      <c r="L1297" s="4" t="s">
        <v>8571</v>
      </c>
    </row>
    <row r="1298">
      <c r="A1298" s="55" t="s">
        <v>8572</v>
      </c>
      <c r="B1298" s="52" t="s">
        <v>5537</v>
      </c>
      <c r="C1298" s="56">
        <v>45673.333333333336</v>
      </c>
      <c r="D1298" s="57" t="s">
        <v>6052</v>
      </c>
      <c r="E1298" s="56">
        <v>45673.541666666664</v>
      </c>
      <c r="F1298" s="53" t="s">
        <v>1536</v>
      </c>
      <c r="G1298" s="4" t="s">
        <v>110</v>
      </c>
      <c r="H1298" s="4" t="s">
        <v>1987</v>
      </c>
      <c r="K1298" s="4" t="s">
        <v>8573</v>
      </c>
      <c r="L1298" s="4" t="s">
        <v>8574</v>
      </c>
    </row>
    <row r="1299">
      <c r="A1299" s="55" t="s">
        <v>8575</v>
      </c>
      <c r="B1299" s="52" t="s">
        <v>5578</v>
      </c>
      <c r="C1299" s="56">
        <v>45667.5625</v>
      </c>
      <c r="D1299" s="57" t="s">
        <v>2147</v>
      </c>
      <c r="E1299" s="56">
        <v>45667.625</v>
      </c>
      <c r="F1299" s="53" t="s">
        <v>8576</v>
      </c>
      <c r="G1299" s="4" t="s">
        <v>135</v>
      </c>
      <c r="H1299" s="4" t="s">
        <v>1987</v>
      </c>
      <c r="K1299" s="4"/>
      <c r="L1299" s="4" t="s">
        <v>8577</v>
      </c>
    </row>
    <row r="1300">
      <c r="A1300" s="55" t="s">
        <v>8578</v>
      </c>
      <c r="B1300" s="52" t="s">
        <v>5384</v>
      </c>
      <c r="C1300" s="56">
        <v>45672.5625</v>
      </c>
      <c r="D1300" s="57" t="s">
        <v>2147</v>
      </c>
      <c r="E1300" s="56">
        <v>45672.625</v>
      </c>
      <c r="F1300" s="53" t="s">
        <v>8579</v>
      </c>
      <c r="G1300" s="4" t="s">
        <v>135</v>
      </c>
      <c r="H1300" s="4" t="s">
        <v>1991</v>
      </c>
      <c r="K1300" s="4"/>
      <c r="L1300" s="4" t="s">
        <v>8580</v>
      </c>
    </row>
    <row r="1301">
      <c r="A1301" s="55" t="s">
        <v>8581</v>
      </c>
      <c r="B1301" s="52" t="s">
        <v>1427</v>
      </c>
      <c r="C1301" s="56">
        <v>45670.375</v>
      </c>
      <c r="D1301" s="57" t="s">
        <v>2148</v>
      </c>
      <c r="E1301" s="56">
        <v>45670.541666666664</v>
      </c>
      <c r="F1301" s="53" t="s">
        <v>6053</v>
      </c>
      <c r="G1301" s="4" t="s">
        <v>27</v>
      </c>
      <c r="H1301" s="4" t="s">
        <v>1987</v>
      </c>
      <c r="K1301" s="4" t="s">
        <v>8582</v>
      </c>
      <c r="L1301" s="4"/>
    </row>
    <row r="1302">
      <c r="A1302" s="55" t="s">
        <v>8583</v>
      </c>
      <c r="B1302" s="52" t="s">
        <v>5571</v>
      </c>
      <c r="C1302" s="56">
        <v>45670.604166666664</v>
      </c>
      <c r="D1302" s="57" t="s">
        <v>2200</v>
      </c>
      <c r="E1302" s="56">
        <v>45670.729166666664</v>
      </c>
      <c r="F1302" s="53" t="s">
        <v>8584</v>
      </c>
      <c r="G1302" s="4" t="s">
        <v>135</v>
      </c>
      <c r="H1302" s="4" t="s">
        <v>1987</v>
      </c>
      <c r="K1302" s="4" t="s">
        <v>8585</v>
      </c>
      <c r="L1302" s="4"/>
    </row>
    <row r="1303">
      <c r="A1303" s="55" t="s">
        <v>8586</v>
      </c>
      <c r="B1303" s="52" t="s">
        <v>1472</v>
      </c>
      <c r="C1303" s="56">
        <v>45670.6875</v>
      </c>
      <c r="D1303" s="57" t="s">
        <v>2147</v>
      </c>
      <c r="E1303" s="56">
        <v>45670.75</v>
      </c>
      <c r="F1303" s="53" t="s">
        <v>8587</v>
      </c>
      <c r="G1303" s="4" t="s">
        <v>27</v>
      </c>
      <c r="H1303" s="4" t="s">
        <v>1987</v>
      </c>
      <c r="K1303" s="4" t="s">
        <v>8588</v>
      </c>
      <c r="L1303" s="4"/>
    </row>
    <row r="1304">
      <c r="A1304" s="55" t="s">
        <v>8589</v>
      </c>
      <c r="B1304" s="52" t="s">
        <v>1540</v>
      </c>
      <c r="C1304" s="56">
        <v>45671.333333333336</v>
      </c>
      <c r="D1304" s="61"/>
      <c r="E1304" s="56">
        <v>45671.4375</v>
      </c>
      <c r="F1304" s="53" t="s">
        <v>8590</v>
      </c>
      <c r="G1304" s="4" t="s">
        <v>110</v>
      </c>
      <c r="H1304" s="4" t="s">
        <v>1987</v>
      </c>
      <c r="K1304" s="4" t="s">
        <v>8591</v>
      </c>
      <c r="L1304" s="4"/>
    </row>
    <row r="1305">
      <c r="A1305" s="55"/>
      <c r="B1305" s="52"/>
      <c r="C1305" s="56"/>
      <c r="D1305" s="61"/>
      <c r="E1305" s="56"/>
      <c r="F1305" s="53"/>
      <c r="G1305" s="4"/>
      <c r="H1305" s="4"/>
      <c r="K1305" s="4"/>
      <c r="L1305" s="4"/>
    </row>
    <row r="1306">
      <c r="A1306" s="55" t="s">
        <v>8592</v>
      </c>
      <c r="B1306" s="52" t="s">
        <v>5537</v>
      </c>
      <c r="C1306" s="56">
        <v>45674.333333333336</v>
      </c>
      <c r="D1306" s="57" t="s">
        <v>6052</v>
      </c>
      <c r="E1306" s="56">
        <v>45674.541666666664</v>
      </c>
      <c r="F1306" s="53" t="s">
        <v>1536</v>
      </c>
      <c r="G1306" s="4" t="s">
        <v>110</v>
      </c>
      <c r="H1306" s="4" t="s">
        <v>1987</v>
      </c>
      <c r="K1306" s="4" t="s">
        <v>8593</v>
      </c>
      <c r="L1306" s="4" t="s">
        <v>8574</v>
      </c>
    </row>
    <row r="1307">
      <c r="A1307" s="55" t="s">
        <v>8594</v>
      </c>
      <c r="B1307" s="52" t="s">
        <v>5537</v>
      </c>
      <c r="C1307" s="56">
        <v>45677.333333333336</v>
      </c>
      <c r="D1307" s="57" t="s">
        <v>6052</v>
      </c>
      <c r="E1307" s="56">
        <v>45677.541666666664</v>
      </c>
      <c r="F1307" s="53" t="s">
        <v>1536</v>
      </c>
      <c r="G1307" s="4" t="s">
        <v>110</v>
      </c>
      <c r="H1307" s="4" t="s">
        <v>1987</v>
      </c>
      <c r="K1307" s="4" t="s">
        <v>8595</v>
      </c>
      <c r="L1307" s="4" t="s">
        <v>8596</v>
      </c>
    </row>
    <row r="1308">
      <c r="A1308" s="55" t="s">
        <v>8597</v>
      </c>
      <c r="B1308" s="52" t="s">
        <v>1438</v>
      </c>
      <c r="C1308" s="56">
        <v>45678.333333333336</v>
      </c>
      <c r="D1308" s="57" t="s">
        <v>6052</v>
      </c>
      <c r="E1308" s="56">
        <v>45678.354166666664</v>
      </c>
      <c r="F1308" s="53" t="s">
        <v>8598</v>
      </c>
      <c r="G1308" s="4" t="s">
        <v>110</v>
      </c>
      <c r="H1308" s="4" t="s">
        <v>1987</v>
      </c>
      <c r="K1308" s="4" t="s">
        <v>8599</v>
      </c>
      <c r="L1308" s="4" t="s">
        <v>8600</v>
      </c>
    </row>
    <row r="1309">
      <c r="A1309" s="55"/>
      <c r="B1309" s="52"/>
      <c r="C1309" s="56"/>
      <c r="D1309" s="61"/>
      <c r="E1309" s="56"/>
      <c r="F1309" s="53"/>
      <c r="G1309" s="4"/>
      <c r="H1309" s="4"/>
      <c r="K1309" s="4"/>
      <c r="L1309" s="4"/>
    </row>
    <row r="1310">
      <c r="A1310" s="55"/>
      <c r="B1310" s="52"/>
      <c r="C1310" s="56"/>
      <c r="D1310" s="61"/>
      <c r="E1310" s="56"/>
      <c r="F1310" s="53"/>
      <c r="G1310" s="4"/>
      <c r="H1310" s="4"/>
      <c r="K1310" s="4"/>
      <c r="L1310" s="4"/>
    </row>
    <row r="1311">
      <c r="A1311" s="55" t="s">
        <v>8601</v>
      </c>
      <c r="B1311" s="52" t="s">
        <v>1540</v>
      </c>
      <c r="C1311" s="56">
        <v>45681.333333333336</v>
      </c>
      <c r="D1311" s="57" t="s">
        <v>2154</v>
      </c>
      <c r="E1311" s="56">
        <v>45681.395833333336</v>
      </c>
      <c r="F1311" s="53" t="s">
        <v>6048</v>
      </c>
      <c r="G1311" s="4" t="s">
        <v>110</v>
      </c>
      <c r="H1311" s="4" t="s">
        <v>1987</v>
      </c>
      <c r="K1311" s="4" t="s">
        <v>8602</v>
      </c>
      <c r="L1311" s="4" t="s">
        <v>8603</v>
      </c>
    </row>
    <row r="1312">
      <c r="A1312" s="55" t="s">
        <v>8604</v>
      </c>
      <c r="B1312" s="52" t="s">
        <v>5384</v>
      </c>
      <c r="C1312" s="56">
        <v>45670.75</v>
      </c>
      <c r="D1312" s="57" t="s">
        <v>2147</v>
      </c>
      <c r="E1312" s="56">
        <v>45670.791666666664</v>
      </c>
      <c r="F1312" s="53" t="s">
        <v>8605</v>
      </c>
      <c r="G1312" s="4" t="s">
        <v>27</v>
      </c>
      <c r="H1312" s="4" t="s">
        <v>1987</v>
      </c>
      <c r="K1312" s="4" t="s">
        <v>8606</v>
      </c>
      <c r="L1312" s="4"/>
    </row>
    <row r="1313">
      <c r="A1313" s="55" t="s">
        <v>8607</v>
      </c>
      <c r="B1313" s="52" t="s">
        <v>1438</v>
      </c>
      <c r="C1313" s="56">
        <v>45671.375</v>
      </c>
      <c r="D1313" s="57" t="s">
        <v>2147</v>
      </c>
      <c r="E1313" s="56">
        <v>45671.416666666664</v>
      </c>
      <c r="F1313" s="53" t="s">
        <v>6670</v>
      </c>
      <c r="G1313" s="4" t="s">
        <v>27</v>
      </c>
      <c r="H1313" s="4" t="s">
        <v>1987</v>
      </c>
      <c r="K1313" s="4" t="s">
        <v>8608</v>
      </c>
      <c r="L1313" s="4"/>
    </row>
    <row r="1314">
      <c r="A1314" s="55" t="s">
        <v>8609</v>
      </c>
      <c r="B1314" s="52" t="s">
        <v>1427</v>
      </c>
      <c r="C1314" s="56">
        <v>45671.458333333336</v>
      </c>
      <c r="D1314" s="57" t="s">
        <v>2147</v>
      </c>
      <c r="E1314" s="56">
        <v>45671.5</v>
      </c>
      <c r="F1314" s="53" t="s">
        <v>8404</v>
      </c>
      <c r="G1314" s="4" t="s">
        <v>27</v>
      </c>
      <c r="H1314" s="4" t="s">
        <v>1987</v>
      </c>
      <c r="K1314" s="4" t="s">
        <v>8610</v>
      </c>
      <c r="L1314" s="4"/>
    </row>
    <row r="1315">
      <c r="A1315" s="55" t="s">
        <v>8611</v>
      </c>
      <c r="B1315" s="52" t="s">
        <v>5537</v>
      </c>
      <c r="C1315" s="56">
        <v>45671.5</v>
      </c>
      <c r="D1315" s="57" t="s">
        <v>2147</v>
      </c>
      <c r="E1315" s="56">
        <v>45671.541666666664</v>
      </c>
      <c r="F1315" s="53" t="s">
        <v>8024</v>
      </c>
      <c r="G1315" s="4" t="s">
        <v>27</v>
      </c>
      <c r="H1315" s="4" t="s">
        <v>1987</v>
      </c>
      <c r="K1315" s="4" t="s">
        <v>8612</v>
      </c>
      <c r="L1315" s="4"/>
    </row>
    <row r="1316">
      <c r="A1316" s="55" t="s">
        <v>8613</v>
      </c>
      <c r="B1316" s="52" t="s">
        <v>1472</v>
      </c>
      <c r="C1316" s="56">
        <v>45671.5625</v>
      </c>
      <c r="D1316" s="57" t="s">
        <v>2147</v>
      </c>
      <c r="E1316" s="56">
        <v>45671.625</v>
      </c>
      <c r="F1316" s="53" t="s">
        <v>8614</v>
      </c>
      <c r="G1316" s="4" t="s">
        <v>135</v>
      </c>
      <c r="H1316" s="4" t="s">
        <v>1987</v>
      </c>
      <c r="K1316" s="4" t="s">
        <v>8615</v>
      </c>
      <c r="L1316" s="4"/>
    </row>
    <row r="1317">
      <c r="A1317" s="55" t="s">
        <v>8616</v>
      </c>
      <c r="B1317" s="52" t="s">
        <v>1427</v>
      </c>
      <c r="C1317" s="56">
        <v>45671.46875</v>
      </c>
      <c r="D1317" s="57" t="s">
        <v>6318</v>
      </c>
      <c r="E1317" s="56">
        <v>45671.489583333336</v>
      </c>
      <c r="F1317" s="53" t="s">
        <v>7279</v>
      </c>
      <c r="G1317" s="4" t="s">
        <v>110</v>
      </c>
      <c r="H1317" s="4" t="s">
        <v>1987</v>
      </c>
      <c r="K1317" s="4" t="s">
        <v>8617</v>
      </c>
      <c r="L1317" s="4" t="s">
        <v>8618</v>
      </c>
    </row>
    <row r="1318">
      <c r="A1318" s="66" t="s">
        <v>8619</v>
      </c>
      <c r="B1318" s="52" t="s">
        <v>5559</v>
      </c>
      <c r="C1318" s="56">
        <v>45671.541666666664</v>
      </c>
      <c r="D1318" s="57" t="s">
        <v>2147</v>
      </c>
      <c r="E1318" s="56">
        <v>45671.583333333336</v>
      </c>
      <c r="F1318" s="53" t="s">
        <v>7279</v>
      </c>
      <c r="G1318" s="4" t="s">
        <v>110</v>
      </c>
      <c r="H1318" s="4" t="s">
        <v>1987</v>
      </c>
      <c r="K1318" s="4" t="s">
        <v>8620</v>
      </c>
      <c r="L1318" s="4"/>
    </row>
    <row r="1319">
      <c r="A1319" s="55" t="s">
        <v>8621</v>
      </c>
      <c r="B1319" s="52" t="s">
        <v>1438</v>
      </c>
      <c r="C1319" s="56">
        <v>45671.4375</v>
      </c>
      <c r="D1319" s="57" t="s">
        <v>6318</v>
      </c>
      <c r="E1319" s="56">
        <v>45671.46875</v>
      </c>
      <c r="F1319" s="53" t="s">
        <v>6370</v>
      </c>
      <c r="G1319" s="4" t="s">
        <v>110</v>
      </c>
      <c r="H1319" s="4" t="s">
        <v>1987</v>
      </c>
      <c r="K1319" s="4" t="s">
        <v>8622</v>
      </c>
      <c r="L1319" s="4"/>
    </row>
    <row r="1320">
      <c r="A1320" s="55" t="s">
        <v>8623</v>
      </c>
      <c r="B1320" s="52" t="s">
        <v>1540</v>
      </c>
      <c r="C1320" s="56">
        <v>45671.520833333336</v>
      </c>
      <c r="D1320" s="57" t="s">
        <v>6318</v>
      </c>
      <c r="E1320" s="56">
        <v>45671.541666666664</v>
      </c>
      <c r="F1320" s="53" t="s">
        <v>8624</v>
      </c>
      <c r="G1320" s="4" t="s">
        <v>110</v>
      </c>
      <c r="H1320" s="4" t="s">
        <v>1987</v>
      </c>
      <c r="K1320" s="4" t="s">
        <v>8625</v>
      </c>
      <c r="L1320" s="4"/>
    </row>
    <row r="1321">
      <c r="A1321" s="55" t="s">
        <v>8626</v>
      </c>
      <c r="B1321" s="52" t="s">
        <v>5533</v>
      </c>
      <c r="C1321" s="56">
        <v>45643.708333333336</v>
      </c>
      <c r="D1321" s="61"/>
      <c r="E1321" s="56">
        <v>45643.833333333336</v>
      </c>
      <c r="F1321" s="53" t="s">
        <v>8212</v>
      </c>
      <c r="G1321" s="4" t="s">
        <v>6035</v>
      </c>
      <c r="H1321" s="4" t="s">
        <v>1987</v>
      </c>
      <c r="K1321" s="4" t="s">
        <v>8627</v>
      </c>
      <c r="L1321" s="4"/>
    </row>
    <row r="1322">
      <c r="A1322" s="55" t="s">
        <v>8628</v>
      </c>
      <c r="B1322" s="52" t="s">
        <v>5533</v>
      </c>
      <c r="C1322" s="56">
        <v>45644.708333333336</v>
      </c>
      <c r="D1322" s="61"/>
      <c r="E1322" s="56">
        <v>45644.833333333336</v>
      </c>
      <c r="F1322" s="53" t="s">
        <v>8629</v>
      </c>
      <c r="G1322" s="4" t="s">
        <v>6035</v>
      </c>
      <c r="H1322" s="4" t="s">
        <v>1987</v>
      </c>
      <c r="K1322" s="4" t="s">
        <v>8630</v>
      </c>
      <c r="L1322" s="4"/>
    </row>
    <row r="1323">
      <c r="A1323" s="55" t="s">
        <v>8631</v>
      </c>
      <c r="B1323" s="52" t="s">
        <v>5533</v>
      </c>
      <c r="C1323" s="56">
        <v>45646.625</v>
      </c>
      <c r="D1323" s="61"/>
      <c r="E1323" s="56">
        <v>45646.708333333336</v>
      </c>
      <c r="F1323" s="53" t="s">
        <v>8632</v>
      </c>
      <c r="G1323" s="4" t="s">
        <v>6035</v>
      </c>
      <c r="H1323" s="4" t="s">
        <v>1991</v>
      </c>
      <c r="K1323" s="4" t="s">
        <v>8633</v>
      </c>
      <c r="L1323" s="4"/>
    </row>
    <row r="1324">
      <c r="A1324" s="55" t="s">
        <v>8634</v>
      </c>
      <c r="B1324" s="52" t="s">
        <v>5533</v>
      </c>
      <c r="C1324" s="56">
        <v>45649.708333333336</v>
      </c>
      <c r="D1324" s="61"/>
      <c r="E1324" s="56">
        <v>45649.833333333336</v>
      </c>
      <c r="F1324" s="53" t="s">
        <v>8635</v>
      </c>
      <c r="G1324" s="4" t="s">
        <v>6035</v>
      </c>
      <c r="H1324" s="4" t="s">
        <v>1987</v>
      </c>
      <c r="K1324" s="4" t="s">
        <v>8636</v>
      </c>
      <c r="L1324" s="4"/>
    </row>
    <row r="1325">
      <c r="A1325" s="55" t="s">
        <v>8637</v>
      </c>
      <c r="B1325" s="52" t="s">
        <v>5533</v>
      </c>
      <c r="C1325" s="56">
        <v>45650.416666666664</v>
      </c>
      <c r="D1325" s="61"/>
      <c r="E1325" s="56">
        <v>45650.5</v>
      </c>
      <c r="F1325" s="53" t="s">
        <v>8635</v>
      </c>
      <c r="G1325" s="4" t="s">
        <v>6035</v>
      </c>
      <c r="H1325" s="4" t="s">
        <v>1987</v>
      </c>
      <c r="K1325" s="4" t="s">
        <v>8638</v>
      </c>
      <c r="L1325" s="4"/>
    </row>
    <row r="1326">
      <c r="A1326" s="55" t="s">
        <v>8639</v>
      </c>
      <c r="B1326" s="52" t="s">
        <v>5533</v>
      </c>
      <c r="C1326" s="56">
        <v>45652.291666666664</v>
      </c>
      <c r="D1326" s="61"/>
      <c r="E1326" s="56">
        <v>45652.416666666664</v>
      </c>
      <c r="F1326" s="53" t="s">
        <v>8640</v>
      </c>
      <c r="G1326" s="4" t="s">
        <v>6035</v>
      </c>
      <c r="H1326" s="4" t="s">
        <v>1987</v>
      </c>
      <c r="K1326" s="4" t="s">
        <v>8641</v>
      </c>
      <c r="L1326" s="4"/>
    </row>
    <row r="1327">
      <c r="A1327" s="55" t="s">
        <v>8642</v>
      </c>
      <c r="B1327" s="52" t="s">
        <v>5533</v>
      </c>
      <c r="C1327" s="56">
        <v>45659.75</v>
      </c>
      <c r="D1327" s="61"/>
      <c r="E1327" s="56">
        <v>45659.791666666664</v>
      </c>
      <c r="F1327" s="53" t="s">
        <v>8643</v>
      </c>
      <c r="G1327" s="4" t="s">
        <v>6035</v>
      </c>
      <c r="H1327" s="4" t="s">
        <v>1987</v>
      </c>
      <c r="K1327" s="4" t="s">
        <v>8644</v>
      </c>
      <c r="L1327" s="4"/>
    </row>
    <row r="1328">
      <c r="A1328" s="55" t="s">
        <v>8645</v>
      </c>
      <c r="B1328" s="52" t="s">
        <v>5533</v>
      </c>
      <c r="C1328" s="56">
        <v>45656.75069444445</v>
      </c>
      <c r="D1328" s="61"/>
      <c r="E1328" s="56">
        <v>45656.79375</v>
      </c>
      <c r="F1328" s="53" t="s">
        <v>1908</v>
      </c>
      <c r="G1328" s="4" t="s">
        <v>6035</v>
      </c>
      <c r="H1328" s="4" t="s">
        <v>1987</v>
      </c>
      <c r="K1328" s="4" t="s">
        <v>8646</v>
      </c>
      <c r="L1328" s="4"/>
    </row>
    <row r="1329">
      <c r="A1329" s="55" t="s">
        <v>8647</v>
      </c>
      <c r="B1329" s="52" t="s">
        <v>5533</v>
      </c>
      <c r="C1329" s="56">
        <v>45663.708333333336</v>
      </c>
      <c r="D1329" s="61"/>
      <c r="E1329" s="56">
        <v>45663.833333333336</v>
      </c>
      <c r="F1329" s="53" t="s">
        <v>8648</v>
      </c>
      <c r="G1329" s="4" t="s">
        <v>6035</v>
      </c>
      <c r="H1329" s="4" t="s">
        <v>1987</v>
      </c>
      <c r="K1329" s="4" t="s">
        <v>8649</v>
      </c>
      <c r="L1329" s="4"/>
    </row>
    <row r="1330">
      <c r="A1330" s="55" t="s">
        <v>8650</v>
      </c>
      <c r="B1330" s="52" t="s">
        <v>5533</v>
      </c>
      <c r="C1330" s="56">
        <v>45664.75</v>
      </c>
      <c r="D1330" s="61"/>
      <c r="E1330" s="56">
        <v>45664.833333333336</v>
      </c>
      <c r="F1330" s="53" t="s">
        <v>8651</v>
      </c>
      <c r="G1330" s="4" t="s">
        <v>6035</v>
      </c>
      <c r="H1330" s="4" t="s">
        <v>1987</v>
      </c>
      <c r="K1330" s="4" t="s">
        <v>8652</v>
      </c>
      <c r="L1330" s="4"/>
    </row>
    <row r="1331">
      <c r="A1331" s="55" t="s">
        <v>8653</v>
      </c>
      <c r="B1331" s="52" t="s">
        <v>1472</v>
      </c>
      <c r="C1331" s="56">
        <v>45678.604166666664</v>
      </c>
      <c r="D1331" s="57" t="s">
        <v>2147</v>
      </c>
      <c r="E1331" s="56">
        <v>45678.729166666664</v>
      </c>
      <c r="F1331" s="53" t="s">
        <v>6627</v>
      </c>
      <c r="G1331" s="4" t="s">
        <v>135</v>
      </c>
      <c r="H1331" s="4" t="s">
        <v>1987</v>
      </c>
      <c r="K1331" s="4" t="s">
        <v>8654</v>
      </c>
      <c r="L1331" s="4" t="s">
        <v>8655</v>
      </c>
    </row>
    <row r="1332">
      <c r="A1332" s="55"/>
      <c r="B1332" s="52"/>
      <c r="C1332" s="56"/>
      <c r="D1332" s="61"/>
      <c r="E1332" s="56"/>
      <c r="F1332" s="53"/>
      <c r="G1332" s="4"/>
      <c r="H1332" s="4"/>
      <c r="K1332" s="4"/>
      <c r="L1332" s="4"/>
    </row>
    <row r="1333">
      <c r="A1333" s="55" t="s">
        <v>8656</v>
      </c>
      <c r="B1333" s="52" t="s">
        <v>5384</v>
      </c>
      <c r="C1333" s="56">
        <v>45681.5625</v>
      </c>
      <c r="D1333" s="57" t="s">
        <v>2147</v>
      </c>
      <c r="E1333" s="56">
        <v>45681.729166666664</v>
      </c>
      <c r="F1333" s="53" t="s">
        <v>1420</v>
      </c>
      <c r="G1333" s="4" t="s">
        <v>135</v>
      </c>
      <c r="H1333" s="4" t="s">
        <v>1987</v>
      </c>
      <c r="K1333" s="4" t="s">
        <v>8503</v>
      </c>
      <c r="L1333" s="4" t="s">
        <v>8657</v>
      </c>
    </row>
    <row r="1334">
      <c r="A1334" s="55" t="s">
        <v>8658</v>
      </c>
      <c r="B1334" s="52" t="s">
        <v>5384</v>
      </c>
      <c r="C1334" s="56">
        <v>45680.6875</v>
      </c>
      <c r="D1334" s="57" t="s">
        <v>2147</v>
      </c>
      <c r="E1334" s="56">
        <v>45680.729166666664</v>
      </c>
      <c r="F1334" s="53" t="s">
        <v>1420</v>
      </c>
      <c r="G1334" s="4" t="s">
        <v>135</v>
      </c>
      <c r="H1334" s="4" t="s">
        <v>1987</v>
      </c>
      <c r="K1334" s="4" t="s">
        <v>8659</v>
      </c>
      <c r="L1334" s="4" t="s">
        <v>8660</v>
      </c>
    </row>
    <row r="1335">
      <c r="A1335" s="55" t="s">
        <v>8661</v>
      </c>
      <c r="B1335" s="52" t="s">
        <v>6069</v>
      </c>
      <c r="C1335" s="56">
        <v>45677.75</v>
      </c>
      <c r="D1335" s="57" t="s">
        <v>2147</v>
      </c>
      <c r="E1335" s="56">
        <v>45677.791666666664</v>
      </c>
      <c r="F1335" s="53" t="s">
        <v>8662</v>
      </c>
      <c r="G1335" s="4" t="s">
        <v>7183</v>
      </c>
      <c r="H1335" s="4" t="s">
        <v>1987</v>
      </c>
      <c r="K1335" s="4" t="s">
        <v>8663</v>
      </c>
      <c r="L1335" s="4"/>
    </row>
    <row r="1336">
      <c r="A1336" s="66" t="s">
        <v>8664</v>
      </c>
      <c r="B1336" s="52" t="s">
        <v>6069</v>
      </c>
      <c r="C1336" s="56">
        <v>45678.75</v>
      </c>
      <c r="D1336" s="57" t="s">
        <v>2147</v>
      </c>
      <c r="E1336" s="56">
        <v>45678.791666666664</v>
      </c>
      <c r="F1336" s="53" t="s">
        <v>8662</v>
      </c>
      <c r="G1336" s="4" t="s">
        <v>7183</v>
      </c>
      <c r="H1336" s="4" t="s">
        <v>1987</v>
      </c>
      <c r="K1336" s="4" t="s">
        <v>8665</v>
      </c>
      <c r="L1336" s="4"/>
    </row>
    <row r="1337">
      <c r="A1337" s="55" t="s">
        <v>8666</v>
      </c>
      <c r="B1337" s="52" t="s">
        <v>6069</v>
      </c>
      <c r="C1337" s="56">
        <v>45679.75</v>
      </c>
      <c r="D1337" s="57" t="s">
        <v>2147</v>
      </c>
      <c r="E1337" s="56">
        <v>45679.791666666664</v>
      </c>
      <c r="F1337" s="53" t="s">
        <v>8662</v>
      </c>
      <c r="G1337" s="4" t="s">
        <v>7183</v>
      </c>
      <c r="H1337" s="4" t="s">
        <v>1987</v>
      </c>
      <c r="K1337" s="4" t="s">
        <v>8667</v>
      </c>
      <c r="L1337" s="4"/>
    </row>
    <row r="1338">
      <c r="A1338" s="55" t="s">
        <v>8668</v>
      </c>
      <c r="B1338" s="52" t="s">
        <v>6069</v>
      </c>
      <c r="C1338" s="56">
        <v>45680.75</v>
      </c>
      <c r="D1338" s="57" t="s">
        <v>2147</v>
      </c>
      <c r="E1338" s="56">
        <v>45680.791666666664</v>
      </c>
      <c r="F1338" s="53" t="s">
        <v>8662</v>
      </c>
      <c r="G1338" s="4" t="s">
        <v>7183</v>
      </c>
      <c r="H1338" s="4" t="s">
        <v>1987</v>
      </c>
      <c r="K1338" s="4" t="s">
        <v>8669</v>
      </c>
      <c r="L1338" s="4"/>
    </row>
    <row r="1339">
      <c r="A1339" s="55" t="s">
        <v>8670</v>
      </c>
      <c r="B1339" s="52" t="s">
        <v>6069</v>
      </c>
      <c r="C1339" s="56">
        <v>45681.75</v>
      </c>
      <c r="D1339" s="57" t="s">
        <v>2147</v>
      </c>
      <c r="E1339" s="56">
        <v>45681.791666666664</v>
      </c>
      <c r="F1339" s="53" t="s">
        <v>8662</v>
      </c>
      <c r="G1339" s="4" t="s">
        <v>7183</v>
      </c>
      <c r="H1339" s="4" t="s">
        <v>1987</v>
      </c>
      <c r="K1339" s="4" t="s">
        <v>8671</v>
      </c>
      <c r="L1339" s="4"/>
    </row>
    <row r="1340">
      <c r="A1340" s="55" t="s">
        <v>8672</v>
      </c>
      <c r="B1340" s="52" t="s">
        <v>6069</v>
      </c>
      <c r="C1340" s="56">
        <v>45682.75</v>
      </c>
      <c r="D1340" s="57" t="s">
        <v>2147</v>
      </c>
      <c r="E1340" s="56">
        <v>45682.791666666664</v>
      </c>
      <c r="F1340" s="53" t="s">
        <v>8662</v>
      </c>
      <c r="G1340" s="4" t="s">
        <v>7183</v>
      </c>
      <c r="H1340" s="4" t="s">
        <v>1987</v>
      </c>
      <c r="K1340" s="4" t="s">
        <v>8673</v>
      </c>
      <c r="L1340" s="4"/>
    </row>
    <row r="1341">
      <c r="A1341" s="55" t="s">
        <v>8674</v>
      </c>
      <c r="B1341" s="52" t="s">
        <v>5533</v>
      </c>
      <c r="C1341" s="56">
        <v>45686.729166666664</v>
      </c>
      <c r="D1341" s="57" t="s">
        <v>2154</v>
      </c>
      <c r="E1341" s="56">
        <v>45686.8125</v>
      </c>
      <c r="F1341" s="53" t="s">
        <v>8675</v>
      </c>
      <c r="G1341" s="4" t="s">
        <v>27</v>
      </c>
      <c r="H1341" s="4" t="s">
        <v>1991</v>
      </c>
      <c r="K1341" s="4" t="s">
        <v>8676</v>
      </c>
      <c r="L1341" s="4"/>
    </row>
    <row r="1342">
      <c r="A1342" s="55" t="s">
        <v>8677</v>
      </c>
      <c r="B1342" s="52" t="s">
        <v>5384</v>
      </c>
      <c r="C1342" s="56">
        <v>45671.583333333336</v>
      </c>
      <c r="D1342" s="57" t="s">
        <v>2147</v>
      </c>
      <c r="E1342" s="56">
        <v>45671.625</v>
      </c>
      <c r="F1342" s="53" t="s">
        <v>8678</v>
      </c>
      <c r="G1342" s="4" t="s">
        <v>27</v>
      </c>
      <c r="H1342" s="4" t="s">
        <v>1987</v>
      </c>
      <c r="K1342" s="4" t="s">
        <v>8679</v>
      </c>
      <c r="L1342" s="4"/>
    </row>
    <row r="1343">
      <c r="A1343" s="55" t="s">
        <v>8680</v>
      </c>
      <c r="B1343" s="52" t="s">
        <v>1438</v>
      </c>
      <c r="C1343" s="56">
        <v>45671.625</v>
      </c>
      <c r="D1343" s="57" t="s">
        <v>2147</v>
      </c>
      <c r="E1343" s="56">
        <v>45671.666666666664</v>
      </c>
      <c r="F1343" s="53" t="s">
        <v>6240</v>
      </c>
      <c r="G1343" s="4" t="s">
        <v>27</v>
      </c>
      <c r="H1343" s="4" t="s">
        <v>1987</v>
      </c>
      <c r="K1343" s="4" t="s">
        <v>8681</v>
      </c>
      <c r="L1343" s="4"/>
    </row>
    <row r="1344">
      <c r="A1344" s="55" t="s">
        <v>8682</v>
      </c>
      <c r="B1344" s="52" t="s">
        <v>1472</v>
      </c>
      <c r="C1344" s="56">
        <v>45671.666666666664</v>
      </c>
      <c r="D1344" s="57" t="s">
        <v>2147</v>
      </c>
      <c r="E1344" s="56">
        <v>45671.708333333336</v>
      </c>
      <c r="F1344" s="53" t="s">
        <v>8683</v>
      </c>
      <c r="G1344" s="4" t="s">
        <v>27</v>
      </c>
      <c r="H1344" s="4" t="s">
        <v>1987</v>
      </c>
      <c r="K1344" s="4" t="s">
        <v>8684</v>
      </c>
      <c r="L1344" s="4"/>
    </row>
    <row r="1345">
      <c r="A1345" s="55" t="s">
        <v>8685</v>
      </c>
      <c r="B1345" s="52" t="s">
        <v>5559</v>
      </c>
      <c r="C1345" s="56">
        <v>45672.5</v>
      </c>
      <c r="D1345" s="57" t="s">
        <v>2147</v>
      </c>
      <c r="E1345" s="56">
        <v>45672.541666666664</v>
      </c>
      <c r="F1345" s="53" t="s">
        <v>8686</v>
      </c>
      <c r="G1345" s="4" t="s">
        <v>110</v>
      </c>
      <c r="H1345" s="4" t="s">
        <v>1987</v>
      </c>
      <c r="K1345" s="4" t="s">
        <v>8687</v>
      </c>
      <c r="L1345" s="4"/>
    </row>
    <row r="1346">
      <c r="A1346" s="55" t="s">
        <v>8688</v>
      </c>
      <c r="B1346" s="52" t="s">
        <v>5578</v>
      </c>
      <c r="C1346" s="56">
        <v>45672.625</v>
      </c>
      <c r="D1346" s="57" t="s">
        <v>2147</v>
      </c>
      <c r="E1346" s="56">
        <v>45672.729166666664</v>
      </c>
      <c r="F1346" s="53" t="s">
        <v>8689</v>
      </c>
      <c r="G1346" s="4" t="s">
        <v>135</v>
      </c>
      <c r="H1346" s="4" t="s">
        <v>1987</v>
      </c>
      <c r="K1346" s="4" t="s">
        <v>8690</v>
      </c>
      <c r="L1346" s="4" t="s">
        <v>8691</v>
      </c>
    </row>
    <row r="1347">
      <c r="A1347" s="55" t="s">
        <v>8692</v>
      </c>
      <c r="B1347" s="52" t="s">
        <v>1438</v>
      </c>
      <c r="C1347" s="56">
        <v>45677.5625</v>
      </c>
      <c r="D1347" s="57" t="s">
        <v>2154</v>
      </c>
      <c r="E1347" s="56">
        <v>45677.729166666664</v>
      </c>
      <c r="F1347" s="53" t="s">
        <v>8693</v>
      </c>
      <c r="G1347" s="4" t="s">
        <v>135</v>
      </c>
      <c r="H1347" s="4" t="s">
        <v>1987</v>
      </c>
      <c r="K1347" s="4" t="s">
        <v>8694</v>
      </c>
      <c r="L1347" s="4" t="s">
        <v>8695</v>
      </c>
    </row>
    <row r="1348">
      <c r="A1348" s="55" t="s">
        <v>8696</v>
      </c>
      <c r="B1348" s="52" t="s">
        <v>1472</v>
      </c>
      <c r="C1348" s="56">
        <v>45679.5625</v>
      </c>
      <c r="D1348" s="57" t="s">
        <v>2154</v>
      </c>
      <c r="E1348" s="56">
        <v>45679.729166666664</v>
      </c>
      <c r="F1348" s="53" t="s">
        <v>8683</v>
      </c>
      <c r="G1348" s="4" t="s">
        <v>135</v>
      </c>
      <c r="H1348" s="4" t="s">
        <v>1987</v>
      </c>
      <c r="K1348" s="4" t="s">
        <v>8697</v>
      </c>
      <c r="L1348" s="4" t="s">
        <v>8698</v>
      </c>
    </row>
    <row r="1349">
      <c r="A1349" s="55"/>
      <c r="B1349" s="52"/>
      <c r="C1349" s="56"/>
      <c r="D1349" s="61"/>
      <c r="E1349" s="56"/>
      <c r="F1349" s="53"/>
      <c r="G1349" s="4"/>
      <c r="H1349" s="4"/>
      <c r="K1349" s="4"/>
      <c r="L1349" s="4"/>
    </row>
    <row r="1350">
      <c r="A1350" s="55" t="s">
        <v>8699</v>
      </c>
      <c r="B1350" s="52" t="s">
        <v>1427</v>
      </c>
      <c r="C1350" s="56">
        <v>45678.354166666664</v>
      </c>
      <c r="D1350" s="57" t="s">
        <v>6052</v>
      </c>
      <c r="E1350" s="56">
        <v>45678.479166666664</v>
      </c>
      <c r="F1350" s="53" t="s">
        <v>8700</v>
      </c>
      <c r="G1350" s="4" t="s">
        <v>110</v>
      </c>
      <c r="H1350" s="4" t="s">
        <v>1987</v>
      </c>
      <c r="K1350" s="4" t="s">
        <v>8701</v>
      </c>
      <c r="L1350" s="4" t="s">
        <v>8702</v>
      </c>
    </row>
    <row r="1351">
      <c r="A1351" s="55" t="s">
        <v>8703</v>
      </c>
      <c r="B1351" s="52" t="s">
        <v>5537</v>
      </c>
      <c r="C1351" s="56">
        <v>45678.479166666664</v>
      </c>
      <c r="D1351" s="57" t="s">
        <v>6318</v>
      </c>
      <c r="E1351" s="56">
        <v>45678.5</v>
      </c>
      <c r="F1351" s="53" t="s">
        <v>1536</v>
      </c>
      <c r="G1351" s="4" t="s">
        <v>110</v>
      </c>
      <c r="H1351" s="4" t="s">
        <v>1987</v>
      </c>
      <c r="K1351" s="4" t="s">
        <v>8704</v>
      </c>
      <c r="L1351" s="4"/>
    </row>
    <row r="1352">
      <c r="A1352" s="55" t="s">
        <v>8705</v>
      </c>
      <c r="B1352" s="52" t="s">
        <v>5559</v>
      </c>
      <c r="C1352" s="56">
        <v>45678.5</v>
      </c>
      <c r="D1352" s="57" t="s">
        <v>2147</v>
      </c>
      <c r="E1352" s="56">
        <v>45678.541666666664</v>
      </c>
      <c r="F1352" s="53" t="s">
        <v>8090</v>
      </c>
      <c r="G1352" s="4" t="s">
        <v>110</v>
      </c>
      <c r="H1352" s="4" t="s">
        <v>1987</v>
      </c>
      <c r="K1352" s="4" t="s">
        <v>8706</v>
      </c>
      <c r="L1352" s="4"/>
    </row>
    <row r="1353">
      <c r="A1353" s="55" t="s">
        <v>8707</v>
      </c>
      <c r="B1353" s="52" t="s">
        <v>1472</v>
      </c>
      <c r="C1353" s="56">
        <v>45680.5625</v>
      </c>
      <c r="D1353" s="57" t="s">
        <v>2154</v>
      </c>
      <c r="E1353" s="56">
        <v>45680.6875</v>
      </c>
      <c r="F1353" s="53" t="s">
        <v>8683</v>
      </c>
      <c r="G1353" s="4" t="s">
        <v>135</v>
      </c>
      <c r="H1353" s="4" t="s">
        <v>1987</v>
      </c>
      <c r="K1353" s="4" t="s">
        <v>8708</v>
      </c>
      <c r="L1353" s="4" t="s">
        <v>8709</v>
      </c>
    </row>
    <row r="1354">
      <c r="A1354" s="55" t="s">
        <v>8710</v>
      </c>
      <c r="B1354" s="52" t="s">
        <v>6069</v>
      </c>
      <c r="C1354" s="56">
        <v>45680.333333333336</v>
      </c>
      <c r="D1354" s="57" t="s">
        <v>2147</v>
      </c>
      <c r="E1354" s="56">
        <v>45680.541666666664</v>
      </c>
      <c r="F1354" s="53" t="s">
        <v>7339</v>
      </c>
      <c r="G1354" s="4" t="s">
        <v>110</v>
      </c>
      <c r="H1354" s="4" t="s">
        <v>1987</v>
      </c>
      <c r="K1354" s="4"/>
      <c r="L1354" s="4" t="s">
        <v>8711</v>
      </c>
    </row>
    <row r="1355">
      <c r="A1355" s="55" t="s">
        <v>8712</v>
      </c>
      <c r="B1355" s="52" t="s">
        <v>6069</v>
      </c>
      <c r="C1355" s="56">
        <v>45679.333333333336</v>
      </c>
      <c r="D1355" s="57" t="s">
        <v>2147</v>
      </c>
      <c r="E1355" s="56">
        <v>45679.541666666664</v>
      </c>
      <c r="F1355" s="53" t="s">
        <v>7339</v>
      </c>
      <c r="G1355" s="4" t="s">
        <v>110</v>
      </c>
      <c r="H1355" s="4" t="s">
        <v>1987</v>
      </c>
      <c r="K1355" s="4" t="s">
        <v>8713</v>
      </c>
      <c r="L1355" s="4"/>
    </row>
    <row r="1356">
      <c r="A1356" s="55" t="s">
        <v>8714</v>
      </c>
      <c r="B1356" s="52" t="s">
        <v>1427</v>
      </c>
      <c r="C1356" s="56">
        <v>45685.416666666664</v>
      </c>
      <c r="D1356" s="57" t="s">
        <v>6318</v>
      </c>
      <c r="E1356" s="56">
        <v>45685.4375</v>
      </c>
      <c r="F1356" s="53" t="s">
        <v>8715</v>
      </c>
      <c r="G1356" s="4" t="s">
        <v>110</v>
      </c>
      <c r="H1356" s="4" t="s">
        <v>1991</v>
      </c>
      <c r="K1356" s="4" t="s">
        <v>8716</v>
      </c>
      <c r="L1356" s="4" t="s">
        <v>8717</v>
      </c>
    </row>
    <row r="1357">
      <c r="A1357" s="55" t="s">
        <v>8718</v>
      </c>
      <c r="B1357" s="52" t="s">
        <v>1540</v>
      </c>
      <c r="C1357" s="56">
        <v>45687.416666666664</v>
      </c>
      <c r="D1357" s="57" t="s">
        <v>2147</v>
      </c>
      <c r="E1357" s="56">
        <v>45687.4375</v>
      </c>
      <c r="F1357" s="53" t="s">
        <v>8719</v>
      </c>
      <c r="G1357" s="4" t="s">
        <v>110</v>
      </c>
      <c r="H1357" s="4" t="s">
        <v>1991</v>
      </c>
      <c r="K1357" s="4" t="s">
        <v>8720</v>
      </c>
      <c r="L1357" s="4" t="s">
        <v>8721</v>
      </c>
    </row>
    <row r="1358">
      <c r="A1358" s="55" t="s">
        <v>8722</v>
      </c>
      <c r="B1358" s="52" t="s">
        <v>5559</v>
      </c>
      <c r="C1358" s="56">
        <v>45681.395833333336</v>
      </c>
      <c r="D1358" s="57" t="s">
        <v>2148</v>
      </c>
      <c r="E1358" s="56">
        <v>45681.541666666664</v>
      </c>
      <c r="F1358" s="53" t="s">
        <v>8723</v>
      </c>
      <c r="G1358" s="4" t="s">
        <v>110</v>
      </c>
      <c r="H1358" s="4" t="s">
        <v>1987</v>
      </c>
      <c r="K1358" s="4" t="s">
        <v>8724</v>
      </c>
      <c r="L1358" s="4" t="s">
        <v>8725</v>
      </c>
    </row>
    <row r="1359">
      <c r="A1359" s="55" t="s">
        <v>8726</v>
      </c>
      <c r="B1359" s="52" t="s">
        <v>5559</v>
      </c>
      <c r="C1359" s="56">
        <v>45684.333333333336</v>
      </c>
      <c r="D1359" s="57" t="s">
        <v>6052</v>
      </c>
      <c r="E1359" s="56">
        <v>45684.541666666664</v>
      </c>
      <c r="F1359" s="53" t="s">
        <v>6370</v>
      </c>
      <c r="G1359" s="4" t="s">
        <v>110</v>
      </c>
      <c r="H1359" s="4" t="s">
        <v>1987</v>
      </c>
      <c r="K1359" s="4" t="s">
        <v>8727</v>
      </c>
      <c r="L1359" s="4"/>
    </row>
    <row r="1360">
      <c r="A1360" s="55" t="s">
        <v>8728</v>
      </c>
      <c r="B1360" s="52" t="s">
        <v>5384</v>
      </c>
      <c r="C1360" s="56">
        <v>45684.5625</v>
      </c>
      <c r="D1360" s="57" t="s">
        <v>2148</v>
      </c>
      <c r="E1360" s="56">
        <v>45684.729166666664</v>
      </c>
      <c r="F1360" s="53" t="s">
        <v>8678</v>
      </c>
      <c r="G1360" s="4" t="s">
        <v>135</v>
      </c>
      <c r="H1360" s="4" t="s">
        <v>1987</v>
      </c>
      <c r="K1360" s="4" t="s">
        <v>8729</v>
      </c>
      <c r="L1360" s="4"/>
    </row>
    <row r="1361">
      <c r="A1361" s="55" t="s">
        <v>8730</v>
      </c>
      <c r="B1361" s="52" t="s">
        <v>1427</v>
      </c>
      <c r="C1361" s="56">
        <v>45685.395833333336</v>
      </c>
      <c r="D1361" s="57" t="s">
        <v>6318</v>
      </c>
      <c r="E1361" s="56">
        <v>45685.416666666664</v>
      </c>
      <c r="F1361" s="53" t="s">
        <v>8290</v>
      </c>
      <c r="G1361" s="4" t="s">
        <v>110</v>
      </c>
      <c r="H1361" s="4" t="s">
        <v>1987</v>
      </c>
      <c r="K1361" s="4" t="s">
        <v>8731</v>
      </c>
      <c r="L1361" s="4"/>
    </row>
    <row r="1362">
      <c r="A1362" s="55" t="s">
        <v>8732</v>
      </c>
      <c r="B1362" s="52" t="s">
        <v>1540</v>
      </c>
      <c r="C1362" s="56">
        <v>45685.333333333336</v>
      </c>
      <c r="D1362" s="57" t="s">
        <v>2147</v>
      </c>
      <c r="E1362" s="56">
        <v>45685.395833333336</v>
      </c>
      <c r="F1362" s="53" t="s">
        <v>8733</v>
      </c>
      <c r="G1362" s="4" t="s">
        <v>110</v>
      </c>
      <c r="H1362" s="4" t="s">
        <v>1987</v>
      </c>
      <c r="K1362" s="4" t="s">
        <v>8734</v>
      </c>
      <c r="L1362" s="4" t="s">
        <v>8735</v>
      </c>
    </row>
    <row r="1363">
      <c r="A1363" s="55"/>
      <c r="B1363" s="52"/>
      <c r="C1363" s="56"/>
      <c r="D1363" s="61"/>
      <c r="E1363" s="56"/>
      <c r="F1363" s="53"/>
      <c r="G1363" s="4"/>
      <c r="H1363" s="4"/>
      <c r="K1363" s="4"/>
      <c r="L1363" s="4"/>
    </row>
    <row r="1364">
      <c r="A1364" s="55" t="s">
        <v>8736</v>
      </c>
      <c r="B1364" s="52" t="s">
        <v>1540</v>
      </c>
      <c r="C1364" s="56">
        <v>45685.4375</v>
      </c>
      <c r="D1364" s="57" t="s">
        <v>2147</v>
      </c>
      <c r="E1364" s="56">
        <v>45685.479166666664</v>
      </c>
      <c r="F1364" s="53" t="s">
        <v>8733</v>
      </c>
      <c r="G1364" s="4" t="s">
        <v>110</v>
      </c>
      <c r="H1364" s="4" t="s">
        <v>1987</v>
      </c>
      <c r="K1364" s="4"/>
      <c r="L1364" s="4" t="s">
        <v>8737</v>
      </c>
    </row>
    <row r="1365">
      <c r="A1365" s="55" t="s">
        <v>8738</v>
      </c>
      <c r="B1365" s="52" t="s">
        <v>5559</v>
      </c>
      <c r="C1365" s="56">
        <v>45685.479166666664</v>
      </c>
      <c r="D1365" s="57" t="s">
        <v>2154</v>
      </c>
      <c r="E1365" s="56">
        <v>45685.541666666664</v>
      </c>
      <c r="F1365" s="53" t="s">
        <v>8090</v>
      </c>
      <c r="G1365" s="4" t="s">
        <v>110</v>
      </c>
      <c r="H1365" s="4" t="s">
        <v>1987</v>
      </c>
      <c r="K1365" s="4" t="s">
        <v>8739</v>
      </c>
      <c r="L1365" s="4"/>
    </row>
    <row r="1366">
      <c r="A1366" s="55" t="s">
        <v>8740</v>
      </c>
      <c r="B1366" s="52" t="s">
        <v>5537</v>
      </c>
      <c r="C1366" s="56">
        <v>45687.4375</v>
      </c>
      <c r="D1366" s="57" t="s">
        <v>6318</v>
      </c>
      <c r="E1366" s="56">
        <v>45687.5</v>
      </c>
      <c r="F1366" s="53" t="s">
        <v>8741</v>
      </c>
      <c r="G1366" s="4" t="s">
        <v>110</v>
      </c>
      <c r="H1366" s="4" t="s">
        <v>1991</v>
      </c>
      <c r="K1366" s="4" t="s">
        <v>8742</v>
      </c>
      <c r="L1366" s="4" t="s">
        <v>8743</v>
      </c>
    </row>
    <row r="1367">
      <c r="A1367" s="55" t="s">
        <v>8744</v>
      </c>
      <c r="B1367" s="52" t="s">
        <v>1438</v>
      </c>
      <c r="C1367" s="56">
        <v>45685.5625</v>
      </c>
      <c r="D1367" s="57" t="s">
        <v>2148</v>
      </c>
      <c r="E1367" s="56">
        <v>45685.697916666664</v>
      </c>
      <c r="F1367" s="53" t="s">
        <v>6646</v>
      </c>
      <c r="G1367" s="4" t="s">
        <v>135</v>
      </c>
      <c r="H1367" s="4" t="s">
        <v>1987</v>
      </c>
      <c r="K1367" s="4" t="s">
        <v>8745</v>
      </c>
      <c r="L1367" s="4" t="s">
        <v>8746</v>
      </c>
    </row>
    <row r="1368">
      <c r="A1368" s="55" t="s">
        <v>8747</v>
      </c>
      <c r="B1368" s="52" t="s">
        <v>1438</v>
      </c>
      <c r="C1368" s="56">
        <v>45686.5625</v>
      </c>
      <c r="D1368" s="57" t="s">
        <v>2148</v>
      </c>
      <c r="E1368" s="56">
        <v>45686.729166666664</v>
      </c>
      <c r="F1368" s="53" t="s">
        <v>6646</v>
      </c>
      <c r="G1368" s="4" t="s">
        <v>135</v>
      </c>
      <c r="H1368" s="4" t="s">
        <v>1987</v>
      </c>
      <c r="K1368" s="4" t="s">
        <v>8748</v>
      </c>
      <c r="L1368" s="4"/>
    </row>
    <row r="1369">
      <c r="A1369" s="55"/>
      <c r="B1369" s="52"/>
      <c r="C1369" s="56"/>
      <c r="D1369" s="61"/>
      <c r="E1369" s="56"/>
      <c r="F1369" s="53"/>
      <c r="G1369" s="4"/>
      <c r="H1369" s="4"/>
      <c r="K1369" s="4"/>
      <c r="L1369" s="4"/>
    </row>
    <row r="1370">
      <c r="A1370" s="55" t="s">
        <v>8749</v>
      </c>
      <c r="B1370" s="52" t="s">
        <v>1427</v>
      </c>
      <c r="C1370" s="56">
        <v>45685.354166666664</v>
      </c>
      <c r="D1370" s="57" t="s">
        <v>6052</v>
      </c>
      <c r="E1370" s="56">
        <v>45685.5625</v>
      </c>
      <c r="F1370" s="53" t="s">
        <v>6053</v>
      </c>
      <c r="G1370" s="4" t="s">
        <v>27</v>
      </c>
      <c r="H1370" s="4" t="s">
        <v>1987</v>
      </c>
      <c r="K1370" s="4" t="s">
        <v>8750</v>
      </c>
      <c r="L1370" s="4"/>
    </row>
    <row r="1371">
      <c r="A1371" s="55" t="s">
        <v>8751</v>
      </c>
      <c r="B1371" s="52" t="s">
        <v>6057</v>
      </c>
      <c r="C1371" s="56">
        <v>45684.375</v>
      </c>
      <c r="D1371" s="57" t="s">
        <v>6052</v>
      </c>
      <c r="E1371" s="56">
        <v>45684.791666666664</v>
      </c>
      <c r="F1371" s="53" t="s">
        <v>6053</v>
      </c>
      <c r="G1371" s="4" t="s">
        <v>27</v>
      </c>
      <c r="H1371" s="4" t="s">
        <v>1987</v>
      </c>
      <c r="K1371" s="4"/>
      <c r="L1371" s="4" t="s">
        <v>8752</v>
      </c>
    </row>
    <row r="1372">
      <c r="A1372" s="55"/>
      <c r="B1372" s="52"/>
      <c r="C1372" s="56"/>
      <c r="D1372" s="61"/>
      <c r="E1372" s="56"/>
      <c r="F1372" s="53"/>
      <c r="G1372" s="4"/>
      <c r="H1372" s="4"/>
      <c r="K1372" s="4"/>
      <c r="L1372" s="4"/>
    </row>
    <row r="1373">
      <c r="A1373" s="55" t="s">
        <v>8753</v>
      </c>
      <c r="B1373" s="52" t="s">
        <v>1438</v>
      </c>
      <c r="C1373" s="56">
        <v>45685.666666666664</v>
      </c>
      <c r="D1373" s="57" t="s">
        <v>6318</v>
      </c>
      <c r="E1373" s="56">
        <v>45685.6875</v>
      </c>
      <c r="F1373" s="53" t="s">
        <v>8754</v>
      </c>
      <c r="G1373" s="4" t="s">
        <v>27</v>
      </c>
      <c r="H1373" s="4" t="s">
        <v>1987</v>
      </c>
      <c r="K1373" s="4" t="s">
        <v>8755</v>
      </c>
      <c r="L1373" s="4"/>
    </row>
    <row r="1374">
      <c r="A1374" s="55" t="s">
        <v>8756</v>
      </c>
      <c r="B1374" s="52" t="s">
        <v>6057</v>
      </c>
      <c r="C1374" s="56">
        <v>45685.5625</v>
      </c>
      <c r="D1374" s="57" t="s">
        <v>6052</v>
      </c>
      <c r="E1374" s="56">
        <v>45685.666666666664</v>
      </c>
      <c r="F1374" s="53" t="s">
        <v>6053</v>
      </c>
      <c r="G1374" s="4" t="s">
        <v>27</v>
      </c>
      <c r="H1374" s="4" t="s">
        <v>1987</v>
      </c>
      <c r="K1374" s="4" t="s">
        <v>8757</v>
      </c>
      <c r="L1374" s="4" t="s">
        <v>8752</v>
      </c>
    </row>
    <row r="1375">
      <c r="A1375" s="55" t="s">
        <v>8758</v>
      </c>
      <c r="B1375" s="52" t="s">
        <v>1472</v>
      </c>
      <c r="C1375" s="56">
        <v>45687.5625</v>
      </c>
      <c r="D1375" s="57" t="s">
        <v>2148</v>
      </c>
      <c r="E1375" s="56">
        <v>45687.625</v>
      </c>
      <c r="F1375" s="53" t="s">
        <v>6053</v>
      </c>
      <c r="G1375" s="4" t="s">
        <v>135</v>
      </c>
      <c r="H1375" s="4" t="s">
        <v>1987</v>
      </c>
      <c r="K1375" s="4" t="s">
        <v>8759</v>
      </c>
      <c r="L1375" s="4" t="s">
        <v>8760</v>
      </c>
    </row>
    <row r="1376">
      <c r="A1376" s="55" t="s">
        <v>8761</v>
      </c>
      <c r="B1376" s="52" t="s">
        <v>1472</v>
      </c>
      <c r="C1376" s="56">
        <v>45688.6875</v>
      </c>
      <c r="D1376" s="57" t="s">
        <v>2148</v>
      </c>
      <c r="E1376" s="56">
        <v>45688.729166666664</v>
      </c>
      <c r="F1376" s="53" t="s">
        <v>6053</v>
      </c>
      <c r="G1376" s="4" t="s">
        <v>135</v>
      </c>
      <c r="H1376" s="4" t="s">
        <v>1987</v>
      </c>
      <c r="K1376" s="4" t="s">
        <v>8762</v>
      </c>
      <c r="L1376" s="4" t="s">
        <v>8763</v>
      </c>
    </row>
    <row r="1377">
      <c r="A1377" s="55" t="s">
        <v>8764</v>
      </c>
      <c r="B1377" s="52" t="s">
        <v>1427</v>
      </c>
      <c r="C1377" s="56">
        <v>45675.0</v>
      </c>
      <c r="D1377" s="61"/>
      <c r="E1377" s="56">
        <v>45676.25</v>
      </c>
      <c r="F1377" s="53" t="s">
        <v>8765</v>
      </c>
      <c r="G1377" s="4" t="s">
        <v>27</v>
      </c>
      <c r="H1377" s="4" t="s">
        <v>1987</v>
      </c>
      <c r="K1377" s="4" t="s">
        <v>8766</v>
      </c>
      <c r="L1377" s="4"/>
    </row>
    <row r="1378">
      <c r="A1378" s="55" t="s">
        <v>8767</v>
      </c>
      <c r="B1378" s="52" t="s">
        <v>5578</v>
      </c>
      <c r="C1378" s="56">
        <v>45685.697916666664</v>
      </c>
      <c r="D1378" s="57" t="s">
        <v>2147</v>
      </c>
      <c r="E1378" s="56">
        <v>45685.729166666664</v>
      </c>
      <c r="F1378" s="53" t="s">
        <v>8768</v>
      </c>
      <c r="G1378" s="4" t="s">
        <v>135</v>
      </c>
      <c r="H1378" s="4" t="s">
        <v>1987</v>
      </c>
      <c r="K1378" s="4" t="s">
        <v>8769</v>
      </c>
      <c r="L1378" s="4"/>
    </row>
    <row r="1379">
      <c r="A1379" s="55" t="s">
        <v>8770</v>
      </c>
      <c r="B1379" s="52" t="s">
        <v>5559</v>
      </c>
      <c r="C1379" s="56">
        <v>45686.333333333336</v>
      </c>
      <c r="D1379" s="57" t="s">
        <v>2147</v>
      </c>
      <c r="E1379" s="56">
        <v>45686.375</v>
      </c>
      <c r="F1379" s="53" t="s">
        <v>8771</v>
      </c>
      <c r="G1379" s="4" t="s">
        <v>110</v>
      </c>
      <c r="H1379" s="4" t="s">
        <v>1987</v>
      </c>
      <c r="K1379" s="4" t="s">
        <v>8772</v>
      </c>
      <c r="L1379" s="4" t="s">
        <v>8773</v>
      </c>
    </row>
    <row r="1380">
      <c r="A1380" s="55" t="s">
        <v>8774</v>
      </c>
      <c r="B1380" s="52" t="s">
        <v>1427</v>
      </c>
      <c r="C1380" s="56">
        <v>45686.375</v>
      </c>
      <c r="D1380" s="57" t="s">
        <v>6052</v>
      </c>
      <c r="E1380" s="56">
        <v>45686.541666666664</v>
      </c>
      <c r="F1380" s="53" t="s">
        <v>8775</v>
      </c>
      <c r="G1380" s="4" t="s">
        <v>110</v>
      </c>
      <c r="H1380" s="4" t="s">
        <v>1987</v>
      </c>
      <c r="K1380" s="4" t="s">
        <v>8776</v>
      </c>
      <c r="L1380" s="4" t="s">
        <v>8777</v>
      </c>
    </row>
    <row r="1381">
      <c r="A1381" s="55" t="s">
        <v>8778</v>
      </c>
      <c r="B1381" s="52" t="s">
        <v>1427</v>
      </c>
      <c r="C1381" s="56">
        <v>45687.333333333336</v>
      </c>
      <c r="D1381" s="57" t="s">
        <v>6052</v>
      </c>
      <c r="E1381" s="56">
        <v>45687.416666666664</v>
      </c>
      <c r="F1381" s="53" t="s">
        <v>8775</v>
      </c>
      <c r="G1381" s="4" t="s">
        <v>110</v>
      </c>
      <c r="H1381" s="4" t="s">
        <v>1987</v>
      </c>
      <c r="K1381" s="4" t="s">
        <v>8779</v>
      </c>
      <c r="L1381" s="4" t="s">
        <v>8780</v>
      </c>
    </row>
    <row r="1382">
      <c r="A1382" s="55"/>
      <c r="B1382" s="52"/>
      <c r="C1382" s="56"/>
      <c r="D1382" s="61"/>
      <c r="E1382" s="56"/>
      <c r="F1382" s="53"/>
      <c r="G1382" s="4"/>
      <c r="H1382" s="4"/>
      <c r="K1382" s="4"/>
      <c r="L1382" s="4"/>
    </row>
    <row r="1383">
      <c r="A1383" s="55" t="s">
        <v>8781</v>
      </c>
      <c r="B1383" s="52" t="s">
        <v>5537</v>
      </c>
      <c r="C1383" s="56">
        <v>45691.333333333336</v>
      </c>
      <c r="D1383" s="57" t="s">
        <v>6052</v>
      </c>
      <c r="E1383" s="56">
        <v>45691.541666666664</v>
      </c>
      <c r="F1383" s="53" t="s">
        <v>1536</v>
      </c>
      <c r="G1383" s="4" t="s">
        <v>110</v>
      </c>
      <c r="H1383" s="4" t="s">
        <v>1987</v>
      </c>
      <c r="K1383" s="4" t="s">
        <v>8782</v>
      </c>
      <c r="L1383" s="4"/>
    </row>
    <row r="1384">
      <c r="A1384" s="55"/>
      <c r="B1384" s="52"/>
      <c r="C1384" s="56"/>
      <c r="D1384" s="61"/>
      <c r="E1384" s="56"/>
      <c r="F1384" s="53"/>
      <c r="G1384" s="4"/>
      <c r="H1384" s="4"/>
      <c r="K1384" s="4"/>
      <c r="L1384" s="4"/>
    </row>
    <row r="1385">
      <c r="A1385" s="55" t="s">
        <v>8783</v>
      </c>
      <c r="B1385" s="52" t="s">
        <v>1438</v>
      </c>
      <c r="C1385" s="56">
        <v>45688.333333333336</v>
      </c>
      <c r="D1385" s="57" t="s">
        <v>2154</v>
      </c>
      <c r="E1385" s="56">
        <v>45688.416666666664</v>
      </c>
      <c r="F1385" s="53" t="s">
        <v>8784</v>
      </c>
      <c r="G1385" s="4" t="s">
        <v>110</v>
      </c>
      <c r="H1385" s="4" t="s">
        <v>1987</v>
      </c>
      <c r="K1385" s="4" t="s">
        <v>8785</v>
      </c>
      <c r="L1385" s="4" t="s">
        <v>8786</v>
      </c>
    </row>
    <row r="1386">
      <c r="A1386" s="55" t="s">
        <v>8787</v>
      </c>
      <c r="B1386" s="52" t="s">
        <v>6057</v>
      </c>
      <c r="C1386" s="56">
        <v>45685.6875</v>
      </c>
      <c r="D1386" s="57" t="s">
        <v>6052</v>
      </c>
      <c r="E1386" s="56">
        <v>45685.791666666664</v>
      </c>
      <c r="F1386" s="53" t="s">
        <v>6053</v>
      </c>
      <c r="G1386" s="4" t="s">
        <v>27</v>
      </c>
      <c r="H1386" s="4" t="s">
        <v>1987</v>
      </c>
      <c r="K1386" s="4" t="s">
        <v>8788</v>
      </c>
      <c r="L1386" s="4" t="s">
        <v>8752</v>
      </c>
    </row>
    <row r="1387">
      <c r="A1387" s="55" t="s">
        <v>8789</v>
      </c>
      <c r="B1387" s="52" t="s">
        <v>5537</v>
      </c>
      <c r="C1387" s="56">
        <v>45686.4375</v>
      </c>
      <c r="D1387" s="57" t="s">
        <v>2147</v>
      </c>
      <c r="E1387" s="56">
        <v>45686.479166666664</v>
      </c>
      <c r="F1387" s="53" t="s">
        <v>8790</v>
      </c>
      <c r="G1387" s="4" t="s">
        <v>27</v>
      </c>
      <c r="H1387" s="4" t="s">
        <v>1987</v>
      </c>
      <c r="K1387" s="4" t="s">
        <v>8791</v>
      </c>
      <c r="L1387" s="4"/>
    </row>
    <row r="1388">
      <c r="A1388" s="55" t="s">
        <v>8792</v>
      </c>
      <c r="B1388" s="52" t="s">
        <v>1472</v>
      </c>
      <c r="C1388" s="56">
        <v>45686.58125</v>
      </c>
      <c r="D1388" s="57" t="s">
        <v>6318</v>
      </c>
      <c r="E1388" s="56">
        <v>45686.60208333333</v>
      </c>
      <c r="F1388" s="53" t="s">
        <v>8793</v>
      </c>
      <c r="G1388" s="4" t="s">
        <v>27</v>
      </c>
      <c r="H1388" s="4" t="s">
        <v>1987</v>
      </c>
      <c r="K1388" s="4" t="s">
        <v>8794</v>
      </c>
      <c r="L1388" s="4"/>
    </row>
    <row r="1389">
      <c r="A1389" s="55" t="s">
        <v>8795</v>
      </c>
      <c r="B1389" s="52" t="s">
        <v>1472</v>
      </c>
      <c r="C1389" s="56">
        <v>45687.5625</v>
      </c>
      <c r="D1389" s="57" t="s">
        <v>2154</v>
      </c>
      <c r="E1389" s="56">
        <v>45687.625</v>
      </c>
      <c r="F1389" s="53" t="s">
        <v>8796</v>
      </c>
      <c r="G1389" s="4" t="s">
        <v>27</v>
      </c>
      <c r="H1389" s="4" t="s">
        <v>1991</v>
      </c>
      <c r="K1389" s="4" t="s">
        <v>8797</v>
      </c>
      <c r="L1389" s="4" t="s">
        <v>8798</v>
      </c>
    </row>
    <row r="1390">
      <c r="A1390" s="55" t="s">
        <v>8799</v>
      </c>
      <c r="B1390" s="52" t="s">
        <v>5559</v>
      </c>
      <c r="C1390" s="56">
        <v>45687.458333333336</v>
      </c>
      <c r="D1390" s="57" t="s">
        <v>2147</v>
      </c>
      <c r="E1390" s="56">
        <v>45687.5</v>
      </c>
      <c r="F1390" s="53" t="s">
        <v>8800</v>
      </c>
      <c r="G1390" s="4" t="s">
        <v>27</v>
      </c>
      <c r="H1390" s="4" t="s">
        <v>1987</v>
      </c>
      <c r="K1390" s="4" t="s">
        <v>8801</v>
      </c>
      <c r="L1390" s="4" t="s">
        <v>8802</v>
      </c>
    </row>
    <row r="1391">
      <c r="A1391" s="55" t="s">
        <v>8803</v>
      </c>
      <c r="B1391" s="52" t="s">
        <v>1427</v>
      </c>
      <c r="C1391" s="56">
        <v>45687.5</v>
      </c>
      <c r="D1391" s="57" t="s">
        <v>2147</v>
      </c>
      <c r="E1391" s="56">
        <v>45687.541666666664</v>
      </c>
      <c r="F1391" s="53" t="s">
        <v>8804</v>
      </c>
      <c r="G1391" s="4" t="s">
        <v>110</v>
      </c>
      <c r="H1391" s="4" t="s">
        <v>1987</v>
      </c>
      <c r="K1391" s="4" t="s">
        <v>8805</v>
      </c>
      <c r="L1391" s="4"/>
    </row>
    <row r="1392">
      <c r="A1392" s="55" t="s">
        <v>8806</v>
      </c>
      <c r="B1392" s="52" t="s">
        <v>5384</v>
      </c>
      <c r="C1392" s="56">
        <v>45691.5625</v>
      </c>
      <c r="D1392" s="57" t="s">
        <v>2147</v>
      </c>
      <c r="E1392" s="56">
        <v>45691.604166666664</v>
      </c>
      <c r="F1392" s="53" t="s">
        <v>8807</v>
      </c>
      <c r="G1392" s="4" t="s">
        <v>135</v>
      </c>
      <c r="H1392" s="4" t="s">
        <v>1991</v>
      </c>
      <c r="K1392" s="4" t="s">
        <v>8808</v>
      </c>
      <c r="L1392" s="4"/>
    </row>
    <row r="1393">
      <c r="A1393" s="55" t="s">
        <v>8809</v>
      </c>
      <c r="B1393" s="52" t="s">
        <v>1438</v>
      </c>
      <c r="C1393" s="56">
        <v>45687.625</v>
      </c>
      <c r="D1393" s="57" t="s">
        <v>2154</v>
      </c>
      <c r="E1393" s="56">
        <v>45687.729166666664</v>
      </c>
      <c r="F1393" s="53" t="s">
        <v>8810</v>
      </c>
      <c r="G1393" s="4" t="s">
        <v>135</v>
      </c>
      <c r="H1393" s="4" t="s">
        <v>1987</v>
      </c>
      <c r="K1393" s="4"/>
      <c r="L1393" s="4" t="s">
        <v>8811</v>
      </c>
    </row>
    <row r="1394">
      <c r="A1394" s="55" t="s">
        <v>8812</v>
      </c>
      <c r="B1394" s="52" t="s">
        <v>5598</v>
      </c>
      <c r="C1394" s="56">
        <v>45694.625</v>
      </c>
      <c r="D1394" s="57" t="s">
        <v>2154</v>
      </c>
      <c r="E1394" s="56">
        <v>45694.708333333336</v>
      </c>
      <c r="F1394" s="53" t="s">
        <v>8813</v>
      </c>
      <c r="G1394" s="4" t="s">
        <v>27</v>
      </c>
      <c r="H1394" s="4" t="s">
        <v>1991</v>
      </c>
      <c r="K1394" s="4" t="s">
        <v>8814</v>
      </c>
      <c r="L1394" s="4"/>
    </row>
    <row r="1395">
      <c r="A1395" s="55" t="s">
        <v>8815</v>
      </c>
      <c r="B1395" s="52" t="s">
        <v>1427</v>
      </c>
      <c r="C1395" s="56">
        <v>45688.416666666664</v>
      </c>
      <c r="D1395" s="57" t="s">
        <v>2200</v>
      </c>
      <c r="E1395" s="56">
        <v>45688.541666666664</v>
      </c>
      <c r="F1395" s="53" t="s">
        <v>8816</v>
      </c>
      <c r="G1395" s="4" t="s">
        <v>110</v>
      </c>
      <c r="H1395" s="4" t="s">
        <v>1987</v>
      </c>
      <c r="K1395" s="4" t="s">
        <v>8817</v>
      </c>
      <c r="L1395" s="4" t="s">
        <v>8818</v>
      </c>
    </row>
    <row r="1396">
      <c r="A1396" s="55" t="s">
        <v>8819</v>
      </c>
      <c r="B1396" s="52" t="s">
        <v>5377</v>
      </c>
      <c r="C1396" s="56">
        <v>45688.5625</v>
      </c>
      <c r="D1396" s="57" t="s">
        <v>6318</v>
      </c>
      <c r="E1396" s="56">
        <v>45688.604166666664</v>
      </c>
      <c r="F1396" s="53" t="s">
        <v>8733</v>
      </c>
      <c r="G1396" s="4" t="s">
        <v>135</v>
      </c>
      <c r="H1396" s="4" t="s">
        <v>1987</v>
      </c>
      <c r="K1396" s="4" t="s">
        <v>8820</v>
      </c>
      <c r="L1396" s="4"/>
    </row>
    <row r="1397">
      <c r="A1397" s="55" t="s">
        <v>8821</v>
      </c>
      <c r="B1397" s="52" t="s">
        <v>1438</v>
      </c>
      <c r="C1397" s="56">
        <v>45688.604166666664</v>
      </c>
      <c r="D1397" s="57" t="s">
        <v>2154</v>
      </c>
      <c r="E1397" s="56">
        <v>45688.6875</v>
      </c>
      <c r="F1397" s="53" t="s">
        <v>8822</v>
      </c>
      <c r="G1397" s="4" t="s">
        <v>135</v>
      </c>
      <c r="H1397" s="4" t="s">
        <v>1987</v>
      </c>
      <c r="K1397" s="4" t="s">
        <v>8823</v>
      </c>
      <c r="L1397" s="4"/>
    </row>
    <row r="1398">
      <c r="A1398" s="55" t="s">
        <v>8824</v>
      </c>
      <c r="B1398" s="52" t="s">
        <v>1438</v>
      </c>
      <c r="C1398" s="56">
        <v>45674.0</v>
      </c>
      <c r="D1398" s="61"/>
      <c r="E1398" s="56">
        <v>45675.166666666664</v>
      </c>
      <c r="F1398" s="53" t="s">
        <v>8825</v>
      </c>
      <c r="G1398" s="4" t="s">
        <v>27</v>
      </c>
      <c r="H1398" s="4" t="s">
        <v>1987</v>
      </c>
      <c r="K1398" s="4" t="s">
        <v>8826</v>
      </c>
      <c r="L1398" s="4"/>
    </row>
    <row r="1399">
      <c r="A1399" s="55" t="s">
        <v>8827</v>
      </c>
      <c r="B1399" s="52" t="s">
        <v>5384</v>
      </c>
      <c r="C1399" s="56">
        <v>45675.166666666664</v>
      </c>
      <c r="D1399" s="61"/>
      <c r="E1399" s="56">
        <v>45677.208333333336</v>
      </c>
      <c r="F1399" s="53" t="s">
        <v>8825</v>
      </c>
      <c r="G1399" s="4" t="s">
        <v>27</v>
      </c>
      <c r="H1399" s="4" t="s">
        <v>1987</v>
      </c>
      <c r="K1399" s="4" t="s">
        <v>8828</v>
      </c>
      <c r="L1399" s="4"/>
    </row>
    <row r="1400">
      <c r="A1400" s="55" t="s">
        <v>8829</v>
      </c>
      <c r="B1400" s="52" t="s">
        <v>1427</v>
      </c>
      <c r="C1400" s="56">
        <v>45678.958333333336</v>
      </c>
      <c r="D1400" s="61"/>
      <c r="E1400" s="56">
        <v>45682.166666666664</v>
      </c>
      <c r="F1400" s="53" t="s">
        <v>8830</v>
      </c>
      <c r="G1400" s="4" t="s">
        <v>27</v>
      </c>
      <c r="H1400" s="4" t="s">
        <v>1987</v>
      </c>
      <c r="K1400" s="4" t="s">
        <v>8831</v>
      </c>
      <c r="L1400" s="4"/>
    </row>
    <row r="1401">
      <c r="A1401" s="55" t="s">
        <v>8832</v>
      </c>
      <c r="B1401" s="52" t="s">
        <v>5559</v>
      </c>
      <c r="C1401" s="56">
        <v>45682.166666666664</v>
      </c>
      <c r="D1401" s="61"/>
      <c r="E1401" s="56">
        <v>45683.625</v>
      </c>
      <c r="F1401" s="53" t="s">
        <v>8833</v>
      </c>
      <c r="G1401" s="4" t="s">
        <v>27</v>
      </c>
      <c r="H1401" s="4" t="s">
        <v>1987</v>
      </c>
      <c r="K1401" s="4" t="s">
        <v>8834</v>
      </c>
      <c r="L1401" s="4"/>
    </row>
    <row r="1402">
      <c r="A1402" s="55"/>
      <c r="B1402" s="52"/>
      <c r="C1402" s="56"/>
      <c r="D1402" s="61"/>
      <c r="E1402" s="56"/>
      <c r="F1402" s="53"/>
      <c r="G1402" s="4"/>
      <c r="H1402" s="4"/>
      <c r="K1402" s="4"/>
      <c r="L1402" s="4"/>
    </row>
    <row r="1403">
      <c r="A1403" s="55" t="s">
        <v>8835</v>
      </c>
      <c r="B1403" s="52" t="s">
        <v>5537</v>
      </c>
      <c r="C1403" s="56">
        <v>45692.333333333336</v>
      </c>
      <c r="D1403" s="57" t="s">
        <v>6052</v>
      </c>
      <c r="E1403" s="56">
        <v>45692.5</v>
      </c>
      <c r="F1403" s="53" t="s">
        <v>1536</v>
      </c>
      <c r="G1403" s="4" t="s">
        <v>110</v>
      </c>
      <c r="H1403" s="4" t="s">
        <v>1987</v>
      </c>
      <c r="K1403" s="4" t="s">
        <v>8836</v>
      </c>
      <c r="L1403" s="4" t="s">
        <v>8837</v>
      </c>
    </row>
    <row r="1404">
      <c r="A1404" s="55" t="s">
        <v>8838</v>
      </c>
      <c r="B1404" s="52" t="s">
        <v>5537</v>
      </c>
      <c r="C1404" s="56">
        <v>45693.375</v>
      </c>
      <c r="D1404" s="57" t="s">
        <v>2148</v>
      </c>
      <c r="E1404" s="56">
        <v>45693.5625</v>
      </c>
      <c r="F1404" s="53" t="s">
        <v>8839</v>
      </c>
      <c r="G1404" s="4" t="s">
        <v>110</v>
      </c>
      <c r="H1404" s="4" t="s">
        <v>1987</v>
      </c>
      <c r="K1404" s="4" t="s">
        <v>8840</v>
      </c>
      <c r="L1404" s="4" t="s">
        <v>8841</v>
      </c>
    </row>
    <row r="1405">
      <c r="A1405" s="55" t="s">
        <v>8842</v>
      </c>
      <c r="B1405" s="52" t="s">
        <v>1438</v>
      </c>
      <c r="C1405" s="56">
        <v>45694.354166666664</v>
      </c>
      <c r="D1405" s="57" t="s">
        <v>6052</v>
      </c>
      <c r="E1405" s="56">
        <v>45694.541666666664</v>
      </c>
      <c r="F1405" s="53" t="s">
        <v>8843</v>
      </c>
      <c r="G1405" s="4" t="s">
        <v>110</v>
      </c>
      <c r="H1405" s="4" t="s">
        <v>1987</v>
      </c>
      <c r="K1405" s="4" t="s">
        <v>8844</v>
      </c>
      <c r="L1405" s="4" t="s">
        <v>8845</v>
      </c>
    </row>
    <row r="1406">
      <c r="A1406" s="55" t="s">
        <v>8846</v>
      </c>
      <c r="B1406" s="52" t="s">
        <v>1438</v>
      </c>
      <c r="C1406" s="56">
        <v>45695.333333333336</v>
      </c>
      <c r="D1406" s="57" t="s">
        <v>6052</v>
      </c>
      <c r="E1406" s="56">
        <v>45695.541666666664</v>
      </c>
      <c r="F1406" s="53" t="s">
        <v>8847</v>
      </c>
      <c r="G1406" s="4" t="s">
        <v>110</v>
      </c>
      <c r="H1406" s="4" t="s">
        <v>1987</v>
      </c>
      <c r="K1406" s="4" t="s">
        <v>8848</v>
      </c>
      <c r="L1406" s="4" t="s">
        <v>8849</v>
      </c>
    </row>
    <row r="1407">
      <c r="A1407" s="66" t="s">
        <v>8850</v>
      </c>
      <c r="B1407" s="52" t="s">
        <v>1438</v>
      </c>
      <c r="C1407" s="56">
        <v>45691.604166666664</v>
      </c>
      <c r="D1407" s="57" t="s">
        <v>6318</v>
      </c>
      <c r="E1407" s="56">
        <v>45691.625</v>
      </c>
      <c r="F1407" s="53" t="s">
        <v>8042</v>
      </c>
      <c r="G1407" s="4" t="s">
        <v>135</v>
      </c>
      <c r="H1407" s="4" t="s">
        <v>1987</v>
      </c>
      <c r="K1407" s="4" t="s">
        <v>8851</v>
      </c>
      <c r="L1407" s="4"/>
    </row>
    <row r="1408">
      <c r="A1408" s="55" t="s">
        <v>8852</v>
      </c>
      <c r="B1408" s="52" t="s">
        <v>1472</v>
      </c>
      <c r="C1408" s="56">
        <v>45691.625</v>
      </c>
      <c r="D1408" s="57" t="s">
        <v>2147</v>
      </c>
      <c r="E1408" s="56">
        <v>45691.729166666664</v>
      </c>
      <c r="F1408" s="53" t="s">
        <v>8853</v>
      </c>
      <c r="G1408" s="4" t="s">
        <v>135</v>
      </c>
      <c r="H1408" s="4" t="s">
        <v>1987</v>
      </c>
      <c r="K1408" s="4" t="s">
        <v>8854</v>
      </c>
      <c r="L1408" s="4" t="s">
        <v>8855</v>
      </c>
    </row>
    <row r="1409">
      <c r="A1409" s="55" t="s">
        <v>8856</v>
      </c>
      <c r="B1409" s="52" t="s">
        <v>1472</v>
      </c>
      <c r="C1409" s="56">
        <v>45692.625</v>
      </c>
      <c r="D1409" s="57" t="s">
        <v>6052</v>
      </c>
      <c r="E1409" s="56">
        <v>45692.645833333336</v>
      </c>
      <c r="F1409" s="53" t="s">
        <v>8857</v>
      </c>
      <c r="G1409" s="4" t="s">
        <v>135</v>
      </c>
      <c r="H1409" s="4" t="s">
        <v>1991</v>
      </c>
      <c r="K1409" s="4"/>
      <c r="L1409" s="4" t="s">
        <v>8858</v>
      </c>
    </row>
    <row r="1410">
      <c r="A1410" s="55"/>
      <c r="B1410" s="52"/>
      <c r="C1410" s="56"/>
      <c r="D1410" s="61"/>
      <c r="E1410" s="56"/>
      <c r="F1410" s="53"/>
      <c r="G1410" s="4"/>
      <c r="H1410" s="4"/>
      <c r="K1410" s="4"/>
      <c r="L1410" s="4"/>
    </row>
    <row r="1411">
      <c r="A1411" s="55" t="s">
        <v>8859</v>
      </c>
      <c r="B1411" s="52" t="s">
        <v>5598</v>
      </c>
      <c r="C1411" s="56">
        <v>45694.5625</v>
      </c>
      <c r="D1411" s="57" t="s">
        <v>6052</v>
      </c>
      <c r="E1411" s="56">
        <v>45694.729166666664</v>
      </c>
      <c r="F1411" s="53" t="s">
        <v>8860</v>
      </c>
      <c r="G1411" s="4" t="s">
        <v>135</v>
      </c>
      <c r="H1411" s="4" t="s">
        <v>1987</v>
      </c>
      <c r="K1411" s="4" t="s">
        <v>8861</v>
      </c>
      <c r="L1411" s="4" t="s">
        <v>8862</v>
      </c>
    </row>
    <row r="1412">
      <c r="A1412" s="55" t="s">
        <v>8863</v>
      </c>
      <c r="B1412" s="52" t="s">
        <v>5598</v>
      </c>
      <c r="C1412" s="56">
        <v>45695.5625</v>
      </c>
      <c r="D1412" s="57" t="s">
        <v>6052</v>
      </c>
      <c r="E1412" s="56">
        <v>45695.604166666664</v>
      </c>
      <c r="F1412" s="53" t="s">
        <v>8864</v>
      </c>
      <c r="G1412" s="4" t="s">
        <v>135</v>
      </c>
      <c r="H1412" s="4" t="s">
        <v>1987</v>
      </c>
      <c r="K1412" s="4" t="s">
        <v>8865</v>
      </c>
      <c r="L1412" s="4" t="s">
        <v>8866</v>
      </c>
    </row>
    <row r="1413">
      <c r="A1413" s="55" t="s">
        <v>8867</v>
      </c>
      <c r="B1413" s="52" t="s">
        <v>1438</v>
      </c>
      <c r="C1413" s="56">
        <v>45692.5</v>
      </c>
      <c r="D1413" s="57" t="s">
        <v>2147</v>
      </c>
      <c r="E1413" s="56">
        <v>45692.541666666664</v>
      </c>
      <c r="F1413" s="53" t="s">
        <v>8868</v>
      </c>
      <c r="G1413" s="4" t="s">
        <v>110</v>
      </c>
      <c r="H1413" s="4" t="s">
        <v>1987</v>
      </c>
      <c r="K1413" s="4" t="s">
        <v>8869</v>
      </c>
      <c r="L1413" s="4"/>
    </row>
    <row r="1414">
      <c r="A1414" s="55" t="s">
        <v>8870</v>
      </c>
      <c r="B1414" s="52" t="s">
        <v>1438</v>
      </c>
      <c r="C1414" s="56">
        <v>45693.333333333336</v>
      </c>
      <c r="D1414" s="57" t="s">
        <v>2147</v>
      </c>
      <c r="E1414" s="56">
        <v>45693.375</v>
      </c>
      <c r="F1414" s="53" t="s">
        <v>8871</v>
      </c>
      <c r="G1414" s="4" t="s">
        <v>110</v>
      </c>
      <c r="H1414" s="4" t="s">
        <v>1987</v>
      </c>
      <c r="K1414" s="4" t="s">
        <v>8872</v>
      </c>
      <c r="L1414" s="4"/>
    </row>
    <row r="1415">
      <c r="A1415" s="55" t="s">
        <v>8873</v>
      </c>
      <c r="B1415" s="52" t="s">
        <v>1427</v>
      </c>
      <c r="C1415" s="56">
        <v>45693.375</v>
      </c>
      <c r="D1415" s="57" t="s">
        <v>2154</v>
      </c>
      <c r="E1415" s="56">
        <v>45693.458333333336</v>
      </c>
      <c r="F1415" s="53" t="s">
        <v>7424</v>
      </c>
      <c r="G1415" s="4" t="s">
        <v>27</v>
      </c>
      <c r="H1415" s="4" t="s">
        <v>1987</v>
      </c>
      <c r="K1415" s="4" t="s">
        <v>8874</v>
      </c>
      <c r="L1415" s="4"/>
    </row>
    <row r="1416">
      <c r="A1416" s="55" t="s">
        <v>8875</v>
      </c>
      <c r="B1416" s="52" t="s">
        <v>5598</v>
      </c>
      <c r="C1416" s="56">
        <v>45693.47430555556</v>
      </c>
      <c r="D1416" s="57" t="s">
        <v>6318</v>
      </c>
      <c r="E1416" s="56">
        <v>45693.5</v>
      </c>
      <c r="F1416" s="53" t="s">
        <v>8876</v>
      </c>
      <c r="G1416" s="4" t="s">
        <v>27</v>
      </c>
      <c r="H1416" s="4" t="s">
        <v>1987</v>
      </c>
      <c r="K1416" s="4" t="s">
        <v>8877</v>
      </c>
      <c r="L1416" s="4" t="s">
        <v>8878</v>
      </c>
    </row>
    <row r="1417">
      <c r="A1417" s="55" t="s">
        <v>8879</v>
      </c>
      <c r="B1417" s="52" t="s">
        <v>6057</v>
      </c>
      <c r="C1417" s="56">
        <v>45686.375</v>
      </c>
      <c r="D1417" s="61"/>
      <c r="E1417" s="56">
        <v>45686.4375</v>
      </c>
      <c r="F1417" s="53" t="s">
        <v>8880</v>
      </c>
      <c r="G1417" s="4" t="s">
        <v>27</v>
      </c>
      <c r="H1417" s="4" t="s">
        <v>1987</v>
      </c>
      <c r="K1417" s="4" t="s">
        <v>8881</v>
      </c>
      <c r="L1417" s="4"/>
    </row>
    <row r="1418">
      <c r="A1418" s="55" t="s">
        <v>8882</v>
      </c>
      <c r="B1418" s="52" t="s">
        <v>6057</v>
      </c>
      <c r="C1418" s="56">
        <v>45686.479166666664</v>
      </c>
      <c r="D1418" s="61"/>
      <c r="E1418" s="56">
        <v>45686.58125</v>
      </c>
      <c r="F1418" s="53" t="s">
        <v>8536</v>
      </c>
      <c r="G1418" s="4" t="s">
        <v>27</v>
      </c>
      <c r="H1418" s="4" t="s">
        <v>1987</v>
      </c>
      <c r="K1418" s="4" t="s">
        <v>8883</v>
      </c>
      <c r="L1418" s="4"/>
    </row>
    <row r="1419">
      <c r="A1419" s="55" t="s">
        <v>8884</v>
      </c>
      <c r="B1419" s="52" t="s">
        <v>6057</v>
      </c>
      <c r="C1419" s="56">
        <v>45686.62291666667</v>
      </c>
      <c r="D1419" s="57" t="s">
        <v>2147</v>
      </c>
      <c r="E1419" s="56">
        <v>45686.729166666664</v>
      </c>
      <c r="F1419" s="53" t="s">
        <v>8880</v>
      </c>
      <c r="G1419" s="4" t="s">
        <v>27</v>
      </c>
      <c r="H1419" s="4" t="s">
        <v>1987</v>
      </c>
      <c r="K1419" s="4" t="s">
        <v>8885</v>
      </c>
      <c r="L1419" s="4"/>
    </row>
    <row r="1420">
      <c r="A1420" s="55" t="s">
        <v>8886</v>
      </c>
      <c r="B1420" s="52" t="s">
        <v>6057</v>
      </c>
      <c r="C1420" s="56">
        <v>45687.375</v>
      </c>
      <c r="D1420" s="57" t="s">
        <v>2147</v>
      </c>
      <c r="E1420" s="56">
        <v>45687.458333333336</v>
      </c>
      <c r="F1420" s="53" t="s">
        <v>8880</v>
      </c>
      <c r="G1420" s="4" t="s">
        <v>27</v>
      </c>
      <c r="H1420" s="4" t="s">
        <v>1987</v>
      </c>
      <c r="K1420" s="4" t="s">
        <v>8885</v>
      </c>
      <c r="L1420" s="4"/>
    </row>
    <row r="1421">
      <c r="A1421" s="55" t="s">
        <v>8887</v>
      </c>
      <c r="B1421" s="52" t="s">
        <v>6057</v>
      </c>
      <c r="C1421" s="56">
        <v>45687.5</v>
      </c>
      <c r="D1421" s="57" t="s">
        <v>2147</v>
      </c>
      <c r="E1421" s="56">
        <v>45687.5625</v>
      </c>
      <c r="F1421" s="53" t="s">
        <v>8880</v>
      </c>
      <c r="G1421" s="4" t="s">
        <v>27</v>
      </c>
      <c r="H1421" s="4" t="s">
        <v>1987</v>
      </c>
      <c r="K1421" s="4" t="s">
        <v>8885</v>
      </c>
      <c r="L1421" s="4"/>
    </row>
    <row r="1422">
      <c r="A1422" s="55" t="s">
        <v>8888</v>
      </c>
      <c r="B1422" s="52" t="s">
        <v>6057</v>
      </c>
      <c r="C1422" s="56">
        <v>45687.625</v>
      </c>
      <c r="D1422" s="57" t="s">
        <v>2147</v>
      </c>
      <c r="E1422" s="56">
        <v>45687.770833333336</v>
      </c>
      <c r="F1422" s="53" t="s">
        <v>8880</v>
      </c>
      <c r="G1422" s="4" t="s">
        <v>27</v>
      </c>
      <c r="H1422" s="4" t="s">
        <v>1987</v>
      </c>
      <c r="K1422" s="4" t="s">
        <v>8885</v>
      </c>
      <c r="L1422" s="4"/>
    </row>
    <row r="1423">
      <c r="A1423" s="55" t="s">
        <v>8889</v>
      </c>
      <c r="B1423" s="52" t="s">
        <v>6057</v>
      </c>
      <c r="C1423" s="56">
        <v>45688.375</v>
      </c>
      <c r="D1423" s="57" t="s">
        <v>2147</v>
      </c>
      <c r="E1423" s="56">
        <v>45688.770833333336</v>
      </c>
      <c r="F1423" s="53" t="s">
        <v>8880</v>
      </c>
      <c r="G1423" s="4" t="s">
        <v>27</v>
      </c>
      <c r="H1423" s="4" t="s">
        <v>1987</v>
      </c>
      <c r="K1423" s="4" t="s">
        <v>8885</v>
      </c>
      <c r="L1423" s="4"/>
    </row>
    <row r="1424">
      <c r="A1424" s="55" t="s">
        <v>8890</v>
      </c>
      <c r="B1424" s="52" t="s">
        <v>6057</v>
      </c>
      <c r="C1424" s="56">
        <v>45691.375</v>
      </c>
      <c r="D1424" s="57" t="s">
        <v>2154</v>
      </c>
      <c r="E1424" s="56">
        <v>45691.75</v>
      </c>
      <c r="F1424" s="53" t="s">
        <v>8536</v>
      </c>
      <c r="G1424" s="4" t="s">
        <v>27</v>
      </c>
      <c r="H1424" s="4" t="s">
        <v>1987</v>
      </c>
      <c r="K1424" s="4" t="s">
        <v>8891</v>
      </c>
      <c r="L1424" s="4"/>
    </row>
    <row r="1425">
      <c r="A1425" s="55" t="s">
        <v>8892</v>
      </c>
      <c r="B1425" s="52" t="s">
        <v>6057</v>
      </c>
      <c r="C1425" s="56">
        <v>45692.375</v>
      </c>
      <c r="D1425" s="57" t="s">
        <v>2154</v>
      </c>
      <c r="E1425" s="56">
        <v>45692.708333333336</v>
      </c>
      <c r="F1425" s="53" t="s">
        <v>8536</v>
      </c>
      <c r="G1425" s="4" t="s">
        <v>27</v>
      </c>
      <c r="H1425" s="4" t="s">
        <v>1987</v>
      </c>
      <c r="K1425" s="4" t="s">
        <v>8893</v>
      </c>
      <c r="L1425" s="4"/>
    </row>
    <row r="1426">
      <c r="A1426" s="55" t="s">
        <v>8894</v>
      </c>
      <c r="B1426" s="52" t="s">
        <v>1472</v>
      </c>
      <c r="C1426" s="56">
        <v>45692.708333333336</v>
      </c>
      <c r="D1426" s="57" t="s">
        <v>2147</v>
      </c>
      <c r="E1426" s="56">
        <v>45692.75</v>
      </c>
      <c r="F1426" s="53" t="s">
        <v>6370</v>
      </c>
      <c r="G1426" s="4" t="s">
        <v>27</v>
      </c>
      <c r="H1426" s="4" t="s">
        <v>1987</v>
      </c>
      <c r="K1426" s="4" t="s">
        <v>8895</v>
      </c>
      <c r="L1426" s="4"/>
    </row>
    <row r="1427">
      <c r="A1427" s="55" t="s">
        <v>8896</v>
      </c>
      <c r="B1427" s="52" t="s">
        <v>5598</v>
      </c>
      <c r="C1427" s="56">
        <v>45692.5625</v>
      </c>
      <c r="D1427" s="57" t="s">
        <v>2147</v>
      </c>
      <c r="E1427" s="56">
        <v>45692.625</v>
      </c>
      <c r="F1427" s="53" t="s">
        <v>8897</v>
      </c>
      <c r="G1427" s="4" t="s">
        <v>135</v>
      </c>
      <c r="H1427" s="4" t="s">
        <v>1987</v>
      </c>
      <c r="K1427" s="4"/>
      <c r="L1427" s="4" t="s">
        <v>8898</v>
      </c>
    </row>
    <row r="1428">
      <c r="A1428" s="55" t="s">
        <v>8899</v>
      </c>
      <c r="B1428" s="52" t="s">
        <v>5598</v>
      </c>
      <c r="C1428" s="56">
        <v>45692.645833333336</v>
      </c>
      <c r="D1428" s="57" t="s">
        <v>2154</v>
      </c>
      <c r="E1428" s="56">
        <v>45692.729166666664</v>
      </c>
      <c r="F1428" s="53" t="s">
        <v>8900</v>
      </c>
      <c r="G1428" s="4" t="s">
        <v>135</v>
      </c>
      <c r="H1428" s="4" t="s">
        <v>1987</v>
      </c>
      <c r="K1428" s="4" t="s">
        <v>8901</v>
      </c>
      <c r="L1428" s="4"/>
    </row>
    <row r="1429">
      <c r="A1429" s="55" t="s">
        <v>8902</v>
      </c>
      <c r="B1429" s="52" t="s">
        <v>1472</v>
      </c>
      <c r="C1429" s="56">
        <v>45693.625</v>
      </c>
      <c r="D1429" s="57" t="s">
        <v>2148</v>
      </c>
      <c r="E1429" s="56">
        <v>45693.666666666664</v>
      </c>
      <c r="F1429" s="53" t="s">
        <v>8903</v>
      </c>
      <c r="G1429" s="4" t="s">
        <v>135</v>
      </c>
      <c r="H1429" s="4" t="s">
        <v>1987</v>
      </c>
      <c r="K1429" s="4" t="s">
        <v>8904</v>
      </c>
      <c r="L1429" s="4" t="s">
        <v>8905</v>
      </c>
    </row>
    <row r="1430">
      <c r="A1430" s="55" t="s">
        <v>8906</v>
      </c>
      <c r="B1430" s="52" t="s">
        <v>5598</v>
      </c>
      <c r="C1430" s="56">
        <v>45693.5625</v>
      </c>
      <c r="D1430" s="57" t="s">
        <v>2154</v>
      </c>
      <c r="E1430" s="56">
        <v>45693.625</v>
      </c>
      <c r="F1430" s="53" t="s">
        <v>8907</v>
      </c>
      <c r="G1430" s="4" t="s">
        <v>135</v>
      </c>
      <c r="H1430" s="4" t="s">
        <v>1987</v>
      </c>
      <c r="K1430" s="4" t="s">
        <v>8908</v>
      </c>
      <c r="L1430" s="4"/>
    </row>
    <row r="1431">
      <c r="A1431" s="55" t="s">
        <v>8909</v>
      </c>
      <c r="B1431" s="52" t="s">
        <v>5537</v>
      </c>
      <c r="C1431" s="56">
        <v>45694.333333333336</v>
      </c>
      <c r="D1431" s="57" t="s">
        <v>6318</v>
      </c>
      <c r="E1431" s="56">
        <v>45694.350694444445</v>
      </c>
      <c r="F1431" s="53" t="s">
        <v>7332</v>
      </c>
      <c r="G1431" s="4" t="s">
        <v>110</v>
      </c>
      <c r="H1431" s="4" t="s">
        <v>1987</v>
      </c>
      <c r="K1431" s="4" t="s">
        <v>8910</v>
      </c>
      <c r="L1431" s="4"/>
    </row>
    <row r="1432">
      <c r="A1432" s="55" t="s">
        <v>8911</v>
      </c>
      <c r="B1432" s="52" t="s">
        <v>1427</v>
      </c>
      <c r="C1432" s="56">
        <v>45694.350694444445</v>
      </c>
      <c r="D1432" s="61"/>
      <c r="E1432" s="56">
        <v>45694.354166666664</v>
      </c>
      <c r="F1432" s="53" t="s">
        <v>8912</v>
      </c>
      <c r="G1432" s="4" t="s">
        <v>110</v>
      </c>
      <c r="H1432" s="4" t="s">
        <v>1987</v>
      </c>
      <c r="K1432" s="4" t="s">
        <v>8913</v>
      </c>
      <c r="L1432" s="4"/>
    </row>
    <row r="1433">
      <c r="A1433" s="55" t="s">
        <v>8914</v>
      </c>
      <c r="B1433" s="52" t="s">
        <v>1438</v>
      </c>
      <c r="C1433" s="56">
        <v>45694.416666666664</v>
      </c>
      <c r="D1433" s="57" t="s">
        <v>2147</v>
      </c>
      <c r="E1433" s="56">
        <v>45694.583333333336</v>
      </c>
      <c r="F1433" s="53" t="s">
        <v>8915</v>
      </c>
      <c r="G1433" s="4" t="s">
        <v>27</v>
      </c>
      <c r="H1433" s="4" t="s">
        <v>1987</v>
      </c>
      <c r="K1433" s="4" t="s">
        <v>8916</v>
      </c>
      <c r="L1433" s="4" t="s">
        <v>8917</v>
      </c>
    </row>
    <row r="1434">
      <c r="A1434" s="55" t="s">
        <v>8918</v>
      </c>
      <c r="B1434" s="52" t="s">
        <v>5578</v>
      </c>
      <c r="C1434" s="56">
        <v>45693.666666666664</v>
      </c>
      <c r="D1434" s="57" t="s">
        <v>2154</v>
      </c>
      <c r="E1434" s="56">
        <v>45693.729166666664</v>
      </c>
      <c r="F1434" s="53" t="s">
        <v>8919</v>
      </c>
      <c r="G1434" s="4" t="s">
        <v>135</v>
      </c>
      <c r="H1434" s="4" t="s">
        <v>1987</v>
      </c>
      <c r="K1434" s="4" t="s">
        <v>8920</v>
      </c>
      <c r="L1434" s="4"/>
    </row>
    <row r="1435">
      <c r="A1435" s="55" t="s">
        <v>8921</v>
      </c>
      <c r="B1435" s="52" t="s">
        <v>5578</v>
      </c>
      <c r="C1435" s="56">
        <v>45698.5625</v>
      </c>
      <c r="D1435" s="57" t="s">
        <v>2148</v>
      </c>
      <c r="E1435" s="56">
        <v>45698.666666666664</v>
      </c>
      <c r="F1435" s="53" t="s">
        <v>8922</v>
      </c>
      <c r="G1435" s="4" t="s">
        <v>135</v>
      </c>
      <c r="H1435" s="4" t="s">
        <v>1987</v>
      </c>
      <c r="K1435" s="4" t="s">
        <v>8923</v>
      </c>
      <c r="L1435" s="4" t="s">
        <v>8924</v>
      </c>
    </row>
    <row r="1436">
      <c r="A1436" s="55"/>
      <c r="B1436" s="52"/>
      <c r="C1436" s="56"/>
      <c r="D1436" s="61"/>
      <c r="E1436" s="56"/>
      <c r="F1436" s="53"/>
      <c r="G1436" s="4"/>
      <c r="H1436" s="4"/>
      <c r="K1436" s="4"/>
    </row>
    <row r="1437">
      <c r="A1437" s="55"/>
      <c r="B1437" s="52"/>
      <c r="C1437" s="56"/>
      <c r="D1437" s="61"/>
      <c r="E1437" s="56"/>
      <c r="F1437" s="53"/>
      <c r="G1437" s="4"/>
      <c r="H1437" s="4"/>
      <c r="K1437" s="4"/>
      <c r="L1437" s="4"/>
    </row>
    <row r="1438">
      <c r="A1438" s="55" t="s">
        <v>8925</v>
      </c>
      <c r="B1438" s="52" t="s">
        <v>1438</v>
      </c>
      <c r="C1438" s="56">
        <v>45695.604166666664</v>
      </c>
      <c r="D1438" s="57" t="s">
        <v>2200</v>
      </c>
      <c r="E1438" s="56">
        <v>45695.729166666664</v>
      </c>
      <c r="F1438" s="53" t="s">
        <v>8926</v>
      </c>
      <c r="G1438" s="4" t="s">
        <v>135</v>
      </c>
      <c r="H1438" s="4" t="s">
        <v>1987</v>
      </c>
      <c r="K1438" s="4" t="s">
        <v>8927</v>
      </c>
      <c r="L1438" s="4" t="s">
        <v>8928</v>
      </c>
    </row>
    <row r="1439">
      <c r="A1439" s="55" t="s">
        <v>8929</v>
      </c>
      <c r="B1439" s="52" t="s">
        <v>6069</v>
      </c>
      <c r="C1439" s="56">
        <v>45700.5625</v>
      </c>
      <c r="D1439" s="57" t="s">
        <v>2148</v>
      </c>
      <c r="E1439" s="56">
        <v>45700.604166666664</v>
      </c>
      <c r="F1439" s="53" t="s">
        <v>6069</v>
      </c>
      <c r="G1439" s="4" t="s">
        <v>135</v>
      </c>
      <c r="H1439" s="4" t="s">
        <v>1987</v>
      </c>
      <c r="K1439" s="4" t="s">
        <v>8930</v>
      </c>
      <c r="L1439" s="4" t="s">
        <v>8931</v>
      </c>
    </row>
    <row r="1440">
      <c r="A1440" s="55" t="s">
        <v>8932</v>
      </c>
      <c r="B1440" s="52" t="s">
        <v>1438</v>
      </c>
      <c r="C1440" s="56">
        <v>45698.5</v>
      </c>
      <c r="D1440" s="57" t="s">
        <v>6052</v>
      </c>
      <c r="E1440" s="56">
        <v>45698.708333333336</v>
      </c>
      <c r="F1440" s="53" t="s">
        <v>8933</v>
      </c>
      <c r="G1440" s="4" t="s">
        <v>110</v>
      </c>
      <c r="H1440" s="4" t="s">
        <v>1987</v>
      </c>
      <c r="K1440" s="4" t="s">
        <v>8934</v>
      </c>
      <c r="L1440" s="4"/>
    </row>
    <row r="1441">
      <c r="A1441" s="55" t="s">
        <v>8935</v>
      </c>
      <c r="B1441" s="52" t="s">
        <v>5598</v>
      </c>
      <c r="C1441" s="56">
        <v>45699.625</v>
      </c>
      <c r="D1441" s="57" t="s">
        <v>2148</v>
      </c>
      <c r="E1441" s="56">
        <v>45699.729166666664</v>
      </c>
      <c r="F1441" s="53" t="s">
        <v>5377</v>
      </c>
      <c r="G1441" s="4" t="s">
        <v>135</v>
      </c>
      <c r="H1441" s="4" t="s">
        <v>1987</v>
      </c>
      <c r="K1441" s="4" t="s">
        <v>8936</v>
      </c>
      <c r="L1441" s="4" t="s">
        <v>8937</v>
      </c>
    </row>
    <row r="1442">
      <c r="A1442" s="55" t="s">
        <v>8938</v>
      </c>
      <c r="B1442" s="52" t="s">
        <v>5598</v>
      </c>
      <c r="C1442" s="56">
        <v>45701.5625</v>
      </c>
      <c r="D1442" s="57" t="s">
        <v>2148</v>
      </c>
      <c r="E1442" s="56">
        <v>45701.729166666664</v>
      </c>
      <c r="F1442" s="53" t="s">
        <v>5377</v>
      </c>
      <c r="G1442" s="4" t="s">
        <v>135</v>
      </c>
      <c r="H1442" s="4" t="s">
        <v>1987</v>
      </c>
      <c r="K1442" s="4" t="s">
        <v>8939</v>
      </c>
      <c r="L1442" s="4" t="s">
        <v>8940</v>
      </c>
    </row>
    <row r="1443">
      <c r="A1443" s="55" t="s">
        <v>8941</v>
      </c>
      <c r="B1443" s="52" t="s">
        <v>5598</v>
      </c>
      <c r="C1443" s="56">
        <v>45702.5625</v>
      </c>
      <c r="D1443" s="57" t="s">
        <v>2148</v>
      </c>
      <c r="E1443" s="56">
        <v>45702.729166666664</v>
      </c>
      <c r="F1443" s="53" t="s">
        <v>5377</v>
      </c>
      <c r="G1443" s="4" t="s">
        <v>135</v>
      </c>
      <c r="H1443" s="4" t="s">
        <v>1987</v>
      </c>
      <c r="K1443" s="4" t="s">
        <v>8942</v>
      </c>
      <c r="L1443" s="4" t="s">
        <v>8943</v>
      </c>
    </row>
    <row r="1444">
      <c r="A1444" s="55" t="s">
        <v>8944</v>
      </c>
      <c r="B1444" s="52" t="s">
        <v>1438</v>
      </c>
      <c r="C1444" s="56">
        <v>45699.333333333336</v>
      </c>
      <c r="D1444" s="57" t="s">
        <v>6052</v>
      </c>
      <c r="E1444" s="56">
        <v>45699.541666666664</v>
      </c>
      <c r="F1444" s="53" t="s">
        <v>8933</v>
      </c>
      <c r="G1444" s="4" t="s">
        <v>110</v>
      </c>
      <c r="H1444" s="4" t="s">
        <v>1987</v>
      </c>
      <c r="K1444" s="4" t="s">
        <v>8945</v>
      </c>
      <c r="L1444" s="4"/>
    </row>
    <row r="1445">
      <c r="A1445" s="55" t="s">
        <v>8946</v>
      </c>
      <c r="B1445" s="52" t="s">
        <v>1438</v>
      </c>
      <c r="C1445" s="56">
        <v>45700.333333333336</v>
      </c>
      <c r="D1445" s="57" t="s">
        <v>2148</v>
      </c>
      <c r="E1445" s="56">
        <v>45700.520833333336</v>
      </c>
      <c r="F1445" s="53" t="s">
        <v>6231</v>
      </c>
      <c r="G1445" s="4" t="s">
        <v>110</v>
      </c>
      <c r="H1445" s="4" t="s">
        <v>1987</v>
      </c>
      <c r="K1445" s="4" t="s">
        <v>8947</v>
      </c>
      <c r="L1445" s="4" t="s">
        <v>8948</v>
      </c>
    </row>
    <row r="1446">
      <c r="A1446" s="55" t="s">
        <v>8949</v>
      </c>
      <c r="B1446" s="52" t="s">
        <v>1427</v>
      </c>
      <c r="C1446" s="56">
        <v>45701.333333333336</v>
      </c>
      <c r="D1446" s="57" t="s">
        <v>6052</v>
      </c>
      <c r="E1446" s="56">
        <v>45701.541666666664</v>
      </c>
      <c r="F1446" s="53" t="s">
        <v>6231</v>
      </c>
      <c r="G1446" s="4" t="s">
        <v>110</v>
      </c>
      <c r="H1446" s="4" t="s">
        <v>1987</v>
      </c>
      <c r="K1446" s="4" t="s">
        <v>8950</v>
      </c>
      <c r="L1446" s="4"/>
    </row>
    <row r="1447">
      <c r="A1447" s="55" t="s">
        <v>8951</v>
      </c>
      <c r="B1447" s="52" t="s">
        <v>1427</v>
      </c>
      <c r="C1447" s="56">
        <v>45705.333333333336</v>
      </c>
      <c r="D1447" s="57" t="s">
        <v>6052</v>
      </c>
      <c r="E1447" s="56">
        <v>45705.541666666664</v>
      </c>
      <c r="F1447" s="53" t="s">
        <v>8952</v>
      </c>
      <c r="G1447" s="4" t="s">
        <v>110</v>
      </c>
      <c r="H1447" s="4" t="s">
        <v>1987</v>
      </c>
      <c r="K1447" s="4"/>
      <c r="L1447" s="4" t="s">
        <v>8953</v>
      </c>
    </row>
    <row r="1448">
      <c r="A1448" s="55" t="s">
        <v>8954</v>
      </c>
      <c r="B1448" s="52" t="s">
        <v>1438</v>
      </c>
      <c r="C1448" s="56">
        <v>45699.38958333333</v>
      </c>
      <c r="D1448" s="57" t="s">
        <v>2147</v>
      </c>
      <c r="E1448" s="56">
        <v>45699.458333333336</v>
      </c>
      <c r="F1448" s="53" t="s">
        <v>7424</v>
      </c>
      <c r="G1448" s="4" t="s">
        <v>27</v>
      </c>
      <c r="H1448" s="4" t="s">
        <v>1987</v>
      </c>
      <c r="K1448" s="4" t="s">
        <v>8955</v>
      </c>
      <c r="L1448" s="4" t="s">
        <v>8956</v>
      </c>
    </row>
    <row r="1449">
      <c r="A1449" s="55" t="s">
        <v>8957</v>
      </c>
      <c r="B1449" s="52" t="s">
        <v>5384</v>
      </c>
      <c r="C1449" s="56">
        <v>45698.666666666664</v>
      </c>
      <c r="D1449" s="57" t="s">
        <v>2147</v>
      </c>
      <c r="E1449" s="56">
        <v>45698.729166666664</v>
      </c>
      <c r="F1449" s="53" t="s">
        <v>8958</v>
      </c>
      <c r="G1449" s="4" t="s">
        <v>135</v>
      </c>
      <c r="H1449" s="4" t="s">
        <v>1991</v>
      </c>
      <c r="K1449" s="4" t="s">
        <v>8959</v>
      </c>
      <c r="L1449" s="4"/>
    </row>
    <row r="1450">
      <c r="A1450" s="55" t="s">
        <v>8960</v>
      </c>
      <c r="B1450" s="52" t="s">
        <v>5384</v>
      </c>
      <c r="C1450" s="56">
        <v>45699.5625</v>
      </c>
      <c r="D1450" s="57" t="s">
        <v>2154</v>
      </c>
      <c r="E1450" s="56">
        <v>45699.625</v>
      </c>
      <c r="F1450" s="53" t="s">
        <v>8961</v>
      </c>
      <c r="G1450" s="4" t="s">
        <v>135</v>
      </c>
      <c r="H1450" s="4" t="s">
        <v>1987</v>
      </c>
      <c r="K1450" s="4" t="s">
        <v>8936</v>
      </c>
      <c r="L1450" s="4" t="s">
        <v>8962</v>
      </c>
    </row>
    <row r="1451">
      <c r="A1451" s="55" t="s">
        <v>8963</v>
      </c>
      <c r="B1451" s="52" t="s">
        <v>5598</v>
      </c>
      <c r="C1451" s="56">
        <v>45701.625</v>
      </c>
      <c r="D1451" s="57" t="s">
        <v>2147</v>
      </c>
      <c r="E1451" s="56">
        <v>45701.666666666664</v>
      </c>
      <c r="F1451" s="53" t="s">
        <v>8964</v>
      </c>
      <c r="G1451" s="4" t="s">
        <v>135</v>
      </c>
      <c r="H1451" s="4" t="s">
        <v>1991</v>
      </c>
      <c r="K1451" s="4" t="s">
        <v>8965</v>
      </c>
      <c r="L1451" s="4" t="s">
        <v>8966</v>
      </c>
    </row>
    <row r="1452">
      <c r="A1452" s="55" t="s">
        <v>8967</v>
      </c>
      <c r="B1452" s="52" t="s">
        <v>5384</v>
      </c>
      <c r="C1452" s="56">
        <v>45705.5625</v>
      </c>
      <c r="D1452" s="57" t="s">
        <v>2148</v>
      </c>
      <c r="E1452" s="56">
        <v>45705.729166666664</v>
      </c>
      <c r="F1452" s="53" t="s">
        <v>8968</v>
      </c>
      <c r="G1452" s="4" t="s">
        <v>135</v>
      </c>
      <c r="H1452" s="4" t="s">
        <v>1987</v>
      </c>
      <c r="K1452" s="4" t="s">
        <v>8969</v>
      </c>
      <c r="L1452" s="4"/>
    </row>
    <row r="1453">
      <c r="A1453" s="55" t="s">
        <v>8970</v>
      </c>
      <c r="B1453" s="52" t="s">
        <v>5384</v>
      </c>
      <c r="C1453" s="56">
        <v>45706.5625</v>
      </c>
      <c r="D1453" s="57" t="s">
        <v>2148</v>
      </c>
      <c r="E1453" s="56">
        <v>45706.729166666664</v>
      </c>
      <c r="F1453" s="53" t="s">
        <v>8968</v>
      </c>
      <c r="G1453" s="4" t="s">
        <v>135</v>
      </c>
      <c r="H1453" s="4" t="s">
        <v>1987</v>
      </c>
      <c r="K1453" s="4" t="s">
        <v>8971</v>
      </c>
      <c r="L1453" s="4"/>
    </row>
    <row r="1454">
      <c r="A1454" s="55" t="s">
        <v>8972</v>
      </c>
      <c r="B1454" s="52" t="s">
        <v>5598</v>
      </c>
      <c r="C1454" s="56">
        <v>45677.208333333336</v>
      </c>
      <c r="D1454" s="57" t="s">
        <v>2147</v>
      </c>
      <c r="E1454" s="56">
        <v>45678.958333333336</v>
      </c>
      <c r="F1454" s="53" t="s">
        <v>8973</v>
      </c>
      <c r="G1454" s="4" t="s">
        <v>27</v>
      </c>
      <c r="H1454" s="4" t="s">
        <v>1987</v>
      </c>
      <c r="K1454" s="4" t="s">
        <v>8974</v>
      </c>
      <c r="L1454" s="4"/>
    </row>
    <row r="1455">
      <c r="A1455" s="55" t="s">
        <v>8975</v>
      </c>
      <c r="B1455" s="52" t="s">
        <v>1427</v>
      </c>
      <c r="C1455" s="56">
        <v>45700.520833333336</v>
      </c>
      <c r="D1455" s="57" t="s">
        <v>6318</v>
      </c>
      <c r="E1455" s="56">
        <v>45700.541666666664</v>
      </c>
      <c r="F1455" s="53" t="s">
        <v>7332</v>
      </c>
      <c r="G1455" s="4" t="s">
        <v>110</v>
      </c>
      <c r="H1455" s="4" t="s">
        <v>1987</v>
      </c>
      <c r="K1455" s="4" t="s">
        <v>8976</v>
      </c>
      <c r="L1455" s="4" t="s">
        <v>8977</v>
      </c>
    </row>
    <row r="1456">
      <c r="A1456" s="55" t="s">
        <v>8978</v>
      </c>
      <c r="B1456" s="52" t="s">
        <v>1438</v>
      </c>
      <c r="C1456" s="56">
        <v>45700.52291666667</v>
      </c>
      <c r="D1456" s="57" t="s">
        <v>2147</v>
      </c>
      <c r="E1456" s="56">
        <v>45700.541666666664</v>
      </c>
      <c r="F1456" s="53" t="s">
        <v>8979</v>
      </c>
      <c r="G1456" s="4" t="s">
        <v>27</v>
      </c>
      <c r="H1456" s="4" t="s">
        <v>1987</v>
      </c>
      <c r="K1456" s="4" t="s">
        <v>8980</v>
      </c>
      <c r="L1456" s="4" t="s">
        <v>8981</v>
      </c>
    </row>
    <row r="1457">
      <c r="A1457" s="55" t="s">
        <v>8982</v>
      </c>
      <c r="B1457" s="52" t="s">
        <v>1427</v>
      </c>
      <c r="C1457" s="56">
        <v>45702.333333333336</v>
      </c>
      <c r="D1457" s="57" t="s">
        <v>6052</v>
      </c>
      <c r="E1457" s="56">
        <v>45702.541666666664</v>
      </c>
      <c r="F1457" s="53" t="s">
        <v>6231</v>
      </c>
      <c r="G1457" s="4" t="s">
        <v>110</v>
      </c>
      <c r="H1457" s="4" t="s">
        <v>1987</v>
      </c>
      <c r="K1457" s="4" t="s">
        <v>8983</v>
      </c>
      <c r="L1457" s="4"/>
    </row>
    <row r="1458">
      <c r="A1458" s="55" t="s">
        <v>8984</v>
      </c>
      <c r="B1458" s="52" t="s">
        <v>1472</v>
      </c>
      <c r="C1458" s="56">
        <v>45701.583333333336</v>
      </c>
      <c r="D1458" s="57" t="s">
        <v>2154</v>
      </c>
      <c r="E1458" s="56">
        <v>45701.666666666664</v>
      </c>
      <c r="F1458" s="53" t="s">
        <v>6627</v>
      </c>
      <c r="G1458" s="4" t="s">
        <v>27</v>
      </c>
      <c r="H1458" s="4" t="s">
        <v>1987</v>
      </c>
      <c r="K1458" s="4" t="s">
        <v>8985</v>
      </c>
      <c r="L1458" s="4"/>
    </row>
    <row r="1459">
      <c r="A1459" s="55" t="s">
        <v>8986</v>
      </c>
      <c r="B1459" s="52" t="s">
        <v>1427</v>
      </c>
      <c r="C1459" s="56">
        <v>45707.416666666664</v>
      </c>
      <c r="D1459" s="57" t="s">
        <v>2147</v>
      </c>
      <c r="E1459" s="56">
        <v>45707.458333333336</v>
      </c>
      <c r="F1459" s="53" t="s">
        <v>8987</v>
      </c>
      <c r="G1459" s="4" t="s">
        <v>27</v>
      </c>
      <c r="H1459" s="4" t="s">
        <v>1991</v>
      </c>
      <c r="K1459" s="4" t="s">
        <v>8988</v>
      </c>
      <c r="L1459" s="4"/>
    </row>
    <row r="1460">
      <c r="A1460" s="55" t="s">
        <v>8989</v>
      </c>
      <c r="B1460" s="52" t="s">
        <v>1472</v>
      </c>
      <c r="C1460" s="56">
        <v>45702.501388888886</v>
      </c>
      <c r="D1460" s="57" t="s">
        <v>6318</v>
      </c>
      <c r="E1460" s="56">
        <v>45702.52222222222</v>
      </c>
      <c r="F1460" s="53" t="s">
        <v>8990</v>
      </c>
      <c r="G1460" s="4" t="s">
        <v>27</v>
      </c>
      <c r="H1460" s="4" t="s">
        <v>1987</v>
      </c>
      <c r="K1460" s="4" t="s">
        <v>8991</v>
      </c>
      <c r="L1460" s="4"/>
    </row>
    <row r="1461">
      <c r="A1461" s="55" t="s">
        <v>8992</v>
      </c>
      <c r="B1461" s="52" t="s">
        <v>1438</v>
      </c>
      <c r="C1461" s="56">
        <v>45707.583333333336</v>
      </c>
      <c r="D1461" s="57" t="s">
        <v>2154</v>
      </c>
      <c r="E1461" s="56">
        <v>45707.666666666664</v>
      </c>
      <c r="F1461" s="53" t="s">
        <v>8993</v>
      </c>
      <c r="G1461" s="4" t="s">
        <v>27</v>
      </c>
      <c r="H1461" s="4" t="s">
        <v>1991</v>
      </c>
      <c r="K1461" s="4" t="s">
        <v>8994</v>
      </c>
      <c r="L1461" s="4"/>
    </row>
    <row r="1462">
      <c r="A1462" s="55" t="s">
        <v>8995</v>
      </c>
      <c r="B1462" s="52" t="s">
        <v>5559</v>
      </c>
      <c r="C1462" s="56">
        <v>45705.583333333336</v>
      </c>
      <c r="D1462" s="57" t="s">
        <v>2154</v>
      </c>
      <c r="E1462" s="56">
        <v>45705.666666666664</v>
      </c>
      <c r="F1462" s="53" t="s">
        <v>8996</v>
      </c>
      <c r="G1462" s="4" t="s">
        <v>27</v>
      </c>
      <c r="H1462" s="4" t="s">
        <v>1991</v>
      </c>
      <c r="K1462" s="4" t="s">
        <v>8997</v>
      </c>
      <c r="L1462" s="4"/>
    </row>
    <row r="1463">
      <c r="A1463" s="55" t="s">
        <v>8998</v>
      </c>
      <c r="B1463" s="52" t="s">
        <v>1427</v>
      </c>
      <c r="C1463" s="56">
        <v>45706.333333333336</v>
      </c>
      <c r="D1463" s="57" t="s">
        <v>6052</v>
      </c>
      <c r="E1463" s="56">
        <v>45706.541666666664</v>
      </c>
      <c r="F1463" s="53" t="s">
        <v>8999</v>
      </c>
      <c r="G1463" s="4" t="s">
        <v>110</v>
      </c>
      <c r="H1463" s="4" t="s">
        <v>1987</v>
      </c>
      <c r="K1463" s="4"/>
      <c r="L1463" s="7" t="s">
        <v>9000</v>
      </c>
    </row>
    <row r="1464">
      <c r="A1464" s="55" t="s">
        <v>9001</v>
      </c>
      <c r="B1464" s="52" t="s">
        <v>1427</v>
      </c>
      <c r="C1464" s="56">
        <v>45707.333333333336</v>
      </c>
      <c r="D1464" s="57" t="s">
        <v>2200</v>
      </c>
      <c r="E1464" s="56">
        <v>45707.458333333336</v>
      </c>
      <c r="F1464" s="53" t="s">
        <v>9002</v>
      </c>
      <c r="G1464" s="4" t="s">
        <v>110</v>
      </c>
      <c r="H1464" s="4" t="s">
        <v>1987</v>
      </c>
      <c r="K1464" s="4" t="s">
        <v>9003</v>
      </c>
      <c r="L1464" s="7" t="s">
        <v>9004</v>
      </c>
    </row>
    <row r="1465">
      <c r="A1465" s="55" t="s">
        <v>9005</v>
      </c>
      <c r="B1465" s="52" t="s">
        <v>6057</v>
      </c>
      <c r="C1465" s="56">
        <v>45708.333333333336</v>
      </c>
      <c r="D1465" s="57" t="s">
        <v>2148</v>
      </c>
      <c r="E1465" s="56">
        <v>45708.479166666664</v>
      </c>
      <c r="F1465" s="53" t="s">
        <v>8952</v>
      </c>
      <c r="G1465" s="4" t="s">
        <v>110</v>
      </c>
      <c r="H1465" s="4" t="s">
        <v>1987</v>
      </c>
      <c r="K1465" s="4" t="s">
        <v>9006</v>
      </c>
      <c r="L1465" s="7" t="s">
        <v>9007</v>
      </c>
    </row>
    <row r="1466">
      <c r="A1466" s="55" t="s">
        <v>9008</v>
      </c>
      <c r="B1466" s="52" t="s">
        <v>5596</v>
      </c>
      <c r="C1466" s="56">
        <v>45709.333333333336</v>
      </c>
      <c r="D1466" s="57" t="s">
        <v>6052</v>
      </c>
      <c r="E1466" s="56">
        <v>45709.541666666664</v>
      </c>
      <c r="F1466" s="53" t="s">
        <v>8952</v>
      </c>
      <c r="G1466" s="4" t="s">
        <v>110</v>
      </c>
      <c r="H1466" s="4" t="s">
        <v>1987</v>
      </c>
      <c r="K1466" s="4" t="s">
        <v>9009</v>
      </c>
      <c r="L1466" s="7" t="s">
        <v>9010</v>
      </c>
    </row>
    <row r="1467">
      <c r="A1467" s="55" t="s">
        <v>9011</v>
      </c>
      <c r="B1467" s="52" t="s">
        <v>1438</v>
      </c>
      <c r="C1467" s="56">
        <v>45707.5625</v>
      </c>
      <c r="D1467" s="57" t="s">
        <v>6318</v>
      </c>
      <c r="E1467" s="56">
        <v>45707.583333333336</v>
      </c>
      <c r="F1467" s="53" t="s">
        <v>9012</v>
      </c>
      <c r="G1467" s="4" t="s">
        <v>135</v>
      </c>
      <c r="H1467" s="4" t="s">
        <v>1987</v>
      </c>
      <c r="K1467" s="4" t="s">
        <v>9013</v>
      </c>
      <c r="L1467" s="4" t="s">
        <v>9014</v>
      </c>
    </row>
    <row r="1468">
      <c r="A1468" s="55" t="s">
        <v>9015</v>
      </c>
      <c r="B1468" s="52" t="s">
        <v>5578</v>
      </c>
      <c r="C1468" s="56">
        <v>45708.5625</v>
      </c>
      <c r="D1468" s="57" t="s">
        <v>2147</v>
      </c>
      <c r="E1468" s="56">
        <v>45708.604166666664</v>
      </c>
      <c r="F1468" s="53" t="s">
        <v>9016</v>
      </c>
      <c r="G1468" s="4" t="s">
        <v>135</v>
      </c>
      <c r="H1468" s="4" t="s">
        <v>1987</v>
      </c>
      <c r="K1468" s="4" t="s">
        <v>9017</v>
      </c>
      <c r="L1468" s="4" t="s">
        <v>9018</v>
      </c>
    </row>
    <row r="1469">
      <c r="A1469" s="55" t="s">
        <v>9019</v>
      </c>
      <c r="B1469" s="52" t="s">
        <v>1472</v>
      </c>
      <c r="C1469" s="56">
        <v>45709.5625</v>
      </c>
      <c r="D1469" s="57" t="s">
        <v>2148</v>
      </c>
      <c r="E1469" s="56">
        <v>45709.729166666664</v>
      </c>
      <c r="F1469" s="53" t="s">
        <v>6627</v>
      </c>
      <c r="G1469" s="4" t="s">
        <v>135</v>
      </c>
      <c r="H1469" s="4" t="s">
        <v>1987</v>
      </c>
      <c r="K1469" s="4" t="s">
        <v>9020</v>
      </c>
      <c r="L1469" s="4" t="s">
        <v>9021</v>
      </c>
    </row>
    <row r="1470">
      <c r="A1470" s="55" t="s">
        <v>9022</v>
      </c>
      <c r="B1470" s="52" t="s">
        <v>6057</v>
      </c>
      <c r="C1470" s="56">
        <v>45707.458333333336</v>
      </c>
      <c r="D1470" s="57" t="s">
        <v>2154</v>
      </c>
      <c r="E1470" s="56">
        <v>45707.541666666664</v>
      </c>
      <c r="F1470" s="53" t="s">
        <v>9023</v>
      </c>
      <c r="G1470" s="4" t="s">
        <v>110</v>
      </c>
      <c r="H1470" s="4" t="s">
        <v>1987</v>
      </c>
      <c r="K1470" s="7" t="s">
        <v>9024</v>
      </c>
      <c r="L1470" s="4"/>
    </row>
    <row r="1471">
      <c r="A1471" s="55" t="s">
        <v>9025</v>
      </c>
      <c r="B1471" s="52" t="s">
        <v>5384</v>
      </c>
      <c r="C1471" s="56">
        <v>45707.583333333336</v>
      </c>
      <c r="D1471" s="57" t="s">
        <v>2154</v>
      </c>
      <c r="E1471" s="56">
        <v>45707.666666666664</v>
      </c>
      <c r="F1471" s="53" t="s">
        <v>9026</v>
      </c>
      <c r="G1471" s="4" t="s">
        <v>135</v>
      </c>
      <c r="H1471" s="4" t="s">
        <v>1987</v>
      </c>
      <c r="K1471" s="4" t="s">
        <v>9027</v>
      </c>
      <c r="L1471" s="4"/>
    </row>
    <row r="1472">
      <c r="A1472" s="55" t="s">
        <v>9028</v>
      </c>
      <c r="B1472" s="52" t="s">
        <v>5598</v>
      </c>
      <c r="C1472" s="56">
        <v>45707.666666666664</v>
      </c>
      <c r="D1472" s="57" t="s">
        <v>2147</v>
      </c>
      <c r="E1472" s="56">
        <v>45707.729166666664</v>
      </c>
      <c r="F1472" s="53" t="s">
        <v>9029</v>
      </c>
      <c r="G1472" s="4" t="s">
        <v>135</v>
      </c>
      <c r="H1472" s="4" t="s">
        <v>1987</v>
      </c>
      <c r="K1472" s="4" t="s">
        <v>9030</v>
      </c>
      <c r="L1472" s="4"/>
    </row>
    <row r="1473">
      <c r="A1473" s="55" t="s">
        <v>9031</v>
      </c>
      <c r="B1473" s="52" t="s">
        <v>5384</v>
      </c>
      <c r="C1473" s="56">
        <v>45708.583333333336</v>
      </c>
      <c r="D1473" s="57" t="s">
        <v>2147</v>
      </c>
      <c r="E1473" s="56">
        <v>45708.625</v>
      </c>
      <c r="F1473" s="53" t="s">
        <v>9032</v>
      </c>
      <c r="G1473" s="4" t="s">
        <v>27</v>
      </c>
      <c r="H1473" s="4" t="s">
        <v>1991</v>
      </c>
      <c r="K1473" s="4" t="s">
        <v>9033</v>
      </c>
      <c r="L1473" s="4"/>
    </row>
    <row r="1474">
      <c r="A1474" s="55" t="s">
        <v>9034</v>
      </c>
      <c r="B1474" s="52" t="s">
        <v>1427</v>
      </c>
      <c r="C1474" s="56">
        <v>45708.479166666664</v>
      </c>
      <c r="D1474" s="57" t="s">
        <v>2147</v>
      </c>
      <c r="E1474" s="56">
        <v>45708.541666666664</v>
      </c>
      <c r="F1474" s="53" t="s">
        <v>7332</v>
      </c>
      <c r="G1474" s="4" t="s">
        <v>110</v>
      </c>
      <c r="H1474" s="4" t="s">
        <v>1987</v>
      </c>
      <c r="K1474" s="7" t="s">
        <v>9035</v>
      </c>
      <c r="L1474" s="4"/>
    </row>
    <row r="1475">
      <c r="A1475" s="55" t="s">
        <v>9036</v>
      </c>
      <c r="B1475" s="52" t="s">
        <v>5384</v>
      </c>
      <c r="C1475" s="56">
        <v>45708.604166666664</v>
      </c>
      <c r="D1475" s="57" t="s">
        <v>2147</v>
      </c>
      <c r="E1475" s="56">
        <v>45708.645833333336</v>
      </c>
      <c r="F1475" s="53" t="s">
        <v>9037</v>
      </c>
      <c r="G1475" s="4" t="s">
        <v>135</v>
      </c>
      <c r="H1475" s="4" t="s">
        <v>1991</v>
      </c>
      <c r="K1475" s="4" t="s">
        <v>9038</v>
      </c>
      <c r="L1475" s="4"/>
    </row>
    <row r="1476">
      <c r="A1476" s="55" t="s">
        <v>9039</v>
      </c>
      <c r="B1476" s="52" t="s">
        <v>1472</v>
      </c>
      <c r="C1476" s="56">
        <v>45708.645833333336</v>
      </c>
      <c r="D1476" s="57" t="s">
        <v>2154</v>
      </c>
      <c r="E1476" s="56">
        <v>45708.708333333336</v>
      </c>
      <c r="F1476" s="53" t="s">
        <v>9040</v>
      </c>
      <c r="G1476" s="4" t="s">
        <v>135</v>
      </c>
      <c r="H1476" s="4" t="s">
        <v>1987</v>
      </c>
      <c r="K1476" s="4" t="s">
        <v>9041</v>
      </c>
      <c r="L1476" s="4" t="s">
        <v>9042</v>
      </c>
    </row>
    <row r="1477">
      <c r="A1477" s="55" t="s">
        <v>9043</v>
      </c>
      <c r="B1477" s="52" t="s">
        <v>1472</v>
      </c>
      <c r="C1477" s="56">
        <v>45712.5625</v>
      </c>
      <c r="D1477" s="57" t="s">
        <v>2148</v>
      </c>
      <c r="E1477" s="56">
        <v>45712.729166666664</v>
      </c>
      <c r="F1477" s="53" t="s">
        <v>6627</v>
      </c>
      <c r="G1477" s="4" t="s">
        <v>135</v>
      </c>
      <c r="H1477" s="4" t="s">
        <v>1987</v>
      </c>
      <c r="K1477" s="4" t="s">
        <v>9044</v>
      </c>
      <c r="L1477" s="4" t="s">
        <v>9021</v>
      </c>
    </row>
    <row r="1478">
      <c r="A1478" s="55"/>
      <c r="B1478" s="52"/>
      <c r="C1478" s="56"/>
      <c r="D1478" s="61"/>
      <c r="E1478" s="56"/>
      <c r="F1478" s="53"/>
      <c r="G1478" s="4"/>
      <c r="H1478" s="4"/>
      <c r="K1478" s="4"/>
      <c r="L1478" s="4"/>
    </row>
    <row r="1479">
      <c r="A1479" s="55"/>
      <c r="B1479" s="52"/>
      <c r="C1479" s="56"/>
      <c r="D1479" s="61"/>
      <c r="E1479" s="56"/>
      <c r="F1479" s="53"/>
      <c r="G1479" s="4"/>
      <c r="H1479" s="4"/>
      <c r="K1479" s="4"/>
      <c r="L1479" s="4"/>
    </row>
    <row r="1480">
      <c r="A1480" s="55" t="s">
        <v>9045</v>
      </c>
      <c r="B1480" s="52" t="s">
        <v>9046</v>
      </c>
      <c r="C1480" s="56">
        <v>45708.708333333336</v>
      </c>
      <c r="D1480" s="57" t="s">
        <v>6318</v>
      </c>
      <c r="E1480" s="56">
        <v>45708.729166666664</v>
      </c>
      <c r="F1480" s="53" t="s">
        <v>9047</v>
      </c>
      <c r="G1480" s="4" t="s">
        <v>135</v>
      </c>
      <c r="H1480" s="4" t="s">
        <v>1987</v>
      </c>
      <c r="K1480" s="4" t="s">
        <v>9048</v>
      </c>
      <c r="L1480" s="4"/>
    </row>
    <row r="1481">
      <c r="A1481" s="55"/>
      <c r="B1481" s="52"/>
      <c r="C1481" s="56"/>
      <c r="D1481" s="61"/>
      <c r="E1481" s="56"/>
      <c r="F1481" s="53"/>
      <c r="G1481" s="4"/>
      <c r="H1481" s="4"/>
      <c r="K1481" s="4"/>
      <c r="L1481" s="4"/>
    </row>
    <row r="1482">
      <c r="A1482" s="55" t="s">
        <v>9049</v>
      </c>
      <c r="B1482" s="52" t="s">
        <v>5384</v>
      </c>
      <c r="C1482" s="56">
        <v>45709.47986111111</v>
      </c>
      <c r="D1482" s="57" t="s">
        <v>2147</v>
      </c>
      <c r="E1482" s="56">
        <v>45709.521527777775</v>
      </c>
      <c r="F1482" s="53" t="s">
        <v>9050</v>
      </c>
      <c r="G1482" s="4" t="s">
        <v>27</v>
      </c>
      <c r="H1482" s="4" t="s">
        <v>1987</v>
      </c>
      <c r="K1482" s="4" t="s">
        <v>9051</v>
      </c>
      <c r="L1482" s="4"/>
    </row>
    <row r="1483">
      <c r="A1483" s="55" t="s">
        <v>9052</v>
      </c>
      <c r="B1483" s="52" t="s">
        <v>5596</v>
      </c>
      <c r="C1483" s="56">
        <v>45712.5</v>
      </c>
      <c r="D1483" s="57" t="s">
        <v>6052</v>
      </c>
      <c r="E1483" s="56">
        <v>45712.708333333336</v>
      </c>
      <c r="F1483" s="53" t="s">
        <v>9053</v>
      </c>
      <c r="G1483" s="4" t="s">
        <v>110</v>
      </c>
      <c r="H1483" s="4" t="s">
        <v>1987</v>
      </c>
      <c r="K1483" s="4" t="s">
        <v>9054</v>
      </c>
      <c r="L1483" s="4" t="s">
        <v>9055</v>
      </c>
    </row>
    <row r="1484">
      <c r="A1484" s="55" t="s">
        <v>9056</v>
      </c>
      <c r="B1484" s="52" t="s">
        <v>5596</v>
      </c>
      <c r="C1484" s="56">
        <v>45713.333333333336</v>
      </c>
      <c r="D1484" s="57" t="s">
        <v>2200</v>
      </c>
      <c r="E1484" s="56">
        <v>45713.479166666664</v>
      </c>
      <c r="F1484" s="53" t="s">
        <v>9053</v>
      </c>
      <c r="G1484" s="4" t="s">
        <v>110</v>
      </c>
      <c r="H1484" s="4" t="s">
        <v>1987</v>
      </c>
      <c r="K1484" s="4" t="s">
        <v>9057</v>
      </c>
      <c r="L1484" s="4" t="s">
        <v>9058</v>
      </c>
    </row>
    <row r="1485">
      <c r="A1485" s="55" t="s">
        <v>9059</v>
      </c>
      <c r="B1485" s="52" t="s">
        <v>5596</v>
      </c>
      <c r="C1485" s="56">
        <v>45714.416666666664</v>
      </c>
      <c r="D1485" s="57" t="s">
        <v>6052</v>
      </c>
      <c r="E1485" s="56">
        <v>45714.541666666664</v>
      </c>
      <c r="F1485" s="53" t="s">
        <v>9053</v>
      </c>
      <c r="G1485" s="4" t="s">
        <v>110</v>
      </c>
      <c r="H1485" s="4" t="s">
        <v>1987</v>
      </c>
      <c r="K1485" s="4" t="s">
        <v>9060</v>
      </c>
      <c r="L1485" s="4" t="s">
        <v>9061</v>
      </c>
    </row>
    <row r="1486">
      <c r="A1486" s="55"/>
      <c r="B1486" s="52"/>
      <c r="C1486" s="56"/>
      <c r="D1486" s="61"/>
      <c r="E1486" s="56"/>
      <c r="F1486" s="53"/>
      <c r="G1486" s="4"/>
      <c r="H1486" s="4"/>
      <c r="K1486" s="4"/>
      <c r="L1486" s="4"/>
    </row>
    <row r="1487">
      <c r="A1487" s="66" t="s">
        <v>9062</v>
      </c>
      <c r="B1487" s="52" t="s">
        <v>1438</v>
      </c>
      <c r="C1487" s="56">
        <v>45713.479166666664</v>
      </c>
      <c r="D1487" s="57" t="s">
        <v>2147</v>
      </c>
      <c r="E1487" s="56">
        <v>45713.541666666664</v>
      </c>
      <c r="F1487" s="53" t="s">
        <v>8042</v>
      </c>
      <c r="G1487" s="4" t="s">
        <v>110</v>
      </c>
      <c r="H1487" s="4" t="s">
        <v>1987</v>
      </c>
      <c r="K1487" s="4" t="s">
        <v>9063</v>
      </c>
      <c r="L1487" s="4"/>
    </row>
    <row r="1488">
      <c r="A1488" s="55" t="s">
        <v>9064</v>
      </c>
      <c r="B1488" s="52" t="s">
        <v>1438</v>
      </c>
      <c r="C1488" s="56">
        <v>45714.333333333336</v>
      </c>
      <c r="D1488" s="57" t="s">
        <v>2147</v>
      </c>
      <c r="E1488" s="56">
        <v>45714.416666666664</v>
      </c>
      <c r="F1488" s="53" t="s">
        <v>8042</v>
      </c>
      <c r="G1488" s="4" t="s">
        <v>110</v>
      </c>
      <c r="H1488" s="4" t="s">
        <v>1987</v>
      </c>
      <c r="K1488" s="4" t="s">
        <v>9065</v>
      </c>
      <c r="L1488" s="4"/>
    </row>
    <row r="1489">
      <c r="A1489" s="55" t="s">
        <v>9066</v>
      </c>
      <c r="B1489" s="52" t="s">
        <v>5596</v>
      </c>
      <c r="C1489" s="56">
        <v>45715.333333333336</v>
      </c>
      <c r="D1489" s="57" t="s">
        <v>6052</v>
      </c>
      <c r="E1489" s="56">
        <v>45715.541666666664</v>
      </c>
      <c r="F1489" s="53" t="s">
        <v>9053</v>
      </c>
      <c r="G1489" s="4" t="s">
        <v>110</v>
      </c>
      <c r="H1489" s="4" t="s">
        <v>1987</v>
      </c>
      <c r="K1489" s="4" t="s">
        <v>9067</v>
      </c>
      <c r="L1489" s="4" t="s">
        <v>9055</v>
      </c>
    </row>
    <row r="1490">
      <c r="A1490" s="55" t="s">
        <v>9068</v>
      </c>
      <c r="B1490" s="52" t="s">
        <v>5596</v>
      </c>
      <c r="C1490" s="56">
        <v>45716.333333333336</v>
      </c>
      <c r="D1490" s="57" t="s">
        <v>6052</v>
      </c>
      <c r="E1490" s="56">
        <v>45716.541666666664</v>
      </c>
      <c r="F1490" s="53" t="s">
        <v>9053</v>
      </c>
      <c r="G1490" s="4" t="s">
        <v>110</v>
      </c>
      <c r="H1490" s="4" t="s">
        <v>1987</v>
      </c>
      <c r="K1490" s="4" t="s">
        <v>9069</v>
      </c>
      <c r="L1490" s="4" t="s">
        <v>9055</v>
      </c>
    </row>
    <row r="1491">
      <c r="A1491" s="66" t="s">
        <v>9070</v>
      </c>
      <c r="B1491" s="52" t="s">
        <v>1472</v>
      </c>
      <c r="C1491" s="56">
        <v>45713.5625</v>
      </c>
      <c r="D1491" s="57" t="s">
        <v>2148</v>
      </c>
      <c r="E1491" s="56">
        <v>45713.729166666664</v>
      </c>
      <c r="F1491" s="53" t="s">
        <v>6627</v>
      </c>
      <c r="G1491" s="4" t="s">
        <v>135</v>
      </c>
      <c r="H1491" s="4" t="s">
        <v>1987</v>
      </c>
      <c r="K1491" s="4" t="s">
        <v>9071</v>
      </c>
      <c r="L1491" s="4" t="s">
        <v>9021</v>
      </c>
    </row>
    <row r="1492">
      <c r="A1492" s="66" t="s">
        <v>9072</v>
      </c>
      <c r="B1492" s="52" t="s">
        <v>1438</v>
      </c>
      <c r="C1492" s="56">
        <v>45714.5625</v>
      </c>
      <c r="D1492" s="57" t="s">
        <v>2148</v>
      </c>
      <c r="E1492" s="56">
        <v>45714.729166666664</v>
      </c>
      <c r="F1492" s="53" t="s">
        <v>9073</v>
      </c>
      <c r="G1492" s="4" t="s">
        <v>135</v>
      </c>
      <c r="H1492" s="4" t="s">
        <v>1987</v>
      </c>
      <c r="K1492" s="4" t="s">
        <v>9074</v>
      </c>
      <c r="L1492" s="4" t="s">
        <v>9021</v>
      </c>
    </row>
    <row r="1493">
      <c r="A1493" s="55" t="s">
        <v>9075</v>
      </c>
      <c r="B1493" s="52" t="s">
        <v>1438</v>
      </c>
      <c r="C1493" s="56">
        <v>45715.5625</v>
      </c>
      <c r="D1493" s="57" t="s">
        <v>2148</v>
      </c>
      <c r="E1493" s="56">
        <v>45715.729166666664</v>
      </c>
      <c r="F1493" s="53" t="s">
        <v>9073</v>
      </c>
      <c r="G1493" s="4" t="s">
        <v>135</v>
      </c>
      <c r="H1493" s="4" t="s">
        <v>1987</v>
      </c>
      <c r="K1493" s="4" t="s">
        <v>9076</v>
      </c>
      <c r="L1493" s="4" t="s">
        <v>9021</v>
      </c>
    </row>
    <row r="1494">
      <c r="A1494" s="55" t="s">
        <v>9077</v>
      </c>
      <c r="B1494" s="52" t="s">
        <v>5598</v>
      </c>
      <c r="C1494" s="56">
        <v>45716.6875</v>
      </c>
      <c r="D1494" s="57" t="s">
        <v>2148</v>
      </c>
      <c r="E1494" s="56">
        <v>45716.729166666664</v>
      </c>
      <c r="F1494" s="53" t="s">
        <v>7579</v>
      </c>
      <c r="G1494" s="4" t="s">
        <v>135</v>
      </c>
      <c r="H1494" s="4" t="s">
        <v>1987</v>
      </c>
      <c r="K1494" s="4" t="s">
        <v>9078</v>
      </c>
      <c r="L1494" s="4" t="s">
        <v>9079</v>
      </c>
    </row>
    <row r="1495">
      <c r="A1495" s="55" t="s">
        <v>9080</v>
      </c>
      <c r="B1495" s="52" t="s">
        <v>1427</v>
      </c>
      <c r="C1495" s="56">
        <v>45714.416666666664</v>
      </c>
      <c r="D1495" s="57" t="s">
        <v>2200</v>
      </c>
      <c r="E1495" s="56">
        <v>45714.541666666664</v>
      </c>
      <c r="F1495" s="53" t="s">
        <v>9081</v>
      </c>
      <c r="G1495" s="4" t="s">
        <v>27</v>
      </c>
      <c r="H1495" s="4" t="s">
        <v>1987</v>
      </c>
      <c r="K1495" s="4" t="s">
        <v>9082</v>
      </c>
      <c r="L1495" s="4"/>
    </row>
    <row r="1496">
      <c r="A1496" s="55" t="s">
        <v>9083</v>
      </c>
      <c r="B1496" s="52" t="s">
        <v>1438</v>
      </c>
      <c r="C1496" s="56">
        <v>45716.5625</v>
      </c>
      <c r="D1496" s="57" t="s">
        <v>2200</v>
      </c>
      <c r="E1496" s="56">
        <v>45716.6875</v>
      </c>
      <c r="F1496" s="53" t="s">
        <v>9073</v>
      </c>
      <c r="G1496" s="4" t="s">
        <v>135</v>
      </c>
      <c r="H1496" s="4" t="s">
        <v>1987</v>
      </c>
      <c r="K1496" s="4" t="s">
        <v>9084</v>
      </c>
      <c r="L1496" s="4" t="s">
        <v>9021</v>
      </c>
    </row>
    <row r="1497">
      <c r="A1497" s="55" t="s">
        <v>9085</v>
      </c>
      <c r="B1497" s="52" t="s">
        <v>1427</v>
      </c>
      <c r="C1497" s="56">
        <v>45716.375</v>
      </c>
      <c r="D1497" s="57" t="s">
        <v>2148</v>
      </c>
      <c r="E1497" s="56">
        <v>45716.541666666664</v>
      </c>
      <c r="F1497" s="53" t="s">
        <v>7424</v>
      </c>
      <c r="G1497" s="4" t="s">
        <v>27</v>
      </c>
      <c r="H1497" s="4" t="s">
        <v>1987</v>
      </c>
      <c r="K1497" s="4" t="s">
        <v>9086</v>
      </c>
      <c r="L1497" s="4"/>
    </row>
    <row r="1498">
      <c r="A1498" s="55" t="s">
        <v>9087</v>
      </c>
      <c r="B1498" s="52" t="s">
        <v>5596</v>
      </c>
      <c r="C1498" s="56">
        <v>45721.333333333336</v>
      </c>
      <c r="D1498" s="57" t="s">
        <v>6052</v>
      </c>
      <c r="E1498" s="56">
        <v>45721.541666666664</v>
      </c>
      <c r="F1498" s="53" t="s">
        <v>9088</v>
      </c>
      <c r="G1498" s="4" t="s">
        <v>110</v>
      </c>
      <c r="H1498" s="4" t="s">
        <v>1987</v>
      </c>
      <c r="K1498" s="4" t="s">
        <v>9089</v>
      </c>
      <c r="L1498" s="4"/>
    </row>
    <row r="1499">
      <c r="A1499" s="55" t="s">
        <v>9090</v>
      </c>
      <c r="B1499" s="52" t="s">
        <v>1540</v>
      </c>
      <c r="C1499" s="56">
        <v>45722.625</v>
      </c>
      <c r="D1499" s="57" t="s">
        <v>2147</v>
      </c>
      <c r="E1499" s="56">
        <v>45722.666666666664</v>
      </c>
      <c r="F1499" s="53" t="s">
        <v>6189</v>
      </c>
      <c r="G1499" s="4" t="s">
        <v>110</v>
      </c>
      <c r="H1499" s="4" t="s">
        <v>1991</v>
      </c>
      <c r="K1499" s="4" t="s">
        <v>9091</v>
      </c>
      <c r="L1499" s="4" t="s">
        <v>9092</v>
      </c>
    </row>
    <row r="1500">
      <c r="A1500" s="55" t="s">
        <v>9093</v>
      </c>
      <c r="B1500" s="52" t="s">
        <v>5596</v>
      </c>
      <c r="C1500" s="56">
        <v>45722.333333333336</v>
      </c>
      <c r="D1500" s="57" t="s">
        <v>6052</v>
      </c>
      <c r="E1500" s="56">
        <v>45722.541666666664</v>
      </c>
      <c r="F1500" s="53" t="s">
        <v>9088</v>
      </c>
      <c r="G1500" s="4" t="s">
        <v>110</v>
      </c>
      <c r="H1500" s="4" t="s">
        <v>1987</v>
      </c>
      <c r="K1500" s="4" t="s">
        <v>9094</v>
      </c>
      <c r="L1500" s="4"/>
    </row>
    <row r="1501">
      <c r="A1501" s="55" t="s">
        <v>9095</v>
      </c>
      <c r="B1501" s="52" t="s">
        <v>1540</v>
      </c>
      <c r="C1501" s="56">
        <v>45723.333333333336</v>
      </c>
      <c r="D1501" s="57" t="s">
        <v>2148</v>
      </c>
      <c r="E1501" s="56">
        <v>45723.4375</v>
      </c>
      <c r="F1501" s="53" t="s">
        <v>6048</v>
      </c>
      <c r="G1501" s="4" t="s">
        <v>110</v>
      </c>
      <c r="H1501" s="4" t="s">
        <v>1987</v>
      </c>
      <c r="K1501" s="4" t="s">
        <v>9096</v>
      </c>
      <c r="L1501" s="4" t="s">
        <v>9097</v>
      </c>
    </row>
    <row r="1502">
      <c r="A1502" s="55" t="s">
        <v>9098</v>
      </c>
      <c r="B1502" s="52" t="s">
        <v>1540</v>
      </c>
      <c r="C1502" s="56">
        <v>45726.333333333336</v>
      </c>
      <c r="D1502" s="57" t="s">
        <v>6052</v>
      </c>
      <c r="E1502" s="56">
        <v>45726.520833333336</v>
      </c>
      <c r="F1502" s="53" t="s">
        <v>6048</v>
      </c>
      <c r="G1502" s="4" t="s">
        <v>110</v>
      </c>
      <c r="H1502" s="4" t="s">
        <v>1987</v>
      </c>
      <c r="K1502" s="4" t="s">
        <v>9099</v>
      </c>
      <c r="L1502" s="4" t="s">
        <v>9100</v>
      </c>
    </row>
    <row r="1503">
      <c r="A1503" s="55" t="s">
        <v>9101</v>
      </c>
      <c r="B1503" s="52" t="s">
        <v>1540</v>
      </c>
      <c r="C1503" s="56">
        <v>45727.333333333336</v>
      </c>
      <c r="D1503" s="57" t="s">
        <v>6052</v>
      </c>
      <c r="E1503" s="56">
        <v>45727.541666666664</v>
      </c>
      <c r="F1503" s="53" t="s">
        <v>6048</v>
      </c>
      <c r="G1503" s="4" t="s">
        <v>110</v>
      </c>
      <c r="H1503" s="4" t="s">
        <v>1987</v>
      </c>
      <c r="K1503" s="4" t="s">
        <v>9102</v>
      </c>
      <c r="L1503" s="4" t="s">
        <v>9103</v>
      </c>
    </row>
    <row r="1504">
      <c r="A1504" s="55" t="s">
        <v>9104</v>
      </c>
      <c r="B1504" s="52" t="s">
        <v>1540</v>
      </c>
      <c r="C1504" s="56">
        <v>45728.333333333336</v>
      </c>
      <c r="D1504" s="57" t="s">
        <v>6052</v>
      </c>
      <c r="E1504" s="56">
        <v>45728.541666666664</v>
      </c>
      <c r="F1504" s="53" t="s">
        <v>9105</v>
      </c>
      <c r="G1504" s="4" t="s">
        <v>110</v>
      </c>
      <c r="H1504" s="4" t="s">
        <v>1987</v>
      </c>
      <c r="K1504" s="4" t="s">
        <v>9106</v>
      </c>
      <c r="L1504" s="4" t="s">
        <v>9107</v>
      </c>
    </row>
    <row r="1505">
      <c r="A1505" s="55" t="s">
        <v>9108</v>
      </c>
      <c r="B1505" s="52" t="s">
        <v>5559</v>
      </c>
      <c r="C1505" s="56">
        <v>45729.416666666664</v>
      </c>
      <c r="D1505" s="57" t="s">
        <v>2147</v>
      </c>
      <c r="E1505" s="56">
        <v>45729.447916666664</v>
      </c>
      <c r="F1505" s="53" t="s">
        <v>8090</v>
      </c>
      <c r="G1505" s="4" t="s">
        <v>110</v>
      </c>
      <c r="H1505" s="4" t="s">
        <v>1987</v>
      </c>
      <c r="K1505" s="4" t="s">
        <v>9109</v>
      </c>
      <c r="L1505" s="4" t="s">
        <v>9110</v>
      </c>
    </row>
    <row r="1506">
      <c r="A1506" s="55" t="s">
        <v>9111</v>
      </c>
      <c r="B1506" s="52" t="s">
        <v>5559</v>
      </c>
      <c r="C1506" s="56">
        <v>45730.395833333336</v>
      </c>
      <c r="D1506" s="57" t="s">
        <v>2147</v>
      </c>
      <c r="E1506" s="56">
        <v>45730.4375</v>
      </c>
      <c r="F1506" s="53" t="s">
        <v>8090</v>
      </c>
      <c r="G1506" s="4" t="s">
        <v>110</v>
      </c>
      <c r="H1506" s="4" t="s">
        <v>1991</v>
      </c>
      <c r="K1506" s="4" t="s">
        <v>9112</v>
      </c>
      <c r="L1506" s="4" t="s">
        <v>9113</v>
      </c>
    </row>
    <row r="1507">
      <c r="A1507" s="55" t="s">
        <v>9114</v>
      </c>
      <c r="B1507" s="52" t="s">
        <v>1438</v>
      </c>
      <c r="C1507" s="56">
        <v>45721.6875</v>
      </c>
      <c r="D1507" s="57" t="s">
        <v>2154</v>
      </c>
      <c r="E1507" s="56">
        <v>45721.729166666664</v>
      </c>
      <c r="F1507" s="53" t="s">
        <v>9115</v>
      </c>
      <c r="G1507" s="4" t="s">
        <v>135</v>
      </c>
      <c r="H1507" s="4" t="s">
        <v>1987</v>
      </c>
      <c r="K1507" s="4" t="s">
        <v>9116</v>
      </c>
      <c r="L1507" s="4" t="s">
        <v>9117</v>
      </c>
    </row>
    <row r="1508">
      <c r="A1508" s="55" t="s">
        <v>9118</v>
      </c>
      <c r="B1508" s="52" t="s">
        <v>5598</v>
      </c>
      <c r="C1508" s="56">
        <v>45723.625</v>
      </c>
      <c r="D1508" s="57" t="s">
        <v>2147</v>
      </c>
      <c r="E1508" s="56">
        <v>45723.666666666664</v>
      </c>
      <c r="F1508" s="53" t="s">
        <v>9119</v>
      </c>
      <c r="G1508" s="4" t="s">
        <v>135</v>
      </c>
      <c r="H1508" s="4" t="s">
        <v>1991</v>
      </c>
      <c r="K1508" s="4" t="s">
        <v>9120</v>
      </c>
      <c r="L1508" s="4"/>
    </row>
    <row r="1509">
      <c r="A1509" s="55" t="s">
        <v>9121</v>
      </c>
      <c r="B1509" s="52" t="s">
        <v>1438</v>
      </c>
      <c r="C1509" s="56">
        <v>45722.5625</v>
      </c>
      <c r="D1509" s="57" t="s">
        <v>2154</v>
      </c>
      <c r="E1509" s="56">
        <v>45722.729166666664</v>
      </c>
      <c r="F1509" s="53" t="s">
        <v>9115</v>
      </c>
      <c r="G1509" s="4" t="s">
        <v>135</v>
      </c>
      <c r="H1509" s="4" t="s">
        <v>1987</v>
      </c>
      <c r="K1509" s="4" t="s">
        <v>9116</v>
      </c>
      <c r="L1509" s="4" t="s">
        <v>9122</v>
      </c>
    </row>
    <row r="1510">
      <c r="A1510" s="55" t="s">
        <v>9123</v>
      </c>
      <c r="B1510" s="52" t="s">
        <v>9046</v>
      </c>
      <c r="C1510" s="56">
        <v>45723.5625</v>
      </c>
      <c r="D1510" s="57" t="s">
        <v>2147</v>
      </c>
      <c r="E1510" s="56">
        <v>45723.583333333336</v>
      </c>
      <c r="F1510" s="53" t="s">
        <v>9124</v>
      </c>
      <c r="G1510" s="4" t="s">
        <v>135</v>
      </c>
      <c r="H1510" s="4" t="s">
        <v>1987</v>
      </c>
      <c r="K1510" s="4"/>
      <c r="L1510" s="4" t="s">
        <v>9125</v>
      </c>
    </row>
    <row r="1511">
      <c r="A1511" s="55" t="s">
        <v>9126</v>
      </c>
      <c r="B1511" s="52" t="s">
        <v>5598</v>
      </c>
      <c r="C1511" s="56">
        <v>45723.583333333336</v>
      </c>
      <c r="D1511" s="57" t="s">
        <v>2147</v>
      </c>
      <c r="E1511" s="56">
        <v>45723.625</v>
      </c>
      <c r="F1511" s="53" t="s">
        <v>9127</v>
      </c>
      <c r="G1511" s="4" t="s">
        <v>135</v>
      </c>
      <c r="H1511" s="4" t="s">
        <v>1987</v>
      </c>
      <c r="K1511" s="4"/>
      <c r="L1511" s="4" t="s">
        <v>9128</v>
      </c>
    </row>
    <row r="1512">
      <c r="A1512" s="55" t="s">
        <v>9129</v>
      </c>
      <c r="B1512" s="52" t="s">
        <v>5578</v>
      </c>
      <c r="C1512" s="56">
        <v>45721.5625</v>
      </c>
      <c r="D1512" s="57" t="s">
        <v>2154</v>
      </c>
      <c r="E1512" s="56">
        <v>45721.6875</v>
      </c>
      <c r="F1512" s="53" t="s">
        <v>9130</v>
      </c>
      <c r="G1512" s="4" t="s">
        <v>135</v>
      </c>
      <c r="H1512" s="4" t="s">
        <v>1987</v>
      </c>
      <c r="K1512" s="4" t="s">
        <v>9131</v>
      </c>
      <c r="L1512" s="4" t="s">
        <v>9132</v>
      </c>
    </row>
    <row r="1513">
      <c r="A1513" s="55" t="s">
        <v>9133</v>
      </c>
      <c r="B1513" s="52" t="s">
        <v>5596</v>
      </c>
      <c r="C1513" s="56">
        <v>45722.541666666664</v>
      </c>
      <c r="D1513" s="57" t="s">
        <v>2154</v>
      </c>
      <c r="E1513" s="56">
        <v>45722.625</v>
      </c>
      <c r="F1513" s="53" t="s">
        <v>9134</v>
      </c>
      <c r="G1513" s="4" t="s">
        <v>110</v>
      </c>
      <c r="H1513" s="4" t="s">
        <v>1987</v>
      </c>
      <c r="K1513" s="4" t="s">
        <v>9135</v>
      </c>
      <c r="L1513" s="4"/>
    </row>
    <row r="1514">
      <c r="A1514" s="55" t="s">
        <v>9136</v>
      </c>
      <c r="B1514" s="52" t="s">
        <v>1427</v>
      </c>
      <c r="C1514" s="56">
        <v>45722.375</v>
      </c>
      <c r="D1514" s="57" t="s">
        <v>2148</v>
      </c>
      <c r="E1514" s="56">
        <v>45722.5625</v>
      </c>
      <c r="F1514" s="53" t="s">
        <v>7424</v>
      </c>
      <c r="G1514" s="4" t="s">
        <v>27</v>
      </c>
      <c r="H1514" s="4" t="s">
        <v>1987</v>
      </c>
      <c r="K1514" s="4" t="s">
        <v>9137</v>
      </c>
      <c r="L1514" s="4"/>
    </row>
    <row r="1515">
      <c r="A1515" s="55" t="s">
        <v>9138</v>
      </c>
      <c r="B1515" s="52" t="s">
        <v>5384</v>
      </c>
      <c r="C1515" s="56">
        <v>45722.76666666667</v>
      </c>
      <c r="D1515" s="57" t="s">
        <v>2147</v>
      </c>
      <c r="E1515" s="56">
        <v>45722.808333333334</v>
      </c>
      <c r="F1515" s="53" t="s">
        <v>9139</v>
      </c>
      <c r="G1515" s="4" t="s">
        <v>27</v>
      </c>
      <c r="H1515" s="4" t="s">
        <v>1987</v>
      </c>
      <c r="K1515" s="4" t="s">
        <v>9140</v>
      </c>
      <c r="L1515" s="4"/>
    </row>
    <row r="1516">
      <c r="A1516" s="55" t="s">
        <v>9141</v>
      </c>
      <c r="B1516" s="52" t="s">
        <v>1438</v>
      </c>
      <c r="C1516" s="56">
        <v>45723.479166666664</v>
      </c>
      <c r="D1516" s="57" t="s">
        <v>2147</v>
      </c>
      <c r="E1516" s="56">
        <v>45723.541666666664</v>
      </c>
      <c r="F1516" s="53" t="s">
        <v>8933</v>
      </c>
      <c r="G1516" s="4" t="s">
        <v>110</v>
      </c>
      <c r="H1516" s="4" t="s">
        <v>1987</v>
      </c>
      <c r="K1516" s="4" t="s">
        <v>9142</v>
      </c>
      <c r="L1516" s="4" t="s">
        <v>9143</v>
      </c>
    </row>
    <row r="1517">
      <c r="A1517" s="55" t="s">
        <v>9144</v>
      </c>
      <c r="B1517" s="52" t="s">
        <v>5596</v>
      </c>
      <c r="C1517" s="56">
        <v>45723.4375</v>
      </c>
      <c r="D1517" s="57" t="s">
        <v>2147</v>
      </c>
      <c r="E1517" s="56">
        <v>45723.479166666664</v>
      </c>
      <c r="F1517" s="53" t="s">
        <v>9134</v>
      </c>
      <c r="G1517" s="4" t="s">
        <v>110</v>
      </c>
      <c r="H1517" s="4" t="s">
        <v>1987</v>
      </c>
      <c r="K1517" s="4"/>
      <c r="L1517" s="4" t="s">
        <v>9145</v>
      </c>
    </row>
    <row r="1518">
      <c r="A1518" s="55" t="s">
        <v>9146</v>
      </c>
      <c r="B1518" s="52" t="s">
        <v>5384</v>
      </c>
      <c r="C1518" s="56">
        <v>45726.5625</v>
      </c>
      <c r="D1518" s="57" t="s">
        <v>2147</v>
      </c>
      <c r="E1518" s="56">
        <v>45726.604166666664</v>
      </c>
      <c r="F1518" s="53" t="s">
        <v>9147</v>
      </c>
      <c r="G1518" s="4" t="s">
        <v>135</v>
      </c>
      <c r="H1518" s="4" t="s">
        <v>1991</v>
      </c>
      <c r="K1518" s="4" t="s">
        <v>9148</v>
      </c>
      <c r="L1518" s="4"/>
    </row>
    <row r="1519">
      <c r="A1519" s="55"/>
      <c r="B1519" s="52"/>
      <c r="C1519" s="56"/>
      <c r="D1519" s="61"/>
      <c r="E1519" s="56"/>
      <c r="F1519" s="53"/>
      <c r="G1519" s="4"/>
      <c r="H1519" s="4"/>
      <c r="K1519" s="4"/>
      <c r="L1519" s="4"/>
    </row>
    <row r="1520">
      <c r="A1520" s="55" t="s">
        <v>9149</v>
      </c>
      <c r="B1520" s="52" t="s">
        <v>1427</v>
      </c>
      <c r="C1520" s="56">
        <v>45726.520833333336</v>
      </c>
      <c r="D1520" s="57" t="s">
        <v>6318</v>
      </c>
      <c r="E1520" s="56">
        <v>45726.541666666664</v>
      </c>
      <c r="F1520" s="53" t="s">
        <v>8733</v>
      </c>
      <c r="G1520" s="4" t="s">
        <v>110</v>
      </c>
      <c r="H1520" s="4" t="s">
        <v>1987</v>
      </c>
      <c r="K1520" s="4"/>
      <c r="L1520" s="4" t="s">
        <v>9150</v>
      </c>
    </row>
    <row r="1521">
      <c r="A1521" s="55" t="s">
        <v>9151</v>
      </c>
      <c r="B1521" s="52" t="s">
        <v>1540</v>
      </c>
      <c r="C1521" s="56">
        <v>45726.479166666664</v>
      </c>
      <c r="D1521" s="57" t="s">
        <v>2147</v>
      </c>
      <c r="E1521" s="56">
        <v>45726.53125</v>
      </c>
      <c r="F1521" s="53" t="s">
        <v>8528</v>
      </c>
      <c r="G1521" s="4" t="s">
        <v>27</v>
      </c>
      <c r="H1521" s="4" t="s">
        <v>1987</v>
      </c>
      <c r="K1521" s="4" t="s">
        <v>9152</v>
      </c>
      <c r="L1521" s="4"/>
    </row>
    <row r="1522">
      <c r="A1522" s="55" t="s">
        <v>9153</v>
      </c>
      <c r="B1522" s="52" t="s">
        <v>1472</v>
      </c>
      <c r="C1522" s="56">
        <v>45726.583333333336</v>
      </c>
      <c r="D1522" s="57" t="s">
        <v>2154</v>
      </c>
      <c r="E1522" s="56">
        <v>45726.666666666664</v>
      </c>
      <c r="F1522" s="53" t="s">
        <v>9154</v>
      </c>
      <c r="G1522" s="4" t="s">
        <v>27</v>
      </c>
      <c r="H1522" s="4" t="s">
        <v>1991</v>
      </c>
      <c r="K1522" s="4" t="s">
        <v>9155</v>
      </c>
      <c r="L1522" s="4"/>
    </row>
    <row r="1523">
      <c r="A1523" s="55" t="s">
        <v>9156</v>
      </c>
      <c r="B1523" s="52" t="s">
        <v>1427</v>
      </c>
      <c r="C1523" s="56">
        <v>45723.375</v>
      </c>
      <c r="D1523" s="57" t="s">
        <v>6052</v>
      </c>
      <c r="E1523" s="56">
        <v>45723.541666666664</v>
      </c>
      <c r="F1523" s="53" t="s">
        <v>7424</v>
      </c>
      <c r="G1523" s="4" t="s">
        <v>27</v>
      </c>
      <c r="H1523" s="4" t="s">
        <v>1987</v>
      </c>
      <c r="K1523" s="4"/>
      <c r="L1523" s="4" t="s">
        <v>9157</v>
      </c>
    </row>
    <row r="1524">
      <c r="A1524" s="55" t="s">
        <v>9158</v>
      </c>
      <c r="B1524" s="52" t="s">
        <v>5384</v>
      </c>
      <c r="C1524" s="56">
        <v>45727.5625</v>
      </c>
      <c r="D1524" s="57" t="s">
        <v>2148</v>
      </c>
      <c r="E1524" s="56">
        <v>45727.729166666664</v>
      </c>
      <c r="F1524" s="53" t="s">
        <v>9159</v>
      </c>
      <c r="G1524" s="4" t="s">
        <v>135</v>
      </c>
      <c r="H1524" s="4" t="s">
        <v>1987</v>
      </c>
      <c r="K1524" s="4" t="s">
        <v>9160</v>
      </c>
      <c r="L1524" s="4"/>
    </row>
    <row r="1525">
      <c r="A1525" s="55" t="s">
        <v>9161</v>
      </c>
      <c r="B1525" s="52" t="s">
        <v>5384</v>
      </c>
      <c r="C1525" s="56">
        <v>45728.5625</v>
      </c>
      <c r="D1525" s="57" t="s">
        <v>2148</v>
      </c>
      <c r="E1525" s="56">
        <v>45728.729166666664</v>
      </c>
      <c r="F1525" s="53" t="s">
        <v>9159</v>
      </c>
      <c r="G1525" s="4" t="s">
        <v>135</v>
      </c>
      <c r="H1525" s="4" t="s">
        <v>1987</v>
      </c>
      <c r="K1525" s="4" t="s">
        <v>9162</v>
      </c>
      <c r="L1525" s="4"/>
    </row>
    <row r="1526">
      <c r="A1526" s="55" t="s">
        <v>9163</v>
      </c>
      <c r="B1526" s="52" t="s">
        <v>5384</v>
      </c>
      <c r="C1526" s="56">
        <v>45729.5625</v>
      </c>
      <c r="D1526" s="57" t="s">
        <v>2148</v>
      </c>
      <c r="E1526" s="56">
        <v>45729.729166666664</v>
      </c>
      <c r="F1526" s="53" t="s">
        <v>9164</v>
      </c>
      <c r="G1526" s="4" t="s">
        <v>135</v>
      </c>
      <c r="H1526" s="4" t="s">
        <v>1987</v>
      </c>
      <c r="K1526" s="4" t="s">
        <v>9165</v>
      </c>
      <c r="L1526" s="4" t="s">
        <v>9166</v>
      </c>
    </row>
    <row r="1527">
      <c r="A1527" s="55" t="s">
        <v>9167</v>
      </c>
      <c r="B1527" s="52" t="s">
        <v>6069</v>
      </c>
      <c r="C1527" s="56">
        <v>45730.5625</v>
      </c>
      <c r="D1527" s="57" t="s">
        <v>2148</v>
      </c>
      <c r="E1527" s="56">
        <v>45730.604166666664</v>
      </c>
      <c r="F1527" s="53" t="s">
        <v>9168</v>
      </c>
      <c r="G1527" s="4" t="s">
        <v>135</v>
      </c>
      <c r="H1527" s="4" t="s">
        <v>1987</v>
      </c>
      <c r="K1527" s="4" t="s">
        <v>9169</v>
      </c>
      <c r="L1527" s="4" t="s">
        <v>9170</v>
      </c>
    </row>
    <row r="1528">
      <c r="A1528" s="55" t="s">
        <v>9171</v>
      </c>
      <c r="B1528" s="52" t="s">
        <v>1438</v>
      </c>
      <c r="C1528" s="56">
        <v>45726.604166666664</v>
      </c>
      <c r="D1528" s="57" t="s">
        <v>2148</v>
      </c>
      <c r="E1528" s="56">
        <v>45726.729166666664</v>
      </c>
      <c r="F1528" s="53" t="s">
        <v>9172</v>
      </c>
      <c r="G1528" s="4" t="s">
        <v>135</v>
      </c>
      <c r="H1528" s="4" t="s">
        <v>1987</v>
      </c>
      <c r="K1528" s="4" t="s">
        <v>9173</v>
      </c>
      <c r="L1528" s="4"/>
    </row>
    <row r="1529">
      <c r="A1529" s="55" t="s">
        <v>9174</v>
      </c>
      <c r="B1529" s="52" t="s">
        <v>1427</v>
      </c>
      <c r="C1529" s="56">
        <v>45727.375</v>
      </c>
      <c r="D1529" s="57" t="s">
        <v>2200</v>
      </c>
      <c r="E1529" s="56">
        <v>45727.5</v>
      </c>
      <c r="F1529" s="53" t="s">
        <v>7424</v>
      </c>
      <c r="G1529" s="4" t="s">
        <v>27</v>
      </c>
      <c r="H1529" s="4" t="s">
        <v>1987</v>
      </c>
      <c r="K1529" s="4" t="s">
        <v>9175</v>
      </c>
      <c r="L1529" s="4"/>
    </row>
    <row r="1530">
      <c r="A1530" s="55" t="s">
        <v>9176</v>
      </c>
      <c r="B1530" s="52" t="s">
        <v>9046</v>
      </c>
      <c r="C1530" s="56">
        <v>45727.583333333336</v>
      </c>
      <c r="D1530" s="57" t="s">
        <v>2147</v>
      </c>
      <c r="E1530" s="56">
        <v>45727.625</v>
      </c>
      <c r="F1530" s="53" t="s">
        <v>5350</v>
      </c>
      <c r="G1530" s="4" t="s">
        <v>27</v>
      </c>
      <c r="H1530" s="4" t="s">
        <v>1987</v>
      </c>
      <c r="K1530" s="4"/>
      <c r="L1530" s="4" t="s">
        <v>9177</v>
      </c>
    </row>
    <row r="1531">
      <c r="A1531" s="55" t="s">
        <v>9178</v>
      </c>
      <c r="B1531" s="52" t="s">
        <v>1427</v>
      </c>
      <c r="C1531" s="56">
        <v>45728.375</v>
      </c>
      <c r="D1531" s="57" t="s">
        <v>2147</v>
      </c>
      <c r="E1531" s="56">
        <v>45728.4375</v>
      </c>
      <c r="F1531" s="53" t="s">
        <v>9179</v>
      </c>
      <c r="G1531" s="4" t="s">
        <v>27</v>
      </c>
      <c r="H1531" s="4" t="s">
        <v>1991</v>
      </c>
      <c r="K1531" s="4" t="s">
        <v>9180</v>
      </c>
      <c r="L1531" s="4" t="s">
        <v>9181</v>
      </c>
    </row>
    <row r="1532">
      <c r="A1532" s="55" t="s">
        <v>9182</v>
      </c>
      <c r="B1532" s="52" t="s">
        <v>5559</v>
      </c>
      <c r="C1532" s="56">
        <v>45729.416666666664</v>
      </c>
      <c r="D1532" s="57" t="s">
        <v>2147</v>
      </c>
      <c r="E1532" s="56">
        <v>45729.458333333336</v>
      </c>
      <c r="F1532" s="53" t="s">
        <v>9183</v>
      </c>
      <c r="G1532" s="4" t="s">
        <v>27</v>
      </c>
      <c r="H1532" s="4" t="s">
        <v>1991</v>
      </c>
      <c r="K1532" s="4" t="s">
        <v>9184</v>
      </c>
      <c r="L1532" s="4"/>
    </row>
    <row r="1533">
      <c r="A1533" s="55" t="s">
        <v>9185</v>
      </c>
      <c r="B1533" s="52" t="s">
        <v>1438</v>
      </c>
      <c r="C1533" s="56">
        <v>45729.583333333336</v>
      </c>
      <c r="D1533" s="57" t="s">
        <v>2147</v>
      </c>
      <c r="E1533" s="56">
        <v>45729.625</v>
      </c>
      <c r="F1533" s="53" t="s">
        <v>9186</v>
      </c>
      <c r="G1533" s="4" t="s">
        <v>27</v>
      </c>
      <c r="H1533" s="4" t="s">
        <v>1991</v>
      </c>
      <c r="K1533" s="4" t="s">
        <v>9187</v>
      </c>
      <c r="L1533" s="4"/>
    </row>
    <row r="1534">
      <c r="A1534" s="55" t="s">
        <v>9188</v>
      </c>
      <c r="B1534" s="52" t="s">
        <v>1427</v>
      </c>
      <c r="C1534" s="56">
        <v>45730.375</v>
      </c>
      <c r="D1534" s="57" t="s">
        <v>6052</v>
      </c>
      <c r="E1534" s="56">
        <v>45730.583333333336</v>
      </c>
      <c r="F1534" s="53" t="s">
        <v>7424</v>
      </c>
      <c r="G1534" s="4" t="s">
        <v>27</v>
      </c>
      <c r="H1534" s="4" t="s">
        <v>1987</v>
      </c>
      <c r="K1534" s="4" t="s">
        <v>9189</v>
      </c>
      <c r="L1534" s="4"/>
    </row>
    <row r="1535">
      <c r="A1535" s="55"/>
      <c r="B1535" s="52"/>
      <c r="C1535" s="56"/>
      <c r="D1535" s="61"/>
      <c r="E1535" s="56"/>
      <c r="F1535" s="53"/>
      <c r="G1535" s="4"/>
      <c r="H1535" s="4"/>
      <c r="K1535" s="4"/>
      <c r="L1535" s="4"/>
    </row>
    <row r="1536">
      <c r="A1536" s="55" t="s">
        <v>9190</v>
      </c>
      <c r="B1536" s="52" t="s">
        <v>1427</v>
      </c>
      <c r="C1536" s="56">
        <v>45733.375</v>
      </c>
      <c r="D1536" s="57" t="s">
        <v>2147</v>
      </c>
      <c r="E1536" s="56">
        <v>45733.583333333336</v>
      </c>
      <c r="F1536" s="53" t="s">
        <v>9191</v>
      </c>
      <c r="G1536" s="4" t="s">
        <v>27</v>
      </c>
      <c r="H1536" s="4" t="s">
        <v>1991</v>
      </c>
      <c r="K1536" s="4" t="s">
        <v>9192</v>
      </c>
      <c r="L1536" s="4" t="s">
        <v>9193</v>
      </c>
    </row>
    <row r="1537">
      <c r="A1537" s="55" t="s">
        <v>9194</v>
      </c>
      <c r="B1537" s="52" t="s">
        <v>1540</v>
      </c>
      <c r="C1537" s="56">
        <v>45729.333333333336</v>
      </c>
      <c r="D1537" s="57" t="s">
        <v>2154</v>
      </c>
      <c r="E1537" s="56">
        <v>45729.416666666664</v>
      </c>
      <c r="F1537" s="53" t="s">
        <v>9195</v>
      </c>
      <c r="G1537" s="4" t="s">
        <v>110</v>
      </c>
      <c r="H1537" s="4" t="s">
        <v>1987</v>
      </c>
      <c r="K1537" s="4" t="s">
        <v>9196</v>
      </c>
      <c r="L1537" s="4"/>
    </row>
    <row r="1538">
      <c r="A1538" s="55" t="s">
        <v>9197</v>
      </c>
      <c r="B1538" s="52" t="s">
        <v>1540</v>
      </c>
      <c r="C1538" s="56">
        <v>45729.447916666664</v>
      </c>
      <c r="D1538" s="57" t="s">
        <v>2147</v>
      </c>
      <c r="E1538" s="56">
        <v>45729.5</v>
      </c>
      <c r="F1538" s="53" t="s">
        <v>6048</v>
      </c>
      <c r="G1538" s="4" t="s">
        <v>110</v>
      </c>
      <c r="H1538" s="4" t="s">
        <v>1987</v>
      </c>
      <c r="K1538" s="4" t="s">
        <v>9198</v>
      </c>
      <c r="L1538" s="4"/>
    </row>
    <row r="1539">
      <c r="A1539" s="55" t="s">
        <v>9199</v>
      </c>
      <c r="B1539" s="52" t="s">
        <v>1540</v>
      </c>
      <c r="C1539" s="56">
        <v>45730.333333333336</v>
      </c>
      <c r="D1539" s="57" t="s">
        <v>2154</v>
      </c>
      <c r="E1539" s="56">
        <v>45730.395833333336</v>
      </c>
      <c r="F1539" s="53" t="s">
        <v>9200</v>
      </c>
      <c r="G1539" s="4" t="s">
        <v>110</v>
      </c>
      <c r="H1539" s="4" t="s">
        <v>1987</v>
      </c>
      <c r="K1539" s="4" t="s">
        <v>9201</v>
      </c>
      <c r="L1539" s="4" t="s">
        <v>9202</v>
      </c>
    </row>
    <row r="1540">
      <c r="A1540" s="55" t="s">
        <v>9203</v>
      </c>
      <c r="B1540" s="52" t="s">
        <v>1540</v>
      </c>
      <c r="C1540" s="56">
        <v>45730.4375</v>
      </c>
      <c r="D1540" s="57" t="s">
        <v>2147</v>
      </c>
      <c r="E1540" s="56">
        <v>45730.5</v>
      </c>
      <c r="F1540" s="53" t="s">
        <v>6048</v>
      </c>
      <c r="G1540" s="4" t="s">
        <v>110</v>
      </c>
      <c r="H1540" s="4" t="s">
        <v>1987</v>
      </c>
      <c r="K1540" s="4" t="s">
        <v>9204</v>
      </c>
      <c r="L1540" s="4"/>
    </row>
    <row r="1541">
      <c r="A1541" s="55" t="s">
        <v>9205</v>
      </c>
      <c r="B1541" s="52" t="s">
        <v>5537</v>
      </c>
      <c r="C1541" s="56">
        <v>45733.333333333336</v>
      </c>
      <c r="D1541" s="57" t="s">
        <v>2148</v>
      </c>
      <c r="E1541" s="56">
        <v>45733.5</v>
      </c>
      <c r="F1541" s="53" t="s">
        <v>1536</v>
      </c>
      <c r="G1541" s="4" t="s">
        <v>110</v>
      </c>
      <c r="H1541" s="4" t="s">
        <v>1987</v>
      </c>
      <c r="K1541" s="4" t="s">
        <v>9206</v>
      </c>
      <c r="L1541" s="4"/>
    </row>
    <row r="1542">
      <c r="A1542" s="55" t="s">
        <v>9207</v>
      </c>
      <c r="B1542" s="52" t="s">
        <v>5384</v>
      </c>
      <c r="C1542" s="56">
        <v>45733.5625</v>
      </c>
      <c r="D1542" s="57" t="s">
        <v>2147</v>
      </c>
      <c r="E1542" s="56">
        <v>45733.645833333336</v>
      </c>
      <c r="F1542" s="53" t="s">
        <v>9208</v>
      </c>
      <c r="G1542" s="4" t="s">
        <v>135</v>
      </c>
      <c r="H1542" s="4" t="s">
        <v>1991</v>
      </c>
      <c r="K1542" s="4" t="s">
        <v>9209</v>
      </c>
      <c r="L1542" s="4" t="s">
        <v>9210</v>
      </c>
    </row>
    <row r="1543">
      <c r="A1543" s="55" t="s">
        <v>9211</v>
      </c>
      <c r="B1543" s="52" t="s">
        <v>9046</v>
      </c>
      <c r="C1543" s="56">
        <v>45733.645833333336</v>
      </c>
      <c r="D1543" s="57" t="s">
        <v>2147</v>
      </c>
      <c r="E1543" s="56">
        <v>45733.708333333336</v>
      </c>
      <c r="F1543" s="53" t="s">
        <v>9212</v>
      </c>
      <c r="G1543" s="4" t="s">
        <v>135</v>
      </c>
      <c r="H1543" s="4" t="s">
        <v>1987</v>
      </c>
      <c r="K1543" s="4" t="s">
        <v>9213</v>
      </c>
      <c r="L1543" s="4"/>
    </row>
    <row r="1544">
      <c r="A1544" s="55" t="s">
        <v>9214</v>
      </c>
      <c r="B1544" s="52" t="s">
        <v>5384</v>
      </c>
      <c r="C1544" s="56">
        <v>45733.708333333336</v>
      </c>
      <c r="D1544" s="57" t="s">
        <v>2147</v>
      </c>
      <c r="E1544" s="56">
        <v>45733.729166666664</v>
      </c>
      <c r="F1544" s="53" t="s">
        <v>9215</v>
      </c>
      <c r="G1544" s="4" t="s">
        <v>135</v>
      </c>
      <c r="H1544" s="4" t="s">
        <v>1987</v>
      </c>
      <c r="K1544" s="4" t="s">
        <v>9216</v>
      </c>
      <c r="L1544" s="4"/>
    </row>
    <row r="1545">
      <c r="A1545" s="55" t="s">
        <v>9217</v>
      </c>
      <c r="B1545" s="52" t="s">
        <v>5537</v>
      </c>
      <c r="C1545" s="56">
        <v>45734.333333333336</v>
      </c>
      <c r="D1545" s="57" t="s">
        <v>6052</v>
      </c>
      <c r="E1545" s="56">
        <v>45734.541666666664</v>
      </c>
      <c r="F1545" s="53" t="s">
        <v>9218</v>
      </c>
      <c r="G1545" s="4" t="s">
        <v>110</v>
      </c>
      <c r="H1545" s="4" t="s">
        <v>1987</v>
      </c>
      <c r="K1545" s="4" t="s">
        <v>9219</v>
      </c>
      <c r="L1545" s="4"/>
    </row>
    <row r="1546">
      <c r="A1546" s="55" t="s">
        <v>9220</v>
      </c>
      <c r="B1546" s="52" t="s">
        <v>5537</v>
      </c>
      <c r="C1546" s="56">
        <v>45735.333333333336</v>
      </c>
      <c r="D1546" s="57" t="s">
        <v>6052</v>
      </c>
      <c r="E1546" s="56">
        <v>45735.541666666664</v>
      </c>
      <c r="F1546" s="53" t="s">
        <v>9221</v>
      </c>
      <c r="G1546" s="4" t="s">
        <v>110</v>
      </c>
      <c r="H1546" s="4" t="s">
        <v>1987</v>
      </c>
      <c r="K1546" s="4" t="s">
        <v>9222</v>
      </c>
      <c r="L1546" s="4" t="s">
        <v>9223</v>
      </c>
    </row>
    <row r="1547">
      <c r="A1547" s="55"/>
      <c r="B1547" s="52"/>
      <c r="C1547" s="56"/>
      <c r="D1547" s="61"/>
      <c r="E1547" s="56"/>
      <c r="F1547" s="53"/>
      <c r="G1547" s="4"/>
      <c r="H1547" s="4"/>
      <c r="K1547" s="4"/>
      <c r="L1547" s="4"/>
    </row>
    <row r="1548">
      <c r="A1548" s="55" t="s">
        <v>9224</v>
      </c>
      <c r="B1548" s="52" t="s">
        <v>5537</v>
      </c>
      <c r="C1548" s="56">
        <v>45736.333333333336</v>
      </c>
      <c r="D1548" s="57" t="s">
        <v>2200</v>
      </c>
      <c r="E1548" s="56">
        <v>45736.458333333336</v>
      </c>
      <c r="F1548" s="53" t="s">
        <v>1536</v>
      </c>
      <c r="G1548" s="4" t="s">
        <v>110</v>
      </c>
      <c r="H1548" s="4" t="s">
        <v>1987</v>
      </c>
      <c r="K1548" s="4"/>
      <c r="L1548" s="4" t="s">
        <v>9225</v>
      </c>
    </row>
    <row r="1549">
      <c r="A1549" s="55" t="s">
        <v>9226</v>
      </c>
      <c r="B1549" s="52" t="s">
        <v>5384</v>
      </c>
      <c r="C1549" s="56">
        <v>45734.614583333336</v>
      </c>
      <c r="D1549" s="57" t="s">
        <v>2147</v>
      </c>
      <c r="E1549" s="56">
        <v>45734.645833333336</v>
      </c>
      <c r="F1549" s="53" t="s">
        <v>9227</v>
      </c>
      <c r="G1549" s="4" t="s">
        <v>135</v>
      </c>
      <c r="H1549" s="4" t="s">
        <v>1991</v>
      </c>
      <c r="K1549" s="4" t="s">
        <v>9228</v>
      </c>
      <c r="L1549" s="4" t="s">
        <v>9229</v>
      </c>
    </row>
    <row r="1550">
      <c r="A1550" s="55" t="s">
        <v>9230</v>
      </c>
      <c r="B1550" s="52" t="s">
        <v>1438</v>
      </c>
      <c r="C1550" s="56">
        <v>45734.5625</v>
      </c>
      <c r="D1550" s="57" t="s">
        <v>6318</v>
      </c>
      <c r="E1550" s="56">
        <v>45734.614583333336</v>
      </c>
      <c r="F1550" s="53" t="s">
        <v>9231</v>
      </c>
      <c r="G1550" s="4" t="s">
        <v>135</v>
      </c>
      <c r="H1550" s="4" t="s">
        <v>1987</v>
      </c>
      <c r="K1550" s="4" t="s">
        <v>9232</v>
      </c>
      <c r="L1550" s="4" t="s">
        <v>9233</v>
      </c>
    </row>
    <row r="1551">
      <c r="A1551" s="55" t="s">
        <v>9234</v>
      </c>
      <c r="B1551" s="52" t="s">
        <v>5598</v>
      </c>
      <c r="C1551" s="56">
        <v>45734.645833333336</v>
      </c>
      <c r="D1551" s="57" t="s">
        <v>2154</v>
      </c>
      <c r="E1551" s="56">
        <v>45734.729166666664</v>
      </c>
      <c r="F1551" s="53" t="s">
        <v>9016</v>
      </c>
      <c r="G1551" s="4" t="s">
        <v>135</v>
      </c>
      <c r="H1551" s="4" t="s">
        <v>1987</v>
      </c>
      <c r="K1551" s="4" t="s">
        <v>9235</v>
      </c>
      <c r="L1551" s="4" t="s">
        <v>9236</v>
      </c>
    </row>
    <row r="1552">
      <c r="A1552" s="55" t="s">
        <v>9237</v>
      </c>
      <c r="B1552" s="52" t="s">
        <v>1438</v>
      </c>
      <c r="C1552" s="56">
        <v>45735.5625</v>
      </c>
      <c r="D1552" s="57" t="s">
        <v>2148</v>
      </c>
      <c r="E1552" s="56">
        <v>45735.729166666664</v>
      </c>
      <c r="F1552" s="53" t="s">
        <v>1438</v>
      </c>
      <c r="G1552" s="4" t="s">
        <v>135</v>
      </c>
      <c r="H1552" s="4" t="s">
        <v>1987</v>
      </c>
      <c r="K1552" s="4" t="s">
        <v>9238</v>
      </c>
      <c r="L1552" s="4"/>
    </row>
    <row r="1553">
      <c r="A1553" s="55" t="s">
        <v>9239</v>
      </c>
      <c r="B1553" s="52" t="s">
        <v>1438</v>
      </c>
      <c r="C1553" s="56">
        <v>45736.5625</v>
      </c>
      <c r="D1553" s="57" t="s">
        <v>2154</v>
      </c>
      <c r="E1553" s="56">
        <v>45736.6875</v>
      </c>
      <c r="F1553" s="53" t="s">
        <v>1438</v>
      </c>
      <c r="G1553" s="4" t="s">
        <v>135</v>
      </c>
      <c r="H1553" s="4" t="s">
        <v>1987</v>
      </c>
      <c r="K1553" s="4" t="s">
        <v>9240</v>
      </c>
      <c r="L1553" s="4" t="s">
        <v>9241</v>
      </c>
    </row>
    <row r="1554">
      <c r="A1554" s="55" t="s">
        <v>9242</v>
      </c>
      <c r="B1554" s="52" t="s">
        <v>5598</v>
      </c>
      <c r="C1554" s="56">
        <v>45736.6875</v>
      </c>
      <c r="D1554" s="57" t="s">
        <v>2154</v>
      </c>
      <c r="E1554" s="56">
        <v>45736.729166666664</v>
      </c>
      <c r="F1554" s="53" t="s">
        <v>9243</v>
      </c>
      <c r="G1554" s="4" t="s">
        <v>135</v>
      </c>
      <c r="H1554" s="4" t="s">
        <v>1991</v>
      </c>
      <c r="K1554" s="4"/>
      <c r="L1554" s="4" t="s">
        <v>9244</v>
      </c>
    </row>
    <row r="1555">
      <c r="A1555" s="55" t="s">
        <v>9245</v>
      </c>
      <c r="B1555" s="52" t="s">
        <v>5598</v>
      </c>
      <c r="C1555" s="56">
        <v>45737.5625</v>
      </c>
      <c r="D1555" s="57" t="s">
        <v>2148</v>
      </c>
      <c r="E1555" s="56">
        <v>45737.729166666664</v>
      </c>
      <c r="F1555" s="53" t="s">
        <v>7579</v>
      </c>
      <c r="G1555" s="4" t="s">
        <v>135</v>
      </c>
      <c r="H1555" s="4" t="s">
        <v>1987</v>
      </c>
      <c r="K1555" s="4" t="s">
        <v>9246</v>
      </c>
      <c r="L1555" s="4"/>
    </row>
    <row r="1556">
      <c r="A1556" s="55" t="s">
        <v>9247</v>
      </c>
      <c r="B1556" s="52" t="s">
        <v>1427</v>
      </c>
      <c r="C1556" s="56">
        <v>45734.395833333336</v>
      </c>
      <c r="D1556" s="57" t="s">
        <v>2147</v>
      </c>
      <c r="E1556" s="56">
        <v>45734.4375</v>
      </c>
      <c r="F1556" s="53" t="s">
        <v>6189</v>
      </c>
      <c r="G1556" s="4" t="s">
        <v>27</v>
      </c>
      <c r="H1556" s="4" t="s">
        <v>1987</v>
      </c>
      <c r="K1556" s="4" t="s">
        <v>9248</v>
      </c>
      <c r="L1556" s="4"/>
    </row>
    <row r="1557">
      <c r="A1557" s="66" t="s">
        <v>9249</v>
      </c>
      <c r="B1557" s="52" t="s">
        <v>5537</v>
      </c>
      <c r="C1557" s="56">
        <v>45737.458333333336</v>
      </c>
      <c r="D1557" s="57" t="s">
        <v>2200</v>
      </c>
      <c r="E1557" s="56">
        <v>45737.583333333336</v>
      </c>
      <c r="F1557" s="53" t="s">
        <v>9250</v>
      </c>
      <c r="G1557" s="4" t="s">
        <v>27</v>
      </c>
      <c r="H1557" s="4" t="s">
        <v>1987</v>
      </c>
      <c r="K1557" s="4"/>
      <c r="L1557" s="4" t="s">
        <v>9251</v>
      </c>
    </row>
    <row r="1558">
      <c r="A1558" s="55"/>
      <c r="B1558" s="52"/>
      <c r="C1558" s="56"/>
      <c r="D1558" s="61"/>
      <c r="E1558" s="56"/>
      <c r="F1558" s="53"/>
      <c r="G1558" s="4"/>
      <c r="H1558" s="4"/>
      <c r="K1558" s="4"/>
      <c r="L1558" s="4"/>
    </row>
    <row r="1559">
      <c r="A1559" s="55" t="s">
        <v>9252</v>
      </c>
      <c r="B1559" s="52" t="s">
        <v>1427</v>
      </c>
      <c r="C1559" s="56">
        <v>45736.479166666664</v>
      </c>
      <c r="D1559" s="57" t="s">
        <v>2154</v>
      </c>
      <c r="E1559" s="56">
        <v>45736.5625</v>
      </c>
      <c r="F1559" s="53" t="s">
        <v>7424</v>
      </c>
      <c r="G1559" s="4" t="s">
        <v>27</v>
      </c>
      <c r="H1559" s="4" t="s">
        <v>1987</v>
      </c>
      <c r="K1559" s="4" t="s">
        <v>9253</v>
      </c>
      <c r="L1559" s="4"/>
    </row>
    <row r="1560">
      <c r="A1560" s="55" t="s">
        <v>9254</v>
      </c>
      <c r="B1560" s="52" t="s">
        <v>1438</v>
      </c>
      <c r="C1560" s="56">
        <v>45736.458333333336</v>
      </c>
      <c r="D1560" s="57" t="s">
        <v>6318</v>
      </c>
      <c r="E1560" s="56">
        <v>45736.479166666664</v>
      </c>
      <c r="F1560" s="53" t="s">
        <v>8933</v>
      </c>
      <c r="G1560" s="4" t="s">
        <v>110</v>
      </c>
      <c r="H1560" s="4" t="s">
        <v>1987</v>
      </c>
      <c r="K1560" s="4" t="s">
        <v>9255</v>
      </c>
      <c r="L1560" s="4"/>
    </row>
    <row r="1561">
      <c r="A1561" s="55" t="s">
        <v>9256</v>
      </c>
      <c r="B1561" s="52" t="s">
        <v>5598</v>
      </c>
      <c r="C1561" s="56">
        <v>45741.5625</v>
      </c>
      <c r="D1561" s="57" t="s">
        <v>6052</v>
      </c>
      <c r="E1561" s="56">
        <v>45741.6875</v>
      </c>
      <c r="F1561" s="53" t="s">
        <v>9257</v>
      </c>
      <c r="G1561" s="4" t="s">
        <v>135</v>
      </c>
      <c r="H1561" s="4" t="s">
        <v>1987</v>
      </c>
      <c r="K1561" s="4"/>
      <c r="L1561" s="4" t="s">
        <v>9258</v>
      </c>
    </row>
    <row r="1562">
      <c r="A1562" s="55" t="s">
        <v>9259</v>
      </c>
      <c r="B1562" s="52" t="s">
        <v>5598</v>
      </c>
      <c r="C1562" s="56">
        <v>45742.604166666664</v>
      </c>
      <c r="D1562" s="57" t="s">
        <v>6052</v>
      </c>
      <c r="E1562" s="56">
        <v>45742.729166666664</v>
      </c>
      <c r="F1562" s="53" t="s">
        <v>9257</v>
      </c>
      <c r="G1562" s="4" t="s">
        <v>135</v>
      </c>
      <c r="H1562" s="4" t="s">
        <v>1987</v>
      </c>
      <c r="K1562" s="4" t="s">
        <v>9260</v>
      </c>
      <c r="L1562" s="4" t="s">
        <v>9261</v>
      </c>
    </row>
    <row r="1563">
      <c r="A1563" s="55" t="s">
        <v>9262</v>
      </c>
      <c r="B1563" s="52" t="s">
        <v>5598</v>
      </c>
      <c r="C1563" s="56">
        <v>45743.5625</v>
      </c>
      <c r="D1563" s="57" t="s">
        <v>6052</v>
      </c>
      <c r="E1563" s="56">
        <v>45743.729166666664</v>
      </c>
      <c r="F1563" s="53" t="s">
        <v>7579</v>
      </c>
      <c r="G1563" s="4" t="s">
        <v>135</v>
      </c>
      <c r="H1563" s="4" t="s">
        <v>1987</v>
      </c>
      <c r="K1563" s="4" t="s">
        <v>9260</v>
      </c>
      <c r="L1563" s="4" t="s">
        <v>9263</v>
      </c>
    </row>
    <row r="1564">
      <c r="A1564" s="55" t="s">
        <v>9264</v>
      </c>
      <c r="B1564" s="52" t="s">
        <v>6057</v>
      </c>
      <c r="C1564" s="56">
        <v>45741.333333333336</v>
      </c>
      <c r="D1564" s="57" t="s">
        <v>6052</v>
      </c>
      <c r="E1564" s="56">
        <v>45741.541666666664</v>
      </c>
      <c r="F1564" s="53" t="s">
        <v>1472</v>
      </c>
      <c r="G1564" s="4" t="s">
        <v>110</v>
      </c>
      <c r="H1564" s="4" t="s">
        <v>1987</v>
      </c>
      <c r="K1564" s="4"/>
      <c r="L1564" s="4" t="s">
        <v>9265</v>
      </c>
    </row>
    <row r="1565">
      <c r="A1565" s="55" t="s">
        <v>9266</v>
      </c>
      <c r="B1565" s="52" t="s">
        <v>5652</v>
      </c>
      <c r="C1565" s="56">
        <v>45742.333333333336</v>
      </c>
      <c r="D1565" s="57" t="s">
        <v>2147</v>
      </c>
      <c r="E1565" s="56">
        <v>45742.395833333336</v>
      </c>
      <c r="F1565" s="53" t="s">
        <v>1472</v>
      </c>
      <c r="G1565" s="4" t="s">
        <v>110</v>
      </c>
      <c r="H1565" s="4" t="s">
        <v>1987</v>
      </c>
      <c r="K1565" s="4" t="s">
        <v>9267</v>
      </c>
      <c r="L1565" s="4" t="s">
        <v>9268</v>
      </c>
    </row>
    <row r="1566">
      <c r="A1566" s="55" t="s">
        <v>9269</v>
      </c>
      <c r="B1566" s="52" t="s">
        <v>5384</v>
      </c>
      <c r="C1566" s="56">
        <v>45741.6875</v>
      </c>
      <c r="D1566" s="57" t="s">
        <v>2147</v>
      </c>
      <c r="E1566" s="56">
        <v>45741.729166666664</v>
      </c>
      <c r="F1566" s="53" t="s">
        <v>9270</v>
      </c>
      <c r="G1566" s="4" t="s">
        <v>135</v>
      </c>
      <c r="H1566" s="4" t="s">
        <v>1987</v>
      </c>
      <c r="K1566" s="4" t="s">
        <v>9271</v>
      </c>
      <c r="L1566" s="4" t="s">
        <v>9272</v>
      </c>
    </row>
    <row r="1567">
      <c r="A1567" s="55" t="s">
        <v>9273</v>
      </c>
      <c r="B1567" s="52" t="s">
        <v>5384</v>
      </c>
      <c r="C1567" s="56">
        <v>45742.5625</v>
      </c>
      <c r="D1567" s="57" t="s">
        <v>2147</v>
      </c>
      <c r="E1567" s="56">
        <v>45742.604166666664</v>
      </c>
      <c r="F1567" s="53" t="s">
        <v>9274</v>
      </c>
      <c r="G1567" s="4" t="s">
        <v>135</v>
      </c>
      <c r="H1567" s="4" t="s">
        <v>1991</v>
      </c>
      <c r="K1567" s="4" t="s">
        <v>9260</v>
      </c>
      <c r="L1567" s="4" t="s">
        <v>9275</v>
      </c>
    </row>
    <row r="1568">
      <c r="A1568" s="55" t="s">
        <v>9276</v>
      </c>
      <c r="B1568" s="52" t="s">
        <v>5652</v>
      </c>
      <c r="C1568" s="56">
        <v>45743.333333333336</v>
      </c>
      <c r="D1568" s="57" t="s">
        <v>6052</v>
      </c>
      <c r="E1568" s="56">
        <v>45743.541666666664</v>
      </c>
      <c r="F1568" s="52" t="s">
        <v>9277</v>
      </c>
      <c r="G1568" s="4" t="s">
        <v>110</v>
      </c>
      <c r="H1568" s="4" t="s">
        <v>1987</v>
      </c>
      <c r="K1568" s="4" t="s">
        <v>9278</v>
      </c>
      <c r="L1568" s="4" t="s">
        <v>9279</v>
      </c>
    </row>
    <row r="1569">
      <c r="A1569" s="55"/>
      <c r="B1569" s="52"/>
      <c r="C1569" s="56"/>
      <c r="D1569" s="61"/>
      <c r="E1569" s="56"/>
      <c r="F1569" s="52"/>
      <c r="G1569" s="4"/>
      <c r="H1569" s="4"/>
      <c r="K1569" s="4"/>
      <c r="L1569" s="4"/>
    </row>
    <row r="1570">
      <c r="A1570" s="55" t="s">
        <v>9280</v>
      </c>
      <c r="B1570" s="52" t="s">
        <v>5652</v>
      </c>
      <c r="C1570" s="56">
        <v>45742.395833333336</v>
      </c>
      <c r="D1570" s="57" t="s">
        <v>2147</v>
      </c>
      <c r="E1570" s="56">
        <v>45742.4375</v>
      </c>
      <c r="F1570" s="52" t="s">
        <v>6189</v>
      </c>
      <c r="G1570" s="4" t="s">
        <v>110</v>
      </c>
      <c r="H1570" s="4" t="s">
        <v>1991</v>
      </c>
      <c r="K1570" s="4" t="s">
        <v>9281</v>
      </c>
    </row>
    <row r="1571">
      <c r="A1571" s="55" t="s">
        <v>9282</v>
      </c>
      <c r="B1571" s="52" t="s">
        <v>5652</v>
      </c>
      <c r="C1571" s="56">
        <v>45742.4375</v>
      </c>
      <c r="D1571" s="57" t="s">
        <v>2154</v>
      </c>
      <c r="E1571" s="56">
        <v>45742.541666666664</v>
      </c>
      <c r="F1571" s="52" t="s">
        <v>6627</v>
      </c>
      <c r="G1571" s="4" t="s">
        <v>110</v>
      </c>
      <c r="H1571" s="4" t="s">
        <v>1987</v>
      </c>
      <c r="K1571" s="4" t="s">
        <v>9283</v>
      </c>
    </row>
    <row r="1572">
      <c r="A1572" s="55" t="s">
        <v>9284</v>
      </c>
      <c r="B1572" s="52" t="s">
        <v>1427</v>
      </c>
      <c r="C1572" s="56">
        <v>45741.375</v>
      </c>
      <c r="D1572" s="57" t="s">
        <v>6052</v>
      </c>
      <c r="E1572" s="56">
        <v>45741.583333333336</v>
      </c>
      <c r="F1572" s="52" t="s">
        <v>7424</v>
      </c>
      <c r="G1572" s="4" t="s">
        <v>27</v>
      </c>
      <c r="H1572" s="4" t="s">
        <v>1987</v>
      </c>
      <c r="K1572" s="4"/>
      <c r="L1572" s="4" t="s">
        <v>9285</v>
      </c>
    </row>
    <row r="1573">
      <c r="A1573" s="55" t="s">
        <v>9286</v>
      </c>
      <c r="B1573" s="52" t="s">
        <v>1427</v>
      </c>
      <c r="C1573" s="56">
        <v>45743.375</v>
      </c>
      <c r="D1573" s="57" t="s">
        <v>6052</v>
      </c>
      <c r="E1573" s="56">
        <v>45743.5625</v>
      </c>
      <c r="F1573" s="52" t="s">
        <v>7424</v>
      </c>
      <c r="G1573" s="4" t="s">
        <v>27</v>
      </c>
      <c r="H1573" s="4" t="s">
        <v>1987</v>
      </c>
      <c r="K1573" s="4" t="s">
        <v>9287</v>
      </c>
      <c r="L1573" s="4" t="s">
        <v>9288</v>
      </c>
    </row>
    <row r="1574">
      <c r="A1574" s="55"/>
      <c r="B1574" s="52"/>
      <c r="C1574" s="56"/>
      <c r="D1574" s="61"/>
      <c r="E1574" s="56"/>
      <c r="F1574" s="52"/>
      <c r="G1574" s="4"/>
      <c r="H1574" s="4"/>
      <c r="K1574" s="4"/>
      <c r="L1574" s="4"/>
    </row>
    <row r="1575">
      <c r="A1575" s="55" t="s">
        <v>9289</v>
      </c>
      <c r="B1575" s="52" t="s">
        <v>5537</v>
      </c>
      <c r="C1575" s="56">
        <v>45744.541666666664</v>
      </c>
      <c r="D1575" s="57" t="s">
        <v>2147</v>
      </c>
      <c r="E1575" s="56">
        <v>45744.583333333336</v>
      </c>
      <c r="F1575" s="52" t="s">
        <v>9290</v>
      </c>
      <c r="G1575" s="4" t="s">
        <v>27</v>
      </c>
      <c r="H1575" s="4" t="s">
        <v>1991</v>
      </c>
      <c r="K1575" s="4" t="s">
        <v>9291</v>
      </c>
      <c r="L1575" s="4"/>
    </row>
    <row r="1576">
      <c r="A1576" s="55" t="s">
        <v>9292</v>
      </c>
      <c r="B1576" s="52" t="s">
        <v>5537</v>
      </c>
      <c r="C1576" s="56">
        <v>45744.333333333336</v>
      </c>
      <c r="D1576" s="57" t="s">
        <v>6318</v>
      </c>
      <c r="E1576" s="56">
        <v>45744.354166666664</v>
      </c>
      <c r="F1576" s="52" t="s">
        <v>9293</v>
      </c>
      <c r="G1576" s="4" t="s">
        <v>110</v>
      </c>
      <c r="H1576" s="4" t="s">
        <v>1987</v>
      </c>
      <c r="K1576" s="4" t="s">
        <v>9294</v>
      </c>
      <c r="L1576" s="4"/>
    </row>
    <row r="1577">
      <c r="A1577" s="55" t="s">
        <v>9295</v>
      </c>
      <c r="B1577" s="52" t="s">
        <v>5652</v>
      </c>
      <c r="C1577" s="56">
        <v>45744.5</v>
      </c>
      <c r="D1577" s="57" t="s">
        <v>2147</v>
      </c>
      <c r="E1577" s="56">
        <v>45744.541666666664</v>
      </c>
      <c r="F1577" s="52" t="s">
        <v>6216</v>
      </c>
      <c r="G1577" s="4" t="s">
        <v>110</v>
      </c>
      <c r="H1577" s="4" t="s">
        <v>1991</v>
      </c>
      <c r="K1577" s="4" t="s">
        <v>9296</v>
      </c>
      <c r="L1577" s="4" t="s">
        <v>9297</v>
      </c>
    </row>
    <row r="1578">
      <c r="A1578" s="55" t="s">
        <v>9298</v>
      </c>
      <c r="B1578" s="52" t="s">
        <v>5652</v>
      </c>
      <c r="C1578" s="56">
        <v>45744.375</v>
      </c>
      <c r="D1578" s="57" t="s">
        <v>2200</v>
      </c>
      <c r="E1578" s="56">
        <v>45744.5</v>
      </c>
      <c r="F1578" s="52" t="s">
        <v>6216</v>
      </c>
      <c r="G1578" s="4" t="s">
        <v>110</v>
      </c>
      <c r="H1578" s="4" t="s">
        <v>1987</v>
      </c>
      <c r="K1578" s="4" t="s">
        <v>9299</v>
      </c>
      <c r="L1578" s="4"/>
    </row>
    <row r="1579">
      <c r="A1579" s="55" t="s">
        <v>9300</v>
      </c>
      <c r="B1579" s="52" t="s">
        <v>1540</v>
      </c>
      <c r="C1579" s="56">
        <v>45744.354166666664</v>
      </c>
      <c r="D1579" s="57" t="s">
        <v>6318</v>
      </c>
      <c r="E1579" s="56">
        <v>45744.375</v>
      </c>
      <c r="F1579" s="52" t="s">
        <v>9301</v>
      </c>
      <c r="G1579" s="4" t="s">
        <v>110</v>
      </c>
      <c r="H1579" s="4" t="s">
        <v>1987</v>
      </c>
      <c r="K1579" s="4" t="s">
        <v>9302</v>
      </c>
      <c r="L1579" s="4"/>
    </row>
    <row r="1580">
      <c r="A1580" s="55" t="s">
        <v>9303</v>
      </c>
      <c r="B1580" s="52" t="s">
        <v>5598</v>
      </c>
      <c r="C1580" s="56">
        <v>45744.5625</v>
      </c>
      <c r="D1580" s="57" t="s">
        <v>2154</v>
      </c>
      <c r="E1580" s="56">
        <v>45744.729166666664</v>
      </c>
      <c r="F1580" s="52" t="s">
        <v>7579</v>
      </c>
      <c r="G1580" s="4" t="s">
        <v>135</v>
      </c>
      <c r="H1580" s="4" t="s">
        <v>1987</v>
      </c>
      <c r="K1580" s="4" t="s">
        <v>9304</v>
      </c>
      <c r="L1580" s="4" t="s">
        <v>9305</v>
      </c>
    </row>
    <row r="1581">
      <c r="A1581" s="55"/>
      <c r="B1581" s="52"/>
      <c r="C1581" s="56"/>
      <c r="D1581" s="61"/>
      <c r="E1581" s="56"/>
      <c r="F1581" s="52"/>
      <c r="G1581" s="4"/>
      <c r="H1581" s="4"/>
      <c r="K1581" s="4"/>
      <c r="L1581" s="4"/>
    </row>
    <row r="1582">
      <c r="A1582" s="55" t="s">
        <v>9306</v>
      </c>
      <c r="B1582" s="52" t="s">
        <v>5384</v>
      </c>
      <c r="C1582" s="56">
        <v>45748.5625</v>
      </c>
      <c r="D1582" s="57" t="s">
        <v>2147</v>
      </c>
      <c r="E1582" s="56">
        <v>45748.604166666664</v>
      </c>
      <c r="F1582" s="52" t="s">
        <v>9307</v>
      </c>
      <c r="G1582" s="4" t="s">
        <v>135</v>
      </c>
      <c r="H1582" s="4" t="s">
        <v>1991</v>
      </c>
      <c r="K1582" s="4" t="s">
        <v>9308</v>
      </c>
      <c r="L1582" s="4" t="s">
        <v>9309</v>
      </c>
    </row>
    <row r="1583">
      <c r="A1583" s="55" t="s">
        <v>9310</v>
      </c>
      <c r="B1583" s="52" t="s">
        <v>5598</v>
      </c>
      <c r="C1583" s="56">
        <v>45747.5625</v>
      </c>
      <c r="D1583" s="57" t="s">
        <v>2200</v>
      </c>
      <c r="E1583" s="56">
        <v>45747.729166666664</v>
      </c>
      <c r="F1583" s="52" t="s">
        <v>9311</v>
      </c>
      <c r="G1583" s="4" t="s">
        <v>135</v>
      </c>
      <c r="H1583" s="4" t="s">
        <v>1987</v>
      </c>
      <c r="K1583" s="4" t="s">
        <v>9312</v>
      </c>
      <c r="L1583" s="4" t="s">
        <v>9313</v>
      </c>
    </row>
    <row r="1584">
      <c r="A1584" s="55" t="s">
        <v>9314</v>
      </c>
      <c r="B1584" s="52" t="s">
        <v>5598</v>
      </c>
      <c r="C1584" s="56">
        <v>45747.583333333336</v>
      </c>
      <c r="D1584" s="57" t="s">
        <v>2148</v>
      </c>
      <c r="E1584" s="56">
        <v>45747.75</v>
      </c>
      <c r="F1584" s="52" t="s">
        <v>9315</v>
      </c>
      <c r="G1584" s="4" t="s">
        <v>27</v>
      </c>
      <c r="H1584" s="4" t="s">
        <v>1991</v>
      </c>
      <c r="K1584" s="4" t="s">
        <v>9316</v>
      </c>
      <c r="L1584" s="4" t="s">
        <v>9317</v>
      </c>
    </row>
    <row r="1585">
      <c r="A1585" s="55" t="s">
        <v>9318</v>
      </c>
      <c r="B1585" s="52" t="s">
        <v>5652</v>
      </c>
      <c r="C1585" s="56">
        <v>45748.666666666664</v>
      </c>
      <c r="D1585" s="57" t="s">
        <v>2148</v>
      </c>
      <c r="E1585" s="56">
        <v>45748.729166666664</v>
      </c>
      <c r="F1585" s="52" t="s">
        <v>9319</v>
      </c>
      <c r="G1585" s="4" t="s">
        <v>135</v>
      </c>
      <c r="H1585" s="4" t="s">
        <v>1987</v>
      </c>
      <c r="K1585" s="4" t="s">
        <v>9320</v>
      </c>
      <c r="L1585" s="4" t="s">
        <v>9321</v>
      </c>
    </row>
    <row r="1586">
      <c r="A1586" s="55"/>
      <c r="B1586" s="52"/>
      <c r="C1586" s="56"/>
      <c r="D1586" s="61"/>
      <c r="E1586" s="56"/>
      <c r="F1586" s="52"/>
      <c r="G1586" s="4"/>
      <c r="H1586" s="4"/>
      <c r="K1586" s="4"/>
      <c r="L1586" s="4"/>
    </row>
    <row r="1587">
      <c r="A1587" s="55" t="s">
        <v>9322</v>
      </c>
      <c r="B1587" s="52" t="s">
        <v>1438</v>
      </c>
      <c r="C1587" s="56">
        <v>45750.5625</v>
      </c>
      <c r="D1587" s="57" t="s">
        <v>2148</v>
      </c>
      <c r="E1587" s="56">
        <v>45750.729166666664</v>
      </c>
      <c r="F1587" s="52" t="s">
        <v>9323</v>
      </c>
      <c r="G1587" s="4" t="s">
        <v>135</v>
      </c>
      <c r="H1587" s="4" t="s">
        <v>1987</v>
      </c>
      <c r="K1587" s="4" t="s">
        <v>9324</v>
      </c>
      <c r="L1587" s="4" t="s">
        <v>9325</v>
      </c>
    </row>
    <row r="1588">
      <c r="A1588" s="55" t="s">
        <v>9326</v>
      </c>
      <c r="B1588" s="52" t="s">
        <v>1438</v>
      </c>
      <c r="C1588" s="56">
        <v>45751.5625</v>
      </c>
      <c r="D1588" s="57" t="s">
        <v>2148</v>
      </c>
      <c r="E1588" s="56">
        <v>45751.729166666664</v>
      </c>
      <c r="F1588" s="52" t="s">
        <v>9323</v>
      </c>
      <c r="G1588" s="4" t="s">
        <v>135</v>
      </c>
      <c r="H1588" s="4" t="s">
        <v>1987</v>
      </c>
      <c r="K1588" s="4" t="s">
        <v>9327</v>
      </c>
      <c r="L1588" s="4" t="s">
        <v>9328</v>
      </c>
    </row>
    <row r="1589">
      <c r="A1589" s="55" t="s">
        <v>9329</v>
      </c>
      <c r="B1589" s="52" t="s">
        <v>5619</v>
      </c>
      <c r="C1589" s="56">
        <v>45748.604166666664</v>
      </c>
      <c r="D1589" s="57" t="s">
        <v>2154</v>
      </c>
      <c r="E1589" s="56">
        <v>45748.666666666664</v>
      </c>
      <c r="F1589" s="52" t="s">
        <v>9330</v>
      </c>
      <c r="G1589" s="4" t="s">
        <v>135</v>
      </c>
      <c r="H1589" s="4" t="s">
        <v>1987</v>
      </c>
      <c r="K1589" s="4"/>
      <c r="L1589" s="4" t="s">
        <v>9331</v>
      </c>
    </row>
    <row r="1590">
      <c r="A1590" s="55" t="s">
        <v>9332</v>
      </c>
      <c r="B1590" s="52" t="s">
        <v>1438</v>
      </c>
      <c r="C1590" s="56">
        <v>45744.626388888886</v>
      </c>
      <c r="D1590" s="57" t="s">
        <v>2147</v>
      </c>
      <c r="E1590" s="56">
        <v>45744.66805555556</v>
      </c>
      <c r="F1590" s="52" t="s">
        <v>9333</v>
      </c>
      <c r="G1590" s="4" t="s">
        <v>27</v>
      </c>
      <c r="H1590" s="4" t="s">
        <v>1987</v>
      </c>
      <c r="K1590" s="4" t="s">
        <v>9334</v>
      </c>
      <c r="L1590" s="4"/>
    </row>
    <row r="1591">
      <c r="A1591" s="55" t="s">
        <v>9335</v>
      </c>
      <c r="B1591" s="52" t="s">
        <v>5652</v>
      </c>
      <c r="C1591" s="56">
        <v>45747.416666666664</v>
      </c>
      <c r="D1591" s="57" t="s">
        <v>2200</v>
      </c>
      <c r="E1591" s="56">
        <v>45747.541666666664</v>
      </c>
      <c r="F1591" s="52" t="s">
        <v>9336</v>
      </c>
      <c r="G1591" s="4" t="s">
        <v>110</v>
      </c>
      <c r="H1591" s="4" t="s">
        <v>1987</v>
      </c>
      <c r="K1591" s="4" t="s">
        <v>9337</v>
      </c>
      <c r="L1591" s="4"/>
    </row>
    <row r="1592">
      <c r="A1592" s="55" t="s">
        <v>9338</v>
      </c>
      <c r="B1592" s="52" t="s">
        <v>1540</v>
      </c>
      <c r="C1592" s="56">
        <v>45748.333333333336</v>
      </c>
      <c r="D1592" s="57" t="s">
        <v>2148</v>
      </c>
      <c r="E1592" s="56">
        <v>45748.5</v>
      </c>
      <c r="F1592" s="52" t="s">
        <v>6370</v>
      </c>
      <c r="G1592" s="4" t="s">
        <v>110</v>
      </c>
      <c r="H1592" s="4" t="s">
        <v>1987</v>
      </c>
      <c r="K1592" s="4" t="s">
        <v>9339</v>
      </c>
      <c r="L1592" s="4" t="s">
        <v>9340</v>
      </c>
    </row>
    <row r="1593">
      <c r="A1593" s="55" t="s">
        <v>9341</v>
      </c>
      <c r="B1593" s="52" t="s">
        <v>1540</v>
      </c>
      <c r="C1593" s="56">
        <v>45750.5</v>
      </c>
      <c r="D1593" s="57" t="s">
        <v>2147</v>
      </c>
      <c r="E1593" s="56">
        <v>45750.541666666664</v>
      </c>
      <c r="F1593" s="52" t="s">
        <v>9342</v>
      </c>
      <c r="G1593" s="4" t="s">
        <v>110</v>
      </c>
      <c r="H1593" s="4" t="s">
        <v>1987</v>
      </c>
      <c r="K1593" s="4" t="s">
        <v>9343</v>
      </c>
      <c r="L1593" s="4" t="s">
        <v>9344</v>
      </c>
    </row>
    <row r="1594">
      <c r="A1594" s="55" t="s">
        <v>9345</v>
      </c>
      <c r="B1594" s="52" t="s">
        <v>1540</v>
      </c>
      <c r="C1594" s="56">
        <v>45751.333333333336</v>
      </c>
      <c r="D1594" s="57" t="s">
        <v>6052</v>
      </c>
      <c r="E1594" s="56">
        <v>45751.541666666664</v>
      </c>
      <c r="F1594" s="52" t="s">
        <v>9342</v>
      </c>
      <c r="G1594" s="4" t="s">
        <v>110</v>
      </c>
      <c r="H1594" s="4" t="s">
        <v>1987</v>
      </c>
      <c r="K1594" s="4" t="s">
        <v>9346</v>
      </c>
      <c r="L1594" s="4"/>
    </row>
    <row r="1595">
      <c r="A1595" s="55" t="s">
        <v>9347</v>
      </c>
      <c r="B1595" s="52" t="s">
        <v>1540</v>
      </c>
      <c r="C1595" s="56">
        <v>45754.333333333336</v>
      </c>
      <c r="D1595" s="57" t="s">
        <v>6052</v>
      </c>
      <c r="E1595" s="56">
        <v>45754.458333333336</v>
      </c>
      <c r="F1595" s="52" t="s">
        <v>9342</v>
      </c>
      <c r="G1595" s="4" t="s">
        <v>110</v>
      </c>
      <c r="H1595" s="4" t="s">
        <v>1987</v>
      </c>
      <c r="K1595" s="4" t="s">
        <v>9348</v>
      </c>
      <c r="L1595" s="4" t="s">
        <v>9349</v>
      </c>
    </row>
    <row r="1596">
      <c r="A1596" s="55" t="s">
        <v>9350</v>
      </c>
      <c r="B1596" s="52" t="s">
        <v>5559</v>
      </c>
      <c r="C1596" s="56">
        <v>45747.333333333336</v>
      </c>
      <c r="D1596" s="57" t="s">
        <v>2154</v>
      </c>
      <c r="E1596" s="56">
        <v>45747.395833333336</v>
      </c>
      <c r="F1596" s="52" t="s">
        <v>6120</v>
      </c>
      <c r="G1596" s="4" t="s">
        <v>110</v>
      </c>
      <c r="H1596" s="4" t="s">
        <v>1987</v>
      </c>
      <c r="K1596" s="4" t="s">
        <v>9351</v>
      </c>
      <c r="L1596" s="4"/>
    </row>
    <row r="1597">
      <c r="A1597" s="55" t="s">
        <v>9352</v>
      </c>
      <c r="B1597" s="52" t="s">
        <v>1540</v>
      </c>
      <c r="C1597" s="56">
        <v>45747.791666666664</v>
      </c>
      <c r="D1597" s="57" t="s">
        <v>2147</v>
      </c>
      <c r="E1597" s="56">
        <v>45747.833333333336</v>
      </c>
      <c r="F1597" s="52" t="s">
        <v>7279</v>
      </c>
      <c r="G1597" s="4" t="s">
        <v>110</v>
      </c>
      <c r="H1597" s="4" t="s">
        <v>1987</v>
      </c>
      <c r="K1597" s="4" t="s">
        <v>9353</v>
      </c>
      <c r="L1597" s="4"/>
    </row>
    <row r="1598">
      <c r="A1598" s="55" t="s">
        <v>9354</v>
      </c>
      <c r="B1598" s="52" t="s">
        <v>5537</v>
      </c>
      <c r="C1598" s="56">
        <v>45748.5</v>
      </c>
      <c r="D1598" s="57" t="s">
        <v>2147</v>
      </c>
      <c r="E1598" s="56">
        <v>45748.541666666664</v>
      </c>
      <c r="F1598" s="52" t="s">
        <v>9355</v>
      </c>
      <c r="G1598" s="4" t="s">
        <v>110</v>
      </c>
      <c r="H1598" s="4" t="s">
        <v>1987</v>
      </c>
      <c r="K1598" s="4" t="s">
        <v>9356</v>
      </c>
      <c r="L1598" s="4"/>
    </row>
    <row r="1599">
      <c r="A1599" s="55" t="s">
        <v>9357</v>
      </c>
      <c r="B1599" s="52" t="s">
        <v>1427</v>
      </c>
      <c r="C1599" s="56">
        <v>45748.395833333336</v>
      </c>
      <c r="D1599" s="57" t="s">
        <v>2148</v>
      </c>
      <c r="E1599" s="56">
        <v>45748.5625</v>
      </c>
      <c r="F1599" s="52" t="s">
        <v>6231</v>
      </c>
      <c r="G1599" s="4" t="s">
        <v>27</v>
      </c>
      <c r="H1599" s="4" t="s">
        <v>1987</v>
      </c>
      <c r="K1599" s="4" t="s">
        <v>9358</v>
      </c>
      <c r="L1599" s="4"/>
    </row>
    <row r="1600">
      <c r="A1600" s="55" t="s">
        <v>9359</v>
      </c>
      <c r="B1600" s="52" t="s">
        <v>1540</v>
      </c>
      <c r="C1600" s="56">
        <v>45747.791666666664</v>
      </c>
      <c r="D1600" s="57" t="s">
        <v>2147</v>
      </c>
      <c r="E1600" s="56">
        <v>45747.833333333336</v>
      </c>
      <c r="F1600" s="52" t="s">
        <v>7279</v>
      </c>
      <c r="G1600" s="4" t="s">
        <v>27</v>
      </c>
      <c r="H1600" s="4" t="s">
        <v>1987</v>
      </c>
      <c r="K1600" s="4" t="s">
        <v>9360</v>
      </c>
      <c r="L1600" s="4"/>
    </row>
    <row r="1601">
      <c r="A1601" s="55" t="s">
        <v>9361</v>
      </c>
      <c r="B1601" s="52" t="s">
        <v>5559</v>
      </c>
      <c r="C1601" s="56">
        <v>45750.416666666664</v>
      </c>
      <c r="D1601" s="57" t="s">
        <v>2154</v>
      </c>
      <c r="E1601" s="56">
        <v>45750.458333333336</v>
      </c>
      <c r="F1601" s="52" t="s">
        <v>6189</v>
      </c>
      <c r="G1601" s="4" t="s">
        <v>110</v>
      </c>
      <c r="H1601" s="4" t="s">
        <v>1991</v>
      </c>
      <c r="K1601" s="4" t="s">
        <v>9362</v>
      </c>
      <c r="L1601" s="4" t="s">
        <v>9363</v>
      </c>
    </row>
    <row r="1602">
      <c r="A1602" s="55" t="s">
        <v>9364</v>
      </c>
      <c r="B1602" s="52" t="s">
        <v>5559</v>
      </c>
      <c r="C1602" s="56">
        <v>45750.375</v>
      </c>
      <c r="D1602" s="57" t="s">
        <v>2147</v>
      </c>
      <c r="E1602" s="56">
        <v>45750.416666666664</v>
      </c>
      <c r="F1602" s="52" t="s">
        <v>8090</v>
      </c>
      <c r="G1602" s="4" t="s">
        <v>110</v>
      </c>
      <c r="H1602" s="4" t="s">
        <v>1987</v>
      </c>
      <c r="K1602" s="4" t="s">
        <v>9365</v>
      </c>
      <c r="L1602" s="4"/>
    </row>
    <row r="1603">
      <c r="A1603" s="55" t="s">
        <v>9366</v>
      </c>
      <c r="B1603" s="52" t="s">
        <v>1540</v>
      </c>
      <c r="C1603" s="56">
        <v>45750.333333333336</v>
      </c>
      <c r="D1603" s="57" t="s">
        <v>2147</v>
      </c>
      <c r="E1603" s="56">
        <v>45750.375</v>
      </c>
      <c r="F1603" s="52" t="s">
        <v>6370</v>
      </c>
      <c r="G1603" s="4" t="s">
        <v>110</v>
      </c>
      <c r="H1603" s="4" t="s">
        <v>1987</v>
      </c>
      <c r="K1603" s="4" t="s">
        <v>9367</v>
      </c>
      <c r="L1603" s="4"/>
    </row>
    <row r="1604">
      <c r="A1604" s="55" t="s">
        <v>9368</v>
      </c>
      <c r="B1604" s="52" t="s">
        <v>5559</v>
      </c>
      <c r="C1604" s="56">
        <v>45750.458333333336</v>
      </c>
      <c r="D1604" s="57" t="s">
        <v>2147</v>
      </c>
      <c r="E1604" s="56">
        <v>45750.5</v>
      </c>
      <c r="F1604" s="52" t="s">
        <v>9369</v>
      </c>
      <c r="G1604" s="4" t="s">
        <v>110</v>
      </c>
      <c r="H1604" s="4" t="s">
        <v>1987</v>
      </c>
      <c r="K1604" s="4" t="s">
        <v>9370</v>
      </c>
      <c r="L1604" s="4"/>
    </row>
    <row r="1605">
      <c r="A1605" s="55" t="s">
        <v>9371</v>
      </c>
      <c r="B1605" s="52" t="s">
        <v>1554</v>
      </c>
      <c r="C1605" s="56">
        <v>45754.5625</v>
      </c>
      <c r="D1605" s="57" t="s">
        <v>2147</v>
      </c>
      <c r="E1605" s="56">
        <v>45754.604166666664</v>
      </c>
      <c r="F1605" s="52" t="s">
        <v>7573</v>
      </c>
      <c r="G1605" s="4" t="s">
        <v>27</v>
      </c>
      <c r="H1605" s="4" t="s">
        <v>1991</v>
      </c>
      <c r="K1605" s="4" t="s">
        <v>9372</v>
      </c>
      <c r="L1605" s="4"/>
    </row>
    <row r="1606">
      <c r="A1606" s="55" t="s">
        <v>9373</v>
      </c>
      <c r="B1606" s="52" t="s">
        <v>5619</v>
      </c>
      <c r="C1606" s="56">
        <v>45751.66388888889</v>
      </c>
      <c r="D1606" s="57" t="s">
        <v>2147</v>
      </c>
      <c r="E1606" s="56">
        <v>45751.705555555556</v>
      </c>
      <c r="F1606" s="52" t="s">
        <v>9374</v>
      </c>
      <c r="G1606" s="4" t="s">
        <v>27</v>
      </c>
      <c r="H1606" s="4" t="s">
        <v>1987</v>
      </c>
      <c r="K1606" s="4" t="s">
        <v>9375</v>
      </c>
      <c r="L1606" s="4"/>
    </row>
    <row r="1607">
      <c r="A1607" s="55" t="s">
        <v>9376</v>
      </c>
      <c r="B1607" s="52" t="s">
        <v>1427</v>
      </c>
      <c r="C1607" s="56">
        <v>45754.375</v>
      </c>
      <c r="D1607" s="57" t="s">
        <v>2147</v>
      </c>
      <c r="E1607" s="56">
        <v>45754.4375</v>
      </c>
      <c r="F1607" s="52" t="s">
        <v>9377</v>
      </c>
      <c r="G1607" s="4" t="s">
        <v>27</v>
      </c>
      <c r="H1607" s="4" t="s">
        <v>1987</v>
      </c>
      <c r="K1607" s="4" t="s">
        <v>9378</v>
      </c>
      <c r="L1607" s="4"/>
    </row>
    <row r="1608">
      <c r="A1608" s="55" t="s">
        <v>9379</v>
      </c>
      <c r="B1608" s="52" t="s">
        <v>1540</v>
      </c>
      <c r="C1608" s="56">
        <v>45755.333333333336</v>
      </c>
      <c r="D1608" s="57" t="s">
        <v>2154</v>
      </c>
      <c r="E1608" s="56">
        <v>45755.520833333336</v>
      </c>
      <c r="F1608" s="52" t="s">
        <v>9380</v>
      </c>
      <c r="G1608" s="4" t="s">
        <v>110</v>
      </c>
      <c r="H1608" s="4" t="s">
        <v>1987</v>
      </c>
      <c r="K1608" s="4"/>
      <c r="L1608" s="4" t="s">
        <v>9381</v>
      </c>
    </row>
    <row r="1609">
      <c r="A1609" s="55" t="s">
        <v>9382</v>
      </c>
      <c r="B1609" s="52" t="s">
        <v>5559</v>
      </c>
      <c r="C1609" s="56">
        <v>45754.458333333336</v>
      </c>
      <c r="D1609" s="57" t="s">
        <v>2147</v>
      </c>
      <c r="E1609" s="56">
        <v>45754.5</v>
      </c>
      <c r="F1609" s="52" t="s">
        <v>9383</v>
      </c>
      <c r="G1609" s="4" t="s">
        <v>110</v>
      </c>
      <c r="H1609" s="4" t="s">
        <v>1987</v>
      </c>
      <c r="K1609" s="4" t="s">
        <v>9384</v>
      </c>
      <c r="L1609" s="4"/>
    </row>
    <row r="1610">
      <c r="A1610" s="55"/>
      <c r="B1610" s="52"/>
      <c r="C1610" s="56"/>
      <c r="D1610" s="61"/>
      <c r="E1610" s="56"/>
      <c r="F1610" s="52"/>
      <c r="G1610" s="4"/>
      <c r="H1610" s="4"/>
      <c r="K1610" s="4"/>
      <c r="L1610" s="4"/>
    </row>
    <row r="1611">
      <c r="A1611" s="55" t="s">
        <v>9385</v>
      </c>
      <c r="B1611" s="52" t="s">
        <v>5559</v>
      </c>
      <c r="C1611" s="56">
        <v>45756.333333333336</v>
      </c>
      <c r="D1611" s="57" t="s">
        <v>2200</v>
      </c>
      <c r="E1611" s="56">
        <v>45756.52777777778</v>
      </c>
      <c r="F1611" s="52" t="s">
        <v>8090</v>
      </c>
      <c r="G1611" s="4" t="s">
        <v>110</v>
      </c>
      <c r="H1611" s="4" t="s">
        <v>1987</v>
      </c>
      <c r="K1611" s="4" t="s">
        <v>9386</v>
      </c>
      <c r="L1611" s="4" t="s">
        <v>9387</v>
      </c>
    </row>
    <row r="1612">
      <c r="A1612" s="55" t="s">
        <v>9388</v>
      </c>
      <c r="B1612" s="52" t="s">
        <v>5559</v>
      </c>
      <c r="C1612" s="56">
        <v>45757.333333333336</v>
      </c>
      <c r="D1612" s="57" t="s">
        <v>2200</v>
      </c>
      <c r="E1612" s="56">
        <v>45757.541666666664</v>
      </c>
      <c r="F1612" s="52" t="s">
        <v>8090</v>
      </c>
      <c r="G1612" s="4" t="s">
        <v>110</v>
      </c>
      <c r="H1612" s="4" t="s">
        <v>1987</v>
      </c>
      <c r="K1612" s="4" t="s">
        <v>9389</v>
      </c>
      <c r="L1612" s="4"/>
    </row>
    <row r="1613">
      <c r="A1613" s="55"/>
      <c r="B1613" s="52"/>
      <c r="C1613" s="56"/>
      <c r="D1613" s="61"/>
      <c r="E1613" s="56"/>
      <c r="F1613" s="52"/>
      <c r="G1613" s="4"/>
      <c r="H1613" s="4"/>
      <c r="K1613" s="4"/>
      <c r="L1613" s="4"/>
    </row>
    <row r="1614">
      <c r="A1614" s="55" t="s">
        <v>9390</v>
      </c>
      <c r="B1614" s="52" t="s">
        <v>5559</v>
      </c>
      <c r="C1614" s="56">
        <v>45758.333333333336</v>
      </c>
      <c r="D1614" s="57" t="s">
        <v>2200</v>
      </c>
      <c r="E1614" s="56">
        <v>45758.541666666664</v>
      </c>
      <c r="F1614" s="52" t="s">
        <v>8090</v>
      </c>
      <c r="G1614" s="4" t="s">
        <v>110</v>
      </c>
      <c r="H1614" s="4" t="s">
        <v>1987</v>
      </c>
      <c r="K1614" s="4" t="s">
        <v>9391</v>
      </c>
      <c r="L1614" s="4" t="s">
        <v>9392</v>
      </c>
    </row>
    <row r="1615">
      <c r="A1615" s="55" t="s">
        <v>9393</v>
      </c>
      <c r="B1615" s="52" t="s">
        <v>1438</v>
      </c>
      <c r="C1615" s="56">
        <v>45755.5625</v>
      </c>
      <c r="D1615" s="57" t="s">
        <v>2148</v>
      </c>
      <c r="E1615" s="56">
        <v>45755.729166666664</v>
      </c>
      <c r="F1615" s="52" t="s">
        <v>6646</v>
      </c>
      <c r="G1615" s="4" t="s">
        <v>135</v>
      </c>
      <c r="H1615" s="4" t="s">
        <v>1987</v>
      </c>
      <c r="K1615" s="4" t="s">
        <v>9394</v>
      </c>
      <c r="L1615" s="4"/>
    </row>
    <row r="1616">
      <c r="A1616" s="55" t="s">
        <v>9395</v>
      </c>
      <c r="B1616" s="52" t="s">
        <v>1438</v>
      </c>
      <c r="C1616" s="56">
        <v>45754.5625</v>
      </c>
      <c r="D1616" s="57" t="s">
        <v>2148</v>
      </c>
      <c r="E1616" s="56">
        <v>45754.729166666664</v>
      </c>
      <c r="F1616" s="52" t="s">
        <v>6646</v>
      </c>
      <c r="G1616" s="4" t="s">
        <v>135</v>
      </c>
      <c r="H1616" s="4" t="s">
        <v>1987</v>
      </c>
      <c r="K1616" s="4" t="s">
        <v>9396</v>
      </c>
      <c r="L1616" s="4"/>
    </row>
    <row r="1617">
      <c r="A1617" s="55" t="s">
        <v>9397</v>
      </c>
      <c r="B1617" s="52" t="s">
        <v>1438</v>
      </c>
      <c r="C1617" s="56">
        <v>45756.5625</v>
      </c>
      <c r="D1617" s="57" t="s">
        <v>2148</v>
      </c>
      <c r="E1617" s="56">
        <v>45756.729166666664</v>
      </c>
      <c r="F1617" s="52" t="s">
        <v>6646</v>
      </c>
      <c r="G1617" s="4" t="s">
        <v>135</v>
      </c>
      <c r="H1617" s="4" t="s">
        <v>1987</v>
      </c>
      <c r="K1617" s="4" t="s">
        <v>9398</v>
      </c>
      <c r="L1617" s="4"/>
    </row>
    <row r="1618">
      <c r="A1618" s="55" t="s">
        <v>9399</v>
      </c>
      <c r="B1618" s="52" t="s">
        <v>1438</v>
      </c>
      <c r="C1618" s="56">
        <v>45757.5625</v>
      </c>
      <c r="D1618" s="57" t="s">
        <v>2148</v>
      </c>
      <c r="E1618" s="56">
        <v>45757.729166666664</v>
      </c>
      <c r="F1618" s="52" t="s">
        <v>9277</v>
      </c>
      <c r="G1618" s="4" t="s">
        <v>135</v>
      </c>
      <c r="H1618" s="4" t="s">
        <v>1987</v>
      </c>
      <c r="K1618" s="4" t="s">
        <v>9400</v>
      </c>
      <c r="L1618" s="4" t="s">
        <v>9401</v>
      </c>
    </row>
    <row r="1619">
      <c r="A1619" s="55" t="s">
        <v>9402</v>
      </c>
      <c r="B1619" s="52" t="s">
        <v>1438</v>
      </c>
      <c r="C1619" s="56">
        <v>45758.5625</v>
      </c>
      <c r="D1619" s="57" t="s">
        <v>2148</v>
      </c>
      <c r="E1619" s="56">
        <v>45758.729166666664</v>
      </c>
      <c r="F1619" s="52" t="s">
        <v>9277</v>
      </c>
      <c r="G1619" s="4" t="s">
        <v>135</v>
      </c>
      <c r="H1619" s="4" t="s">
        <v>1987</v>
      </c>
      <c r="K1619" s="4" t="s">
        <v>9403</v>
      </c>
      <c r="L1619" s="4" t="s">
        <v>9404</v>
      </c>
    </row>
    <row r="1620">
      <c r="A1620" s="55" t="s">
        <v>9405</v>
      </c>
      <c r="B1620" s="52" t="s">
        <v>5537</v>
      </c>
      <c r="C1620" s="56">
        <v>45755.520833333336</v>
      </c>
      <c r="D1620" s="57" t="s">
        <v>6318</v>
      </c>
      <c r="E1620" s="56">
        <v>45755.541666666664</v>
      </c>
      <c r="F1620" s="52" t="s">
        <v>9406</v>
      </c>
      <c r="G1620" s="4" t="s">
        <v>110</v>
      </c>
      <c r="H1620" s="4" t="s">
        <v>1987</v>
      </c>
      <c r="K1620" s="4" t="s">
        <v>9407</v>
      </c>
      <c r="L1620" s="4" t="s">
        <v>9408</v>
      </c>
    </row>
    <row r="1621">
      <c r="A1621" s="55" t="s">
        <v>9409</v>
      </c>
      <c r="B1621" s="52" t="s">
        <v>1427</v>
      </c>
      <c r="C1621" s="56">
        <v>45755.375</v>
      </c>
      <c r="D1621" s="57" t="s">
        <v>6052</v>
      </c>
      <c r="E1621" s="56">
        <v>45755.583333333336</v>
      </c>
      <c r="F1621" s="52" t="s">
        <v>6231</v>
      </c>
      <c r="G1621" s="4" t="s">
        <v>27</v>
      </c>
      <c r="H1621" s="4" t="s">
        <v>1987</v>
      </c>
      <c r="K1621" s="4" t="s">
        <v>9410</v>
      </c>
      <c r="L1621" s="4"/>
    </row>
    <row r="1622">
      <c r="A1622" s="55" t="s">
        <v>9411</v>
      </c>
      <c r="B1622" s="52" t="s">
        <v>5619</v>
      </c>
      <c r="C1622" s="56">
        <v>45758.583333333336</v>
      </c>
      <c r="D1622" s="57" t="s">
        <v>2147</v>
      </c>
      <c r="E1622" s="56">
        <v>45758.625</v>
      </c>
      <c r="F1622" s="52" t="s">
        <v>9290</v>
      </c>
      <c r="G1622" s="4" t="s">
        <v>27</v>
      </c>
      <c r="H1622" s="4" t="s">
        <v>1991</v>
      </c>
      <c r="K1622" s="4" t="s">
        <v>9412</v>
      </c>
      <c r="L1622" s="4" t="s">
        <v>9413</v>
      </c>
    </row>
    <row r="1623">
      <c r="A1623" s="55" t="s">
        <v>9414</v>
      </c>
      <c r="B1623" s="52" t="s">
        <v>1540</v>
      </c>
      <c r="C1623" s="56">
        <v>45756.52777777778</v>
      </c>
      <c r="D1623" s="57" t="s">
        <v>6318</v>
      </c>
      <c r="E1623" s="56">
        <v>45756.541666666664</v>
      </c>
      <c r="F1623" s="52" t="s">
        <v>9415</v>
      </c>
      <c r="G1623" s="4" t="s">
        <v>110</v>
      </c>
      <c r="H1623" s="4" t="s">
        <v>1987</v>
      </c>
      <c r="K1623" s="4" t="s">
        <v>9416</v>
      </c>
      <c r="L1623" s="4" t="s">
        <v>9417</v>
      </c>
    </row>
    <row r="1624">
      <c r="A1624" s="55"/>
      <c r="B1624" s="52"/>
      <c r="C1624" s="56"/>
      <c r="D1624" s="61"/>
      <c r="E1624" s="56"/>
      <c r="F1624" s="52"/>
      <c r="G1624" s="4"/>
      <c r="H1624" s="4"/>
      <c r="K1624" s="4"/>
      <c r="L1624" s="4"/>
    </row>
    <row r="1625">
      <c r="A1625" s="55" t="s">
        <v>9418</v>
      </c>
      <c r="B1625" s="52" t="s">
        <v>5652</v>
      </c>
      <c r="C1625" s="56">
        <v>45758.541666666664</v>
      </c>
      <c r="D1625" s="57" t="s">
        <v>2147</v>
      </c>
      <c r="E1625" s="56">
        <v>45758.59722222222</v>
      </c>
      <c r="F1625" s="52" t="s">
        <v>9419</v>
      </c>
      <c r="G1625" s="4" t="s">
        <v>110</v>
      </c>
      <c r="H1625" s="4" t="s">
        <v>1991</v>
      </c>
      <c r="K1625" s="4"/>
      <c r="L1625" s="4" t="s">
        <v>9420</v>
      </c>
    </row>
    <row r="1626">
      <c r="A1626" s="55" t="s">
        <v>9421</v>
      </c>
      <c r="B1626" s="52" t="s">
        <v>6069</v>
      </c>
      <c r="C1626" s="56">
        <v>45764.5625</v>
      </c>
      <c r="D1626" s="57" t="s">
        <v>2148</v>
      </c>
      <c r="E1626" s="56">
        <v>45764.604166666664</v>
      </c>
      <c r="F1626" s="52" t="s">
        <v>7339</v>
      </c>
      <c r="G1626" s="4" t="s">
        <v>135</v>
      </c>
      <c r="H1626" s="4" t="s">
        <v>1987</v>
      </c>
      <c r="K1626" s="4" t="s">
        <v>9422</v>
      </c>
      <c r="L1626" s="4" t="s">
        <v>9423</v>
      </c>
    </row>
    <row r="1627">
      <c r="A1627" s="55" t="s">
        <v>9424</v>
      </c>
      <c r="B1627" s="52" t="s">
        <v>1427</v>
      </c>
      <c r="C1627" s="56">
        <v>45757.395833333336</v>
      </c>
      <c r="D1627" s="57" t="s">
        <v>6052</v>
      </c>
      <c r="E1627" s="56">
        <v>45757.604166666664</v>
      </c>
      <c r="F1627" s="52" t="s">
        <v>6231</v>
      </c>
      <c r="G1627" s="4" t="s">
        <v>27</v>
      </c>
      <c r="H1627" s="4" t="s">
        <v>1987</v>
      </c>
      <c r="K1627" s="4" t="s">
        <v>9425</v>
      </c>
      <c r="L1627" s="4"/>
    </row>
    <row r="1628">
      <c r="A1628" s="55" t="s">
        <v>9426</v>
      </c>
      <c r="B1628" s="52" t="s">
        <v>5619</v>
      </c>
      <c r="C1628" s="56">
        <v>45761.645833333336</v>
      </c>
      <c r="D1628" s="57" t="s">
        <v>2148</v>
      </c>
      <c r="E1628" s="56">
        <v>45761.729166666664</v>
      </c>
      <c r="F1628" s="52" t="s">
        <v>9427</v>
      </c>
      <c r="G1628" s="4" t="s">
        <v>135</v>
      </c>
      <c r="H1628" s="4" t="s">
        <v>1987</v>
      </c>
      <c r="K1628" s="4"/>
      <c r="L1628" s="4" t="s">
        <v>9428</v>
      </c>
    </row>
    <row r="1629">
      <c r="A1629" s="55" t="s">
        <v>9429</v>
      </c>
      <c r="B1629" s="52" t="s">
        <v>5619</v>
      </c>
      <c r="C1629" s="56">
        <v>45762.5625</v>
      </c>
      <c r="D1629" s="57" t="s">
        <v>2148</v>
      </c>
      <c r="E1629" s="56">
        <v>45762.729166666664</v>
      </c>
      <c r="F1629" s="52" t="s">
        <v>9430</v>
      </c>
      <c r="G1629" s="4" t="s">
        <v>135</v>
      </c>
      <c r="H1629" s="4" t="s">
        <v>1987</v>
      </c>
      <c r="K1629" s="4" t="s">
        <v>9431</v>
      </c>
      <c r="L1629" s="4" t="s">
        <v>9432</v>
      </c>
    </row>
    <row r="1630">
      <c r="A1630" s="55"/>
      <c r="B1630" s="52"/>
      <c r="C1630" s="56"/>
      <c r="D1630" s="61"/>
      <c r="E1630" s="56"/>
      <c r="F1630" s="52"/>
      <c r="G1630" s="4"/>
      <c r="H1630" s="4"/>
      <c r="K1630" s="4"/>
      <c r="L1630" s="4"/>
    </row>
    <row r="1631">
      <c r="A1631" s="55"/>
      <c r="B1631" s="52"/>
      <c r="C1631" s="56"/>
      <c r="D1631" s="61"/>
      <c r="E1631" s="56"/>
      <c r="F1631" s="52"/>
      <c r="G1631" s="4"/>
      <c r="H1631" s="4"/>
      <c r="K1631" s="4"/>
      <c r="L1631" s="4"/>
    </row>
    <row r="1632">
      <c r="A1632" s="55"/>
      <c r="B1632" s="52"/>
      <c r="C1632" s="56"/>
      <c r="D1632" s="61"/>
      <c r="E1632" s="56"/>
      <c r="F1632" s="52"/>
      <c r="G1632" s="4"/>
      <c r="H1632" s="4"/>
      <c r="K1632" s="4"/>
      <c r="L1632" s="4"/>
    </row>
    <row r="1633">
      <c r="A1633" s="55" t="s">
        <v>9433</v>
      </c>
      <c r="B1633" s="52" t="s">
        <v>5537</v>
      </c>
      <c r="C1633" s="56">
        <v>45761.333333333336</v>
      </c>
      <c r="D1633" s="57" t="s">
        <v>6318</v>
      </c>
      <c r="E1633" s="56">
        <v>45761.354166666664</v>
      </c>
      <c r="F1633" s="52" t="s">
        <v>9434</v>
      </c>
      <c r="G1633" s="4" t="s">
        <v>110</v>
      </c>
      <c r="H1633" s="4" t="s">
        <v>1987</v>
      </c>
      <c r="K1633" s="4" t="s">
        <v>9435</v>
      </c>
      <c r="L1633" s="4"/>
    </row>
    <row r="1634">
      <c r="A1634" s="55" t="s">
        <v>9436</v>
      </c>
      <c r="B1634" s="52" t="s">
        <v>5559</v>
      </c>
      <c r="C1634" s="56">
        <v>45761.354166666664</v>
      </c>
      <c r="D1634" s="57" t="s">
        <v>2147</v>
      </c>
      <c r="E1634" s="56">
        <v>45761.4375</v>
      </c>
      <c r="F1634" s="52" t="s">
        <v>6370</v>
      </c>
      <c r="G1634" s="4" t="s">
        <v>110</v>
      </c>
      <c r="H1634" s="4" t="s">
        <v>1987</v>
      </c>
      <c r="K1634" s="4" t="s">
        <v>9437</v>
      </c>
      <c r="L1634" s="4" t="s">
        <v>9438</v>
      </c>
    </row>
    <row r="1635">
      <c r="A1635" s="66" t="s">
        <v>9439</v>
      </c>
      <c r="B1635" s="52" t="s">
        <v>5652</v>
      </c>
      <c r="C1635" s="56">
        <v>45761.4375</v>
      </c>
      <c r="D1635" s="57" t="s">
        <v>2200</v>
      </c>
      <c r="E1635" s="56">
        <v>45761.541666666664</v>
      </c>
      <c r="F1635" s="52" t="s">
        <v>9440</v>
      </c>
      <c r="G1635" s="4" t="s">
        <v>110</v>
      </c>
      <c r="H1635" s="4" t="s">
        <v>1987</v>
      </c>
      <c r="K1635" s="4"/>
      <c r="L1635" s="4" t="s">
        <v>9441</v>
      </c>
    </row>
    <row r="1636">
      <c r="A1636" s="55" t="s">
        <v>9442</v>
      </c>
      <c r="B1636" s="52" t="s">
        <v>5652</v>
      </c>
      <c r="C1636" s="56">
        <v>45762.333333333336</v>
      </c>
      <c r="D1636" s="57" t="s">
        <v>2200</v>
      </c>
      <c r="E1636" s="56">
        <v>45762.479166666664</v>
      </c>
      <c r="F1636" s="52" t="s">
        <v>8090</v>
      </c>
      <c r="G1636" s="4" t="s">
        <v>110</v>
      </c>
      <c r="H1636" s="4" t="s">
        <v>1987</v>
      </c>
      <c r="K1636" s="4" t="s">
        <v>9443</v>
      </c>
      <c r="L1636" s="4" t="s">
        <v>9444</v>
      </c>
    </row>
    <row r="1637">
      <c r="A1637" s="55" t="s">
        <v>9445</v>
      </c>
      <c r="B1637" s="52" t="s">
        <v>5537</v>
      </c>
      <c r="C1637" s="56">
        <v>45764.583333333336</v>
      </c>
      <c r="D1637" s="57" t="s">
        <v>2154</v>
      </c>
      <c r="E1637" s="56">
        <v>45764.645833333336</v>
      </c>
      <c r="F1637" s="52" t="s">
        <v>9290</v>
      </c>
      <c r="G1637" s="4" t="s">
        <v>27</v>
      </c>
      <c r="H1637" s="4" t="s">
        <v>1991</v>
      </c>
      <c r="K1637" s="4" t="s">
        <v>9446</v>
      </c>
      <c r="L1637" s="4" t="s">
        <v>9447</v>
      </c>
    </row>
    <row r="1638">
      <c r="A1638" s="55" t="s">
        <v>9448</v>
      </c>
      <c r="B1638" s="52" t="s">
        <v>5384</v>
      </c>
      <c r="C1638" s="56">
        <v>45761.5625</v>
      </c>
      <c r="D1638" s="57" t="s">
        <v>2154</v>
      </c>
      <c r="E1638" s="56">
        <v>45761.645833333336</v>
      </c>
      <c r="F1638" s="52" t="s">
        <v>9449</v>
      </c>
      <c r="G1638" s="4" t="s">
        <v>135</v>
      </c>
      <c r="H1638" s="4" t="s">
        <v>1987</v>
      </c>
      <c r="K1638" s="4" t="s">
        <v>9450</v>
      </c>
      <c r="L1638" s="4" t="s">
        <v>9451</v>
      </c>
    </row>
    <row r="1639">
      <c r="A1639" s="55" t="s">
        <v>9452</v>
      </c>
      <c r="B1639" s="52" t="s">
        <v>5628</v>
      </c>
      <c r="C1639" s="56">
        <v>45761.666666666664</v>
      </c>
      <c r="D1639" s="57" t="s">
        <v>2147</v>
      </c>
      <c r="E1639" s="56">
        <v>45761.708333333336</v>
      </c>
      <c r="F1639" s="52" t="s">
        <v>9453</v>
      </c>
      <c r="G1639" s="4" t="s">
        <v>27</v>
      </c>
      <c r="H1639" s="4" t="s">
        <v>1987</v>
      </c>
      <c r="K1639" s="4" t="s">
        <v>9454</v>
      </c>
      <c r="L1639" s="4"/>
    </row>
    <row r="1640">
      <c r="A1640" s="55" t="s">
        <v>9455</v>
      </c>
      <c r="B1640" s="52" t="s">
        <v>1438</v>
      </c>
      <c r="C1640" s="56">
        <v>45763.645833333336</v>
      </c>
      <c r="D1640" s="57" t="s">
        <v>2148</v>
      </c>
      <c r="E1640" s="56">
        <v>45763.729166666664</v>
      </c>
      <c r="F1640" s="52" t="s">
        <v>9456</v>
      </c>
      <c r="G1640" s="4" t="s">
        <v>135</v>
      </c>
      <c r="H1640" s="4" t="s">
        <v>1987</v>
      </c>
      <c r="K1640" s="4" t="s">
        <v>9457</v>
      </c>
      <c r="L1640" s="4" t="s">
        <v>9458</v>
      </c>
    </row>
    <row r="1641">
      <c r="A1641" s="55" t="s">
        <v>9459</v>
      </c>
      <c r="B1641" s="52" t="s">
        <v>5652</v>
      </c>
      <c r="C1641" s="56">
        <v>45762.375</v>
      </c>
      <c r="D1641" s="57" t="s">
        <v>6318</v>
      </c>
      <c r="E1641" s="56">
        <v>45762.5</v>
      </c>
      <c r="F1641" s="52" t="s">
        <v>9460</v>
      </c>
      <c r="G1641" s="4" t="s">
        <v>27</v>
      </c>
      <c r="H1641" s="4" t="s">
        <v>1987</v>
      </c>
      <c r="K1641" s="4" t="s">
        <v>9461</v>
      </c>
      <c r="L1641" s="4"/>
    </row>
    <row r="1642">
      <c r="A1642" s="55" t="s">
        <v>9462</v>
      </c>
      <c r="B1642" s="52" t="s">
        <v>1427</v>
      </c>
      <c r="C1642" s="56">
        <v>45762.5</v>
      </c>
      <c r="D1642" s="57" t="s">
        <v>2154</v>
      </c>
      <c r="E1642" s="56">
        <v>45762.583333333336</v>
      </c>
      <c r="F1642" s="52" t="s">
        <v>7424</v>
      </c>
      <c r="G1642" s="4" t="s">
        <v>27</v>
      </c>
      <c r="H1642" s="4" t="s">
        <v>1987</v>
      </c>
      <c r="K1642" s="4" t="s">
        <v>9463</v>
      </c>
      <c r="L1642" s="4"/>
    </row>
    <row r="1643">
      <c r="A1643" s="55" t="s">
        <v>9464</v>
      </c>
      <c r="B1643" s="52" t="s">
        <v>5559</v>
      </c>
      <c r="C1643" s="56">
        <v>45762.479166666664</v>
      </c>
      <c r="D1643" s="57" t="s">
        <v>2154</v>
      </c>
      <c r="E1643" s="56">
        <v>45762.541666666664</v>
      </c>
      <c r="F1643" s="52" t="s">
        <v>9465</v>
      </c>
      <c r="G1643" s="4" t="s">
        <v>110</v>
      </c>
      <c r="H1643" s="4" t="s">
        <v>1987</v>
      </c>
      <c r="K1643" s="4" t="s">
        <v>9466</v>
      </c>
      <c r="L1643" s="4"/>
    </row>
    <row r="1644">
      <c r="A1644" s="55" t="s">
        <v>9467</v>
      </c>
      <c r="B1644" s="52" t="s">
        <v>5537</v>
      </c>
      <c r="C1644" s="56">
        <v>45763.75</v>
      </c>
      <c r="D1644" s="57" t="s">
        <v>6052</v>
      </c>
      <c r="E1644" s="56">
        <v>45763.895833333336</v>
      </c>
      <c r="F1644" s="52" t="s">
        <v>9468</v>
      </c>
      <c r="G1644" s="4" t="s">
        <v>27</v>
      </c>
      <c r="H1644" s="4" t="s">
        <v>1987</v>
      </c>
      <c r="K1644" s="4"/>
      <c r="L1644" s="4" t="s">
        <v>9469</v>
      </c>
    </row>
    <row r="1645">
      <c r="A1645" s="55" t="s">
        <v>9470</v>
      </c>
      <c r="B1645" s="52" t="s">
        <v>1427</v>
      </c>
      <c r="C1645" s="56">
        <v>45764.375</v>
      </c>
      <c r="D1645" s="57" t="s">
        <v>6052</v>
      </c>
      <c r="E1645" s="56">
        <v>45764.583333333336</v>
      </c>
      <c r="F1645" s="52" t="s">
        <v>7424</v>
      </c>
      <c r="G1645" s="4" t="s">
        <v>27</v>
      </c>
      <c r="H1645" s="4" t="s">
        <v>1987</v>
      </c>
      <c r="K1645" s="4" t="s">
        <v>9471</v>
      </c>
      <c r="L1645" s="4" t="s">
        <v>9472</v>
      </c>
    </row>
    <row r="1646">
      <c r="A1646" s="55" t="s">
        <v>9473</v>
      </c>
      <c r="B1646" s="52" t="s">
        <v>5619</v>
      </c>
      <c r="C1646" s="56">
        <v>45763.604166666664</v>
      </c>
      <c r="D1646" s="57" t="s">
        <v>2154</v>
      </c>
      <c r="E1646" s="56">
        <v>45763.645833333336</v>
      </c>
      <c r="F1646" s="52" t="s">
        <v>9474</v>
      </c>
      <c r="G1646" s="4" t="s">
        <v>135</v>
      </c>
      <c r="H1646" s="4" t="s">
        <v>1991</v>
      </c>
      <c r="K1646" s="4" t="s">
        <v>9431</v>
      </c>
      <c r="L1646" s="4" t="s">
        <v>9475</v>
      </c>
    </row>
    <row r="1647">
      <c r="A1647" s="55" t="s">
        <v>9476</v>
      </c>
      <c r="B1647" s="52" t="s">
        <v>5619</v>
      </c>
      <c r="C1647" s="56">
        <v>45763.5625</v>
      </c>
      <c r="D1647" s="57" t="s">
        <v>2148</v>
      </c>
      <c r="E1647" s="56">
        <v>45763.604166666664</v>
      </c>
      <c r="F1647" s="52" t="s">
        <v>9477</v>
      </c>
      <c r="G1647" s="4" t="s">
        <v>135</v>
      </c>
      <c r="H1647" s="4" t="s">
        <v>1987</v>
      </c>
      <c r="K1647" s="4" t="s">
        <v>9478</v>
      </c>
      <c r="L1647" s="4" t="s">
        <v>9432</v>
      </c>
    </row>
    <row r="1648">
      <c r="A1648" s="55" t="s">
        <v>9479</v>
      </c>
      <c r="B1648" s="52" t="s">
        <v>5559</v>
      </c>
      <c r="C1648" s="56">
        <v>45763.333333333336</v>
      </c>
      <c r="D1648" s="57" t="s">
        <v>6052</v>
      </c>
      <c r="E1648" s="56">
        <v>45763.541666666664</v>
      </c>
      <c r="F1648" s="52" t="s">
        <v>8090</v>
      </c>
      <c r="G1648" s="4" t="s">
        <v>110</v>
      </c>
      <c r="H1648" s="4" t="s">
        <v>1987</v>
      </c>
      <c r="K1648" s="4" t="s">
        <v>9480</v>
      </c>
      <c r="L1648" s="4"/>
    </row>
    <row r="1649">
      <c r="A1649" s="55" t="s">
        <v>9481</v>
      </c>
      <c r="B1649" s="52" t="s">
        <v>5559</v>
      </c>
      <c r="C1649" s="56">
        <v>45764.333333333336</v>
      </c>
      <c r="D1649" s="57" t="s">
        <v>6052</v>
      </c>
      <c r="E1649" s="56">
        <v>45764.4375</v>
      </c>
      <c r="F1649" s="52" t="s">
        <v>9465</v>
      </c>
      <c r="G1649" s="4" t="s">
        <v>110</v>
      </c>
      <c r="H1649" s="4" t="s">
        <v>1987</v>
      </c>
      <c r="K1649" s="4" t="s">
        <v>9482</v>
      </c>
      <c r="L1649" s="4" t="s">
        <v>9483</v>
      </c>
    </row>
    <row r="1650">
      <c r="A1650" s="55" t="s">
        <v>9484</v>
      </c>
      <c r="B1650" s="52" t="s">
        <v>1540</v>
      </c>
      <c r="C1650" s="56">
        <v>45764.4375</v>
      </c>
      <c r="D1650" s="57" t="s">
        <v>6318</v>
      </c>
      <c r="E1650" s="56">
        <v>45764.458333333336</v>
      </c>
      <c r="F1650" s="52" t="s">
        <v>8719</v>
      </c>
      <c r="G1650" s="4" t="s">
        <v>110</v>
      </c>
      <c r="H1650" s="4" t="s">
        <v>1991</v>
      </c>
      <c r="K1650" s="4" t="s">
        <v>9485</v>
      </c>
      <c r="L1650" s="4"/>
    </row>
    <row r="1651">
      <c r="A1651" s="55" t="s">
        <v>9486</v>
      </c>
      <c r="B1651" s="52" t="s">
        <v>5559</v>
      </c>
      <c r="C1651" s="56">
        <v>45764.458333333336</v>
      </c>
      <c r="D1651" s="57" t="s">
        <v>2147</v>
      </c>
      <c r="E1651" s="56">
        <v>45764.5</v>
      </c>
      <c r="F1651" s="52" t="s">
        <v>9465</v>
      </c>
      <c r="G1651" s="4" t="s">
        <v>110</v>
      </c>
      <c r="H1651" s="4" t="s">
        <v>1987</v>
      </c>
      <c r="K1651" s="4"/>
      <c r="L1651" s="4" t="s">
        <v>9487</v>
      </c>
    </row>
    <row r="1652">
      <c r="A1652" s="55" t="s">
        <v>9488</v>
      </c>
      <c r="B1652" s="52" t="s">
        <v>5559</v>
      </c>
      <c r="C1652" s="56">
        <v>45768.333333333336</v>
      </c>
      <c r="D1652" s="57" t="s">
        <v>6052</v>
      </c>
      <c r="E1652" s="56">
        <v>45768.458333333336</v>
      </c>
      <c r="F1652" s="52" t="s">
        <v>6370</v>
      </c>
      <c r="G1652" s="4" t="s">
        <v>110</v>
      </c>
      <c r="H1652" s="4" t="s">
        <v>1987</v>
      </c>
      <c r="K1652" s="4" t="s">
        <v>9489</v>
      </c>
      <c r="L1652" s="4" t="s">
        <v>9490</v>
      </c>
    </row>
    <row r="1653">
      <c r="A1653" s="55" t="s">
        <v>9491</v>
      </c>
      <c r="B1653" s="52" t="s">
        <v>5537</v>
      </c>
      <c r="C1653" s="56">
        <v>45768.416666666664</v>
      </c>
      <c r="D1653" s="57" t="s">
        <v>2148</v>
      </c>
      <c r="E1653" s="56">
        <v>45768.5</v>
      </c>
      <c r="F1653" s="52" t="s">
        <v>9492</v>
      </c>
      <c r="G1653" s="4" t="s">
        <v>27</v>
      </c>
      <c r="H1653" s="4" t="s">
        <v>1987</v>
      </c>
      <c r="K1653" s="4" t="s">
        <v>9493</v>
      </c>
      <c r="L1653" s="4" t="s">
        <v>9494</v>
      </c>
    </row>
    <row r="1654">
      <c r="A1654" s="55" t="s">
        <v>9495</v>
      </c>
      <c r="B1654" s="52" t="s">
        <v>5628</v>
      </c>
      <c r="C1654" s="56">
        <v>45768.5</v>
      </c>
      <c r="D1654" s="57" t="s">
        <v>2147</v>
      </c>
      <c r="E1654" s="56">
        <v>45768.541666666664</v>
      </c>
      <c r="F1654" s="52" t="s">
        <v>9496</v>
      </c>
      <c r="G1654" s="4" t="s">
        <v>27</v>
      </c>
      <c r="H1654" s="4" t="s">
        <v>1987</v>
      </c>
      <c r="K1654" s="4" t="s">
        <v>9497</v>
      </c>
      <c r="L1654" s="4"/>
    </row>
    <row r="1655">
      <c r="A1655" s="55" t="s">
        <v>9498</v>
      </c>
      <c r="B1655" s="52" t="s">
        <v>5652</v>
      </c>
      <c r="C1655" s="56">
        <v>45768.458333333336</v>
      </c>
      <c r="D1655" s="57" t="s">
        <v>2147</v>
      </c>
      <c r="E1655" s="56">
        <v>45768.5</v>
      </c>
      <c r="F1655" s="52" t="s">
        <v>9499</v>
      </c>
      <c r="G1655" s="4" t="s">
        <v>110</v>
      </c>
      <c r="H1655" s="4" t="s">
        <v>1987</v>
      </c>
      <c r="K1655" s="4" t="s">
        <v>9500</v>
      </c>
      <c r="L1655" s="4"/>
    </row>
    <row r="1656">
      <c r="A1656" s="55" t="s">
        <v>9501</v>
      </c>
      <c r="B1656" s="52" t="s">
        <v>5628</v>
      </c>
      <c r="C1656" s="56">
        <v>45768.5</v>
      </c>
      <c r="D1656" s="57" t="s">
        <v>2147</v>
      </c>
      <c r="E1656" s="56">
        <v>45768.541666666664</v>
      </c>
      <c r="F1656" s="52" t="s">
        <v>9502</v>
      </c>
      <c r="G1656" s="4" t="s">
        <v>110</v>
      </c>
      <c r="H1656" s="4" t="s">
        <v>1987</v>
      </c>
      <c r="K1656" s="4" t="s">
        <v>9503</v>
      </c>
      <c r="L1656" s="4"/>
    </row>
    <row r="1657">
      <c r="A1657" s="55" t="s">
        <v>9504</v>
      </c>
      <c r="B1657" s="52" t="s">
        <v>5559</v>
      </c>
      <c r="C1657" s="56">
        <v>45769.333333333336</v>
      </c>
      <c r="D1657" s="57" t="s">
        <v>2147</v>
      </c>
      <c r="E1657" s="56">
        <v>45769.395833333336</v>
      </c>
      <c r="F1657" s="52" t="s">
        <v>9505</v>
      </c>
      <c r="G1657" s="4" t="s">
        <v>110</v>
      </c>
      <c r="H1657" s="4" t="s">
        <v>1987</v>
      </c>
      <c r="K1657" s="4" t="s">
        <v>9506</v>
      </c>
      <c r="L1657" s="4" t="s">
        <v>9507</v>
      </c>
    </row>
    <row r="1658">
      <c r="A1658" s="55" t="s">
        <v>9508</v>
      </c>
      <c r="B1658" s="52" t="s">
        <v>5628</v>
      </c>
      <c r="C1658" s="56">
        <v>45769.395833333336</v>
      </c>
      <c r="D1658" s="57" t="s">
        <v>2147</v>
      </c>
      <c r="E1658" s="56">
        <v>45769.541666666664</v>
      </c>
      <c r="F1658" s="52" t="s">
        <v>9509</v>
      </c>
      <c r="G1658" s="4" t="s">
        <v>110</v>
      </c>
      <c r="H1658" s="4" t="s">
        <v>1987</v>
      </c>
      <c r="K1658" s="4" t="s">
        <v>9510</v>
      </c>
      <c r="L1658" s="4" t="s">
        <v>9511</v>
      </c>
    </row>
    <row r="1659">
      <c r="A1659" s="55" t="s">
        <v>9512</v>
      </c>
      <c r="B1659" s="52" t="s">
        <v>5628</v>
      </c>
      <c r="C1659" s="56">
        <v>45770.4375</v>
      </c>
      <c r="D1659" s="57" t="s">
        <v>2147</v>
      </c>
      <c r="E1659" s="56">
        <v>45770.479166666664</v>
      </c>
      <c r="F1659" s="52" t="s">
        <v>9513</v>
      </c>
      <c r="G1659" s="4" t="s">
        <v>110</v>
      </c>
      <c r="H1659" s="4" t="s">
        <v>1991</v>
      </c>
      <c r="K1659" s="4"/>
      <c r="L1659" s="4" t="s">
        <v>9514</v>
      </c>
    </row>
    <row r="1660">
      <c r="A1660" s="55" t="s">
        <v>9515</v>
      </c>
      <c r="B1660" s="52" t="s">
        <v>5628</v>
      </c>
      <c r="C1660" s="56">
        <v>45770.333333333336</v>
      </c>
      <c r="D1660" s="57" t="s">
        <v>2154</v>
      </c>
      <c r="E1660" s="56">
        <v>45770.4375</v>
      </c>
      <c r="F1660" s="52" t="s">
        <v>9516</v>
      </c>
      <c r="G1660" s="4" t="s">
        <v>110</v>
      </c>
      <c r="H1660" s="4" t="s">
        <v>1987</v>
      </c>
      <c r="K1660" s="4"/>
      <c r="L1660" s="4" t="s">
        <v>9517</v>
      </c>
    </row>
    <row r="1661">
      <c r="A1661" s="55" t="s">
        <v>9518</v>
      </c>
      <c r="B1661" s="52" t="s">
        <v>1540</v>
      </c>
      <c r="C1661" s="56">
        <v>45771.333333333336</v>
      </c>
      <c r="D1661" s="57" t="s">
        <v>2148</v>
      </c>
      <c r="E1661" s="56">
        <v>45771.541666666664</v>
      </c>
      <c r="F1661" s="52" t="s">
        <v>9519</v>
      </c>
      <c r="G1661" s="4" t="s">
        <v>110</v>
      </c>
      <c r="H1661" s="4" t="s">
        <v>1987</v>
      </c>
      <c r="K1661" s="4"/>
      <c r="L1661" s="4" t="s">
        <v>9520</v>
      </c>
    </row>
    <row r="1662">
      <c r="A1662" s="55"/>
      <c r="B1662" s="52"/>
      <c r="C1662" s="56"/>
      <c r="D1662" s="61"/>
      <c r="E1662" s="56"/>
      <c r="F1662" s="52"/>
      <c r="G1662" s="4"/>
      <c r="H1662" s="4"/>
      <c r="K1662" s="4"/>
      <c r="L1662" s="4"/>
    </row>
    <row r="1663">
      <c r="A1663" s="55"/>
      <c r="B1663" s="52"/>
      <c r="C1663" s="56"/>
      <c r="D1663" s="61"/>
      <c r="E1663" s="56"/>
      <c r="F1663" s="52"/>
      <c r="G1663" s="4"/>
      <c r="H1663" s="4"/>
      <c r="K1663" s="4"/>
      <c r="L1663" s="4"/>
    </row>
    <row r="1664">
      <c r="A1664" s="55" t="s">
        <v>9521</v>
      </c>
      <c r="B1664" s="52" t="s">
        <v>5619</v>
      </c>
      <c r="C1664" s="56">
        <v>45771.645833333336</v>
      </c>
      <c r="D1664" s="57" t="s">
        <v>2154</v>
      </c>
      <c r="E1664" s="56">
        <v>45771.729166666664</v>
      </c>
      <c r="F1664" s="52" t="s">
        <v>9522</v>
      </c>
      <c r="G1664" s="4" t="s">
        <v>135</v>
      </c>
      <c r="H1664" s="4" t="s">
        <v>1987</v>
      </c>
      <c r="K1664" s="4" t="s">
        <v>9523</v>
      </c>
      <c r="L1664" s="4" t="s">
        <v>9524</v>
      </c>
    </row>
    <row r="1665">
      <c r="A1665" s="55" t="s">
        <v>9525</v>
      </c>
      <c r="B1665" s="52" t="s">
        <v>5384</v>
      </c>
      <c r="C1665" s="56">
        <v>45768.5625</v>
      </c>
      <c r="D1665" s="57" t="s">
        <v>2148</v>
      </c>
      <c r="E1665" s="56">
        <v>45768.729166666664</v>
      </c>
      <c r="F1665" s="52" t="s">
        <v>9526</v>
      </c>
      <c r="G1665" s="4" t="s">
        <v>135</v>
      </c>
      <c r="H1665" s="4" t="s">
        <v>1987</v>
      </c>
      <c r="K1665" s="4" t="s">
        <v>9527</v>
      </c>
      <c r="L1665" s="4"/>
    </row>
    <row r="1666">
      <c r="A1666" s="55" t="s">
        <v>9528</v>
      </c>
      <c r="B1666" s="52" t="s">
        <v>5384</v>
      </c>
      <c r="C1666" s="56">
        <v>45769.5625</v>
      </c>
      <c r="D1666" s="57" t="s">
        <v>2154</v>
      </c>
      <c r="E1666" s="56">
        <v>45769.645833333336</v>
      </c>
      <c r="F1666" s="52" t="s">
        <v>9526</v>
      </c>
      <c r="G1666" s="4" t="s">
        <v>135</v>
      </c>
      <c r="H1666" s="4" t="s">
        <v>1987</v>
      </c>
      <c r="K1666" s="4" t="s">
        <v>9529</v>
      </c>
      <c r="L1666" s="4" t="s">
        <v>9530</v>
      </c>
    </row>
    <row r="1667">
      <c r="A1667" s="55"/>
      <c r="B1667" s="52"/>
      <c r="C1667" s="56"/>
      <c r="D1667" s="61"/>
      <c r="E1667" s="56"/>
      <c r="F1667" s="52"/>
      <c r="G1667" s="4"/>
      <c r="H1667" s="4"/>
      <c r="K1667" s="4"/>
      <c r="L1667" s="4"/>
    </row>
    <row r="1668">
      <c r="A1668" s="55" t="s">
        <v>9531</v>
      </c>
      <c r="B1668" s="52" t="s">
        <v>5619</v>
      </c>
      <c r="C1668" s="56">
        <v>45772.5625</v>
      </c>
      <c r="D1668" s="57" t="s">
        <v>2154</v>
      </c>
      <c r="E1668" s="56">
        <v>45772.604166666664</v>
      </c>
      <c r="F1668" s="52" t="s">
        <v>5457</v>
      </c>
      <c r="G1668" s="4" t="s">
        <v>135</v>
      </c>
      <c r="H1668" s="4" t="s">
        <v>1987</v>
      </c>
      <c r="K1668" s="4"/>
      <c r="L1668" s="4" t="s">
        <v>9532</v>
      </c>
    </row>
    <row r="1669">
      <c r="A1669" s="55" t="s">
        <v>9533</v>
      </c>
      <c r="B1669" s="52" t="s">
        <v>5598</v>
      </c>
      <c r="C1669" s="56">
        <v>45775.625</v>
      </c>
      <c r="D1669" s="57" t="s">
        <v>2154</v>
      </c>
      <c r="E1669" s="56">
        <v>45775.729166666664</v>
      </c>
      <c r="F1669" s="52" t="s">
        <v>9534</v>
      </c>
      <c r="G1669" s="4" t="s">
        <v>135</v>
      </c>
      <c r="H1669" s="4" t="s">
        <v>1987</v>
      </c>
      <c r="K1669" s="4" t="s">
        <v>9535</v>
      </c>
      <c r="L1669" s="4" t="s">
        <v>9536</v>
      </c>
    </row>
    <row r="1670">
      <c r="A1670" s="55" t="s">
        <v>9537</v>
      </c>
      <c r="B1670" s="52" t="s">
        <v>5598</v>
      </c>
      <c r="C1670" s="56">
        <v>45777.5625</v>
      </c>
      <c r="D1670" s="57" t="s">
        <v>2154</v>
      </c>
      <c r="E1670" s="56">
        <v>45777.625</v>
      </c>
      <c r="F1670" s="52" t="s">
        <v>9534</v>
      </c>
      <c r="G1670" s="4" t="s">
        <v>135</v>
      </c>
      <c r="H1670" s="4" t="s">
        <v>1987</v>
      </c>
      <c r="K1670" s="4"/>
      <c r="L1670" s="4" t="s">
        <v>9538</v>
      </c>
    </row>
    <row r="1671">
      <c r="A1671" s="55" t="s">
        <v>9539</v>
      </c>
      <c r="B1671" s="52" t="s">
        <v>5598</v>
      </c>
      <c r="C1671" s="56">
        <v>45776.5625</v>
      </c>
      <c r="D1671" s="57" t="s">
        <v>2154</v>
      </c>
      <c r="E1671" s="56">
        <v>45776.625</v>
      </c>
      <c r="F1671" s="52" t="s">
        <v>9534</v>
      </c>
      <c r="G1671" s="4" t="s">
        <v>135</v>
      </c>
      <c r="H1671" s="4" t="s">
        <v>1987</v>
      </c>
      <c r="K1671" s="4" t="s">
        <v>9540</v>
      </c>
      <c r="L1671" s="4" t="s">
        <v>9541</v>
      </c>
    </row>
    <row r="1672">
      <c r="A1672" s="55" t="s">
        <v>9542</v>
      </c>
      <c r="B1672" s="52" t="s">
        <v>1438</v>
      </c>
      <c r="C1672" s="56">
        <v>45769.645833333336</v>
      </c>
      <c r="D1672" s="61"/>
      <c r="E1672" s="56">
        <v>45769.729166666664</v>
      </c>
      <c r="F1672" s="52" t="s">
        <v>9543</v>
      </c>
      <c r="G1672" s="4" t="s">
        <v>135</v>
      </c>
      <c r="H1672" s="4" t="s">
        <v>1987</v>
      </c>
      <c r="K1672" s="4"/>
      <c r="L1672" s="4" t="s">
        <v>9544</v>
      </c>
    </row>
    <row r="1673">
      <c r="A1673" s="55"/>
      <c r="B1673" s="52"/>
      <c r="C1673" s="56"/>
      <c r="D1673" s="61"/>
      <c r="E1673" s="56"/>
      <c r="F1673" s="52"/>
      <c r="G1673" s="4"/>
      <c r="H1673" s="4"/>
      <c r="K1673" s="4"/>
      <c r="L1673" s="4"/>
    </row>
    <row r="1674">
      <c r="A1674" s="55"/>
      <c r="B1674" s="52"/>
      <c r="C1674" s="56"/>
      <c r="D1674" s="61"/>
      <c r="E1674" s="56"/>
      <c r="F1674" s="52"/>
      <c r="G1674" s="4"/>
      <c r="H1674" s="4"/>
      <c r="K1674" s="4"/>
      <c r="L1674" s="4"/>
    </row>
    <row r="1675">
      <c r="A1675" s="55" t="s">
        <v>9545</v>
      </c>
      <c r="B1675" s="52" t="s">
        <v>1427</v>
      </c>
      <c r="C1675" s="56">
        <v>45769.5</v>
      </c>
      <c r="D1675" s="57" t="s">
        <v>6052</v>
      </c>
      <c r="E1675" s="56">
        <v>45769.583333333336</v>
      </c>
      <c r="F1675" s="52" t="s">
        <v>7424</v>
      </c>
      <c r="G1675" s="4" t="s">
        <v>27</v>
      </c>
      <c r="H1675" s="4" t="s">
        <v>1987</v>
      </c>
      <c r="K1675" s="4" t="s">
        <v>9546</v>
      </c>
      <c r="L1675" s="4" t="s">
        <v>9547</v>
      </c>
    </row>
    <row r="1676">
      <c r="A1676" s="55"/>
      <c r="B1676" s="52"/>
      <c r="C1676" s="56"/>
      <c r="D1676" s="61"/>
      <c r="E1676" s="56"/>
      <c r="F1676" s="52"/>
      <c r="G1676" s="4"/>
      <c r="H1676" s="4"/>
      <c r="K1676" s="4"/>
      <c r="L1676" s="4"/>
    </row>
    <row r="1677">
      <c r="A1677" s="55" t="s">
        <v>9548</v>
      </c>
      <c r="B1677" s="52" t="s">
        <v>1427</v>
      </c>
      <c r="C1677" s="56">
        <v>45771.583333333336</v>
      </c>
      <c r="D1677" s="57" t="s">
        <v>6052</v>
      </c>
      <c r="E1677" s="56">
        <v>45771.708333333336</v>
      </c>
      <c r="F1677" s="52" t="s">
        <v>7424</v>
      </c>
      <c r="G1677" s="4" t="s">
        <v>27</v>
      </c>
      <c r="H1677" s="4" t="s">
        <v>1987</v>
      </c>
      <c r="K1677" s="4" t="s">
        <v>9549</v>
      </c>
      <c r="L1677" s="4" t="s">
        <v>9550</v>
      </c>
    </row>
    <row r="1678">
      <c r="A1678" s="55"/>
      <c r="B1678" s="52"/>
      <c r="C1678" s="56"/>
      <c r="D1678" s="61"/>
      <c r="E1678" s="56"/>
      <c r="F1678" s="52"/>
      <c r="G1678" s="4"/>
      <c r="H1678" s="4"/>
      <c r="K1678" s="4"/>
      <c r="L1678" s="4"/>
    </row>
    <row r="1679">
      <c r="A1679" s="55" t="s">
        <v>9551</v>
      </c>
      <c r="B1679" s="52" t="s">
        <v>5652</v>
      </c>
      <c r="C1679" s="56">
        <v>45770.479166666664</v>
      </c>
      <c r="D1679" s="57" t="s">
        <v>6318</v>
      </c>
      <c r="E1679" s="56">
        <v>45770.5</v>
      </c>
      <c r="F1679" s="52" t="s">
        <v>9552</v>
      </c>
      <c r="G1679" s="4" t="s">
        <v>110</v>
      </c>
      <c r="H1679" s="4" t="s">
        <v>1987</v>
      </c>
      <c r="K1679" s="4" t="s">
        <v>9553</v>
      </c>
      <c r="L1679" s="4" t="s">
        <v>9554</v>
      </c>
    </row>
    <row r="1680">
      <c r="A1680" s="55" t="s">
        <v>9555</v>
      </c>
      <c r="B1680" s="52" t="s">
        <v>1540</v>
      </c>
      <c r="C1680" s="56">
        <v>45770.5</v>
      </c>
      <c r="D1680" s="57" t="s">
        <v>2147</v>
      </c>
      <c r="E1680" s="56">
        <v>45770.541666666664</v>
      </c>
      <c r="F1680" s="52" t="s">
        <v>9556</v>
      </c>
      <c r="G1680" s="4" t="s">
        <v>110</v>
      </c>
      <c r="H1680" s="4" t="s">
        <v>1987</v>
      </c>
      <c r="K1680" s="4" t="s">
        <v>9557</v>
      </c>
      <c r="L1680" s="4"/>
    </row>
    <row r="1681">
      <c r="A1681" s="55" t="s">
        <v>9558</v>
      </c>
      <c r="B1681" s="52" t="s">
        <v>1597</v>
      </c>
      <c r="C1681" s="56">
        <v>45769.583333333336</v>
      </c>
      <c r="D1681" s="57" t="s">
        <v>2154</v>
      </c>
      <c r="E1681" s="56">
        <v>45769.666666666664</v>
      </c>
      <c r="F1681" s="52" t="s">
        <v>9559</v>
      </c>
      <c r="G1681" s="4" t="s">
        <v>27</v>
      </c>
      <c r="H1681" s="4" t="s">
        <v>1991</v>
      </c>
      <c r="K1681" s="4" t="s">
        <v>9560</v>
      </c>
      <c r="L1681" s="4"/>
    </row>
    <row r="1682">
      <c r="A1682" s="55" t="s">
        <v>9561</v>
      </c>
      <c r="B1682" s="52" t="s">
        <v>5652</v>
      </c>
      <c r="C1682" s="56">
        <v>45770.375</v>
      </c>
      <c r="D1682" s="57" t="s">
        <v>2147</v>
      </c>
      <c r="E1682" s="56">
        <v>45770.416666666664</v>
      </c>
      <c r="F1682" s="52" t="s">
        <v>7470</v>
      </c>
      <c r="G1682" s="4" t="s">
        <v>27</v>
      </c>
      <c r="H1682" s="4" t="s">
        <v>1991</v>
      </c>
      <c r="K1682" s="4" t="s">
        <v>9562</v>
      </c>
      <c r="L1682" s="4"/>
    </row>
    <row r="1683">
      <c r="A1683" s="55" t="s">
        <v>9563</v>
      </c>
      <c r="B1683" s="52" t="s">
        <v>5628</v>
      </c>
      <c r="C1683" s="56">
        <v>45770.4375</v>
      </c>
      <c r="D1683" s="57" t="s">
        <v>2147</v>
      </c>
      <c r="E1683" s="56">
        <v>45770.479166666664</v>
      </c>
      <c r="F1683" s="52" t="s">
        <v>9564</v>
      </c>
      <c r="G1683" s="4" t="s">
        <v>27</v>
      </c>
      <c r="H1683" s="4" t="s">
        <v>1991</v>
      </c>
      <c r="K1683" s="4" t="s">
        <v>9565</v>
      </c>
      <c r="L1683" s="4"/>
    </row>
    <row r="1684">
      <c r="A1684" s="55" t="s">
        <v>9566</v>
      </c>
      <c r="B1684" s="52" t="s">
        <v>1438</v>
      </c>
      <c r="C1684" s="56">
        <v>45770.583333333336</v>
      </c>
      <c r="D1684" s="57" t="s">
        <v>2154</v>
      </c>
      <c r="E1684" s="56">
        <v>45770.666666666664</v>
      </c>
      <c r="F1684" s="52" t="s">
        <v>9567</v>
      </c>
      <c r="G1684" s="4" t="s">
        <v>27</v>
      </c>
      <c r="H1684" s="4" t="s">
        <v>1991</v>
      </c>
      <c r="K1684" s="4" t="s">
        <v>9568</v>
      </c>
      <c r="L1684" s="4"/>
    </row>
    <row r="1685">
      <c r="A1685" s="55" t="s">
        <v>9569</v>
      </c>
      <c r="B1685" s="52" t="s">
        <v>1540</v>
      </c>
      <c r="C1685" s="56">
        <v>45775.333333333336</v>
      </c>
      <c r="D1685" s="57" t="s">
        <v>2148</v>
      </c>
      <c r="E1685" s="56">
        <v>45775.5</v>
      </c>
      <c r="F1685" s="52" t="s">
        <v>6370</v>
      </c>
      <c r="G1685" s="4" t="s">
        <v>110</v>
      </c>
      <c r="H1685" s="4" t="s">
        <v>1987</v>
      </c>
      <c r="K1685" s="4" t="s">
        <v>9570</v>
      </c>
      <c r="L1685" s="4" t="s">
        <v>9571</v>
      </c>
    </row>
    <row r="1686">
      <c r="A1686" s="55" t="s">
        <v>9572</v>
      </c>
      <c r="B1686" s="52" t="s">
        <v>1438</v>
      </c>
      <c r="C1686" s="56">
        <v>45770.5625</v>
      </c>
      <c r="D1686" s="57" t="s">
        <v>2200</v>
      </c>
      <c r="E1686" s="56">
        <v>45770.729166666664</v>
      </c>
      <c r="F1686" s="52" t="s">
        <v>9573</v>
      </c>
      <c r="G1686" s="4" t="s">
        <v>135</v>
      </c>
      <c r="H1686" s="4" t="s">
        <v>1987</v>
      </c>
      <c r="K1686" s="4" t="s">
        <v>9574</v>
      </c>
      <c r="L1686" s="4" t="s">
        <v>9575</v>
      </c>
    </row>
    <row r="1687">
      <c r="A1687" s="55" t="s">
        <v>9576</v>
      </c>
      <c r="B1687" s="52" t="s">
        <v>5598</v>
      </c>
      <c r="C1687" s="56">
        <v>45770.708333333336</v>
      </c>
      <c r="D1687" s="57" t="s">
        <v>2154</v>
      </c>
      <c r="E1687" s="56">
        <v>45770.791666666664</v>
      </c>
      <c r="F1687" s="52" t="s">
        <v>9577</v>
      </c>
      <c r="G1687" s="4" t="s">
        <v>27</v>
      </c>
      <c r="H1687" s="4" t="s">
        <v>1987</v>
      </c>
      <c r="K1687" s="4" t="s">
        <v>9578</v>
      </c>
      <c r="L1687" s="4"/>
    </row>
    <row r="1688">
      <c r="A1688" s="55" t="s">
        <v>9579</v>
      </c>
      <c r="B1688" s="52" t="s">
        <v>1540</v>
      </c>
      <c r="C1688" s="56">
        <v>45772.333333333336</v>
      </c>
      <c r="D1688" s="57" t="s">
        <v>2148</v>
      </c>
      <c r="E1688" s="56">
        <v>45772.541666666664</v>
      </c>
      <c r="F1688" s="52" t="s">
        <v>9519</v>
      </c>
      <c r="G1688" s="4" t="s">
        <v>110</v>
      </c>
      <c r="H1688" s="4" t="s">
        <v>1987</v>
      </c>
      <c r="K1688" s="4" t="s">
        <v>9580</v>
      </c>
      <c r="L1688" s="4" t="s">
        <v>9581</v>
      </c>
    </row>
    <row r="1689">
      <c r="A1689" s="55" t="s">
        <v>9582</v>
      </c>
      <c r="B1689" s="52" t="s">
        <v>1540</v>
      </c>
      <c r="C1689" s="56">
        <v>45771.375</v>
      </c>
      <c r="D1689" s="57" t="s">
        <v>2147</v>
      </c>
      <c r="E1689" s="56">
        <v>45771.416666666664</v>
      </c>
      <c r="F1689" s="52" t="s">
        <v>9583</v>
      </c>
      <c r="G1689" s="4" t="s">
        <v>27</v>
      </c>
      <c r="H1689" s="4" t="s">
        <v>1987</v>
      </c>
      <c r="K1689" s="4" t="s">
        <v>9584</v>
      </c>
      <c r="L1689" s="4"/>
    </row>
    <row r="1690">
      <c r="A1690" s="55" t="s">
        <v>9585</v>
      </c>
      <c r="B1690" s="52" t="s">
        <v>1438</v>
      </c>
      <c r="C1690" s="56">
        <v>45771.604166666664</v>
      </c>
      <c r="D1690" s="57" t="s">
        <v>2200</v>
      </c>
      <c r="E1690" s="56">
        <v>45771.645833333336</v>
      </c>
      <c r="F1690" s="52" t="s">
        <v>9573</v>
      </c>
      <c r="G1690" s="4" t="s">
        <v>135</v>
      </c>
      <c r="H1690" s="4" t="s">
        <v>1987</v>
      </c>
      <c r="K1690" s="4" t="s">
        <v>9586</v>
      </c>
      <c r="L1690" s="4" t="s">
        <v>9575</v>
      </c>
    </row>
    <row r="1691">
      <c r="A1691" s="66" t="s">
        <v>9587</v>
      </c>
      <c r="B1691" s="52" t="s">
        <v>5384</v>
      </c>
      <c r="C1691" s="56">
        <v>45771.5625</v>
      </c>
      <c r="D1691" s="57" t="s">
        <v>2147</v>
      </c>
      <c r="E1691" s="56">
        <v>45771.604166666664</v>
      </c>
      <c r="F1691" s="52" t="s">
        <v>9526</v>
      </c>
      <c r="G1691" s="4" t="s">
        <v>135</v>
      </c>
      <c r="H1691" s="4" t="s">
        <v>1987</v>
      </c>
      <c r="K1691" s="4" t="s">
        <v>9588</v>
      </c>
      <c r="L1691" s="4" t="s">
        <v>9530</v>
      </c>
    </row>
    <row r="1692">
      <c r="A1692" s="55" t="s">
        <v>9589</v>
      </c>
      <c r="B1692" s="52" t="s">
        <v>1438</v>
      </c>
      <c r="C1692" s="56">
        <v>45772.604166666664</v>
      </c>
      <c r="D1692" s="57" t="s">
        <v>2154</v>
      </c>
      <c r="E1692" s="56">
        <v>45772.666666666664</v>
      </c>
      <c r="F1692" s="52" t="s">
        <v>9590</v>
      </c>
      <c r="G1692" s="4" t="s">
        <v>135</v>
      </c>
      <c r="H1692" s="4" t="s">
        <v>1987</v>
      </c>
      <c r="K1692" s="4" t="s">
        <v>9586</v>
      </c>
      <c r="L1692" s="4" t="s">
        <v>9591</v>
      </c>
    </row>
    <row r="1693">
      <c r="A1693" s="55" t="s">
        <v>9592</v>
      </c>
      <c r="B1693" s="52" t="s">
        <v>5619</v>
      </c>
      <c r="C1693" s="56">
        <v>45772.666666666664</v>
      </c>
      <c r="D1693" s="57" t="s">
        <v>2154</v>
      </c>
      <c r="E1693" s="56">
        <v>45772.6875</v>
      </c>
      <c r="F1693" s="52" t="s">
        <v>9593</v>
      </c>
      <c r="G1693" s="4" t="s">
        <v>135</v>
      </c>
      <c r="H1693" s="4" t="s">
        <v>1987</v>
      </c>
      <c r="K1693" s="4" t="s">
        <v>9594</v>
      </c>
      <c r="L1693" s="4" t="s">
        <v>9595</v>
      </c>
    </row>
    <row r="1694">
      <c r="A1694" s="55" t="s">
        <v>9596</v>
      </c>
      <c r="B1694" s="52" t="s">
        <v>1438</v>
      </c>
      <c r="C1694" s="56">
        <v>45772.6875</v>
      </c>
      <c r="D1694" s="57" t="s">
        <v>2147</v>
      </c>
      <c r="E1694" s="56">
        <v>45772.729166666664</v>
      </c>
      <c r="F1694" s="52" t="s">
        <v>9597</v>
      </c>
      <c r="G1694" s="4" t="s">
        <v>135</v>
      </c>
      <c r="H1694" s="4" t="s">
        <v>1987</v>
      </c>
      <c r="K1694" s="4" t="s">
        <v>9598</v>
      </c>
      <c r="L1694" s="4" t="s">
        <v>9599</v>
      </c>
    </row>
    <row r="1695">
      <c r="A1695" s="55" t="s">
        <v>9600</v>
      </c>
      <c r="B1695" s="52" t="s">
        <v>5537</v>
      </c>
      <c r="C1695" s="56">
        <v>45776.333333333336</v>
      </c>
      <c r="D1695" s="57" t="s">
        <v>2154</v>
      </c>
      <c r="E1695" s="56">
        <v>45776.4375</v>
      </c>
      <c r="F1695" s="52" t="s">
        <v>1536</v>
      </c>
      <c r="G1695" s="4" t="s">
        <v>110</v>
      </c>
      <c r="H1695" s="4" t="s">
        <v>1987</v>
      </c>
      <c r="K1695" s="4" t="s">
        <v>9601</v>
      </c>
      <c r="L1695" s="4" t="s">
        <v>9602</v>
      </c>
    </row>
    <row r="1696">
      <c r="A1696" s="55" t="s">
        <v>9603</v>
      </c>
      <c r="B1696" s="52" t="s">
        <v>1438</v>
      </c>
      <c r="C1696" s="56">
        <v>45777.333333333336</v>
      </c>
      <c r="D1696" s="57" t="s">
        <v>2147</v>
      </c>
      <c r="E1696" s="56">
        <v>45777.375</v>
      </c>
      <c r="F1696" s="52" t="s">
        <v>1536</v>
      </c>
      <c r="G1696" s="4" t="s">
        <v>110</v>
      </c>
      <c r="H1696" s="4" t="s">
        <v>1987</v>
      </c>
      <c r="K1696" s="4" t="s">
        <v>9604</v>
      </c>
      <c r="L1696" s="4" t="s">
        <v>9605</v>
      </c>
    </row>
    <row r="1697">
      <c r="A1697" s="55" t="s">
        <v>9606</v>
      </c>
      <c r="B1697" s="52" t="s">
        <v>5537</v>
      </c>
      <c r="C1697" s="56">
        <v>45775.5</v>
      </c>
      <c r="D1697" s="57" t="s">
        <v>2147</v>
      </c>
      <c r="E1697" s="56">
        <v>45775.541666666664</v>
      </c>
      <c r="F1697" s="52" t="s">
        <v>9607</v>
      </c>
      <c r="G1697" s="4" t="s">
        <v>110</v>
      </c>
      <c r="H1697" s="4" t="s">
        <v>1987</v>
      </c>
      <c r="K1697" s="4"/>
      <c r="L1697" s="4" t="s">
        <v>9608</v>
      </c>
    </row>
    <row r="1698">
      <c r="A1698" s="55" t="s">
        <v>9609</v>
      </c>
      <c r="B1698" s="52" t="s">
        <v>1540</v>
      </c>
      <c r="C1698" s="56">
        <v>45775.416666666664</v>
      </c>
      <c r="D1698" s="57" t="s">
        <v>2147</v>
      </c>
      <c r="E1698" s="56">
        <v>45775.458333333336</v>
      </c>
      <c r="F1698" s="52" t="s">
        <v>9610</v>
      </c>
      <c r="G1698" s="4" t="s">
        <v>27</v>
      </c>
      <c r="H1698" s="4" t="s">
        <v>1987</v>
      </c>
      <c r="K1698" s="4"/>
      <c r="L1698" s="4" t="s">
        <v>9611</v>
      </c>
    </row>
    <row r="1699">
      <c r="A1699" s="66" t="s">
        <v>9612</v>
      </c>
      <c r="B1699" s="52" t="s">
        <v>1438</v>
      </c>
      <c r="C1699" s="56">
        <v>45775.5625</v>
      </c>
      <c r="D1699" s="57" t="s">
        <v>2154</v>
      </c>
      <c r="E1699" s="56">
        <v>45775.625</v>
      </c>
      <c r="F1699" s="52" t="s">
        <v>9613</v>
      </c>
      <c r="G1699" s="4" t="s">
        <v>135</v>
      </c>
      <c r="H1699" s="4" t="s">
        <v>1987</v>
      </c>
      <c r="K1699" s="4" t="s">
        <v>9614</v>
      </c>
      <c r="L1699" s="4"/>
    </row>
    <row r="1700">
      <c r="A1700" s="66" t="s">
        <v>9615</v>
      </c>
      <c r="B1700" s="52" t="s">
        <v>6069</v>
      </c>
      <c r="C1700" s="56">
        <v>45779.5625</v>
      </c>
      <c r="D1700" s="57" t="s">
        <v>2148</v>
      </c>
      <c r="E1700" s="56">
        <v>45779.604166666664</v>
      </c>
      <c r="F1700" s="52" t="s">
        <v>6069</v>
      </c>
      <c r="G1700" s="4" t="s">
        <v>135</v>
      </c>
      <c r="H1700" s="4" t="s">
        <v>1987</v>
      </c>
      <c r="K1700" s="4" t="s">
        <v>9616</v>
      </c>
      <c r="L1700" s="4" t="s">
        <v>9617</v>
      </c>
    </row>
    <row r="1701">
      <c r="A1701" s="55" t="s">
        <v>9618</v>
      </c>
      <c r="B1701" s="52" t="s">
        <v>5598</v>
      </c>
      <c r="C1701" s="56">
        <v>45782.625</v>
      </c>
      <c r="D1701" s="57" t="s">
        <v>2154</v>
      </c>
      <c r="E1701" s="56">
        <v>45782.729166666664</v>
      </c>
      <c r="F1701" s="52" t="s">
        <v>7579</v>
      </c>
      <c r="G1701" s="4" t="s">
        <v>135</v>
      </c>
      <c r="H1701" s="4" t="s">
        <v>1987</v>
      </c>
      <c r="K1701" s="4" t="s">
        <v>9619</v>
      </c>
      <c r="L1701" s="4" t="s">
        <v>9620</v>
      </c>
    </row>
    <row r="1702">
      <c r="A1702" s="55" t="s">
        <v>9621</v>
      </c>
      <c r="B1702" s="52" t="s">
        <v>5598</v>
      </c>
      <c r="C1702" s="56">
        <v>45775.666666666664</v>
      </c>
      <c r="D1702" s="57" t="s">
        <v>2147</v>
      </c>
      <c r="E1702" s="56">
        <v>45775.833333333336</v>
      </c>
      <c r="F1702" s="52" t="s">
        <v>9622</v>
      </c>
      <c r="G1702" s="4" t="s">
        <v>27</v>
      </c>
      <c r="H1702" s="4" t="s">
        <v>1987</v>
      </c>
      <c r="K1702" s="4" t="s">
        <v>9623</v>
      </c>
      <c r="L1702" s="4"/>
    </row>
    <row r="1703">
      <c r="A1703" s="55" t="s">
        <v>9624</v>
      </c>
      <c r="B1703" s="52" t="s">
        <v>5598</v>
      </c>
      <c r="C1703" s="56">
        <v>45783.5625</v>
      </c>
      <c r="D1703" s="57" t="s">
        <v>2154</v>
      </c>
      <c r="E1703" s="56">
        <v>45783.6875</v>
      </c>
      <c r="F1703" s="52" t="s">
        <v>7579</v>
      </c>
      <c r="G1703" s="4" t="s">
        <v>135</v>
      </c>
      <c r="H1703" s="4" t="s">
        <v>1987</v>
      </c>
      <c r="K1703" s="4" t="s">
        <v>9625</v>
      </c>
      <c r="L1703" s="4" t="s">
        <v>9626</v>
      </c>
    </row>
    <row r="1704">
      <c r="A1704" s="55" t="s">
        <v>9627</v>
      </c>
      <c r="B1704" s="52" t="s">
        <v>1438</v>
      </c>
      <c r="C1704" s="56">
        <v>45776.4375</v>
      </c>
      <c r="D1704" s="57" t="s">
        <v>2147</v>
      </c>
      <c r="E1704" s="56">
        <v>45776.5</v>
      </c>
      <c r="F1704" s="52" t="s">
        <v>8933</v>
      </c>
      <c r="G1704" s="4" t="s">
        <v>110</v>
      </c>
      <c r="H1704" s="4" t="s">
        <v>1987</v>
      </c>
      <c r="K1704" s="4" t="s">
        <v>9628</v>
      </c>
      <c r="L1704" s="4" t="s">
        <v>9629</v>
      </c>
    </row>
    <row r="1705">
      <c r="A1705" s="55" t="s">
        <v>9630</v>
      </c>
      <c r="B1705" s="52" t="s">
        <v>5537</v>
      </c>
      <c r="C1705" s="56">
        <v>45776.5</v>
      </c>
      <c r="D1705" s="57" t="s">
        <v>2147</v>
      </c>
      <c r="E1705" s="56">
        <v>45776.541666666664</v>
      </c>
      <c r="F1705" s="52" t="s">
        <v>9631</v>
      </c>
      <c r="G1705" s="4" t="s">
        <v>110</v>
      </c>
      <c r="H1705" s="4" t="s">
        <v>1987</v>
      </c>
      <c r="K1705" s="4" t="s">
        <v>9632</v>
      </c>
      <c r="L1705" s="4"/>
    </row>
    <row r="1706">
      <c r="A1706" s="55"/>
      <c r="B1706" s="52"/>
      <c r="C1706" s="56"/>
      <c r="D1706" s="61"/>
      <c r="E1706" s="56"/>
      <c r="F1706" s="52"/>
      <c r="G1706" s="4"/>
      <c r="H1706" s="4"/>
      <c r="K1706" s="4"/>
      <c r="L1706" s="4"/>
    </row>
    <row r="1707">
      <c r="A1707" s="55"/>
      <c r="B1707" s="52"/>
      <c r="C1707" s="56"/>
      <c r="D1707" s="61"/>
      <c r="E1707" s="56"/>
      <c r="F1707" s="52"/>
      <c r="G1707" s="4"/>
      <c r="H1707" s="4"/>
      <c r="K1707" s="4"/>
      <c r="L1707" s="4"/>
    </row>
    <row r="1708">
      <c r="A1708" s="55" t="s">
        <v>9633</v>
      </c>
      <c r="B1708" s="52" t="s">
        <v>5619</v>
      </c>
      <c r="C1708" s="56">
        <v>45777.625</v>
      </c>
      <c r="D1708" s="57" t="s">
        <v>6318</v>
      </c>
      <c r="E1708" s="56">
        <v>45777.645833333336</v>
      </c>
      <c r="F1708" s="52" t="s">
        <v>9634</v>
      </c>
      <c r="G1708" s="4" t="s">
        <v>135</v>
      </c>
      <c r="H1708" s="4" t="s">
        <v>1991</v>
      </c>
      <c r="K1708" s="4" t="s">
        <v>9635</v>
      </c>
      <c r="L1708" s="4" t="s">
        <v>9636</v>
      </c>
    </row>
    <row r="1709">
      <c r="A1709" s="55" t="s">
        <v>9637</v>
      </c>
      <c r="B1709" s="52" t="s">
        <v>5598</v>
      </c>
      <c r="C1709" s="56">
        <v>45777.645833333336</v>
      </c>
      <c r="D1709" s="57" t="s">
        <v>2154</v>
      </c>
      <c r="E1709" s="56">
        <v>45777.729166666664</v>
      </c>
      <c r="F1709" s="52" t="s">
        <v>7579</v>
      </c>
      <c r="G1709" s="4" t="s">
        <v>135</v>
      </c>
      <c r="H1709" s="4" t="s">
        <v>1987</v>
      </c>
      <c r="K1709" s="4"/>
      <c r="L1709" s="4" t="s">
        <v>9638</v>
      </c>
    </row>
    <row r="1710">
      <c r="A1710" s="55" t="s">
        <v>9639</v>
      </c>
      <c r="B1710" s="52" t="s">
        <v>1438</v>
      </c>
      <c r="C1710" s="56">
        <v>45776.625</v>
      </c>
      <c r="D1710" s="57" t="s">
        <v>2154</v>
      </c>
      <c r="E1710" s="56">
        <v>45776.666666666664</v>
      </c>
      <c r="F1710" s="52" t="s">
        <v>9640</v>
      </c>
      <c r="G1710" s="4" t="s">
        <v>135</v>
      </c>
      <c r="H1710" s="4" t="s">
        <v>1987</v>
      </c>
      <c r="K1710" s="4" t="s">
        <v>9641</v>
      </c>
      <c r="L1710" s="4" t="s">
        <v>9541</v>
      </c>
    </row>
    <row r="1711">
      <c r="A1711" s="55" t="s">
        <v>9642</v>
      </c>
      <c r="B1711" s="52" t="s">
        <v>5598</v>
      </c>
      <c r="C1711" s="56">
        <v>45776.666666666664</v>
      </c>
      <c r="D1711" s="57" t="s">
        <v>2154</v>
      </c>
      <c r="E1711" s="56">
        <v>45776.729166666664</v>
      </c>
      <c r="F1711" s="52" t="s">
        <v>7579</v>
      </c>
      <c r="G1711" s="4" t="s">
        <v>135</v>
      </c>
      <c r="H1711" s="4" t="s">
        <v>1987</v>
      </c>
      <c r="K1711" s="4" t="s">
        <v>9643</v>
      </c>
      <c r="L1711" s="4" t="s">
        <v>9541</v>
      </c>
    </row>
    <row r="1712">
      <c r="A1712" s="55" t="s">
        <v>9644</v>
      </c>
      <c r="B1712" s="52" t="s">
        <v>5596</v>
      </c>
      <c r="C1712" s="56">
        <v>45779.395833333336</v>
      </c>
      <c r="D1712" s="57" t="s">
        <v>6052</v>
      </c>
      <c r="E1712" s="56">
        <v>45779.541666666664</v>
      </c>
      <c r="F1712" s="52" t="s">
        <v>9645</v>
      </c>
      <c r="G1712" s="4" t="s">
        <v>110</v>
      </c>
      <c r="H1712" s="4" t="s">
        <v>1987</v>
      </c>
      <c r="K1712" s="4" t="s">
        <v>9646</v>
      </c>
      <c r="L1712" s="4" t="s">
        <v>9647</v>
      </c>
    </row>
    <row r="1713">
      <c r="A1713" s="55" t="s">
        <v>9648</v>
      </c>
      <c r="B1713" s="52" t="s">
        <v>5537</v>
      </c>
      <c r="C1713" s="56">
        <v>45777.375</v>
      </c>
      <c r="D1713" s="57" t="s">
        <v>2147</v>
      </c>
      <c r="E1713" s="56">
        <v>45777.416666666664</v>
      </c>
      <c r="F1713" s="52" t="s">
        <v>9649</v>
      </c>
      <c r="G1713" s="4" t="s">
        <v>110</v>
      </c>
      <c r="H1713" s="4" t="s">
        <v>1987</v>
      </c>
      <c r="K1713" s="4" t="s">
        <v>9650</v>
      </c>
      <c r="L1713" s="4"/>
    </row>
    <row r="1714">
      <c r="A1714" s="55" t="s">
        <v>9651</v>
      </c>
      <c r="B1714" s="52" t="s">
        <v>6057</v>
      </c>
      <c r="C1714" s="56">
        <v>45777.416666666664</v>
      </c>
      <c r="D1714" s="57" t="s">
        <v>2147</v>
      </c>
      <c r="E1714" s="56">
        <v>45777.458333333336</v>
      </c>
      <c r="F1714" s="52" t="s">
        <v>9023</v>
      </c>
      <c r="G1714" s="4" t="s">
        <v>110</v>
      </c>
      <c r="H1714" s="4" t="s">
        <v>1987</v>
      </c>
      <c r="K1714" s="4" t="s">
        <v>9652</v>
      </c>
      <c r="L1714" s="4"/>
    </row>
    <row r="1715">
      <c r="A1715" s="55" t="s">
        <v>9653</v>
      </c>
      <c r="B1715" s="52" t="s">
        <v>1438</v>
      </c>
      <c r="C1715" s="56">
        <v>45777.458333333336</v>
      </c>
      <c r="D1715" s="57" t="s">
        <v>2154</v>
      </c>
      <c r="E1715" s="56">
        <v>45777.541666666664</v>
      </c>
      <c r="F1715" s="52" t="s">
        <v>8933</v>
      </c>
      <c r="G1715" s="4" t="s">
        <v>110</v>
      </c>
      <c r="H1715" s="4" t="s">
        <v>1987</v>
      </c>
      <c r="K1715" s="4"/>
      <c r="L1715" s="4" t="s">
        <v>9654</v>
      </c>
    </row>
    <row r="1716">
      <c r="A1716" s="55" t="s">
        <v>9655</v>
      </c>
      <c r="B1716" s="52" t="s">
        <v>1438</v>
      </c>
      <c r="C1716" s="56">
        <v>45779.333333333336</v>
      </c>
      <c r="D1716" s="57" t="s">
        <v>2147</v>
      </c>
      <c r="E1716" s="56">
        <v>45779.395833333336</v>
      </c>
      <c r="F1716" s="52" t="s">
        <v>8933</v>
      </c>
      <c r="G1716" s="4" t="s">
        <v>110</v>
      </c>
      <c r="H1716" s="4" t="s">
        <v>1987</v>
      </c>
      <c r="K1716" s="4" t="s">
        <v>9656</v>
      </c>
      <c r="L1716" s="4"/>
    </row>
    <row r="1717">
      <c r="A1717" s="55" t="s">
        <v>9657</v>
      </c>
      <c r="B1717" s="52" t="s">
        <v>5596</v>
      </c>
      <c r="C1717" s="56">
        <v>45782.333333333336</v>
      </c>
      <c r="D1717" s="57" t="s">
        <v>2147</v>
      </c>
      <c r="E1717" s="56">
        <v>45782.395833333336</v>
      </c>
      <c r="F1717" s="52" t="s">
        <v>7332</v>
      </c>
      <c r="G1717" s="4" t="s">
        <v>110</v>
      </c>
      <c r="H1717" s="4" t="s">
        <v>1987</v>
      </c>
      <c r="K1717" s="4" t="s">
        <v>9658</v>
      </c>
      <c r="L1717" s="4"/>
    </row>
    <row r="1718">
      <c r="A1718" s="55" t="s">
        <v>9659</v>
      </c>
      <c r="B1718" s="52" t="s">
        <v>5652</v>
      </c>
      <c r="C1718" s="56">
        <v>45782.395833333336</v>
      </c>
      <c r="D1718" s="57" t="s">
        <v>6318</v>
      </c>
      <c r="E1718" s="56">
        <v>45782.416666666664</v>
      </c>
      <c r="F1718" s="52" t="s">
        <v>9660</v>
      </c>
      <c r="G1718" s="4" t="s">
        <v>110</v>
      </c>
      <c r="H1718" s="4" t="s">
        <v>1987</v>
      </c>
      <c r="K1718" s="4" t="s">
        <v>9661</v>
      </c>
      <c r="L1718" s="4"/>
    </row>
    <row r="1719">
      <c r="A1719" s="55" t="s">
        <v>9662</v>
      </c>
      <c r="B1719" s="52" t="s">
        <v>5596</v>
      </c>
      <c r="C1719" s="56">
        <v>45782.416666666664</v>
      </c>
      <c r="D1719" s="57" t="s">
        <v>2200</v>
      </c>
      <c r="E1719" s="56">
        <v>45782.541666666664</v>
      </c>
      <c r="F1719" s="52" t="s">
        <v>9663</v>
      </c>
      <c r="G1719" s="4" t="s">
        <v>110</v>
      </c>
      <c r="H1719" s="4" t="s">
        <v>1987</v>
      </c>
      <c r="K1719" s="4" t="s">
        <v>9664</v>
      </c>
      <c r="L1719" s="4"/>
    </row>
    <row r="1720">
      <c r="A1720" s="55" t="s">
        <v>9665</v>
      </c>
      <c r="B1720" s="52" t="s">
        <v>1438</v>
      </c>
      <c r="C1720" s="56">
        <v>45782.5625</v>
      </c>
      <c r="D1720" s="57" t="s">
        <v>2147</v>
      </c>
      <c r="E1720" s="56">
        <v>45782.604166666664</v>
      </c>
      <c r="F1720" s="52" t="s">
        <v>9666</v>
      </c>
      <c r="G1720" s="4" t="s">
        <v>135</v>
      </c>
      <c r="H1720" s="4" t="s">
        <v>1987</v>
      </c>
      <c r="K1720" s="4" t="s">
        <v>9667</v>
      </c>
      <c r="L1720" s="4"/>
    </row>
    <row r="1721">
      <c r="A1721" s="55" t="s">
        <v>9668</v>
      </c>
      <c r="B1721" s="52" t="s">
        <v>5384</v>
      </c>
      <c r="C1721" s="56">
        <v>45782.604166666664</v>
      </c>
      <c r="D1721" s="57" t="s">
        <v>6318</v>
      </c>
      <c r="E1721" s="56">
        <v>45782.625</v>
      </c>
      <c r="F1721" s="52" t="s">
        <v>8733</v>
      </c>
      <c r="G1721" s="4" t="s">
        <v>135</v>
      </c>
      <c r="H1721" s="4" t="s">
        <v>1987</v>
      </c>
      <c r="K1721" s="4" t="s">
        <v>9669</v>
      </c>
      <c r="L1721" s="4"/>
    </row>
    <row r="1722">
      <c r="A1722" s="55" t="s">
        <v>9670</v>
      </c>
      <c r="B1722" s="52" t="s">
        <v>5537</v>
      </c>
      <c r="C1722" s="56">
        <v>45785.458333333336</v>
      </c>
      <c r="D1722" s="57" t="s">
        <v>2147</v>
      </c>
      <c r="E1722" s="56">
        <v>45785.520833333336</v>
      </c>
      <c r="F1722" s="52" t="s">
        <v>9671</v>
      </c>
      <c r="G1722" s="4" t="s">
        <v>110</v>
      </c>
      <c r="H1722" s="4" t="s">
        <v>1987</v>
      </c>
      <c r="K1722" s="4" t="s">
        <v>9672</v>
      </c>
      <c r="L1722" s="4" t="s">
        <v>9673</v>
      </c>
    </row>
    <row r="1723">
      <c r="A1723" s="55" t="s">
        <v>9674</v>
      </c>
      <c r="B1723" s="52" t="s">
        <v>1603</v>
      </c>
      <c r="C1723" s="56">
        <v>45786.333333333336</v>
      </c>
      <c r="D1723" s="57" t="s">
        <v>2200</v>
      </c>
      <c r="E1723" s="56">
        <v>45786.458333333336</v>
      </c>
      <c r="F1723" s="52" t="s">
        <v>9675</v>
      </c>
      <c r="G1723" s="4" t="s">
        <v>110</v>
      </c>
      <c r="H1723" s="4" t="s">
        <v>1987</v>
      </c>
      <c r="K1723" s="4" t="s">
        <v>9676</v>
      </c>
      <c r="L1723" s="4" t="s">
        <v>9677</v>
      </c>
    </row>
    <row r="1724">
      <c r="A1724" s="55" t="s">
        <v>9678</v>
      </c>
      <c r="B1724" s="52" t="s">
        <v>5628</v>
      </c>
      <c r="C1724" s="56">
        <v>45784.333333333336</v>
      </c>
      <c r="D1724" s="57" t="s">
        <v>6052</v>
      </c>
      <c r="E1724" s="56">
        <v>45784.541666666664</v>
      </c>
      <c r="F1724" s="52" t="s">
        <v>9679</v>
      </c>
      <c r="G1724" s="4" t="s">
        <v>110</v>
      </c>
      <c r="H1724" s="4" t="s">
        <v>1987</v>
      </c>
      <c r="K1724" s="4" t="s">
        <v>9680</v>
      </c>
      <c r="L1724" s="4"/>
    </row>
    <row r="1725">
      <c r="A1725" s="55" t="s">
        <v>9681</v>
      </c>
      <c r="B1725" s="52" t="s">
        <v>5628</v>
      </c>
      <c r="C1725" s="56">
        <v>45783.479166666664</v>
      </c>
      <c r="D1725" s="57" t="s">
        <v>2154</v>
      </c>
      <c r="E1725" s="56">
        <v>45783.541666666664</v>
      </c>
      <c r="F1725" s="52" t="s">
        <v>9682</v>
      </c>
      <c r="G1725" s="4" t="s">
        <v>110</v>
      </c>
      <c r="H1725" s="4" t="s">
        <v>1987</v>
      </c>
      <c r="K1725" s="4" t="s">
        <v>9683</v>
      </c>
      <c r="L1725" s="4"/>
    </row>
    <row r="1726">
      <c r="A1726" s="55" t="s">
        <v>9684</v>
      </c>
      <c r="B1726" s="52" t="s">
        <v>5596</v>
      </c>
      <c r="C1726" s="56">
        <v>45783.333333333336</v>
      </c>
      <c r="D1726" s="57" t="s">
        <v>2154</v>
      </c>
      <c r="E1726" s="56">
        <v>45783.447916666664</v>
      </c>
      <c r="F1726" s="52" t="s">
        <v>7332</v>
      </c>
      <c r="G1726" s="4" t="s">
        <v>110</v>
      </c>
      <c r="H1726" s="4" t="s">
        <v>1987</v>
      </c>
      <c r="K1726" s="4" t="s">
        <v>9685</v>
      </c>
      <c r="L1726" s="4"/>
    </row>
    <row r="1727">
      <c r="A1727" s="55" t="s">
        <v>9686</v>
      </c>
      <c r="B1727" s="52" t="s">
        <v>5628</v>
      </c>
      <c r="C1727" s="56">
        <v>45783.447916666664</v>
      </c>
      <c r="D1727" s="57" t="s">
        <v>2147</v>
      </c>
      <c r="E1727" s="56">
        <v>45783.479166666664</v>
      </c>
      <c r="F1727" s="52" t="s">
        <v>9687</v>
      </c>
      <c r="G1727" s="4" t="s">
        <v>110</v>
      </c>
      <c r="H1727" s="4" t="s">
        <v>1987</v>
      </c>
      <c r="K1727" s="4" t="s">
        <v>9688</v>
      </c>
      <c r="L1727" s="4"/>
    </row>
    <row r="1728">
      <c r="A1728" s="55"/>
      <c r="B1728" s="52"/>
      <c r="C1728" s="56"/>
      <c r="D1728" s="61"/>
      <c r="E1728" s="56"/>
      <c r="F1728" s="52"/>
      <c r="G1728" s="4"/>
      <c r="H1728" s="4"/>
      <c r="K1728" s="4"/>
      <c r="L1728" s="4"/>
    </row>
    <row r="1729">
      <c r="A1729" s="55"/>
      <c r="B1729" s="52"/>
      <c r="C1729" s="56"/>
      <c r="D1729" s="61"/>
      <c r="E1729" s="56"/>
      <c r="F1729" s="52"/>
      <c r="G1729" s="4"/>
      <c r="H1729" s="4"/>
      <c r="K1729" s="4"/>
      <c r="L1729" s="4"/>
    </row>
    <row r="1730">
      <c r="A1730" s="55" t="s">
        <v>9689</v>
      </c>
      <c r="B1730" s="52" t="s">
        <v>5619</v>
      </c>
      <c r="C1730" s="56">
        <v>45784.552083333336</v>
      </c>
      <c r="D1730" s="57" t="s">
        <v>6052</v>
      </c>
      <c r="E1730" s="56">
        <v>45784.770833333336</v>
      </c>
      <c r="F1730" s="52" t="s">
        <v>9690</v>
      </c>
      <c r="G1730" s="4" t="s">
        <v>135</v>
      </c>
      <c r="H1730" s="4" t="s">
        <v>1987</v>
      </c>
      <c r="K1730" s="4" t="s">
        <v>9691</v>
      </c>
      <c r="L1730" s="4" t="s">
        <v>9692</v>
      </c>
    </row>
    <row r="1731">
      <c r="A1731" s="55" t="s">
        <v>9693</v>
      </c>
      <c r="B1731" s="52" t="s">
        <v>1438</v>
      </c>
      <c r="C1731" s="56">
        <v>45789.5625</v>
      </c>
      <c r="D1731" s="57" t="s">
        <v>6052</v>
      </c>
      <c r="E1731" s="56">
        <v>45789.625</v>
      </c>
      <c r="F1731" s="52" t="s">
        <v>9694</v>
      </c>
      <c r="G1731" s="4" t="s">
        <v>135</v>
      </c>
      <c r="H1731" s="4" t="s">
        <v>1987</v>
      </c>
      <c r="K1731" s="4"/>
      <c r="L1731" s="4" t="s">
        <v>9695</v>
      </c>
    </row>
    <row r="1732">
      <c r="A1732" s="55" t="s">
        <v>9696</v>
      </c>
      <c r="B1732" s="52" t="s">
        <v>5619</v>
      </c>
      <c r="C1732" s="56">
        <v>45783.6875</v>
      </c>
      <c r="D1732" s="57" t="s">
        <v>2147</v>
      </c>
      <c r="E1732" s="56">
        <v>45783.729166666664</v>
      </c>
      <c r="F1732" s="52" t="s">
        <v>9697</v>
      </c>
      <c r="G1732" s="4" t="s">
        <v>135</v>
      </c>
      <c r="H1732" s="4" t="s">
        <v>1987</v>
      </c>
      <c r="K1732" s="4" t="s">
        <v>9698</v>
      </c>
      <c r="L1732" s="4"/>
    </row>
    <row r="1733">
      <c r="A1733" s="55" t="s">
        <v>9699</v>
      </c>
      <c r="B1733" s="52" t="s">
        <v>1540</v>
      </c>
      <c r="C1733" s="56">
        <v>45748.5</v>
      </c>
      <c r="D1733" s="61"/>
      <c r="E1733" s="56">
        <v>45749.5</v>
      </c>
      <c r="F1733" s="52" t="s">
        <v>9700</v>
      </c>
      <c r="G1733" s="4" t="s">
        <v>27</v>
      </c>
      <c r="H1733" s="4" t="s">
        <v>1987</v>
      </c>
      <c r="K1733" s="4" t="s">
        <v>9701</v>
      </c>
      <c r="L1733" s="4"/>
    </row>
    <row r="1734">
      <c r="A1734" s="55" t="s">
        <v>9702</v>
      </c>
      <c r="B1734" s="52" t="s">
        <v>1603</v>
      </c>
      <c r="C1734" s="56">
        <v>45789.333333333336</v>
      </c>
      <c r="D1734" s="57" t="s">
        <v>2200</v>
      </c>
      <c r="E1734" s="56">
        <v>45789.447916666664</v>
      </c>
      <c r="F1734" s="52" t="s">
        <v>9703</v>
      </c>
      <c r="G1734" s="4" t="s">
        <v>110</v>
      </c>
      <c r="H1734" s="4" t="s">
        <v>1987</v>
      </c>
      <c r="K1734" s="4" t="s">
        <v>9704</v>
      </c>
      <c r="L1734" s="4" t="s">
        <v>9705</v>
      </c>
    </row>
    <row r="1735">
      <c r="A1735" s="55" t="s">
        <v>9706</v>
      </c>
      <c r="B1735" s="52" t="s">
        <v>1438</v>
      </c>
      <c r="C1735" s="56">
        <v>45786.729166666664</v>
      </c>
      <c r="D1735" s="57" t="s">
        <v>6052</v>
      </c>
      <c r="E1735" s="56">
        <v>45786.770833333336</v>
      </c>
      <c r="F1735" s="52" t="s">
        <v>9707</v>
      </c>
      <c r="G1735" s="4" t="s">
        <v>135</v>
      </c>
      <c r="H1735" s="4" t="s">
        <v>1987</v>
      </c>
      <c r="K1735" s="4" t="s">
        <v>9708</v>
      </c>
      <c r="L1735" s="4" t="s">
        <v>9709</v>
      </c>
    </row>
    <row r="1736">
      <c r="A1736" s="55" t="s">
        <v>9710</v>
      </c>
      <c r="B1736" s="52" t="s">
        <v>1438</v>
      </c>
      <c r="C1736" s="56">
        <v>45786.552083333336</v>
      </c>
      <c r="D1736" s="57" t="s">
        <v>6052</v>
      </c>
      <c r="E1736" s="56">
        <v>45786.625</v>
      </c>
      <c r="F1736" s="52" t="s">
        <v>9707</v>
      </c>
      <c r="G1736" s="4" t="s">
        <v>135</v>
      </c>
      <c r="H1736" s="4" t="s">
        <v>1987</v>
      </c>
      <c r="K1736" s="4" t="s">
        <v>9711</v>
      </c>
      <c r="L1736" s="4" t="s">
        <v>9712</v>
      </c>
    </row>
    <row r="1737">
      <c r="A1737" s="55" t="s">
        <v>9713</v>
      </c>
      <c r="B1737" s="52" t="s">
        <v>5598</v>
      </c>
      <c r="C1737" s="56">
        <v>45786.625</v>
      </c>
      <c r="D1737" s="57" t="s">
        <v>2154</v>
      </c>
      <c r="E1737" s="56">
        <v>45786.791666666664</v>
      </c>
      <c r="F1737" s="52" t="s">
        <v>7486</v>
      </c>
      <c r="G1737" s="4" t="s">
        <v>27</v>
      </c>
      <c r="H1737" s="4" t="s">
        <v>1991</v>
      </c>
      <c r="K1737" s="4" t="s">
        <v>9714</v>
      </c>
      <c r="L1737" s="4" t="s">
        <v>9715</v>
      </c>
    </row>
    <row r="1738">
      <c r="A1738" s="55" t="s">
        <v>9716</v>
      </c>
      <c r="B1738" s="52" t="s">
        <v>5598</v>
      </c>
      <c r="C1738" s="56">
        <v>45786.625</v>
      </c>
      <c r="D1738" s="57" t="s">
        <v>2154</v>
      </c>
      <c r="E1738" s="56">
        <v>45786.729166666664</v>
      </c>
      <c r="F1738" s="52" t="s">
        <v>9717</v>
      </c>
      <c r="G1738" s="4" t="s">
        <v>135</v>
      </c>
      <c r="H1738" s="4" t="s">
        <v>1987</v>
      </c>
      <c r="K1738" s="4" t="s">
        <v>9619</v>
      </c>
      <c r="L1738" s="4" t="s">
        <v>9718</v>
      </c>
    </row>
    <row r="1739">
      <c r="A1739" s="55" t="s">
        <v>9719</v>
      </c>
      <c r="B1739" s="52" t="s">
        <v>5619</v>
      </c>
      <c r="C1739" s="56">
        <v>45785.552083333336</v>
      </c>
      <c r="D1739" s="57" t="s">
        <v>6052</v>
      </c>
      <c r="E1739" s="56">
        <v>45785.770833333336</v>
      </c>
      <c r="F1739" s="52" t="s">
        <v>9690</v>
      </c>
      <c r="G1739" s="4" t="s">
        <v>135</v>
      </c>
      <c r="H1739" s="4" t="s">
        <v>1987</v>
      </c>
      <c r="K1739" s="4" t="s">
        <v>9720</v>
      </c>
      <c r="L1739" s="4" t="s">
        <v>9692</v>
      </c>
    </row>
    <row r="1740">
      <c r="A1740" s="55" t="s">
        <v>9721</v>
      </c>
      <c r="B1740" s="52" t="s">
        <v>5628</v>
      </c>
      <c r="C1740" s="56">
        <v>45785.333333333336</v>
      </c>
      <c r="D1740" s="57" t="s">
        <v>2154</v>
      </c>
      <c r="E1740" s="56">
        <v>45785.458333333336</v>
      </c>
      <c r="F1740" s="52" t="s">
        <v>6370</v>
      </c>
      <c r="G1740" s="4" t="s">
        <v>110</v>
      </c>
      <c r="H1740" s="4" t="s">
        <v>1987</v>
      </c>
      <c r="K1740" s="4"/>
      <c r="L1740" s="4" t="s">
        <v>9722</v>
      </c>
    </row>
    <row r="1741">
      <c r="A1741" s="55" t="s">
        <v>9723</v>
      </c>
      <c r="B1741" s="52" t="s">
        <v>1603</v>
      </c>
      <c r="C1741" s="56">
        <v>45785.520833333336</v>
      </c>
      <c r="D1741" s="57" t="s">
        <v>6318</v>
      </c>
      <c r="E1741" s="56">
        <v>45785.541666666664</v>
      </c>
      <c r="F1741" s="52" t="s">
        <v>9724</v>
      </c>
      <c r="G1741" s="4" t="s">
        <v>110</v>
      </c>
      <c r="H1741" s="4" t="s">
        <v>1987</v>
      </c>
      <c r="K1741" s="4" t="s">
        <v>9725</v>
      </c>
      <c r="L1741" s="4"/>
    </row>
    <row r="1742">
      <c r="A1742" s="55" t="s">
        <v>9726</v>
      </c>
      <c r="B1742" s="52" t="s">
        <v>1603</v>
      </c>
      <c r="C1742" s="56">
        <v>45790.333333333336</v>
      </c>
      <c r="D1742" s="57" t="s">
        <v>6052</v>
      </c>
      <c r="E1742" s="56">
        <v>45790.541666666664</v>
      </c>
      <c r="F1742" s="52" t="s">
        <v>9727</v>
      </c>
      <c r="G1742" s="4" t="s">
        <v>110</v>
      </c>
      <c r="H1742" s="4" t="s">
        <v>1987</v>
      </c>
      <c r="K1742" s="4" t="s">
        <v>9728</v>
      </c>
      <c r="L1742" s="4" t="s">
        <v>9729</v>
      </c>
    </row>
    <row r="1743">
      <c r="A1743" s="55"/>
      <c r="B1743" s="52"/>
      <c r="C1743" s="56"/>
      <c r="D1743" s="61"/>
      <c r="E1743" s="56"/>
      <c r="F1743" s="52"/>
      <c r="G1743" s="4"/>
      <c r="H1743" s="4"/>
      <c r="K1743" s="4"/>
      <c r="L1743" s="4"/>
    </row>
    <row r="1744">
      <c r="A1744" s="55" t="s">
        <v>9730</v>
      </c>
      <c r="B1744" s="52" t="s">
        <v>1603</v>
      </c>
      <c r="C1744" s="56">
        <v>45785.5</v>
      </c>
      <c r="D1744" s="57" t="s">
        <v>2147</v>
      </c>
      <c r="E1744" s="56">
        <v>45785.541666666664</v>
      </c>
      <c r="F1744" s="52" t="s">
        <v>9731</v>
      </c>
      <c r="G1744" s="4" t="s">
        <v>27</v>
      </c>
      <c r="H1744" s="4" t="s">
        <v>1987</v>
      </c>
      <c r="K1744" s="4" t="s">
        <v>9732</v>
      </c>
      <c r="L1744" s="4"/>
    </row>
    <row r="1745">
      <c r="A1745" s="55" t="s">
        <v>9733</v>
      </c>
      <c r="B1745" s="52" t="s">
        <v>5537</v>
      </c>
      <c r="C1745" s="56">
        <v>45785.541666666664</v>
      </c>
      <c r="D1745" s="57" t="s">
        <v>2147</v>
      </c>
      <c r="E1745" s="56">
        <v>45785.583333333336</v>
      </c>
      <c r="F1745" s="52" t="s">
        <v>9734</v>
      </c>
      <c r="G1745" s="4" t="s">
        <v>27</v>
      </c>
      <c r="H1745" s="4" t="s">
        <v>1987</v>
      </c>
      <c r="K1745" s="4"/>
      <c r="L1745" s="4" t="s">
        <v>9735</v>
      </c>
    </row>
    <row r="1746">
      <c r="A1746" s="55" t="s">
        <v>9736</v>
      </c>
      <c r="B1746" s="52" t="s">
        <v>6069</v>
      </c>
      <c r="C1746" s="56">
        <v>45782.57777777778</v>
      </c>
      <c r="D1746" s="57" t="s">
        <v>2147</v>
      </c>
      <c r="E1746" s="56">
        <v>45782.61944444444</v>
      </c>
      <c r="F1746" s="52" t="s">
        <v>6069</v>
      </c>
      <c r="G1746" s="4" t="s">
        <v>27</v>
      </c>
      <c r="H1746" s="4" t="s">
        <v>1987</v>
      </c>
      <c r="K1746" s="4"/>
      <c r="L1746" s="4" t="s">
        <v>9737</v>
      </c>
    </row>
    <row r="1747">
      <c r="A1747" s="55" t="s">
        <v>9738</v>
      </c>
      <c r="B1747" s="52" t="s">
        <v>6069</v>
      </c>
      <c r="C1747" s="56">
        <v>45779.57847222222</v>
      </c>
      <c r="D1747" s="57" t="s">
        <v>2147</v>
      </c>
      <c r="E1747" s="56">
        <v>45779.62013888889</v>
      </c>
      <c r="F1747" s="52" t="s">
        <v>6069</v>
      </c>
      <c r="G1747" s="4" t="s">
        <v>27</v>
      </c>
      <c r="H1747" s="4" t="s">
        <v>1987</v>
      </c>
      <c r="K1747" s="4" t="s">
        <v>9739</v>
      </c>
      <c r="L1747" s="4"/>
    </row>
    <row r="1748">
      <c r="A1748" s="55" t="s">
        <v>9740</v>
      </c>
      <c r="B1748" s="52" t="s">
        <v>5628</v>
      </c>
      <c r="C1748" s="56">
        <v>45786.458333333336</v>
      </c>
      <c r="D1748" s="57" t="s">
        <v>2154</v>
      </c>
      <c r="E1748" s="56">
        <v>45786.541666666664</v>
      </c>
      <c r="F1748" s="52" t="s">
        <v>9741</v>
      </c>
      <c r="G1748" s="4" t="s">
        <v>110</v>
      </c>
      <c r="H1748" s="4" t="s">
        <v>1987</v>
      </c>
      <c r="K1748" s="4" t="s">
        <v>9742</v>
      </c>
      <c r="L1748" s="4"/>
    </row>
    <row r="1749">
      <c r="A1749" s="55" t="s">
        <v>9743</v>
      </c>
      <c r="B1749" s="52" t="s">
        <v>5652</v>
      </c>
      <c r="C1749" s="56">
        <v>45789.447916666664</v>
      </c>
      <c r="D1749" s="57" t="s">
        <v>6318</v>
      </c>
      <c r="E1749" s="56">
        <v>45789.461805555555</v>
      </c>
      <c r="F1749" s="52" t="s">
        <v>9744</v>
      </c>
      <c r="G1749" s="4" t="s">
        <v>110</v>
      </c>
      <c r="H1749" s="4" t="s">
        <v>1987</v>
      </c>
      <c r="K1749" s="4" t="s">
        <v>9745</v>
      </c>
      <c r="L1749" s="4"/>
    </row>
    <row r="1750">
      <c r="A1750" s="55" t="s">
        <v>9746</v>
      </c>
      <c r="B1750" s="52" t="s">
        <v>5628</v>
      </c>
      <c r="C1750" s="56">
        <v>45789.47222222222</v>
      </c>
      <c r="D1750" s="57" t="s">
        <v>2147</v>
      </c>
      <c r="E1750" s="56">
        <v>45789.541666666664</v>
      </c>
      <c r="F1750" s="52" t="s">
        <v>7332</v>
      </c>
      <c r="G1750" s="4" t="s">
        <v>110</v>
      </c>
      <c r="H1750" s="4" t="s">
        <v>1987</v>
      </c>
      <c r="K1750" s="4"/>
      <c r="L1750" s="4" t="s">
        <v>9747</v>
      </c>
    </row>
    <row r="1751">
      <c r="A1751" s="55" t="s">
        <v>9748</v>
      </c>
      <c r="B1751" s="52" t="s">
        <v>5619</v>
      </c>
      <c r="C1751" s="56">
        <v>45789.625</v>
      </c>
      <c r="D1751" s="57" t="s">
        <v>6318</v>
      </c>
      <c r="E1751" s="56">
        <v>45789.645833333336</v>
      </c>
      <c r="F1751" s="52" t="s">
        <v>9749</v>
      </c>
      <c r="G1751" s="4" t="s">
        <v>135</v>
      </c>
      <c r="H1751" s="4" t="s">
        <v>1991</v>
      </c>
      <c r="K1751" s="4" t="s">
        <v>9750</v>
      </c>
      <c r="L1751" s="4"/>
    </row>
    <row r="1752">
      <c r="A1752" s="55" t="s">
        <v>9751</v>
      </c>
      <c r="B1752" s="52" t="s">
        <v>1438</v>
      </c>
      <c r="C1752" s="56">
        <v>45789.645833333336</v>
      </c>
      <c r="D1752" s="57" t="s">
        <v>2154</v>
      </c>
      <c r="E1752" s="56">
        <v>45789.729166666664</v>
      </c>
      <c r="F1752" s="52" t="s">
        <v>9694</v>
      </c>
      <c r="G1752" s="4" t="s">
        <v>135</v>
      </c>
      <c r="H1752" s="4" t="s">
        <v>1987</v>
      </c>
      <c r="K1752" s="4" t="s">
        <v>9752</v>
      </c>
      <c r="L1752" s="4" t="s">
        <v>9753</v>
      </c>
    </row>
    <row r="1753">
      <c r="A1753" s="55" t="s">
        <v>9754</v>
      </c>
      <c r="B1753" s="52" t="s">
        <v>5537</v>
      </c>
      <c r="C1753" s="56">
        <v>45792.354166666664</v>
      </c>
      <c r="D1753" s="57" t="s">
        <v>6052</v>
      </c>
      <c r="E1753" s="56">
        <v>45792.541666666664</v>
      </c>
      <c r="F1753" s="52" t="s">
        <v>1536</v>
      </c>
      <c r="G1753" s="4" t="s">
        <v>110</v>
      </c>
      <c r="H1753" s="4" t="s">
        <v>1987</v>
      </c>
      <c r="K1753" s="4" t="s">
        <v>9755</v>
      </c>
      <c r="L1753" s="4" t="s">
        <v>9756</v>
      </c>
    </row>
    <row r="1754">
      <c r="A1754" s="55" t="s">
        <v>9757</v>
      </c>
      <c r="B1754" s="52" t="s">
        <v>1603</v>
      </c>
      <c r="C1754" s="56">
        <v>45791.333333333336</v>
      </c>
      <c r="D1754" s="57" t="s">
        <v>2200</v>
      </c>
      <c r="E1754" s="56">
        <v>45791.541666666664</v>
      </c>
      <c r="F1754" s="52" t="s">
        <v>9703</v>
      </c>
      <c r="G1754" s="4" t="s">
        <v>110</v>
      </c>
      <c r="H1754" s="4" t="s">
        <v>1987</v>
      </c>
      <c r="K1754" s="4" t="s">
        <v>9758</v>
      </c>
      <c r="L1754" s="4" t="s">
        <v>9759</v>
      </c>
    </row>
    <row r="1755">
      <c r="A1755" s="55" t="s">
        <v>9760</v>
      </c>
      <c r="B1755" s="52" t="s">
        <v>5537</v>
      </c>
      <c r="C1755" s="56">
        <v>45793.333333333336</v>
      </c>
      <c r="D1755" s="57" t="s">
        <v>6052</v>
      </c>
      <c r="E1755" s="56">
        <v>45793.541666666664</v>
      </c>
      <c r="F1755" s="52" t="s">
        <v>1536</v>
      </c>
      <c r="G1755" s="4" t="s">
        <v>110</v>
      </c>
      <c r="H1755" s="4" t="s">
        <v>1987</v>
      </c>
      <c r="K1755" s="4" t="s">
        <v>9761</v>
      </c>
      <c r="L1755" s="4"/>
    </row>
    <row r="1756">
      <c r="A1756" s="55" t="s">
        <v>9762</v>
      </c>
      <c r="B1756" s="52" t="s">
        <v>5656</v>
      </c>
      <c r="C1756" s="56">
        <v>45790.520833333336</v>
      </c>
      <c r="D1756" s="57" t="s">
        <v>6052</v>
      </c>
      <c r="E1756" s="56">
        <v>45790.729166666664</v>
      </c>
      <c r="F1756" s="52" t="s">
        <v>7424</v>
      </c>
      <c r="G1756" s="4" t="s">
        <v>27</v>
      </c>
      <c r="H1756" s="4" t="s">
        <v>1987</v>
      </c>
      <c r="K1756" s="4" t="s">
        <v>9763</v>
      </c>
      <c r="L1756" s="4"/>
    </row>
    <row r="1757">
      <c r="A1757" s="66" t="s">
        <v>9764</v>
      </c>
      <c r="B1757" s="52" t="s">
        <v>1438</v>
      </c>
      <c r="C1757" s="56">
        <v>45790.552083333336</v>
      </c>
      <c r="D1757" s="57" t="s">
        <v>2200</v>
      </c>
      <c r="E1757" s="56">
        <v>45790.71875</v>
      </c>
      <c r="F1757" s="52" t="s">
        <v>9694</v>
      </c>
      <c r="G1757" s="4" t="s">
        <v>135</v>
      </c>
      <c r="H1757" s="4" t="s">
        <v>1987</v>
      </c>
      <c r="K1757" s="4" t="s">
        <v>9765</v>
      </c>
      <c r="L1757" s="4" t="s">
        <v>9766</v>
      </c>
    </row>
    <row r="1758">
      <c r="A1758" s="55" t="s">
        <v>9767</v>
      </c>
      <c r="B1758" s="52" t="s">
        <v>5598</v>
      </c>
      <c r="C1758" s="56">
        <v>45790.71875</v>
      </c>
      <c r="D1758" s="57" t="s">
        <v>2154</v>
      </c>
      <c r="E1758" s="56">
        <v>45790.770833333336</v>
      </c>
      <c r="F1758" s="52" t="s">
        <v>9768</v>
      </c>
      <c r="G1758" s="4" t="s">
        <v>135</v>
      </c>
      <c r="H1758" s="4" t="s">
        <v>1987</v>
      </c>
      <c r="K1758" s="4" t="s">
        <v>9752</v>
      </c>
      <c r="L1758" s="4" t="s">
        <v>9769</v>
      </c>
    </row>
    <row r="1759">
      <c r="A1759" s="55" t="s">
        <v>9770</v>
      </c>
      <c r="B1759" s="52" t="s">
        <v>5537</v>
      </c>
      <c r="C1759" s="56">
        <v>45796.333333333336</v>
      </c>
      <c r="D1759" s="57" t="s">
        <v>6052</v>
      </c>
      <c r="E1759" s="56">
        <v>45796.541666666664</v>
      </c>
      <c r="F1759" s="52" t="s">
        <v>1536</v>
      </c>
      <c r="G1759" s="4" t="s">
        <v>110</v>
      </c>
      <c r="H1759" s="4" t="s">
        <v>1987</v>
      </c>
      <c r="K1759" s="4" t="s">
        <v>9771</v>
      </c>
      <c r="L1759" s="4"/>
    </row>
    <row r="1760">
      <c r="A1760" s="55" t="s">
        <v>9772</v>
      </c>
      <c r="B1760" s="52" t="s">
        <v>5628</v>
      </c>
      <c r="C1760" s="56">
        <v>45800.333333333336</v>
      </c>
      <c r="D1760" s="57" t="s">
        <v>2147</v>
      </c>
      <c r="E1760" s="56">
        <v>45800.375</v>
      </c>
      <c r="F1760" s="52" t="s">
        <v>7332</v>
      </c>
      <c r="G1760" s="4" t="s">
        <v>110</v>
      </c>
      <c r="H1760" s="4" t="s">
        <v>1987</v>
      </c>
      <c r="K1760" s="4" t="s">
        <v>9773</v>
      </c>
      <c r="L1760" s="4" t="s">
        <v>9774</v>
      </c>
    </row>
    <row r="1761">
      <c r="A1761" s="55" t="s">
        <v>9775</v>
      </c>
      <c r="B1761" s="52" t="s">
        <v>5656</v>
      </c>
      <c r="C1761" s="56">
        <v>45799.5</v>
      </c>
      <c r="D1761" s="57" t="s">
        <v>6052</v>
      </c>
      <c r="E1761" s="56">
        <v>45799.541666666664</v>
      </c>
      <c r="F1761" s="52" t="s">
        <v>9776</v>
      </c>
      <c r="G1761" s="4" t="s">
        <v>110</v>
      </c>
      <c r="H1761" s="4" t="s">
        <v>1987</v>
      </c>
      <c r="K1761" s="4" t="s">
        <v>9777</v>
      </c>
      <c r="L1761" s="4" t="s">
        <v>9778</v>
      </c>
    </row>
    <row r="1762">
      <c r="A1762" s="55" t="s">
        <v>9779</v>
      </c>
      <c r="B1762" s="52" t="s">
        <v>1597</v>
      </c>
      <c r="C1762" s="56">
        <v>45791.541666666664</v>
      </c>
      <c r="D1762" s="57" t="s">
        <v>2154</v>
      </c>
      <c r="E1762" s="56">
        <v>45791.604166666664</v>
      </c>
      <c r="F1762" s="52" t="s">
        <v>9780</v>
      </c>
      <c r="G1762" s="4" t="s">
        <v>27</v>
      </c>
      <c r="H1762" s="4" t="s">
        <v>1987</v>
      </c>
      <c r="K1762" s="4" t="s">
        <v>9781</v>
      </c>
      <c r="L1762" s="4" t="s">
        <v>9782</v>
      </c>
    </row>
    <row r="1763">
      <c r="A1763" s="55" t="s">
        <v>9783</v>
      </c>
      <c r="B1763" s="52" t="s">
        <v>5598</v>
      </c>
      <c r="C1763" s="56">
        <v>45791.552083333336</v>
      </c>
      <c r="D1763" s="57" t="s">
        <v>6052</v>
      </c>
      <c r="E1763" s="56">
        <v>45791.770833333336</v>
      </c>
      <c r="F1763" s="52" t="s">
        <v>9784</v>
      </c>
      <c r="G1763" s="4" t="s">
        <v>135</v>
      </c>
      <c r="H1763" s="4" t="s">
        <v>1987</v>
      </c>
      <c r="K1763" s="4" t="s">
        <v>9785</v>
      </c>
      <c r="L1763" s="4"/>
    </row>
    <row r="1764">
      <c r="A1764" s="55" t="s">
        <v>9786</v>
      </c>
      <c r="B1764" s="52" t="s">
        <v>5598</v>
      </c>
      <c r="C1764" s="56">
        <v>45792.552083333336</v>
      </c>
      <c r="D1764" s="57" t="s">
        <v>6052</v>
      </c>
      <c r="E1764" s="56">
        <v>45792.770833333336</v>
      </c>
      <c r="F1764" s="52" t="s">
        <v>9784</v>
      </c>
      <c r="G1764" s="4" t="s">
        <v>135</v>
      </c>
      <c r="H1764" s="4" t="s">
        <v>1987</v>
      </c>
      <c r="K1764" s="4" t="s">
        <v>9787</v>
      </c>
      <c r="L1764" s="4"/>
    </row>
    <row r="1765">
      <c r="A1765" s="55" t="s">
        <v>9788</v>
      </c>
      <c r="B1765" s="52" t="s">
        <v>5598</v>
      </c>
      <c r="C1765" s="56">
        <v>45793.552083333336</v>
      </c>
      <c r="D1765" s="57" t="s">
        <v>6052</v>
      </c>
      <c r="E1765" s="56">
        <v>45793.770833333336</v>
      </c>
      <c r="F1765" s="52" t="s">
        <v>9784</v>
      </c>
      <c r="G1765" s="4" t="s">
        <v>135</v>
      </c>
      <c r="H1765" s="4" t="s">
        <v>1987</v>
      </c>
      <c r="K1765" s="4" t="s">
        <v>9789</v>
      </c>
      <c r="L1765" s="4"/>
    </row>
    <row r="1766">
      <c r="A1766" s="55" t="s">
        <v>9790</v>
      </c>
      <c r="B1766" s="52" t="s">
        <v>1597</v>
      </c>
      <c r="C1766" s="56">
        <v>45791.666666666664</v>
      </c>
      <c r="D1766" s="57" t="s">
        <v>2200</v>
      </c>
      <c r="E1766" s="56">
        <v>45791.791666666664</v>
      </c>
      <c r="F1766" s="52" t="s">
        <v>9791</v>
      </c>
      <c r="G1766" s="4" t="s">
        <v>27</v>
      </c>
      <c r="H1766" s="4" t="s">
        <v>1987</v>
      </c>
      <c r="K1766" s="4" t="s">
        <v>9792</v>
      </c>
      <c r="L1766" s="4"/>
    </row>
    <row r="1767">
      <c r="A1767" s="55" t="s">
        <v>9793</v>
      </c>
      <c r="B1767" s="52" t="s">
        <v>1603</v>
      </c>
      <c r="C1767" s="56">
        <v>45792.375</v>
      </c>
      <c r="D1767" s="57" t="s">
        <v>2147</v>
      </c>
      <c r="E1767" s="56">
        <v>45792.416666666664</v>
      </c>
      <c r="F1767" s="52" t="s">
        <v>9794</v>
      </c>
      <c r="G1767" s="4" t="s">
        <v>27</v>
      </c>
      <c r="H1767" s="4" t="s">
        <v>1987</v>
      </c>
      <c r="K1767" s="4" t="s">
        <v>9795</v>
      </c>
      <c r="L1767" s="4"/>
    </row>
    <row r="1768">
      <c r="A1768" s="55" t="s">
        <v>9796</v>
      </c>
      <c r="B1768" s="52" t="s">
        <v>5628</v>
      </c>
      <c r="C1768" s="56">
        <v>45792.333333333336</v>
      </c>
      <c r="D1768" s="57" t="s">
        <v>6318</v>
      </c>
      <c r="E1768" s="56">
        <v>45792.354166666664</v>
      </c>
      <c r="F1768" s="52" t="s">
        <v>9797</v>
      </c>
      <c r="G1768" s="4" t="s">
        <v>110</v>
      </c>
      <c r="H1768" s="4" t="s">
        <v>1987</v>
      </c>
      <c r="K1768" s="4" t="s">
        <v>9798</v>
      </c>
      <c r="L1768" s="4"/>
    </row>
    <row r="1769">
      <c r="A1769" s="55" t="s">
        <v>9799</v>
      </c>
      <c r="B1769" s="52" t="s">
        <v>1597</v>
      </c>
      <c r="C1769" s="56">
        <v>45793.5</v>
      </c>
      <c r="D1769" s="57" t="s">
        <v>2148</v>
      </c>
      <c r="E1769" s="56">
        <v>45793.666666666664</v>
      </c>
      <c r="F1769" s="52" t="s">
        <v>9800</v>
      </c>
      <c r="G1769" s="4" t="s">
        <v>27</v>
      </c>
      <c r="H1769" s="4" t="s">
        <v>1987</v>
      </c>
      <c r="K1769" s="4" t="s">
        <v>9801</v>
      </c>
      <c r="L1769" s="4"/>
    </row>
    <row r="1770">
      <c r="A1770" s="55" t="s">
        <v>9802</v>
      </c>
      <c r="B1770" s="52" t="s">
        <v>1597</v>
      </c>
      <c r="C1770" s="56">
        <v>45794.5</v>
      </c>
      <c r="D1770" s="57" t="s">
        <v>6052</v>
      </c>
      <c r="E1770" s="56">
        <v>45794.708333333336</v>
      </c>
      <c r="F1770" s="52" t="s">
        <v>9803</v>
      </c>
      <c r="G1770" s="4" t="s">
        <v>27</v>
      </c>
      <c r="H1770" s="4" t="s">
        <v>1987</v>
      </c>
      <c r="K1770" s="4" t="s">
        <v>9804</v>
      </c>
      <c r="L1770" s="4"/>
    </row>
    <row r="1771">
      <c r="A1771" s="55" t="s">
        <v>9805</v>
      </c>
      <c r="B1771" s="52" t="s">
        <v>5537</v>
      </c>
      <c r="C1771" s="56">
        <v>45797.333333333336</v>
      </c>
      <c r="D1771" s="57" t="s">
        <v>6052</v>
      </c>
      <c r="E1771" s="56">
        <v>45797.541666666664</v>
      </c>
      <c r="F1771" s="52" t="s">
        <v>1536</v>
      </c>
      <c r="G1771" s="4" t="s">
        <v>110</v>
      </c>
      <c r="H1771" s="4" t="s">
        <v>1987</v>
      </c>
      <c r="K1771" s="4" t="s">
        <v>9806</v>
      </c>
      <c r="L1771" s="4"/>
    </row>
    <row r="1772">
      <c r="A1772" s="55" t="s">
        <v>9807</v>
      </c>
      <c r="B1772" s="52" t="s">
        <v>5628</v>
      </c>
      <c r="C1772" s="56">
        <v>45798.333333333336</v>
      </c>
      <c r="D1772" s="61"/>
      <c r="E1772" s="56">
        <v>45798.5</v>
      </c>
      <c r="F1772" s="52" t="s">
        <v>9808</v>
      </c>
      <c r="G1772" s="4" t="s">
        <v>110</v>
      </c>
      <c r="H1772" s="4" t="s">
        <v>1987</v>
      </c>
      <c r="K1772" s="4"/>
      <c r="L1772" s="4" t="s">
        <v>9809</v>
      </c>
    </row>
    <row r="1773">
      <c r="A1773" s="55" t="s">
        <v>9810</v>
      </c>
      <c r="B1773" s="52" t="s">
        <v>5598</v>
      </c>
      <c r="C1773" s="56">
        <v>45798.708333333336</v>
      </c>
      <c r="D1773" s="57" t="s">
        <v>2147</v>
      </c>
      <c r="E1773" s="56">
        <v>45798.75</v>
      </c>
      <c r="F1773" s="52" t="s">
        <v>9811</v>
      </c>
      <c r="G1773" s="4" t="s">
        <v>135</v>
      </c>
      <c r="H1773" s="4" t="s">
        <v>1991</v>
      </c>
      <c r="K1773" s="4" t="s">
        <v>9812</v>
      </c>
      <c r="L1773" s="4"/>
    </row>
    <row r="1774">
      <c r="A1774" s="55" t="s">
        <v>9813</v>
      </c>
      <c r="B1774" s="52" t="s">
        <v>5598</v>
      </c>
      <c r="C1774" s="56">
        <v>45796.5625</v>
      </c>
      <c r="D1774" s="57" t="s">
        <v>2148</v>
      </c>
      <c r="E1774" s="56">
        <v>45796.729166666664</v>
      </c>
      <c r="F1774" s="52" t="s">
        <v>9814</v>
      </c>
      <c r="G1774" s="4" t="s">
        <v>135</v>
      </c>
      <c r="H1774" s="4" t="s">
        <v>1987</v>
      </c>
      <c r="K1774" s="4" t="s">
        <v>9815</v>
      </c>
      <c r="L1774" s="4"/>
    </row>
    <row r="1775">
      <c r="A1775" s="55" t="s">
        <v>9816</v>
      </c>
      <c r="B1775" s="52" t="s">
        <v>5598</v>
      </c>
      <c r="C1775" s="56">
        <v>45797.552083333336</v>
      </c>
      <c r="D1775" s="57" t="s">
        <v>2148</v>
      </c>
      <c r="E1775" s="56">
        <v>45797.770833333336</v>
      </c>
      <c r="F1775" s="52" t="s">
        <v>9814</v>
      </c>
      <c r="G1775" s="4" t="s">
        <v>135</v>
      </c>
      <c r="H1775" s="4" t="s">
        <v>1987</v>
      </c>
      <c r="K1775" s="4" t="s">
        <v>9817</v>
      </c>
      <c r="L1775" s="4"/>
    </row>
    <row r="1776">
      <c r="A1776" s="55" t="s">
        <v>9818</v>
      </c>
      <c r="B1776" s="52" t="s">
        <v>5598</v>
      </c>
      <c r="C1776" s="56">
        <v>45798.552083333336</v>
      </c>
      <c r="D1776" s="57" t="s">
        <v>2148</v>
      </c>
      <c r="E1776" s="56">
        <v>45798.770833333336</v>
      </c>
      <c r="F1776" s="52" t="s">
        <v>9814</v>
      </c>
      <c r="G1776" s="4" t="s">
        <v>135</v>
      </c>
      <c r="H1776" s="4" t="s">
        <v>1987</v>
      </c>
      <c r="K1776" s="4" t="s">
        <v>9819</v>
      </c>
      <c r="L1776" s="4"/>
    </row>
    <row r="1777">
      <c r="A1777" s="55" t="s">
        <v>9820</v>
      </c>
      <c r="B1777" s="52" t="s">
        <v>5598</v>
      </c>
      <c r="C1777" s="56">
        <v>45799.5625</v>
      </c>
      <c r="D1777" s="57" t="s">
        <v>6052</v>
      </c>
      <c r="E1777" s="56">
        <v>45799.78125</v>
      </c>
      <c r="F1777" s="52" t="s">
        <v>9821</v>
      </c>
      <c r="G1777" s="4" t="s">
        <v>135</v>
      </c>
      <c r="H1777" s="4" t="s">
        <v>1987</v>
      </c>
      <c r="K1777" s="4" t="s">
        <v>9822</v>
      </c>
      <c r="L1777" s="4" t="s">
        <v>9823</v>
      </c>
    </row>
    <row r="1778">
      <c r="A1778" s="55" t="s">
        <v>9824</v>
      </c>
      <c r="B1778" s="52" t="s">
        <v>1438</v>
      </c>
      <c r="C1778" s="56">
        <v>45800.552083333336</v>
      </c>
      <c r="D1778" s="57" t="s">
        <v>6052</v>
      </c>
      <c r="E1778" s="56">
        <v>45800.770833333336</v>
      </c>
      <c r="F1778" s="52" t="s">
        <v>9825</v>
      </c>
      <c r="G1778" s="4" t="s">
        <v>135</v>
      </c>
      <c r="H1778" s="4" t="s">
        <v>1987</v>
      </c>
      <c r="K1778" s="4" t="s">
        <v>9826</v>
      </c>
      <c r="L1778" s="4"/>
    </row>
    <row r="1779">
      <c r="A1779" s="55" t="s">
        <v>9827</v>
      </c>
      <c r="B1779" s="52" t="s">
        <v>5656</v>
      </c>
      <c r="C1779" s="56">
        <v>45797.520833333336</v>
      </c>
      <c r="D1779" s="57" t="s">
        <v>2148</v>
      </c>
      <c r="E1779" s="56">
        <v>45797.6875</v>
      </c>
      <c r="F1779" s="52" t="s">
        <v>7424</v>
      </c>
      <c r="G1779" s="4" t="s">
        <v>27</v>
      </c>
      <c r="H1779" s="4" t="s">
        <v>1987</v>
      </c>
      <c r="K1779" s="4" t="s">
        <v>9828</v>
      </c>
      <c r="L1779" s="4"/>
    </row>
    <row r="1780">
      <c r="A1780" s="55"/>
      <c r="B1780" s="52"/>
      <c r="C1780" s="56"/>
      <c r="D1780" s="61"/>
      <c r="E1780" s="56"/>
      <c r="F1780" s="52"/>
      <c r="G1780" s="4"/>
      <c r="H1780" s="4"/>
      <c r="K1780" s="4"/>
      <c r="L1780" s="4"/>
    </row>
    <row r="1781">
      <c r="A1781" s="55"/>
      <c r="B1781" s="52"/>
      <c r="C1781" s="56"/>
      <c r="D1781" s="61"/>
      <c r="E1781" s="56"/>
      <c r="F1781" s="52"/>
      <c r="G1781" s="4"/>
      <c r="H1781" s="4"/>
      <c r="K1781" s="4"/>
      <c r="L1781" s="4"/>
    </row>
    <row r="1782">
      <c r="A1782" s="55" t="s">
        <v>9829</v>
      </c>
      <c r="B1782" s="52" t="s">
        <v>5598</v>
      </c>
      <c r="C1782" s="56">
        <v>45798.666666666664</v>
      </c>
      <c r="D1782" s="57" t="s">
        <v>2200</v>
      </c>
      <c r="E1782" s="56">
        <v>45798.791666666664</v>
      </c>
      <c r="F1782" s="52" t="s">
        <v>9830</v>
      </c>
      <c r="G1782" s="4" t="s">
        <v>27</v>
      </c>
      <c r="H1782" s="4" t="s">
        <v>1987</v>
      </c>
      <c r="K1782" s="4" t="s">
        <v>9831</v>
      </c>
      <c r="L1782" s="4"/>
    </row>
    <row r="1783">
      <c r="A1783" s="55" t="s">
        <v>9832</v>
      </c>
      <c r="B1783" s="52" t="s">
        <v>5384</v>
      </c>
      <c r="C1783" s="56">
        <v>45798.416666666664</v>
      </c>
      <c r="D1783" s="57" t="s">
        <v>2147</v>
      </c>
      <c r="E1783" s="56">
        <v>45798.458333333336</v>
      </c>
      <c r="F1783" s="52" t="s">
        <v>9833</v>
      </c>
      <c r="G1783" s="4" t="s">
        <v>27</v>
      </c>
      <c r="H1783" s="4" t="s">
        <v>1991</v>
      </c>
      <c r="K1783" s="4" t="s">
        <v>9834</v>
      </c>
      <c r="L1783" s="4"/>
    </row>
    <row r="1784">
      <c r="A1784" s="66" t="s">
        <v>9835</v>
      </c>
      <c r="B1784" s="52" t="s">
        <v>1597</v>
      </c>
      <c r="C1784" s="56">
        <v>45798.5</v>
      </c>
      <c r="D1784" s="57" t="s">
        <v>2148</v>
      </c>
      <c r="E1784" s="56">
        <v>45798.666666666664</v>
      </c>
      <c r="F1784" s="52" t="s">
        <v>9836</v>
      </c>
      <c r="G1784" s="4" t="s">
        <v>27</v>
      </c>
      <c r="H1784" s="4" t="s">
        <v>1987</v>
      </c>
      <c r="K1784" s="4" t="s">
        <v>9837</v>
      </c>
      <c r="L1784" s="4"/>
    </row>
    <row r="1785">
      <c r="A1785" s="55" t="s">
        <v>9838</v>
      </c>
      <c r="B1785" s="52" t="s">
        <v>5628</v>
      </c>
      <c r="C1785" s="56">
        <v>45798.5</v>
      </c>
      <c r="D1785" s="57" t="s">
        <v>6318</v>
      </c>
      <c r="E1785" s="56">
        <v>45798.520833333336</v>
      </c>
      <c r="F1785" s="52" t="s">
        <v>6189</v>
      </c>
      <c r="G1785" s="4" t="s">
        <v>110</v>
      </c>
      <c r="H1785" s="4" t="s">
        <v>1991</v>
      </c>
      <c r="K1785" s="4" t="s">
        <v>9839</v>
      </c>
      <c r="L1785" s="4"/>
    </row>
    <row r="1786">
      <c r="A1786" s="55" t="s">
        <v>9840</v>
      </c>
      <c r="B1786" s="52" t="s">
        <v>5628</v>
      </c>
      <c r="C1786" s="56">
        <v>45798.520833333336</v>
      </c>
      <c r="D1786" s="57" t="s">
        <v>6318</v>
      </c>
      <c r="E1786" s="56">
        <v>45798.541666666664</v>
      </c>
      <c r="F1786" s="52" t="s">
        <v>7332</v>
      </c>
      <c r="G1786" s="4" t="s">
        <v>110</v>
      </c>
      <c r="H1786" s="4" t="s">
        <v>1987</v>
      </c>
      <c r="K1786" s="4" t="s">
        <v>9841</v>
      </c>
      <c r="L1786" s="4"/>
    </row>
    <row r="1787">
      <c r="A1787" s="55" t="s">
        <v>9842</v>
      </c>
      <c r="B1787" s="52" t="s">
        <v>5628</v>
      </c>
      <c r="C1787" s="56">
        <v>45799.333333333336</v>
      </c>
      <c r="D1787" s="57" t="s">
        <v>2148</v>
      </c>
      <c r="E1787" s="56">
        <v>45799.5</v>
      </c>
      <c r="F1787" s="52" t="s">
        <v>9843</v>
      </c>
      <c r="G1787" s="4" t="s">
        <v>110</v>
      </c>
      <c r="H1787" s="4" t="s">
        <v>1987</v>
      </c>
      <c r="K1787" s="4" t="s">
        <v>9844</v>
      </c>
      <c r="L1787" s="4" t="s">
        <v>9845</v>
      </c>
    </row>
    <row r="1788">
      <c r="A1788" s="55" t="s">
        <v>9846</v>
      </c>
      <c r="B1788" s="52" t="s">
        <v>5537</v>
      </c>
      <c r="C1788" s="56">
        <v>45800.375</v>
      </c>
      <c r="D1788" s="57" t="s">
        <v>2147</v>
      </c>
      <c r="E1788" s="56">
        <v>45800.416666666664</v>
      </c>
      <c r="F1788" s="52" t="s">
        <v>9847</v>
      </c>
      <c r="G1788" s="4" t="s">
        <v>110</v>
      </c>
      <c r="H1788" s="4" t="s">
        <v>1991</v>
      </c>
      <c r="K1788" s="4"/>
      <c r="L1788" s="4" t="s">
        <v>9848</v>
      </c>
    </row>
    <row r="1789">
      <c r="A1789" s="66" t="s">
        <v>9849</v>
      </c>
      <c r="B1789" s="52" t="s">
        <v>1597</v>
      </c>
      <c r="C1789" s="56">
        <v>45803.583333333336</v>
      </c>
      <c r="D1789" s="57" t="s">
        <v>2147</v>
      </c>
      <c r="E1789" s="56">
        <v>45803.625</v>
      </c>
      <c r="F1789" s="52" t="s">
        <v>9850</v>
      </c>
      <c r="G1789" s="4" t="s">
        <v>27</v>
      </c>
      <c r="H1789" s="4" t="s">
        <v>1991</v>
      </c>
      <c r="K1789" s="4" t="s">
        <v>9851</v>
      </c>
      <c r="L1789" s="4"/>
    </row>
    <row r="1790">
      <c r="A1790" s="55" t="s">
        <v>9852</v>
      </c>
      <c r="B1790" s="52" t="s">
        <v>5628</v>
      </c>
      <c r="C1790" s="56">
        <v>45800.416666666664</v>
      </c>
      <c r="D1790" s="57" t="s">
        <v>2200</v>
      </c>
      <c r="E1790" s="56">
        <v>45800.5625</v>
      </c>
      <c r="F1790" s="52" t="s">
        <v>9853</v>
      </c>
      <c r="G1790" s="4" t="s">
        <v>110</v>
      </c>
      <c r="H1790" s="4" t="s">
        <v>1987</v>
      </c>
      <c r="K1790" s="4"/>
      <c r="L1790" s="4" t="s">
        <v>9854</v>
      </c>
    </row>
    <row r="1791">
      <c r="A1791" s="55" t="s">
        <v>9855</v>
      </c>
      <c r="B1791" s="52" t="s">
        <v>5656</v>
      </c>
      <c r="C1791" s="56">
        <v>45803.333333333336</v>
      </c>
      <c r="D1791" s="57" t="s">
        <v>6052</v>
      </c>
      <c r="E1791" s="56">
        <v>45803.541666666664</v>
      </c>
      <c r="F1791" s="52" t="s">
        <v>9776</v>
      </c>
      <c r="G1791" s="4" t="s">
        <v>110</v>
      </c>
      <c r="H1791" s="4" t="s">
        <v>1987</v>
      </c>
      <c r="K1791" s="4" t="s">
        <v>9856</v>
      </c>
      <c r="L1791" s="4"/>
    </row>
    <row r="1792">
      <c r="A1792" s="55" t="s">
        <v>9857</v>
      </c>
      <c r="B1792" s="52" t="s">
        <v>1597</v>
      </c>
      <c r="C1792" s="56">
        <v>45803.375</v>
      </c>
      <c r="D1792" s="57" t="s">
        <v>6052</v>
      </c>
      <c r="E1792" s="56">
        <v>45803.583333333336</v>
      </c>
      <c r="F1792" s="52" t="s">
        <v>4495</v>
      </c>
      <c r="G1792" s="4" t="s">
        <v>27</v>
      </c>
      <c r="H1792" s="4" t="s">
        <v>1987</v>
      </c>
      <c r="K1792" s="4" t="s">
        <v>9858</v>
      </c>
      <c r="L1792" s="4"/>
    </row>
    <row r="1793">
      <c r="A1793" s="55" t="s">
        <v>9859</v>
      </c>
      <c r="B1793" s="52" t="s">
        <v>5598</v>
      </c>
      <c r="C1793" s="56">
        <v>45803.5625</v>
      </c>
      <c r="D1793" s="57" t="s">
        <v>2154</v>
      </c>
      <c r="E1793" s="56">
        <v>45803.729166666664</v>
      </c>
      <c r="F1793" s="52" t="s">
        <v>9860</v>
      </c>
      <c r="G1793" s="4" t="s">
        <v>135</v>
      </c>
      <c r="H1793" s="4" t="s">
        <v>1987</v>
      </c>
      <c r="K1793" s="4" t="s">
        <v>9861</v>
      </c>
      <c r="L1793" s="4" t="s">
        <v>9862</v>
      </c>
    </row>
    <row r="1794">
      <c r="A1794" s="55" t="s">
        <v>9863</v>
      </c>
      <c r="B1794" s="52" t="s">
        <v>5656</v>
      </c>
      <c r="C1794" s="56">
        <v>45804.333333333336</v>
      </c>
      <c r="D1794" s="57" t="s">
        <v>2148</v>
      </c>
      <c r="E1794" s="56">
        <v>45804.5</v>
      </c>
      <c r="F1794" s="52" t="s">
        <v>9864</v>
      </c>
      <c r="G1794" s="4" t="s">
        <v>110</v>
      </c>
      <c r="H1794" s="4" t="s">
        <v>1987</v>
      </c>
      <c r="K1794" s="4" t="s">
        <v>9865</v>
      </c>
      <c r="L1794" s="4" t="s">
        <v>9866</v>
      </c>
    </row>
    <row r="1795">
      <c r="A1795" s="55" t="s">
        <v>9867</v>
      </c>
      <c r="B1795" s="52" t="s">
        <v>1603</v>
      </c>
      <c r="C1795" s="56">
        <v>45805.333333333336</v>
      </c>
      <c r="D1795" s="57" t="s">
        <v>2148</v>
      </c>
      <c r="E1795" s="56">
        <v>45805.479166666664</v>
      </c>
      <c r="F1795" s="52" t="s">
        <v>9868</v>
      </c>
      <c r="G1795" s="4" t="s">
        <v>110</v>
      </c>
      <c r="H1795" s="4" t="s">
        <v>1991</v>
      </c>
      <c r="K1795" s="4" t="s">
        <v>9869</v>
      </c>
      <c r="L1795" s="4" t="s">
        <v>9870</v>
      </c>
    </row>
    <row r="1796">
      <c r="A1796" s="55" t="s">
        <v>9871</v>
      </c>
      <c r="B1796" s="52" t="s">
        <v>1603</v>
      </c>
      <c r="C1796" s="56">
        <v>45804.5</v>
      </c>
      <c r="D1796" s="57" t="s">
        <v>2147</v>
      </c>
      <c r="E1796" s="56">
        <v>45804.541666666664</v>
      </c>
      <c r="F1796" s="52" t="s">
        <v>9872</v>
      </c>
      <c r="G1796" s="4" t="s">
        <v>110</v>
      </c>
      <c r="H1796" s="4" t="s">
        <v>1987</v>
      </c>
      <c r="K1796" s="4" t="s">
        <v>9873</v>
      </c>
      <c r="L1796" s="4" t="s">
        <v>9874</v>
      </c>
    </row>
    <row r="1797">
      <c r="A1797" s="55" t="s">
        <v>9875</v>
      </c>
      <c r="B1797" s="52" t="s">
        <v>5537</v>
      </c>
      <c r="C1797" s="56">
        <v>45805.5</v>
      </c>
      <c r="D1797" s="57" t="s">
        <v>2147</v>
      </c>
      <c r="E1797" s="56">
        <v>45805.541666666664</v>
      </c>
      <c r="F1797" s="52" t="s">
        <v>1536</v>
      </c>
      <c r="G1797" s="4" t="s">
        <v>110</v>
      </c>
      <c r="H1797" s="4" t="s">
        <v>1987</v>
      </c>
      <c r="K1797" s="4" t="s">
        <v>9876</v>
      </c>
      <c r="L1797" s="4" t="s">
        <v>9877</v>
      </c>
    </row>
    <row r="1798">
      <c r="A1798" s="55" t="s">
        <v>9878</v>
      </c>
      <c r="B1798" s="52" t="s">
        <v>1603</v>
      </c>
      <c r="C1798" s="56">
        <v>45806.333333333336</v>
      </c>
      <c r="D1798" s="57" t="s">
        <v>2200</v>
      </c>
      <c r="E1798" s="56">
        <v>45806.479166666664</v>
      </c>
      <c r="F1798" s="52" t="s">
        <v>9879</v>
      </c>
      <c r="G1798" s="4" t="s">
        <v>110</v>
      </c>
      <c r="H1798" s="4" t="s">
        <v>1987</v>
      </c>
      <c r="K1798" s="4" t="s">
        <v>9880</v>
      </c>
      <c r="L1798" s="4" t="s">
        <v>9881</v>
      </c>
    </row>
    <row r="1799">
      <c r="A1799" s="55" t="s">
        <v>9882</v>
      </c>
      <c r="B1799" s="52" t="s">
        <v>5628</v>
      </c>
      <c r="C1799" s="56">
        <v>45807.333333333336</v>
      </c>
      <c r="D1799" s="57" t="s">
        <v>6052</v>
      </c>
      <c r="E1799" s="56">
        <v>45807.541666666664</v>
      </c>
      <c r="F1799" s="52" t="s">
        <v>9883</v>
      </c>
      <c r="G1799" s="4" t="s">
        <v>110</v>
      </c>
      <c r="H1799" s="4" t="s">
        <v>1987</v>
      </c>
      <c r="K1799" s="4" t="s">
        <v>9884</v>
      </c>
      <c r="L1799" s="4" t="s">
        <v>9885</v>
      </c>
    </row>
    <row r="1800">
      <c r="A1800" s="55" t="s">
        <v>9886</v>
      </c>
      <c r="B1800" s="52" t="s">
        <v>5598</v>
      </c>
      <c r="C1800" s="56">
        <v>45804.552083333336</v>
      </c>
      <c r="D1800" s="57" t="s">
        <v>6052</v>
      </c>
      <c r="E1800" s="56">
        <v>45804.770833333336</v>
      </c>
      <c r="F1800" s="52" t="s">
        <v>7579</v>
      </c>
      <c r="G1800" s="4" t="s">
        <v>135</v>
      </c>
      <c r="H1800" s="4" t="s">
        <v>1987</v>
      </c>
      <c r="K1800" s="4" t="s">
        <v>9887</v>
      </c>
      <c r="L1800" s="4"/>
    </row>
    <row r="1801">
      <c r="A1801" s="55" t="s">
        <v>9888</v>
      </c>
      <c r="B1801" s="52" t="s">
        <v>5656</v>
      </c>
      <c r="C1801" s="56">
        <v>45804.5</v>
      </c>
      <c r="D1801" s="57" t="s">
        <v>6052</v>
      </c>
      <c r="E1801" s="56">
        <v>45804.708333333336</v>
      </c>
      <c r="F1801" s="52" t="s">
        <v>7400</v>
      </c>
      <c r="G1801" s="4" t="s">
        <v>27</v>
      </c>
      <c r="H1801" s="4" t="s">
        <v>1987</v>
      </c>
      <c r="K1801" s="4" t="s">
        <v>9889</v>
      </c>
      <c r="L1801" s="4"/>
    </row>
    <row r="1802">
      <c r="A1802" s="55"/>
      <c r="B1802" s="52"/>
      <c r="C1802" s="56"/>
      <c r="D1802" s="61"/>
      <c r="E1802" s="56"/>
      <c r="F1802" s="52"/>
      <c r="G1802" s="4"/>
      <c r="H1802" s="4"/>
      <c r="K1802" s="4"/>
      <c r="L1802" s="4"/>
    </row>
    <row r="1803">
      <c r="A1803" s="55" t="s">
        <v>9890</v>
      </c>
      <c r="B1803" s="52" t="s">
        <v>5598</v>
      </c>
      <c r="C1803" s="56">
        <v>45805.552083333336</v>
      </c>
      <c r="D1803" s="57" t="s">
        <v>2200</v>
      </c>
      <c r="E1803" s="56">
        <v>45805.697916666664</v>
      </c>
      <c r="F1803" s="52" t="s">
        <v>9891</v>
      </c>
      <c r="G1803" s="4" t="s">
        <v>135</v>
      </c>
      <c r="H1803" s="4" t="s">
        <v>1987</v>
      </c>
      <c r="K1803" s="4" t="s">
        <v>9892</v>
      </c>
      <c r="L1803" s="4" t="s">
        <v>9893</v>
      </c>
    </row>
    <row r="1804">
      <c r="A1804" s="55" t="s">
        <v>9894</v>
      </c>
      <c r="B1804" s="52" t="s">
        <v>5598</v>
      </c>
      <c r="C1804" s="56">
        <v>45805.697916666664</v>
      </c>
      <c r="D1804" s="57" t="s">
        <v>2154</v>
      </c>
      <c r="E1804" s="56">
        <v>45805.770833333336</v>
      </c>
      <c r="F1804" s="52" t="s">
        <v>9895</v>
      </c>
      <c r="G1804" s="4" t="s">
        <v>135</v>
      </c>
      <c r="H1804" s="4" t="s">
        <v>1987</v>
      </c>
      <c r="K1804" s="4" t="s">
        <v>9896</v>
      </c>
      <c r="L1804" s="4" t="s">
        <v>9897</v>
      </c>
    </row>
    <row r="1805">
      <c r="A1805" s="55" t="s">
        <v>9898</v>
      </c>
      <c r="B1805" s="52" t="s">
        <v>5619</v>
      </c>
      <c r="C1805" s="56">
        <v>45806.552083333336</v>
      </c>
      <c r="D1805" s="57" t="s">
        <v>2154</v>
      </c>
      <c r="E1805" s="56">
        <v>45806.677083333336</v>
      </c>
      <c r="F1805" s="52" t="s">
        <v>9899</v>
      </c>
      <c r="G1805" s="4" t="s">
        <v>135</v>
      </c>
      <c r="H1805" s="4" t="s">
        <v>1987</v>
      </c>
      <c r="K1805" s="4" t="s">
        <v>9900</v>
      </c>
      <c r="L1805" s="4"/>
    </row>
    <row r="1806">
      <c r="A1806" s="55" t="s">
        <v>9901</v>
      </c>
      <c r="B1806" s="52" t="s">
        <v>1438</v>
      </c>
      <c r="C1806" s="56">
        <v>45807.552083333336</v>
      </c>
      <c r="D1806" s="57" t="s">
        <v>6052</v>
      </c>
      <c r="E1806" s="56">
        <v>45807.770833333336</v>
      </c>
      <c r="F1806" s="52" t="s">
        <v>9902</v>
      </c>
      <c r="G1806" s="4" t="s">
        <v>135</v>
      </c>
      <c r="H1806" s="4" t="s">
        <v>1987</v>
      </c>
      <c r="K1806" s="4" t="s">
        <v>9903</v>
      </c>
      <c r="L1806" s="4"/>
    </row>
    <row r="1807">
      <c r="A1807" s="55" t="s">
        <v>9904</v>
      </c>
      <c r="B1807" s="52" t="s">
        <v>5384</v>
      </c>
      <c r="C1807" s="56">
        <v>45810.5625</v>
      </c>
      <c r="D1807" s="57" t="s">
        <v>6052</v>
      </c>
      <c r="E1807" s="56">
        <v>45810.729166666664</v>
      </c>
      <c r="F1807" s="52" t="s">
        <v>9016</v>
      </c>
      <c r="G1807" s="4" t="s">
        <v>135</v>
      </c>
      <c r="H1807" s="4" t="s">
        <v>1987</v>
      </c>
      <c r="K1807" s="4" t="s">
        <v>9905</v>
      </c>
      <c r="L1807" s="4" t="s">
        <v>9906</v>
      </c>
    </row>
    <row r="1808">
      <c r="A1808" s="55" t="s">
        <v>9907</v>
      </c>
      <c r="B1808" s="52" t="s">
        <v>5384</v>
      </c>
      <c r="C1808" s="56">
        <v>45811.552083333336</v>
      </c>
      <c r="D1808" s="57" t="s">
        <v>6052</v>
      </c>
      <c r="E1808" s="56">
        <v>45811.635416666664</v>
      </c>
      <c r="F1808" s="52" t="s">
        <v>9908</v>
      </c>
      <c r="G1808" s="4" t="s">
        <v>135</v>
      </c>
      <c r="H1808" s="4" t="s">
        <v>1987</v>
      </c>
      <c r="K1808" s="4" t="s">
        <v>9905</v>
      </c>
      <c r="L1808" s="4" t="s">
        <v>9909</v>
      </c>
    </row>
    <row r="1809">
      <c r="A1809" s="55"/>
      <c r="B1809" s="52"/>
      <c r="C1809" s="56"/>
      <c r="D1809" s="61"/>
      <c r="E1809" s="56"/>
      <c r="F1809" s="52"/>
      <c r="G1809" s="4"/>
      <c r="H1809" s="4"/>
      <c r="K1809" s="4"/>
      <c r="L1809" s="4"/>
    </row>
    <row r="1810">
      <c r="A1810" s="55" t="s">
        <v>9910</v>
      </c>
      <c r="B1810" s="52" t="s">
        <v>5384</v>
      </c>
      <c r="C1810" s="56">
        <v>45812.552083333336</v>
      </c>
      <c r="D1810" s="57" t="s">
        <v>6052</v>
      </c>
      <c r="E1810" s="56">
        <v>45812.604166666664</v>
      </c>
      <c r="F1810" s="52" t="s">
        <v>9911</v>
      </c>
      <c r="G1810" s="4" t="s">
        <v>135</v>
      </c>
      <c r="H1810" s="4" t="s">
        <v>1987</v>
      </c>
      <c r="K1810" s="4" t="s">
        <v>9912</v>
      </c>
      <c r="L1810" s="4" t="s">
        <v>9913</v>
      </c>
    </row>
    <row r="1811">
      <c r="A1811" s="55" t="s">
        <v>9914</v>
      </c>
      <c r="B1811" s="52" t="s">
        <v>5598</v>
      </c>
      <c r="C1811" s="56">
        <v>45813.552083333336</v>
      </c>
      <c r="D1811" s="57" t="s">
        <v>6052</v>
      </c>
      <c r="E1811" s="56">
        <v>45813.645833333336</v>
      </c>
      <c r="F1811" s="52" t="s">
        <v>8733</v>
      </c>
      <c r="G1811" s="4" t="s">
        <v>135</v>
      </c>
      <c r="H1811" s="4" t="s">
        <v>1987</v>
      </c>
      <c r="K1811" s="4" t="s">
        <v>9915</v>
      </c>
      <c r="L1811" s="4" t="s">
        <v>9916</v>
      </c>
    </row>
    <row r="1812">
      <c r="A1812" s="55" t="s">
        <v>9917</v>
      </c>
      <c r="B1812" s="52" t="s">
        <v>5656</v>
      </c>
      <c r="C1812" s="56">
        <v>45805.479166666664</v>
      </c>
      <c r="D1812" s="57" t="s">
        <v>6318</v>
      </c>
      <c r="E1812" s="56">
        <v>45805.5</v>
      </c>
      <c r="F1812" s="52" t="s">
        <v>9918</v>
      </c>
      <c r="G1812" s="4" t="s">
        <v>110</v>
      </c>
      <c r="H1812" s="4" t="s">
        <v>1987</v>
      </c>
      <c r="K1812" s="4" t="s">
        <v>9919</v>
      </c>
      <c r="L1812" s="4"/>
    </row>
    <row r="1813">
      <c r="A1813" s="55" t="s">
        <v>9920</v>
      </c>
      <c r="B1813" s="52" t="s">
        <v>5537</v>
      </c>
      <c r="C1813" s="56">
        <v>45806.479166666664</v>
      </c>
      <c r="D1813" s="57" t="s">
        <v>2147</v>
      </c>
      <c r="E1813" s="56">
        <v>45806.541666666664</v>
      </c>
      <c r="F1813" s="52" t="s">
        <v>9921</v>
      </c>
      <c r="G1813" s="4" t="s">
        <v>110</v>
      </c>
      <c r="H1813" s="4" t="s">
        <v>1987</v>
      </c>
      <c r="K1813" s="4" t="s">
        <v>9922</v>
      </c>
      <c r="L1813" s="4"/>
    </row>
    <row r="1814">
      <c r="A1814" s="55" t="s">
        <v>9923</v>
      </c>
      <c r="B1814" s="52" t="s">
        <v>1438</v>
      </c>
      <c r="C1814" s="56">
        <v>45814.552083333336</v>
      </c>
      <c r="D1814" s="57" t="s">
        <v>6052</v>
      </c>
      <c r="E1814" s="56">
        <v>45814.770833333336</v>
      </c>
      <c r="F1814" s="52" t="s">
        <v>9902</v>
      </c>
      <c r="G1814" s="4" t="s">
        <v>135</v>
      </c>
      <c r="H1814" s="4" t="s">
        <v>1987</v>
      </c>
      <c r="K1814" s="4" t="s">
        <v>9924</v>
      </c>
      <c r="L1814" s="4" t="s">
        <v>9925</v>
      </c>
    </row>
    <row r="1815">
      <c r="A1815" s="55" t="s">
        <v>9926</v>
      </c>
      <c r="B1815" s="52" t="s">
        <v>6216</v>
      </c>
      <c r="C1815" s="56">
        <v>45810.333333333336</v>
      </c>
      <c r="D1815" s="57" t="s">
        <v>6052</v>
      </c>
      <c r="E1815" s="56">
        <v>45810.541666666664</v>
      </c>
      <c r="F1815" s="52" t="s">
        <v>9927</v>
      </c>
      <c r="G1815" s="4" t="s">
        <v>1708</v>
      </c>
      <c r="H1815" s="4" t="s">
        <v>1987</v>
      </c>
      <c r="K1815" s="4" t="s">
        <v>9928</v>
      </c>
      <c r="L1815" s="4" t="s">
        <v>9929</v>
      </c>
    </row>
    <row r="1816">
      <c r="A1816" s="55" t="s">
        <v>9930</v>
      </c>
      <c r="B1816" s="52" t="s">
        <v>6216</v>
      </c>
      <c r="C1816" s="56">
        <v>45811.333333333336</v>
      </c>
      <c r="D1816" s="57" t="s">
        <v>6052</v>
      </c>
      <c r="E1816" s="56">
        <v>45811.541666666664</v>
      </c>
      <c r="F1816" s="52" t="s">
        <v>6216</v>
      </c>
      <c r="G1816" s="4" t="s">
        <v>1708</v>
      </c>
      <c r="H1816" s="4" t="s">
        <v>1987</v>
      </c>
      <c r="K1816" s="4" t="s">
        <v>9931</v>
      </c>
      <c r="L1816" s="4"/>
    </row>
    <row r="1817">
      <c r="A1817" s="55" t="s">
        <v>9932</v>
      </c>
      <c r="B1817" s="52" t="s">
        <v>6216</v>
      </c>
      <c r="C1817" s="56">
        <v>45813.333333333336</v>
      </c>
      <c r="D1817" s="57" t="s">
        <v>6052</v>
      </c>
      <c r="E1817" s="56">
        <v>45813.541666666664</v>
      </c>
      <c r="F1817" s="52" t="s">
        <v>6216</v>
      </c>
      <c r="G1817" s="4" t="s">
        <v>1708</v>
      </c>
      <c r="H1817" s="4" t="s">
        <v>1987</v>
      </c>
      <c r="K1817" s="4" t="s">
        <v>9933</v>
      </c>
      <c r="L1817" s="4"/>
    </row>
    <row r="1818">
      <c r="A1818" s="55" t="s">
        <v>9934</v>
      </c>
      <c r="B1818" s="52" t="s">
        <v>6216</v>
      </c>
      <c r="C1818" s="56">
        <v>45812.5625</v>
      </c>
      <c r="D1818" s="57" t="s">
        <v>6052</v>
      </c>
      <c r="E1818" s="56">
        <v>45812.770833333336</v>
      </c>
      <c r="F1818" s="52" t="s">
        <v>6216</v>
      </c>
      <c r="G1818" s="4" t="s">
        <v>1708</v>
      </c>
      <c r="H1818" s="4" t="s">
        <v>1987</v>
      </c>
      <c r="K1818" s="4" t="s">
        <v>9935</v>
      </c>
      <c r="L1818" s="4"/>
    </row>
    <row r="1819">
      <c r="A1819" s="55" t="s">
        <v>9936</v>
      </c>
      <c r="B1819" s="52" t="s">
        <v>6216</v>
      </c>
      <c r="C1819" s="56">
        <v>45814.5625</v>
      </c>
      <c r="D1819" s="57" t="s">
        <v>6052</v>
      </c>
      <c r="E1819" s="56">
        <v>45814.770833333336</v>
      </c>
      <c r="F1819" s="52" t="s">
        <v>9937</v>
      </c>
      <c r="G1819" s="4" t="s">
        <v>1708</v>
      </c>
      <c r="H1819" s="4" t="s">
        <v>1987</v>
      </c>
      <c r="K1819" s="4" t="s">
        <v>9938</v>
      </c>
      <c r="L1819" s="4" t="s">
        <v>9939</v>
      </c>
    </row>
    <row r="1820">
      <c r="A1820" s="55" t="s">
        <v>9940</v>
      </c>
      <c r="B1820" s="52" t="s">
        <v>5537</v>
      </c>
      <c r="C1820" s="56">
        <v>45810.333333333336</v>
      </c>
      <c r="D1820" s="57" t="s">
        <v>6052</v>
      </c>
      <c r="E1820" s="56">
        <v>45810.541666666664</v>
      </c>
      <c r="F1820" s="52" t="s">
        <v>9941</v>
      </c>
      <c r="G1820" s="4" t="s">
        <v>110</v>
      </c>
      <c r="H1820" s="4" t="s">
        <v>1987</v>
      </c>
      <c r="K1820" s="4" t="s">
        <v>9942</v>
      </c>
      <c r="L1820" s="4"/>
    </row>
    <row r="1821">
      <c r="A1821" s="55" t="s">
        <v>9943</v>
      </c>
      <c r="B1821" s="52" t="s">
        <v>5384</v>
      </c>
      <c r="C1821" s="56">
        <v>45810.375</v>
      </c>
      <c r="D1821" s="57" t="s">
        <v>2154</v>
      </c>
      <c r="E1821" s="56">
        <v>45810.458333333336</v>
      </c>
      <c r="F1821" s="52" t="s">
        <v>9944</v>
      </c>
      <c r="G1821" s="4" t="s">
        <v>27</v>
      </c>
      <c r="H1821" s="4" t="s">
        <v>1987</v>
      </c>
      <c r="K1821" s="4" t="s">
        <v>9945</v>
      </c>
      <c r="L1821" s="4"/>
    </row>
    <row r="1822">
      <c r="A1822" s="55" t="s">
        <v>9946</v>
      </c>
      <c r="B1822" s="52" t="s">
        <v>5598</v>
      </c>
      <c r="C1822" s="56">
        <v>45811.635416666664</v>
      </c>
      <c r="D1822" s="57" t="s">
        <v>6052</v>
      </c>
      <c r="E1822" s="56">
        <v>45811.770833333336</v>
      </c>
      <c r="F1822" s="52" t="s">
        <v>9947</v>
      </c>
      <c r="G1822" s="4" t="s">
        <v>135</v>
      </c>
      <c r="H1822" s="4" t="s">
        <v>1987</v>
      </c>
      <c r="K1822" s="4" t="s">
        <v>9905</v>
      </c>
      <c r="L1822" s="4" t="s">
        <v>9948</v>
      </c>
    </row>
    <row r="1823">
      <c r="A1823" s="55" t="s">
        <v>9949</v>
      </c>
      <c r="B1823" s="52" t="s">
        <v>6069</v>
      </c>
      <c r="C1823" s="56">
        <v>45811.333333333336</v>
      </c>
      <c r="D1823" s="57" t="s">
        <v>2147</v>
      </c>
      <c r="E1823" s="56">
        <v>45811.375</v>
      </c>
      <c r="F1823" s="67" t="s">
        <v>9950</v>
      </c>
      <c r="G1823" s="4" t="s">
        <v>110</v>
      </c>
      <c r="H1823" s="4" t="s">
        <v>1987</v>
      </c>
      <c r="K1823" s="4" t="s">
        <v>9951</v>
      </c>
      <c r="L1823" s="4"/>
    </row>
    <row r="1824">
      <c r="A1824" s="55" t="s">
        <v>9952</v>
      </c>
      <c r="B1824" s="52" t="s">
        <v>5537</v>
      </c>
      <c r="C1824" s="56">
        <v>45812.333333333336</v>
      </c>
      <c r="D1824" s="57" t="s">
        <v>2200</v>
      </c>
      <c r="E1824" s="56">
        <v>45812.46875</v>
      </c>
      <c r="F1824" s="52" t="s">
        <v>9649</v>
      </c>
      <c r="G1824" s="4" t="s">
        <v>110</v>
      </c>
      <c r="H1824" s="4" t="s">
        <v>1987</v>
      </c>
      <c r="K1824" s="4" t="s">
        <v>9953</v>
      </c>
      <c r="L1824" s="4" t="s">
        <v>9954</v>
      </c>
    </row>
    <row r="1825">
      <c r="A1825" s="55" t="s">
        <v>9955</v>
      </c>
      <c r="B1825" s="52" t="s">
        <v>6216</v>
      </c>
      <c r="C1825" s="56">
        <v>45812.46875</v>
      </c>
      <c r="D1825" s="57" t="s">
        <v>2154</v>
      </c>
      <c r="E1825" s="56">
        <v>45812.541666666664</v>
      </c>
      <c r="F1825" s="52" t="s">
        <v>9577</v>
      </c>
      <c r="G1825" s="4" t="s">
        <v>110</v>
      </c>
      <c r="H1825" s="4" t="s">
        <v>1987</v>
      </c>
      <c r="K1825" s="4" t="s">
        <v>9956</v>
      </c>
      <c r="L1825" s="4"/>
    </row>
    <row r="1826">
      <c r="A1826" s="55" t="s">
        <v>9957</v>
      </c>
      <c r="B1826" s="52" t="s">
        <v>5619</v>
      </c>
      <c r="C1826" s="56">
        <v>45812.604166666664</v>
      </c>
      <c r="D1826" s="57" t="s">
        <v>2154</v>
      </c>
      <c r="E1826" s="56">
        <v>45812.6875</v>
      </c>
      <c r="F1826" s="52" t="s">
        <v>9958</v>
      </c>
      <c r="G1826" s="4" t="s">
        <v>135</v>
      </c>
      <c r="H1826" s="4" t="s">
        <v>1987</v>
      </c>
      <c r="K1826" s="4" t="s">
        <v>9959</v>
      </c>
      <c r="L1826" s="4" t="s">
        <v>9960</v>
      </c>
    </row>
    <row r="1827">
      <c r="A1827" s="55" t="s">
        <v>9961</v>
      </c>
      <c r="B1827" s="52" t="s">
        <v>5598</v>
      </c>
      <c r="C1827" s="56">
        <v>45812.6875</v>
      </c>
      <c r="D1827" s="57" t="s">
        <v>2147</v>
      </c>
      <c r="E1827" s="56">
        <v>45812.770833333336</v>
      </c>
      <c r="F1827" s="52" t="s">
        <v>9962</v>
      </c>
      <c r="G1827" s="4" t="s">
        <v>135</v>
      </c>
      <c r="H1827" s="4" t="s">
        <v>1987</v>
      </c>
      <c r="K1827" s="4" t="s">
        <v>9963</v>
      </c>
      <c r="L1827" s="4" t="s">
        <v>9964</v>
      </c>
    </row>
    <row r="1828">
      <c r="A1828" s="55"/>
      <c r="B1828" s="52"/>
      <c r="C1828" s="56"/>
      <c r="D1828" s="61"/>
      <c r="E1828" s="56"/>
      <c r="F1828" s="52"/>
      <c r="G1828" s="4"/>
      <c r="H1828" s="4"/>
      <c r="K1828" s="4"/>
      <c r="L1828" s="4"/>
    </row>
    <row r="1829">
      <c r="A1829" s="55" t="s">
        <v>9965</v>
      </c>
      <c r="B1829" s="52" t="s">
        <v>6216</v>
      </c>
      <c r="C1829" s="56">
        <v>45813.333333333336</v>
      </c>
      <c r="D1829" s="57" t="s">
        <v>2147</v>
      </c>
      <c r="E1829" s="56">
        <v>45813.375</v>
      </c>
      <c r="F1829" s="52" t="s">
        <v>1723</v>
      </c>
      <c r="G1829" s="4" t="s">
        <v>110</v>
      </c>
      <c r="H1829" s="4" t="s">
        <v>1987</v>
      </c>
      <c r="K1829" s="4" t="s">
        <v>9966</v>
      </c>
      <c r="L1829" s="4"/>
    </row>
    <row r="1830">
      <c r="A1830" s="55" t="s">
        <v>9967</v>
      </c>
      <c r="B1830" s="52" t="s">
        <v>5537</v>
      </c>
      <c r="C1830" s="56">
        <v>45813.375</v>
      </c>
      <c r="D1830" s="57" t="s">
        <v>2154</v>
      </c>
      <c r="E1830" s="56">
        <v>45813.458333333336</v>
      </c>
      <c r="F1830" s="52" t="s">
        <v>9968</v>
      </c>
      <c r="G1830" s="4" t="s">
        <v>110</v>
      </c>
      <c r="H1830" s="4" t="s">
        <v>1987</v>
      </c>
      <c r="K1830" s="4" t="s">
        <v>9969</v>
      </c>
      <c r="L1830" s="4" t="s">
        <v>9970</v>
      </c>
    </row>
    <row r="1831">
      <c r="A1831" s="55" t="s">
        <v>9971</v>
      </c>
      <c r="B1831" s="52" t="s">
        <v>6216</v>
      </c>
      <c r="C1831" s="56">
        <v>45813.458333333336</v>
      </c>
      <c r="D1831" s="57" t="s">
        <v>2154</v>
      </c>
      <c r="E1831" s="56">
        <v>45813.541666666664</v>
      </c>
      <c r="F1831" s="52" t="s">
        <v>9577</v>
      </c>
      <c r="G1831" s="4" t="s">
        <v>110</v>
      </c>
      <c r="H1831" s="4" t="s">
        <v>1987</v>
      </c>
      <c r="K1831" s="4" t="s">
        <v>9972</v>
      </c>
      <c r="L1831" s="4"/>
    </row>
    <row r="1832">
      <c r="A1832" s="55" t="s">
        <v>9973</v>
      </c>
      <c r="B1832" s="52" t="s">
        <v>5656</v>
      </c>
      <c r="C1832" s="56">
        <v>45811.541666666664</v>
      </c>
      <c r="D1832" s="57" t="s">
        <v>2147</v>
      </c>
      <c r="E1832" s="56">
        <v>45811.583333333336</v>
      </c>
      <c r="F1832" s="52" t="s">
        <v>7424</v>
      </c>
      <c r="G1832" s="4" t="s">
        <v>27</v>
      </c>
      <c r="H1832" s="4" t="s">
        <v>1987</v>
      </c>
      <c r="K1832" s="4" t="s">
        <v>9974</v>
      </c>
      <c r="L1832" s="4"/>
    </row>
    <row r="1833">
      <c r="A1833" s="55" t="s">
        <v>9975</v>
      </c>
      <c r="B1833" s="52" t="s">
        <v>1438</v>
      </c>
      <c r="C1833" s="56">
        <v>45813.645833333336</v>
      </c>
      <c r="D1833" s="57" t="s">
        <v>6052</v>
      </c>
      <c r="E1833" s="56">
        <v>45813.770833333336</v>
      </c>
      <c r="F1833" s="52" t="s">
        <v>9976</v>
      </c>
      <c r="G1833" s="4" t="s">
        <v>135</v>
      </c>
      <c r="H1833" s="4" t="s">
        <v>1987</v>
      </c>
      <c r="K1833" s="4" t="s">
        <v>9977</v>
      </c>
      <c r="L1833" s="4" t="s">
        <v>9925</v>
      </c>
    </row>
    <row r="1834">
      <c r="A1834" s="55" t="s">
        <v>9978</v>
      </c>
      <c r="B1834" s="52" t="s">
        <v>6216</v>
      </c>
      <c r="C1834" s="56">
        <v>45814.333333333336</v>
      </c>
      <c r="D1834" s="57" t="s">
        <v>2147</v>
      </c>
      <c r="E1834" s="56">
        <v>45814.395833333336</v>
      </c>
      <c r="F1834" s="52" t="s">
        <v>9577</v>
      </c>
      <c r="G1834" s="4" t="s">
        <v>110</v>
      </c>
      <c r="H1834" s="4" t="s">
        <v>1987</v>
      </c>
      <c r="K1834" s="4" t="s">
        <v>9979</v>
      </c>
      <c r="L1834" s="4"/>
    </row>
    <row r="1835">
      <c r="A1835" s="55" t="s">
        <v>9980</v>
      </c>
      <c r="B1835" s="52" t="s">
        <v>6216</v>
      </c>
      <c r="C1835" s="56">
        <v>45817.333333333336</v>
      </c>
      <c r="D1835" s="57" t="s">
        <v>6052</v>
      </c>
      <c r="E1835" s="56">
        <v>45817.5</v>
      </c>
      <c r="F1835" s="52" t="s">
        <v>9577</v>
      </c>
      <c r="G1835" s="4" t="s">
        <v>110</v>
      </c>
      <c r="H1835" s="4" t="s">
        <v>1987</v>
      </c>
      <c r="K1835" s="4" t="s">
        <v>9981</v>
      </c>
      <c r="L1835" s="4" t="s">
        <v>9982</v>
      </c>
    </row>
    <row r="1836">
      <c r="A1836" s="55" t="s">
        <v>9983</v>
      </c>
      <c r="B1836" s="52" t="s">
        <v>6216</v>
      </c>
      <c r="C1836" s="56">
        <v>45818.333333333336</v>
      </c>
      <c r="D1836" s="57" t="s">
        <v>2200</v>
      </c>
      <c r="E1836" s="56">
        <v>45818.458333333336</v>
      </c>
      <c r="F1836" s="52" t="s">
        <v>9577</v>
      </c>
      <c r="G1836" s="4" t="s">
        <v>110</v>
      </c>
      <c r="H1836" s="4" t="s">
        <v>1987</v>
      </c>
      <c r="K1836" s="4" t="s">
        <v>9984</v>
      </c>
      <c r="L1836" s="4" t="s">
        <v>9985</v>
      </c>
    </row>
    <row r="1837">
      <c r="A1837" s="55" t="s">
        <v>9986</v>
      </c>
      <c r="B1837" s="52" t="s">
        <v>6216</v>
      </c>
      <c r="C1837" s="56">
        <v>45819.333333333336</v>
      </c>
      <c r="D1837" s="57" t="s">
        <v>2148</v>
      </c>
      <c r="E1837" s="56">
        <v>45819.5</v>
      </c>
      <c r="F1837" s="52" t="s">
        <v>9577</v>
      </c>
      <c r="G1837" s="4" t="s">
        <v>110</v>
      </c>
      <c r="H1837" s="4" t="s">
        <v>1987</v>
      </c>
      <c r="K1837" s="4" t="s">
        <v>9984</v>
      </c>
      <c r="L1837" s="4" t="s">
        <v>9987</v>
      </c>
    </row>
    <row r="1838">
      <c r="A1838" s="55" t="s">
        <v>9988</v>
      </c>
      <c r="B1838" s="52" t="s">
        <v>5537</v>
      </c>
      <c r="C1838" s="56">
        <v>45819.5</v>
      </c>
      <c r="D1838" s="57" t="s">
        <v>6318</v>
      </c>
      <c r="E1838" s="56">
        <v>45819.520833333336</v>
      </c>
      <c r="F1838" s="52" t="s">
        <v>9989</v>
      </c>
      <c r="G1838" s="4" t="s">
        <v>110</v>
      </c>
      <c r="H1838" s="4" t="s">
        <v>1987</v>
      </c>
      <c r="K1838" s="4" t="s">
        <v>9990</v>
      </c>
      <c r="L1838" s="4" t="s">
        <v>9991</v>
      </c>
    </row>
    <row r="1839">
      <c r="A1839" s="55" t="s">
        <v>9992</v>
      </c>
      <c r="B1839" s="52" t="s">
        <v>6216</v>
      </c>
      <c r="C1839" s="56">
        <v>45820.333333333336</v>
      </c>
      <c r="D1839" s="57" t="s">
        <v>2200</v>
      </c>
      <c r="E1839" s="56">
        <v>45820.479166666664</v>
      </c>
      <c r="F1839" s="52" t="s">
        <v>9577</v>
      </c>
      <c r="G1839" s="4" t="s">
        <v>110</v>
      </c>
      <c r="H1839" s="4" t="s">
        <v>1987</v>
      </c>
      <c r="K1839" s="4" t="s">
        <v>9993</v>
      </c>
      <c r="L1839" s="4" t="s">
        <v>9994</v>
      </c>
    </row>
    <row r="1840">
      <c r="A1840" s="55" t="s">
        <v>9995</v>
      </c>
      <c r="B1840" s="52" t="s">
        <v>1540</v>
      </c>
      <c r="C1840" s="56">
        <v>45821.479166666664</v>
      </c>
      <c r="D1840" s="57" t="s">
        <v>2147</v>
      </c>
      <c r="E1840" s="56">
        <v>45821.541666666664</v>
      </c>
      <c r="F1840" s="52" t="s">
        <v>9996</v>
      </c>
      <c r="G1840" s="4" t="s">
        <v>110</v>
      </c>
      <c r="H1840" s="4" t="s">
        <v>1987</v>
      </c>
      <c r="K1840" s="4" t="s">
        <v>9997</v>
      </c>
      <c r="L1840" s="4" t="s">
        <v>9998</v>
      </c>
    </row>
    <row r="1841">
      <c r="A1841" s="55" t="s">
        <v>9999</v>
      </c>
      <c r="B1841" s="52" t="s">
        <v>1603</v>
      </c>
      <c r="C1841" s="56">
        <v>45817.520833333336</v>
      </c>
      <c r="D1841" s="57" t="s">
        <v>6318</v>
      </c>
      <c r="E1841" s="56">
        <v>45817.541666666664</v>
      </c>
      <c r="F1841" s="52" t="s">
        <v>10000</v>
      </c>
      <c r="G1841" s="4" t="s">
        <v>110</v>
      </c>
      <c r="H1841" s="4" t="s">
        <v>1987</v>
      </c>
      <c r="K1841" s="4" t="s">
        <v>10001</v>
      </c>
      <c r="L1841" s="4"/>
    </row>
    <row r="1842">
      <c r="A1842" s="55" t="s">
        <v>10002</v>
      </c>
      <c r="B1842" s="52" t="s">
        <v>5537</v>
      </c>
      <c r="C1842" s="56">
        <v>45818.458333333336</v>
      </c>
      <c r="D1842" s="57" t="s">
        <v>6318</v>
      </c>
      <c r="E1842" s="56">
        <v>45818.489583333336</v>
      </c>
      <c r="F1842" s="52" t="s">
        <v>9847</v>
      </c>
      <c r="G1842" s="4" t="s">
        <v>110</v>
      </c>
      <c r="H1842" s="4" t="s">
        <v>1991</v>
      </c>
      <c r="K1842" s="4"/>
      <c r="L1842" s="4" t="s">
        <v>10003</v>
      </c>
    </row>
    <row r="1843">
      <c r="A1843" s="55" t="s">
        <v>10004</v>
      </c>
      <c r="B1843" s="52" t="s">
        <v>6216</v>
      </c>
      <c r="C1843" s="56">
        <v>45817.5625</v>
      </c>
      <c r="D1843" s="57" t="s">
        <v>6052</v>
      </c>
      <c r="E1843" s="56">
        <v>45817.770833333336</v>
      </c>
      <c r="F1843" s="52" t="s">
        <v>10005</v>
      </c>
      <c r="G1843" s="4" t="s">
        <v>1708</v>
      </c>
      <c r="H1843" s="4" t="s">
        <v>1987</v>
      </c>
      <c r="K1843" s="4" t="s">
        <v>10006</v>
      </c>
      <c r="L1843" s="4"/>
    </row>
    <row r="1844">
      <c r="A1844" s="55" t="s">
        <v>10007</v>
      </c>
      <c r="B1844" s="52" t="s">
        <v>5619</v>
      </c>
      <c r="C1844" s="56">
        <v>45817.5625</v>
      </c>
      <c r="D1844" s="57" t="s">
        <v>2154</v>
      </c>
      <c r="E1844" s="56">
        <v>45817.604166666664</v>
      </c>
      <c r="F1844" s="52" t="s">
        <v>10008</v>
      </c>
      <c r="G1844" s="4" t="s">
        <v>135</v>
      </c>
      <c r="H1844" s="4" t="s">
        <v>1987</v>
      </c>
      <c r="K1844" s="4" t="s">
        <v>10009</v>
      </c>
      <c r="L1844" s="4"/>
    </row>
    <row r="1845">
      <c r="A1845" s="55" t="s">
        <v>10010</v>
      </c>
      <c r="B1845" s="52" t="s">
        <v>6057</v>
      </c>
      <c r="C1845" s="56">
        <v>45817.604166666664</v>
      </c>
      <c r="D1845" s="57" t="s">
        <v>2147</v>
      </c>
      <c r="E1845" s="56">
        <v>45817.666666666664</v>
      </c>
      <c r="F1845" s="52" t="s">
        <v>10011</v>
      </c>
      <c r="G1845" s="4" t="s">
        <v>135</v>
      </c>
      <c r="H1845" s="4" t="s">
        <v>1987</v>
      </c>
      <c r="K1845" s="4" t="s">
        <v>10012</v>
      </c>
      <c r="L1845" s="4"/>
    </row>
    <row r="1846">
      <c r="A1846" s="55" t="s">
        <v>10013</v>
      </c>
      <c r="B1846" s="52" t="s">
        <v>1438</v>
      </c>
      <c r="C1846" s="56">
        <v>45817.666666666664</v>
      </c>
      <c r="D1846" s="57" t="s">
        <v>2147</v>
      </c>
      <c r="E1846" s="56">
        <v>45817.729166666664</v>
      </c>
      <c r="F1846" s="52" t="s">
        <v>10014</v>
      </c>
      <c r="G1846" s="4" t="s">
        <v>135</v>
      </c>
      <c r="H1846" s="4" t="s">
        <v>1987</v>
      </c>
      <c r="K1846" s="4" t="s">
        <v>10015</v>
      </c>
      <c r="L1846" s="4" t="s">
        <v>10016</v>
      </c>
    </row>
    <row r="1847">
      <c r="A1847" s="55" t="s">
        <v>10017</v>
      </c>
      <c r="B1847" s="52" t="s">
        <v>1438</v>
      </c>
      <c r="C1847" s="56">
        <v>45818.552083333336</v>
      </c>
      <c r="D1847" s="57" t="s">
        <v>6052</v>
      </c>
      <c r="E1847" s="56">
        <v>45818.770833333336</v>
      </c>
      <c r="F1847" s="52" t="s">
        <v>10018</v>
      </c>
      <c r="G1847" s="4" t="s">
        <v>135</v>
      </c>
      <c r="H1847" s="4" t="s">
        <v>1987</v>
      </c>
      <c r="K1847" s="4"/>
      <c r="L1847" s="4" t="s">
        <v>10019</v>
      </c>
    </row>
    <row r="1848">
      <c r="A1848" s="55" t="s">
        <v>10020</v>
      </c>
      <c r="B1848" s="52" t="s">
        <v>1438</v>
      </c>
      <c r="C1848" s="56">
        <v>45819.552083333336</v>
      </c>
      <c r="D1848" s="57" t="s">
        <v>6052</v>
      </c>
      <c r="E1848" s="56">
        <v>45819.770833333336</v>
      </c>
      <c r="F1848" s="52" t="s">
        <v>10018</v>
      </c>
      <c r="G1848" s="4" t="s">
        <v>135</v>
      </c>
      <c r="H1848" s="4" t="s">
        <v>1987</v>
      </c>
      <c r="K1848" s="4" t="s">
        <v>10021</v>
      </c>
      <c r="L1848" s="4"/>
    </row>
    <row r="1849">
      <c r="A1849" s="55" t="s">
        <v>10022</v>
      </c>
      <c r="B1849" s="52" t="s">
        <v>1438</v>
      </c>
      <c r="C1849" s="56">
        <v>45820.552083333336</v>
      </c>
      <c r="D1849" s="57" t="s">
        <v>6052</v>
      </c>
      <c r="E1849" s="56">
        <v>45820.770833333336</v>
      </c>
      <c r="F1849" s="52" t="s">
        <v>10018</v>
      </c>
      <c r="G1849" s="4" t="s">
        <v>135</v>
      </c>
      <c r="H1849" s="4" t="s">
        <v>1987</v>
      </c>
      <c r="K1849" s="4" t="s">
        <v>10023</v>
      </c>
      <c r="L1849" s="4"/>
    </row>
    <row r="1850">
      <c r="A1850" s="55" t="s">
        <v>10024</v>
      </c>
      <c r="B1850" s="52" t="s">
        <v>6069</v>
      </c>
      <c r="C1850" s="56">
        <v>45821.552083333336</v>
      </c>
      <c r="D1850" s="57" t="s">
        <v>6052</v>
      </c>
      <c r="E1850" s="56">
        <v>45821.59375</v>
      </c>
      <c r="F1850" s="52" t="s">
        <v>10025</v>
      </c>
      <c r="G1850" s="4" t="s">
        <v>135</v>
      </c>
      <c r="H1850" s="4" t="s">
        <v>1987</v>
      </c>
      <c r="K1850" s="4"/>
      <c r="L1850" s="4" t="s">
        <v>10026</v>
      </c>
    </row>
    <row r="1851">
      <c r="A1851" s="55" t="s">
        <v>10027</v>
      </c>
      <c r="B1851" s="52" t="s">
        <v>5537</v>
      </c>
      <c r="C1851" s="56">
        <v>45817.5</v>
      </c>
      <c r="D1851" s="57" t="s">
        <v>6318</v>
      </c>
      <c r="E1851" s="56">
        <v>45817.520833333336</v>
      </c>
      <c r="F1851" s="52" t="s">
        <v>10028</v>
      </c>
      <c r="G1851" s="4" t="s">
        <v>110</v>
      </c>
      <c r="H1851" s="4" t="s">
        <v>1987</v>
      </c>
      <c r="K1851" s="4" t="s">
        <v>10029</v>
      </c>
      <c r="L1851" s="4"/>
    </row>
    <row r="1852">
      <c r="A1852" s="55" t="s">
        <v>10030</v>
      </c>
      <c r="B1852" s="52" t="s">
        <v>6216</v>
      </c>
      <c r="C1852" s="56">
        <v>45818.333333333336</v>
      </c>
      <c r="D1852" s="57" t="s">
        <v>6052</v>
      </c>
      <c r="E1852" s="56">
        <v>45818.416666666664</v>
      </c>
      <c r="F1852" s="52" t="s">
        <v>10031</v>
      </c>
      <c r="G1852" s="4" t="s">
        <v>1708</v>
      </c>
      <c r="H1852" s="4" t="s">
        <v>1987</v>
      </c>
      <c r="K1852" s="4" t="s">
        <v>10032</v>
      </c>
      <c r="L1852" s="4" t="s">
        <v>10033</v>
      </c>
    </row>
    <row r="1853">
      <c r="A1853" s="55" t="s">
        <v>10034</v>
      </c>
      <c r="B1853" s="52" t="s">
        <v>1597</v>
      </c>
      <c r="C1853" s="56">
        <v>45818.416666666664</v>
      </c>
      <c r="D1853" s="57" t="s">
        <v>2200</v>
      </c>
      <c r="E1853" s="56">
        <v>45818.458333333336</v>
      </c>
      <c r="F1853" s="52" t="s">
        <v>10035</v>
      </c>
      <c r="G1853" s="4" t="s">
        <v>1708</v>
      </c>
      <c r="H1853" s="4" t="s">
        <v>1987</v>
      </c>
      <c r="K1853" s="4" t="s">
        <v>10036</v>
      </c>
      <c r="L1853" s="4" t="s">
        <v>10037</v>
      </c>
    </row>
    <row r="1854">
      <c r="A1854" s="55" t="s">
        <v>10038</v>
      </c>
      <c r="B1854" s="52" t="s">
        <v>1597</v>
      </c>
      <c r="C1854" s="56">
        <v>45819.5625</v>
      </c>
      <c r="D1854" s="57" t="s">
        <v>6052</v>
      </c>
      <c r="E1854" s="56">
        <v>45819.625</v>
      </c>
      <c r="F1854" s="52" t="s">
        <v>10039</v>
      </c>
      <c r="G1854" s="4" t="s">
        <v>1708</v>
      </c>
      <c r="H1854" s="4" t="s">
        <v>1987</v>
      </c>
      <c r="K1854" s="4" t="s">
        <v>10040</v>
      </c>
      <c r="L1854" s="4" t="s">
        <v>10041</v>
      </c>
    </row>
    <row r="1855">
      <c r="A1855" s="55" t="s">
        <v>10042</v>
      </c>
      <c r="B1855" s="52" t="s">
        <v>1597</v>
      </c>
      <c r="C1855" s="56">
        <v>45820.333333333336</v>
      </c>
      <c r="D1855" s="57" t="s">
        <v>6052</v>
      </c>
      <c r="E1855" s="56">
        <v>45820.416666666664</v>
      </c>
      <c r="F1855" s="52" t="s">
        <v>10039</v>
      </c>
      <c r="G1855" s="4" t="s">
        <v>1708</v>
      </c>
      <c r="H1855" s="4" t="s">
        <v>1987</v>
      </c>
      <c r="K1855" s="4"/>
      <c r="L1855" s="4" t="s">
        <v>10043</v>
      </c>
    </row>
    <row r="1856">
      <c r="A1856" s="55" t="s">
        <v>10044</v>
      </c>
      <c r="B1856" s="52" t="s">
        <v>6216</v>
      </c>
      <c r="C1856" s="56">
        <v>45818.489583333336</v>
      </c>
      <c r="D1856" s="57" t="s">
        <v>2147</v>
      </c>
      <c r="E1856" s="56">
        <v>45818.541666666664</v>
      </c>
      <c r="F1856" s="52" t="s">
        <v>9577</v>
      </c>
      <c r="G1856" s="4" t="s">
        <v>110</v>
      </c>
      <c r="H1856" s="4" t="s">
        <v>1987</v>
      </c>
      <c r="K1856" s="4" t="s">
        <v>10045</v>
      </c>
      <c r="L1856" s="4"/>
    </row>
    <row r="1857">
      <c r="A1857" s="55" t="s">
        <v>10046</v>
      </c>
      <c r="B1857" s="52" t="s">
        <v>1438</v>
      </c>
      <c r="C1857" s="56">
        <v>45819.625</v>
      </c>
      <c r="D1857" s="57" t="s">
        <v>2147</v>
      </c>
      <c r="E1857" s="56">
        <v>45819.6875</v>
      </c>
      <c r="F1857" s="52" t="s">
        <v>10047</v>
      </c>
      <c r="G1857" s="4" t="s">
        <v>27</v>
      </c>
      <c r="H1857" s="4" t="s">
        <v>1991</v>
      </c>
      <c r="K1857" s="4" t="s">
        <v>10048</v>
      </c>
      <c r="L1857" s="4" t="s">
        <v>10049</v>
      </c>
    </row>
    <row r="1858">
      <c r="A1858" s="55" t="s">
        <v>10050</v>
      </c>
      <c r="B1858" s="52" t="s">
        <v>1597</v>
      </c>
      <c r="C1858" s="56">
        <v>45820.458333333336</v>
      </c>
      <c r="D1858" s="57" t="s">
        <v>2147</v>
      </c>
      <c r="E1858" s="56">
        <v>45820.5</v>
      </c>
      <c r="F1858" s="52" t="s">
        <v>10051</v>
      </c>
      <c r="G1858" s="4" t="s">
        <v>27</v>
      </c>
      <c r="H1858" s="4" t="s">
        <v>1991</v>
      </c>
      <c r="K1858" s="4" t="s">
        <v>10052</v>
      </c>
      <c r="L1858" s="4" t="s">
        <v>10053</v>
      </c>
    </row>
    <row r="1859">
      <c r="A1859" s="55" t="s">
        <v>10054</v>
      </c>
      <c r="B1859" s="52" t="s">
        <v>1427</v>
      </c>
      <c r="C1859" s="56">
        <v>45818.583333333336</v>
      </c>
      <c r="D1859" s="57" t="s">
        <v>2154</v>
      </c>
      <c r="E1859" s="56">
        <v>45818.666666666664</v>
      </c>
      <c r="F1859" s="52" t="s">
        <v>7424</v>
      </c>
      <c r="G1859" s="4" t="s">
        <v>27</v>
      </c>
      <c r="H1859" s="4" t="s">
        <v>1987</v>
      </c>
      <c r="K1859" s="4" t="s">
        <v>10055</v>
      </c>
      <c r="L1859" s="4"/>
    </row>
    <row r="1860">
      <c r="A1860" s="55" t="s">
        <v>10056</v>
      </c>
      <c r="B1860" s="52" t="s">
        <v>5647</v>
      </c>
      <c r="C1860" s="56">
        <v>45819.583333333336</v>
      </c>
      <c r="D1860" s="57" t="s">
        <v>2147</v>
      </c>
      <c r="E1860" s="56">
        <v>45819.625</v>
      </c>
      <c r="F1860" s="52" t="s">
        <v>10057</v>
      </c>
      <c r="G1860" s="4" t="s">
        <v>27</v>
      </c>
      <c r="H1860" s="4" t="s">
        <v>1991</v>
      </c>
      <c r="K1860" s="4" t="s">
        <v>10058</v>
      </c>
      <c r="L1860" s="4"/>
    </row>
    <row r="1861">
      <c r="A1861" s="55" t="s">
        <v>10059</v>
      </c>
      <c r="B1861" s="52" t="s">
        <v>5537</v>
      </c>
      <c r="C1861" s="56">
        <v>45819.5</v>
      </c>
      <c r="D1861" s="57" t="s">
        <v>2147</v>
      </c>
      <c r="E1861" s="56">
        <v>45819.541666666664</v>
      </c>
      <c r="F1861" s="52" t="s">
        <v>10060</v>
      </c>
      <c r="G1861" s="4" t="s">
        <v>27</v>
      </c>
      <c r="H1861" s="4" t="s">
        <v>1991</v>
      </c>
      <c r="K1861" s="4" t="s">
        <v>10061</v>
      </c>
      <c r="L1861" s="4"/>
    </row>
    <row r="1862">
      <c r="A1862" s="55"/>
      <c r="B1862" s="52"/>
      <c r="C1862" s="56"/>
      <c r="D1862" s="61"/>
      <c r="E1862" s="56"/>
      <c r="F1862" s="52"/>
      <c r="G1862" s="4"/>
      <c r="H1862" s="4"/>
      <c r="K1862" s="4"/>
      <c r="L1862" s="4"/>
    </row>
    <row r="1863">
      <c r="A1863" s="55" t="s">
        <v>10062</v>
      </c>
      <c r="B1863" s="52" t="s">
        <v>6216</v>
      </c>
      <c r="C1863" s="56">
        <v>45819.520833333336</v>
      </c>
      <c r="D1863" s="57" t="s">
        <v>6318</v>
      </c>
      <c r="E1863" s="56">
        <v>45819.541666666664</v>
      </c>
      <c r="F1863" s="52" t="s">
        <v>9577</v>
      </c>
      <c r="G1863" s="4" t="s">
        <v>110</v>
      </c>
      <c r="H1863" s="4" t="s">
        <v>1987</v>
      </c>
      <c r="K1863" s="4" t="s">
        <v>10063</v>
      </c>
      <c r="L1863" s="4"/>
    </row>
    <row r="1864">
      <c r="A1864" s="55" t="s">
        <v>10064</v>
      </c>
      <c r="B1864" s="52" t="s">
        <v>1597</v>
      </c>
      <c r="C1864" s="56">
        <v>45820.375</v>
      </c>
      <c r="D1864" s="57" t="s">
        <v>2147</v>
      </c>
      <c r="E1864" s="56">
        <v>45820.416666666664</v>
      </c>
      <c r="F1864" s="52" t="s">
        <v>10065</v>
      </c>
      <c r="G1864" s="4" t="s">
        <v>27</v>
      </c>
      <c r="H1864" s="4" t="s">
        <v>1987</v>
      </c>
      <c r="K1864" s="4" t="s">
        <v>10066</v>
      </c>
      <c r="L1864" s="4"/>
    </row>
    <row r="1865">
      <c r="A1865" s="55" t="s">
        <v>10067</v>
      </c>
      <c r="B1865" s="52" t="s">
        <v>1540</v>
      </c>
      <c r="C1865" s="56">
        <v>45820.48263888889</v>
      </c>
      <c r="D1865" s="57" t="s">
        <v>2154</v>
      </c>
      <c r="E1865" s="56">
        <v>45820.541666666664</v>
      </c>
      <c r="F1865" s="52" t="s">
        <v>7332</v>
      </c>
      <c r="G1865" s="4" t="s">
        <v>110</v>
      </c>
      <c r="H1865" s="4" t="s">
        <v>1987</v>
      </c>
      <c r="K1865" s="4" t="s">
        <v>10068</v>
      </c>
      <c r="L1865" s="4"/>
    </row>
    <row r="1866">
      <c r="A1866" s="55" t="s">
        <v>10069</v>
      </c>
      <c r="B1866" s="52" t="s">
        <v>1603</v>
      </c>
      <c r="C1866" s="56">
        <v>45821.333333333336</v>
      </c>
      <c r="D1866" s="57" t="s">
        <v>2200</v>
      </c>
      <c r="E1866" s="56">
        <v>45821.479166666664</v>
      </c>
      <c r="F1866" s="52" t="s">
        <v>6319</v>
      </c>
      <c r="G1866" s="4" t="s">
        <v>110</v>
      </c>
      <c r="H1866" s="4" t="s">
        <v>1987</v>
      </c>
      <c r="K1866" s="4" t="s">
        <v>10070</v>
      </c>
      <c r="L1866" s="4"/>
    </row>
    <row r="1867">
      <c r="A1867" s="55" t="s">
        <v>10071</v>
      </c>
      <c r="B1867" s="52" t="s">
        <v>1597</v>
      </c>
      <c r="C1867" s="56">
        <v>45821.5625</v>
      </c>
      <c r="D1867" s="57" t="s">
        <v>6052</v>
      </c>
      <c r="E1867" s="56">
        <v>45821.625</v>
      </c>
      <c r="F1867" s="52" t="s">
        <v>10039</v>
      </c>
      <c r="G1867" s="4" t="s">
        <v>1708</v>
      </c>
      <c r="H1867" s="4" t="s">
        <v>1987</v>
      </c>
      <c r="K1867" s="4" t="s">
        <v>10072</v>
      </c>
      <c r="L1867" s="4" t="s">
        <v>10073</v>
      </c>
    </row>
    <row r="1868">
      <c r="A1868" s="55" t="s">
        <v>10074</v>
      </c>
      <c r="B1868" s="52" t="s">
        <v>1540</v>
      </c>
      <c r="C1868" s="56">
        <v>45825.333333333336</v>
      </c>
      <c r="D1868" s="57" t="s">
        <v>6052</v>
      </c>
      <c r="E1868" s="56">
        <v>45825.4375</v>
      </c>
      <c r="F1868" s="52" t="s">
        <v>10075</v>
      </c>
      <c r="G1868" s="4" t="s">
        <v>110</v>
      </c>
      <c r="H1868" s="4" t="s">
        <v>1987</v>
      </c>
      <c r="K1868" s="4" t="s">
        <v>10076</v>
      </c>
      <c r="L1868" s="4" t="s">
        <v>10077</v>
      </c>
    </row>
    <row r="1869">
      <c r="A1869" s="55" t="s">
        <v>10078</v>
      </c>
      <c r="B1869" s="52" t="s">
        <v>5619</v>
      </c>
      <c r="C1869" s="56">
        <v>45825.552083333336</v>
      </c>
      <c r="D1869" s="61"/>
      <c r="E1869" s="56">
        <v>45825.604166666664</v>
      </c>
      <c r="F1869" s="52" t="s">
        <v>10079</v>
      </c>
      <c r="G1869" s="4" t="s">
        <v>135</v>
      </c>
      <c r="H1869" s="4" t="s">
        <v>1987</v>
      </c>
      <c r="K1869" s="4" t="s">
        <v>10080</v>
      </c>
      <c r="L1869" s="4"/>
    </row>
    <row r="1870">
      <c r="A1870" s="55" t="s">
        <v>10081</v>
      </c>
      <c r="B1870" s="52" t="s">
        <v>1438</v>
      </c>
      <c r="C1870" s="56">
        <v>45825.604166666664</v>
      </c>
      <c r="D1870" s="57" t="s">
        <v>2148</v>
      </c>
      <c r="E1870" s="56">
        <v>45825.770833333336</v>
      </c>
      <c r="F1870" s="52" t="s">
        <v>10082</v>
      </c>
      <c r="G1870" s="4" t="s">
        <v>135</v>
      </c>
      <c r="H1870" s="4" t="s">
        <v>1987</v>
      </c>
      <c r="K1870" s="4" t="s">
        <v>10083</v>
      </c>
      <c r="L1870" s="4"/>
    </row>
    <row r="1871">
      <c r="A1871" s="55" t="s">
        <v>10084</v>
      </c>
      <c r="B1871" s="52" t="s">
        <v>5656</v>
      </c>
      <c r="C1871" s="56">
        <v>45825.520833333336</v>
      </c>
      <c r="D1871" s="57" t="s">
        <v>6052</v>
      </c>
      <c r="E1871" s="56">
        <v>45825.729166666664</v>
      </c>
      <c r="F1871" s="52" t="s">
        <v>7424</v>
      </c>
      <c r="G1871" s="4" t="s">
        <v>27</v>
      </c>
      <c r="H1871" s="4" t="s">
        <v>1987</v>
      </c>
      <c r="K1871" s="4" t="s">
        <v>10085</v>
      </c>
      <c r="L1871" s="4"/>
    </row>
    <row r="1872">
      <c r="A1872" s="55" t="s">
        <v>10086</v>
      </c>
      <c r="B1872" s="52" t="s">
        <v>1540</v>
      </c>
      <c r="C1872" s="56">
        <v>45826.333333333336</v>
      </c>
      <c r="D1872" s="57" t="s">
        <v>2154</v>
      </c>
      <c r="E1872" s="56">
        <v>45826.4375</v>
      </c>
      <c r="F1872" s="52" t="s">
        <v>10087</v>
      </c>
      <c r="G1872" s="4" t="s">
        <v>110</v>
      </c>
      <c r="H1872" s="4" t="s">
        <v>1987</v>
      </c>
      <c r="K1872" s="4" t="s">
        <v>10088</v>
      </c>
      <c r="L1872" s="4"/>
    </row>
    <row r="1873">
      <c r="A1873" s="55" t="s">
        <v>10089</v>
      </c>
      <c r="B1873" s="52" t="s">
        <v>5596</v>
      </c>
      <c r="C1873" s="56">
        <v>45826.4375</v>
      </c>
      <c r="D1873" s="57" t="s">
        <v>2154</v>
      </c>
      <c r="E1873" s="56">
        <v>45826.541666666664</v>
      </c>
      <c r="F1873" s="52" t="s">
        <v>10087</v>
      </c>
      <c r="G1873" s="4" t="s">
        <v>110</v>
      </c>
      <c r="H1873" s="4" t="s">
        <v>1987</v>
      </c>
      <c r="K1873" s="4" t="s">
        <v>10090</v>
      </c>
      <c r="L1873" s="4"/>
    </row>
    <row r="1874">
      <c r="A1874" s="55" t="s">
        <v>10091</v>
      </c>
      <c r="B1874" s="52" t="s">
        <v>1540</v>
      </c>
      <c r="C1874" s="56">
        <v>45827.333333333336</v>
      </c>
      <c r="D1874" s="57" t="s">
        <v>6052</v>
      </c>
      <c r="E1874" s="56">
        <v>45827.541666666664</v>
      </c>
      <c r="F1874" s="52" t="s">
        <v>10075</v>
      </c>
      <c r="G1874" s="4" t="s">
        <v>110</v>
      </c>
      <c r="H1874" s="4" t="s">
        <v>1987</v>
      </c>
      <c r="K1874" s="4" t="s">
        <v>10092</v>
      </c>
      <c r="L1874" s="4" t="s">
        <v>10093</v>
      </c>
    </row>
    <row r="1875">
      <c r="A1875" s="55" t="s">
        <v>10094</v>
      </c>
      <c r="B1875" s="52" t="s">
        <v>1597</v>
      </c>
      <c r="C1875" s="56">
        <v>45825.333333333336</v>
      </c>
      <c r="D1875" s="57" t="s">
        <v>6052</v>
      </c>
      <c r="E1875" s="56">
        <v>45825.4375</v>
      </c>
      <c r="F1875" s="52" t="s">
        <v>10095</v>
      </c>
      <c r="G1875" s="4" t="s">
        <v>1708</v>
      </c>
      <c r="H1875" s="4" t="s">
        <v>1987</v>
      </c>
      <c r="K1875" s="4" t="s">
        <v>10096</v>
      </c>
      <c r="L1875" s="4" t="s">
        <v>10097</v>
      </c>
    </row>
    <row r="1876">
      <c r="A1876" s="55" t="s">
        <v>10098</v>
      </c>
      <c r="B1876" s="52" t="s">
        <v>5619</v>
      </c>
      <c r="C1876" s="56">
        <v>45827.625</v>
      </c>
      <c r="D1876" s="57" t="s">
        <v>2147</v>
      </c>
      <c r="E1876" s="56">
        <v>45827.666666666664</v>
      </c>
      <c r="F1876" s="52" t="s">
        <v>10099</v>
      </c>
      <c r="G1876" s="4" t="s">
        <v>135</v>
      </c>
      <c r="H1876" s="4" t="s">
        <v>1991</v>
      </c>
      <c r="K1876" s="4" t="s">
        <v>10100</v>
      </c>
      <c r="L1876" s="4"/>
    </row>
    <row r="1877">
      <c r="A1877" s="55" t="s">
        <v>10101</v>
      </c>
      <c r="B1877" s="52" t="s">
        <v>5598</v>
      </c>
      <c r="C1877" s="56">
        <v>45826.635416666664</v>
      </c>
      <c r="D1877" s="57" t="s">
        <v>6052</v>
      </c>
      <c r="E1877" s="56">
        <v>45826.770833333336</v>
      </c>
      <c r="F1877" s="52" t="s">
        <v>10102</v>
      </c>
      <c r="G1877" s="4" t="s">
        <v>135</v>
      </c>
      <c r="H1877" s="4" t="s">
        <v>1987</v>
      </c>
      <c r="K1877" s="4" t="s">
        <v>10103</v>
      </c>
      <c r="L1877" s="4" t="s">
        <v>10104</v>
      </c>
    </row>
    <row r="1878">
      <c r="A1878" s="55" t="s">
        <v>10105</v>
      </c>
      <c r="B1878" s="52" t="s">
        <v>1597</v>
      </c>
      <c r="C1878" s="56">
        <v>45826.5625</v>
      </c>
      <c r="D1878" s="57" t="s">
        <v>2154</v>
      </c>
      <c r="E1878" s="56">
        <v>45826.666666666664</v>
      </c>
      <c r="F1878" s="52" t="s">
        <v>10095</v>
      </c>
      <c r="G1878" s="4" t="s">
        <v>1708</v>
      </c>
      <c r="H1878" s="4" t="s">
        <v>1987</v>
      </c>
      <c r="K1878" s="4" t="s">
        <v>10106</v>
      </c>
      <c r="L1878" s="4" t="s">
        <v>10107</v>
      </c>
    </row>
    <row r="1879">
      <c r="A1879" s="55" t="s">
        <v>10108</v>
      </c>
      <c r="B1879" s="52" t="s">
        <v>1438</v>
      </c>
      <c r="C1879" s="56">
        <v>45826.552083333336</v>
      </c>
      <c r="D1879" s="57" t="s">
        <v>2154</v>
      </c>
      <c r="E1879" s="56">
        <v>45826.635416666664</v>
      </c>
      <c r="F1879" s="52" t="s">
        <v>10082</v>
      </c>
      <c r="G1879" s="4" t="s">
        <v>135</v>
      </c>
      <c r="H1879" s="4" t="s">
        <v>1987</v>
      </c>
      <c r="K1879" s="4" t="s">
        <v>10083</v>
      </c>
      <c r="L1879" s="4" t="s">
        <v>10109</v>
      </c>
    </row>
    <row r="1880">
      <c r="A1880" s="55" t="s">
        <v>10110</v>
      </c>
      <c r="B1880" s="52" t="s">
        <v>5598</v>
      </c>
      <c r="C1880" s="56">
        <v>45827.552083333336</v>
      </c>
      <c r="D1880" s="57" t="s">
        <v>2154</v>
      </c>
      <c r="E1880" s="56">
        <v>45827.625</v>
      </c>
      <c r="F1880" s="52" t="s">
        <v>10102</v>
      </c>
      <c r="G1880" s="4" t="s">
        <v>135</v>
      </c>
      <c r="H1880" s="4" t="s">
        <v>1987</v>
      </c>
      <c r="K1880" s="4" t="s">
        <v>10103</v>
      </c>
      <c r="L1880" s="4" t="s">
        <v>10111</v>
      </c>
    </row>
    <row r="1881">
      <c r="A1881" s="55" t="s">
        <v>10112</v>
      </c>
      <c r="B1881" s="52" t="s">
        <v>5598</v>
      </c>
      <c r="C1881" s="56">
        <v>45827.666666666664</v>
      </c>
      <c r="D1881" s="57" t="s">
        <v>2154</v>
      </c>
      <c r="E1881" s="56">
        <v>45827.770833333336</v>
      </c>
      <c r="F1881" s="52" t="s">
        <v>10113</v>
      </c>
      <c r="G1881" s="4" t="s">
        <v>135</v>
      </c>
      <c r="H1881" s="4" t="s">
        <v>1987</v>
      </c>
      <c r="K1881" s="4" t="s">
        <v>10114</v>
      </c>
      <c r="L1881" s="4" t="s">
        <v>10115</v>
      </c>
    </row>
    <row r="1882">
      <c r="A1882" s="55" t="s">
        <v>10116</v>
      </c>
      <c r="B1882" s="52" t="s">
        <v>5598</v>
      </c>
      <c r="C1882" s="56">
        <v>45831.5625</v>
      </c>
      <c r="D1882" s="57" t="s">
        <v>2148</v>
      </c>
      <c r="E1882" s="56">
        <v>45831.729166666664</v>
      </c>
      <c r="F1882" s="52" t="s">
        <v>10117</v>
      </c>
      <c r="G1882" s="4" t="s">
        <v>135</v>
      </c>
      <c r="H1882" s="4" t="s">
        <v>1987</v>
      </c>
      <c r="K1882" s="4" t="s">
        <v>10118</v>
      </c>
      <c r="L1882" s="4"/>
    </row>
    <row r="1883">
      <c r="A1883" s="55" t="s">
        <v>10119</v>
      </c>
      <c r="B1883" s="52" t="s">
        <v>5598</v>
      </c>
      <c r="C1883" s="56">
        <v>45832.552083333336</v>
      </c>
      <c r="D1883" s="57" t="s">
        <v>2148</v>
      </c>
      <c r="E1883" s="56">
        <v>45832.583333333336</v>
      </c>
      <c r="F1883" s="52" t="s">
        <v>10117</v>
      </c>
      <c r="G1883" s="4" t="s">
        <v>135</v>
      </c>
      <c r="H1883" s="4" t="s">
        <v>1987</v>
      </c>
      <c r="K1883" s="4"/>
      <c r="L1883" s="4" t="s">
        <v>10120</v>
      </c>
    </row>
    <row r="1884">
      <c r="A1884" s="55" t="s">
        <v>10121</v>
      </c>
      <c r="B1884" s="52" t="s">
        <v>5598</v>
      </c>
      <c r="C1884" s="56">
        <v>45834.552083333336</v>
      </c>
      <c r="D1884" s="57" t="s">
        <v>2148</v>
      </c>
      <c r="E1884" s="56">
        <v>45834.770833333336</v>
      </c>
      <c r="F1884" s="52" t="s">
        <v>10117</v>
      </c>
      <c r="G1884" s="4" t="s">
        <v>135</v>
      </c>
      <c r="H1884" s="4" t="s">
        <v>1987</v>
      </c>
      <c r="K1884" s="4"/>
      <c r="L1884" s="4" t="s">
        <v>10122</v>
      </c>
    </row>
    <row r="1885">
      <c r="A1885" s="55" t="s">
        <v>10123</v>
      </c>
      <c r="B1885" s="52" t="s">
        <v>5598</v>
      </c>
      <c r="C1885" s="56">
        <v>45833.552083333336</v>
      </c>
      <c r="D1885" s="57" t="s">
        <v>2148</v>
      </c>
      <c r="E1885" s="56">
        <v>45833.770833333336</v>
      </c>
      <c r="F1885" s="52" t="s">
        <v>10117</v>
      </c>
      <c r="G1885" s="4" t="s">
        <v>135</v>
      </c>
      <c r="H1885" s="4" t="s">
        <v>1987</v>
      </c>
      <c r="K1885" s="4" t="s">
        <v>10124</v>
      </c>
      <c r="L1885" s="4" t="s">
        <v>10125</v>
      </c>
    </row>
    <row r="1886">
      <c r="A1886" s="55" t="s">
        <v>10126</v>
      </c>
      <c r="B1886" s="52" t="s">
        <v>5384</v>
      </c>
      <c r="C1886" s="56">
        <v>45835.552083333336</v>
      </c>
      <c r="D1886" s="57" t="s">
        <v>6052</v>
      </c>
      <c r="E1886" s="56">
        <v>45835.770833333336</v>
      </c>
      <c r="F1886" s="52" t="s">
        <v>10127</v>
      </c>
      <c r="G1886" s="4" t="s">
        <v>135</v>
      </c>
      <c r="H1886" s="4" t="s">
        <v>1987</v>
      </c>
      <c r="K1886" s="4" t="s">
        <v>10128</v>
      </c>
      <c r="L1886" s="4"/>
    </row>
    <row r="1887">
      <c r="A1887" s="66" t="s">
        <v>10129</v>
      </c>
      <c r="B1887" s="52" t="s">
        <v>1597</v>
      </c>
      <c r="C1887" s="56">
        <v>45826.791666666664</v>
      </c>
      <c r="D1887" s="57" t="s">
        <v>2147</v>
      </c>
      <c r="E1887" s="56">
        <v>45826.833333333336</v>
      </c>
      <c r="F1887" s="52" t="s">
        <v>6053</v>
      </c>
      <c r="G1887" s="4" t="s">
        <v>27</v>
      </c>
      <c r="H1887" s="4" t="s">
        <v>1987</v>
      </c>
      <c r="K1887" s="4" t="s">
        <v>10130</v>
      </c>
      <c r="L1887" s="4"/>
    </row>
    <row r="1888">
      <c r="A1888" s="55" t="s">
        <v>10131</v>
      </c>
      <c r="B1888" s="52" t="s">
        <v>5656</v>
      </c>
      <c r="C1888" s="56">
        <v>45827.333333333336</v>
      </c>
      <c r="D1888" s="57" t="s">
        <v>6052</v>
      </c>
      <c r="E1888" s="56">
        <v>45827.4375</v>
      </c>
      <c r="F1888" s="52" t="s">
        <v>10095</v>
      </c>
      <c r="G1888" s="4" t="s">
        <v>1708</v>
      </c>
      <c r="H1888" s="4" t="s">
        <v>1987</v>
      </c>
      <c r="K1888" s="4" t="s">
        <v>10132</v>
      </c>
      <c r="L1888" s="4" t="s">
        <v>10097</v>
      </c>
    </row>
    <row r="1889">
      <c r="A1889" s="55" t="s">
        <v>10133</v>
      </c>
      <c r="B1889" s="52" t="s">
        <v>5656</v>
      </c>
      <c r="C1889" s="56">
        <v>45827.56319444445</v>
      </c>
      <c r="D1889" s="57" t="s">
        <v>2147</v>
      </c>
      <c r="E1889" s="56">
        <v>45827.60486111111</v>
      </c>
      <c r="F1889" s="52" t="s">
        <v>7424</v>
      </c>
      <c r="G1889" s="4" t="s">
        <v>27</v>
      </c>
      <c r="H1889" s="4" t="s">
        <v>1987</v>
      </c>
      <c r="K1889" s="4" t="s">
        <v>10134</v>
      </c>
      <c r="L1889" s="4"/>
    </row>
    <row r="1890">
      <c r="A1890" s="55" t="s">
        <v>10135</v>
      </c>
      <c r="B1890" s="52" t="s">
        <v>5596</v>
      </c>
      <c r="C1890" s="56">
        <v>45827.4375</v>
      </c>
      <c r="D1890" s="61"/>
      <c r="E1890" s="56">
        <v>45827.541666666664</v>
      </c>
      <c r="F1890" s="52"/>
      <c r="G1890" s="4"/>
      <c r="H1890" s="4" t="s">
        <v>1987</v>
      </c>
      <c r="K1890" s="4" t="s">
        <v>10136</v>
      </c>
      <c r="L1890" s="4"/>
    </row>
    <row r="1891">
      <c r="A1891" s="55" t="s">
        <v>10137</v>
      </c>
      <c r="B1891" s="52" t="s">
        <v>5596</v>
      </c>
      <c r="C1891" s="56">
        <v>45827.336805555555</v>
      </c>
      <c r="D1891" s="61"/>
      <c r="E1891" s="56">
        <v>45827.541666666664</v>
      </c>
      <c r="F1891" s="52"/>
      <c r="G1891" s="4"/>
      <c r="H1891" s="4" t="s">
        <v>1987</v>
      </c>
      <c r="K1891" s="4" t="s">
        <v>10138</v>
      </c>
      <c r="L1891" s="4"/>
    </row>
    <row r="1892">
      <c r="A1892" s="55" t="s">
        <v>10139</v>
      </c>
      <c r="B1892" s="52" t="s">
        <v>5596</v>
      </c>
      <c r="C1892" s="56">
        <v>45831.333333333336</v>
      </c>
      <c r="D1892" s="57" t="s">
        <v>2200</v>
      </c>
      <c r="E1892" s="56">
        <v>45831.541666666664</v>
      </c>
      <c r="F1892" s="52" t="s">
        <v>10140</v>
      </c>
      <c r="G1892" s="4" t="s">
        <v>110</v>
      </c>
      <c r="H1892" s="4" t="s">
        <v>1987</v>
      </c>
      <c r="K1892" s="4" t="s">
        <v>10141</v>
      </c>
      <c r="L1892" s="4"/>
    </row>
    <row r="1893">
      <c r="A1893" s="55" t="s">
        <v>10142</v>
      </c>
      <c r="B1893" s="52" t="s">
        <v>1540</v>
      </c>
      <c r="C1893" s="56">
        <v>45832.333333333336</v>
      </c>
      <c r="D1893" s="57" t="s">
        <v>2148</v>
      </c>
      <c r="E1893" s="56">
        <v>45832.5</v>
      </c>
      <c r="F1893" s="52" t="s">
        <v>10143</v>
      </c>
      <c r="G1893" s="4" t="s">
        <v>110</v>
      </c>
      <c r="H1893" s="4" t="s">
        <v>1987</v>
      </c>
      <c r="K1893" s="4"/>
      <c r="L1893" s="4" t="s">
        <v>10144</v>
      </c>
    </row>
    <row r="1894">
      <c r="A1894" s="55" t="s">
        <v>10145</v>
      </c>
      <c r="B1894" s="52" t="s">
        <v>5628</v>
      </c>
      <c r="C1894" s="56">
        <v>45832.5</v>
      </c>
      <c r="D1894" s="57" t="s">
        <v>2147</v>
      </c>
      <c r="E1894" s="56">
        <v>45832.541666666664</v>
      </c>
      <c r="F1894" s="52" t="s">
        <v>10146</v>
      </c>
      <c r="G1894" s="4" t="s">
        <v>110</v>
      </c>
      <c r="H1894" s="4" t="s">
        <v>1987</v>
      </c>
      <c r="K1894" s="4" t="s">
        <v>10147</v>
      </c>
      <c r="L1894" s="4" t="s">
        <v>10148</v>
      </c>
    </row>
    <row r="1895">
      <c r="A1895" s="55" t="s">
        <v>10149</v>
      </c>
      <c r="B1895" s="52" t="s">
        <v>5628</v>
      </c>
      <c r="C1895" s="56">
        <v>45833.333333333336</v>
      </c>
      <c r="D1895" s="57" t="s">
        <v>6052</v>
      </c>
      <c r="E1895" s="56">
        <v>45833.479166666664</v>
      </c>
      <c r="F1895" s="52" t="s">
        <v>10146</v>
      </c>
      <c r="G1895" s="4" t="s">
        <v>110</v>
      </c>
      <c r="H1895" s="4" t="s">
        <v>1987</v>
      </c>
      <c r="K1895" s="4"/>
      <c r="L1895" s="4" t="s">
        <v>10150</v>
      </c>
    </row>
    <row r="1896">
      <c r="A1896" s="55" t="s">
        <v>10151</v>
      </c>
      <c r="B1896" s="52" t="s">
        <v>1540</v>
      </c>
      <c r="C1896" s="56">
        <v>45834.333333333336</v>
      </c>
      <c r="D1896" s="57" t="s">
        <v>2147</v>
      </c>
      <c r="E1896" s="56">
        <v>45834.395833333336</v>
      </c>
      <c r="F1896" s="52" t="s">
        <v>10152</v>
      </c>
      <c r="G1896" s="4" t="s">
        <v>110</v>
      </c>
      <c r="H1896" s="4" t="s">
        <v>1987</v>
      </c>
      <c r="K1896" s="4" t="s">
        <v>10153</v>
      </c>
      <c r="L1896" s="4" t="s">
        <v>10154</v>
      </c>
    </row>
    <row r="1897">
      <c r="A1897" s="55" t="s">
        <v>10155</v>
      </c>
      <c r="B1897" s="52" t="s">
        <v>1603</v>
      </c>
      <c r="C1897" s="56">
        <v>45835.333333333336</v>
      </c>
      <c r="D1897" s="57" t="s">
        <v>6052</v>
      </c>
      <c r="E1897" s="56">
        <v>45835.541666666664</v>
      </c>
      <c r="F1897" s="52" t="s">
        <v>10156</v>
      </c>
      <c r="G1897" s="4" t="s">
        <v>110</v>
      </c>
      <c r="H1897" s="4" t="s">
        <v>1987</v>
      </c>
      <c r="K1897" s="4" t="s">
        <v>10157</v>
      </c>
      <c r="L1897" s="4" t="s">
        <v>10158</v>
      </c>
    </row>
    <row r="1898">
      <c r="A1898" s="55" t="s">
        <v>10159</v>
      </c>
      <c r="B1898" s="52" t="s">
        <v>5598</v>
      </c>
      <c r="C1898" s="56">
        <v>45831.666666666664</v>
      </c>
      <c r="D1898" s="57" t="s">
        <v>2147</v>
      </c>
      <c r="E1898" s="56">
        <v>45831.708333333336</v>
      </c>
      <c r="F1898" s="52" t="s">
        <v>10160</v>
      </c>
      <c r="G1898" s="4" t="s">
        <v>27</v>
      </c>
      <c r="H1898" s="4" t="s">
        <v>1987</v>
      </c>
      <c r="K1898" s="4" t="s">
        <v>10161</v>
      </c>
      <c r="L1898" s="4"/>
    </row>
    <row r="1899">
      <c r="A1899" s="55" t="s">
        <v>10162</v>
      </c>
      <c r="B1899" s="52" t="s">
        <v>5656</v>
      </c>
      <c r="C1899" s="56">
        <v>45832.333333333336</v>
      </c>
      <c r="D1899" s="57" t="s">
        <v>2154</v>
      </c>
      <c r="E1899" s="56">
        <v>45832.4375</v>
      </c>
      <c r="F1899" s="52" t="s">
        <v>10163</v>
      </c>
      <c r="G1899" s="4" t="s">
        <v>1708</v>
      </c>
      <c r="H1899" s="4" t="s">
        <v>1987</v>
      </c>
      <c r="K1899" s="4" t="s">
        <v>10164</v>
      </c>
      <c r="L1899" s="4"/>
    </row>
    <row r="1900">
      <c r="A1900" s="55" t="s">
        <v>10165</v>
      </c>
      <c r="B1900" s="52" t="s">
        <v>5656</v>
      </c>
      <c r="C1900" s="56">
        <v>45831.333333333336</v>
      </c>
      <c r="D1900" s="57" t="s">
        <v>2154</v>
      </c>
      <c r="E1900" s="56">
        <v>45831.4375</v>
      </c>
      <c r="F1900" s="52" t="s">
        <v>10163</v>
      </c>
      <c r="G1900" s="4" t="s">
        <v>1708</v>
      </c>
      <c r="H1900" s="4" t="s">
        <v>1987</v>
      </c>
      <c r="K1900" s="4" t="s">
        <v>10166</v>
      </c>
      <c r="L1900" s="4"/>
    </row>
    <row r="1901">
      <c r="A1901" s="55" t="s">
        <v>10167</v>
      </c>
      <c r="B1901" s="52" t="s">
        <v>1597</v>
      </c>
      <c r="C1901" s="56">
        <v>45832.604166666664</v>
      </c>
      <c r="D1901" s="57" t="s">
        <v>2147</v>
      </c>
      <c r="E1901" s="56">
        <v>45832.6875</v>
      </c>
      <c r="F1901" s="52" t="s">
        <v>10168</v>
      </c>
      <c r="G1901" s="4" t="s">
        <v>27</v>
      </c>
      <c r="H1901" s="4" t="s">
        <v>1987</v>
      </c>
      <c r="K1901" s="4" t="s">
        <v>10169</v>
      </c>
      <c r="L1901" s="4" t="s">
        <v>10170</v>
      </c>
    </row>
    <row r="1902">
      <c r="A1902" s="55" t="s">
        <v>10171</v>
      </c>
      <c r="B1902" s="52" t="s">
        <v>5656</v>
      </c>
      <c r="C1902" s="56">
        <v>45833.333333333336</v>
      </c>
      <c r="D1902" s="57" t="s">
        <v>2154</v>
      </c>
      <c r="E1902" s="56">
        <v>45833.4375</v>
      </c>
      <c r="F1902" s="52" t="s">
        <v>10163</v>
      </c>
      <c r="G1902" s="4" t="s">
        <v>1708</v>
      </c>
      <c r="H1902" s="4" t="s">
        <v>1987</v>
      </c>
      <c r="K1902" s="4" t="s">
        <v>10172</v>
      </c>
      <c r="L1902" s="4"/>
    </row>
    <row r="1903">
      <c r="A1903" s="55" t="s">
        <v>10173</v>
      </c>
      <c r="B1903" s="52" t="s">
        <v>5656</v>
      </c>
      <c r="C1903" s="56">
        <v>45832.520833333336</v>
      </c>
      <c r="D1903" s="57" t="s">
        <v>6052</v>
      </c>
      <c r="E1903" s="56">
        <v>45832.604166666664</v>
      </c>
      <c r="F1903" s="52" t="s">
        <v>7424</v>
      </c>
      <c r="G1903" s="4" t="s">
        <v>27</v>
      </c>
      <c r="H1903" s="4" t="s">
        <v>1987</v>
      </c>
      <c r="K1903" s="4" t="s">
        <v>10174</v>
      </c>
      <c r="L1903" s="4" t="s">
        <v>10175</v>
      </c>
    </row>
    <row r="1904">
      <c r="A1904" s="55" t="s">
        <v>10176</v>
      </c>
      <c r="B1904" s="52" t="s">
        <v>5384</v>
      </c>
      <c r="C1904" s="56">
        <v>45832.583333333336</v>
      </c>
      <c r="D1904" s="57" t="s">
        <v>2148</v>
      </c>
      <c r="E1904" s="56">
        <v>45832.614583333336</v>
      </c>
      <c r="F1904" s="52" t="s">
        <v>10177</v>
      </c>
      <c r="G1904" s="4" t="s">
        <v>135</v>
      </c>
      <c r="H1904" s="4" t="s">
        <v>1991</v>
      </c>
      <c r="K1904" s="4" t="s">
        <v>10178</v>
      </c>
      <c r="L1904" s="4" t="s">
        <v>10125</v>
      </c>
    </row>
    <row r="1905">
      <c r="A1905" s="55" t="s">
        <v>10179</v>
      </c>
      <c r="B1905" s="52" t="s">
        <v>5598</v>
      </c>
      <c r="C1905" s="56">
        <v>45832.614583333336</v>
      </c>
      <c r="D1905" s="57" t="s">
        <v>2148</v>
      </c>
      <c r="E1905" s="56">
        <v>45832.770833333336</v>
      </c>
      <c r="F1905" s="52" t="s">
        <v>10117</v>
      </c>
      <c r="G1905" s="4" t="s">
        <v>135</v>
      </c>
      <c r="H1905" s="4" t="s">
        <v>1987</v>
      </c>
      <c r="K1905" s="4" t="s">
        <v>10180</v>
      </c>
      <c r="L1905" s="4"/>
    </row>
    <row r="1906">
      <c r="A1906" s="55" t="s">
        <v>10181</v>
      </c>
      <c r="B1906" s="52" t="s">
        <v>1597</v>
      </c>
      <c r="C1906" s="56">
        <v>45832.73472222222</v>
      </c>
      <c r="D1906" s="57" t="s">
        <v>2147</v>
      </c>
      <c r="E1906" s="56">
        <v>45832.854166666664</v>
      </c>
      <c r="F1906" s="52" t="s">
        <v>10182</v>
      </c>
      <c r="G1906" s="4" t="s">
        <v>27</v>
      </c>
      <c r="H1906" s="4" t="s">
        <v>1987</v>
      </c>
      <c r="K1906" s="4" t="s">
        <v>10183</v>
      </c>
      <c r="L1906" s="4" t="s">
        <v>10184</v>
      </c>
    </row>
    <row r="1907">
      <c r="A1907" s="55" t="s">
        <v>10185</v>
      </c>
      <c r="B1907" s="52" t="s">
        <v>5628</v>
      </c>
      <c r="C1907" s="56">
        <v>45834.395833333336</v>
      </c>
      <c r="D1907" s="57" t="s">
        <v>2154</v>
      </c>
      <c r="E1907" s="56">
        <v>45834.458333333336</v>
      </c>
      <c r="F1907" s="52" t="s">
        <v>9564</v>
      </c>
      <c r="G1907" s="4" t="s">
        <v>110</v>
      </c>
      <c r="H1907" s="4" t="s">
        <v>1991</v>
      </c>
      <c r="K1907" s="4" t="s">
        <v>10186</v>
      </c>
      <c r="L1907" s="4" t="s">
        <v>10187</v>
      </c>
    </row>
    <row r="1908">
      <c r="A1908" s="66" t="s">
        <v>10188</v>
      </c>
      <c r="B1908" s="52" t="s">
        <v>1540</v>
      </c>
      <c r="C1908" s="56">
        <v>45833.479166666664</v>
      </c>
      <c r="D1908" s="57" t="s">
        <v>2147</v>
      </c>
      <c r="E1908" s="56">
        <v>45833.541666666664</v>
      </c>
      <c r="F1908" s="52" t="s">
        <v>10143</v>
      </c>
      <c r="G1908" s="4" t="s">
        <v>110</v>
      </c>
      <c r="H1908" s="4" t="s">
        <v>1987</v>
      </c>
      <c r="K1908" s="4" t="s">
        <v>10189</v>
      </c>
      <c r="L1908" s="4" t="s">
        <v>10190</v>
      </c>
    </row>
    <row r="1909">
      <c r="A1909" s="55"/>
      <c r="B1909" s="52"/>
      <c r="C1909" s="56"/>
      <c r="D1909" s="61"/>
      <c r="E1909" s="56"/>
      <c r="F1909" s="52"/>
      <c r="G1909" s="4"/>
      <c r="H1909" s="4"/>
      <c r="K1909" s="4"/>
      <c r="L1909" s="4"/>
    </row>
    <row r="1910">
      <c r="A1910" s="55" t="s">
        <v>10191</v>
      </c>
      <c r="B1910" s="52" t="s">
        <v>5656</v>
      </c>
      <c r="C1910" s="56">
        <v>45833.49236111111</v>
      </c>
      <c r="D1910" s="57" t="s">
        <v>2147</v>
      </c>
      <c r="E1910" s="56">
        <v>45833.53402777778</v>
      </c>
      <c r="F1910" s="52" t="s">
        <v>7279</v>
      </c>
      <c r="G1910" s="4" t="s">
        <v>27</v>
      </c>
      <c r="H1910" s="4" t="s">
        <v>1987</v>
      </c>
      <c r="K1910" s="4" t="s">
        <v>10192</v>
      </c>
      <c r="L1910" s="4"/>
    </row>
    <row r="1911">
      <c r="A1911" s="55" t="s">
        <v>10193</v>
      </c>
      <c r="B1911" s="52" t="s">
        <v>5628</v>
      </c>
      <c r="C1911" s="56">
        <v>45834.395833333336</v>
      </c>
      <c r="D1911" s="57" t="s">
        <v>2147</v>
      </c>
      <c r="E1911" s="56">
        <v>45834.4375</v>
      </c>
      <c r="F1911" s="52" t="s">
        <v>10194</v>
      </c>
      <c r="G1911" s="4" t="s">
        <v>27</v>
      </c>
      <c r="H1911" s="4" t="s">
        <v>1987</v>
      </c>
      <c r="K1911" s="4" t="s">
        <v>10195</v>
      </c>
      <c r="L1911" s="4"/>
    </row>
    <row r="1912">
      <c r="A1912" s="55" t="s">
        <v>10196</v>
      </c>
      <c r="B1912" s="52" t="s">
        <v>5598</v>
      </c>
      <c r="C1912" s="56">
        <v>45834.604166666664</v>
      </c>
      <c r="D1912" s="57" t="s">
        <v>2200</v>
      </c>
      <c r="E1912" s="56">
        <v>45834.729166666664</v>
      </c>
      <c r="F1912" s="52" t="s">
        <v>9830</v>
      </c>
      <c r="G1912" s="4" t="s">
        <v>27</v>
      </c>
      <c r="H1912" s="4" t="s">
        <v>6220</v>
      </c>
      <c r="K1912" s="4" t="s">
        <v>10197</v>
      </c>
      <c r="L1912" s="4"/>
    </row>
    <row r="1913">
      <c r="A1913" s="66" t="s">
        <v>10198</v>
      </c>
      <c r="B1913" s="52" t="s">
        <v>1597</v>
      </c>
      <c r="C1913" s="56">
        <v>45833.625</v>
      </c>
      <c r="D1913" s="57" t="s">
        <v>2147</v>
      </c>
      <c r="E1913" s="56">
        <v>45833.666666666664</v>
      </c>
      <c r="F1913" s="52" t="s">
        <v>10199</v>
      </c>
      <c r="G1913" s="4" t="s">
        <v>27</v>
      </c>
      <c r="H1913" s="4" t="s">
        <v>1987</v>
      </c>
      <c r="K1913" s="4" t="s">
        <v>10200</v>
      </c>
      <c r="L1913" s="4"/>
    </row>
    <row r="1914">
      <c r="A1914" s="55" t="s">
        <v>10201</v>
      </c>
      <c r="B1914" s="52" t="s">
        <v>5598</v>
      </c>
      <c r="C1914" s="56">
        <v>45833.67361111111</v>
      </c>
      <c r="D1914" s="57" t="s">
        <v>2147</v>
      </c>
      <c r="E1914" s="56">
        <v>45833.6875</v>
      </c>
      <c r="F1914" s="52" t="s">
        <v>7279</v>
      </c>
      <c r="G1914" s="4" t="s">
        <v>27</v>
      </c>
      <c r="H1914" s="4" t="s">
        <v>1987</v>
      </c>
      <c r="K1914" s="4" t="s">
        <v>10202</v>
      </c>
      <c r="L1914" s="4" t="s">
        <v>10203</v>
      </c>
    </row>
    <row r="1915">
      <c r="A1915" s="55" t="s">
        <v>10204</v>
      </c>
      <c r="B1915" s="52" t="s">
        <v>1597</v>
      </c>
      <c r="C1915" s="56">
        <v>45833.75</v>
      </c>
      <c r="D1915" s="57" t="s">
        <v>2147</v>
      </c>
      <c r="E1915" s="56">
        <v>45833.791666666664</v>
      </c>
      <c r="F1915" s="52" t="s">
        <v>10199</v>
      </c>
      <c r="G1915" s="4" t="s">
        <v>27</v>
      </c>
      <c r="H1915" s="4" t="s">
        <v>1987</v>
      </c>
      <c r="K1915" s="4" t="s">
        <v>10205</v>
      </c>
      <c r="L1915" s="4"/>
    </row>
    <row r="1916">
      <c r="A1916" s="55" t="s">
        <v>10206</v>
      </c>
      <c r="B1916" s="52" t="s">
        <v>1597</v>
      </c>
      <c r="C1916" s="56">
        <v>45834.5</v>
      </c>
      <c r="D1916" s="57" t="s">
        <v>2147</v>
      </c>
      <c r="E1916" s="56">
        <v>45834.604166666664</v>
      </c>
      <c r="F1916" s="52" t="s">
        <v>10207</v>
      </c>
      <c r="G1916" s="4" t="s">
        <v>27</v>
      </c>
      <c r="H1916" s="4" t="s">
        <v>1987</v>
      </c>
      <c r="K1916" s="4" t="s">
        <v>10208</v>
      </c>
      <c r="L1916" s="4" t="s">
        <v>10209</v>
      </c>
    </row>
    <row r="1917">
      <c r="A1917" s="55" t="s">
        <v>10210</v>
      </c>
      <c r="B1917" s="52" t="s">
        <v>5628</v>
      </c>
      <c r="C1917" s="56">
        <v>45839.333333333336</v>
      </c>
      <c r="D1917" s="57" t="s">
        <v>2147</v>
      </c>
      <c r="E1917" s="56">
        <v>45839.395833333336</v>
      </c>
      <c r="F1917" s="52" t="s">
        <v>10211</v>
      </c>
      <c r="G1917" s="4" t="s">
        <v>110</v>
      </c>
      <c r="H1917" s="4" t="s">
        <v>1987</v>
      </c>
      <c r="K1917" s="4" t="s">
        <v>10212</v>
      </c>
      <c r="L1917" s="4" t="s">
        <v>10213</v>
      </c>
    </row>
    <row r="1918">
      <c r="A1918" s="55"/>
      <c r="B1918" s="52"/>
      <c r="C1918" s="56"/>
      <c r="D1918" s="61"/>
      <c r="E1918" s="56"/>
      <c r="F1918" s="52"/>
      <c r="G1918" s="4"/>
      <c r="H1918" s="4"/>
      <c r="K1918" s="4"/>
      <c r="L1918" s="4"/>
    </row>
    <row r="1919">
      <c r="A1919" s="55" t="s">
        <v>10214</v>
      </c>
      <c r="B1919" s="52" t="s">
        <v>5656</v>
      </c>
      <c r="C1919" s="56">
        <v>45834.333333333336</v>
      </c>
      <c r="D1919" s="57" t="s">
        <v>2154</v>
      </c>
      <c r="E1919" s="56">
        <v>45834.4375</v>
      </c>
      <c r="F1919" s="52" t="s">
        <v>10163</v>
      </c>
      <c r="G1919" s="4" t="s">
        <v>1708</v>
      </c>
      <c r="H1919" s="4" t="s">
        <v>1987</v>
      </c>
      <c r="K1919" s="4" t="s">
        <v>10215</v>
      </c>
      <c r="L1919" s="4"/>
    </row>
    <row r="1920">
      <c r="A1920" s="55" t="s">
        <v>10216</v>
      </c>
      <c r="B1920" s="52" t="s">
        <v>8165</v>
      </c>
      <c r="C1920" s="56">
        <v>45839.395833333336</v>
      </c>
      <c r="D1920" s="57" t="s">
        <v>2147</v>
      </c>
      <c r="E1920" s="56">
        <v>45839.4375</v>
      </c>
      <c r="F1920" s="52" t="s">
        <v>10217</v>
      </c>
      <c r="G1920" s="4" t="s">
        <v>110</v>
      </c>
      <c r="H1920" s="4" t="s">
        <v>1991</v>
      </c>
      <c r="K1920" s="4"/>
      <c r="L1920" s="4" t="s">
        <v>10218</v>
      </c>
    </row>
    <row r="1921">
      <c r="A1921" s="55" t="s">
        <v>10219</v>
      </c>
      <c r="B1921" s="52" t="s">
        <v>1540</v>
      </c>
      <c r="C1921" s="56">
        <v>45834.458333333336</v>
      </c>
      <c r="D1921" s="57" t="s">
        <v>2154</v>
      </c>
      <c r="E1921" s="56">
        <v>45834.52777777778</v>
      </c>
      <c r="F1921" s="52" t="s">
        <v>10152</v>
      </c>
      <c r="G1921" s="4" t="s">
        <v>110</v>
      </c>
      <c r="H1921" s="4" t="s">
        <v>1987</v>
      </c>
      <c r="K1921" s="4" t="s">
        <v>10220</v>
      </c>
      <c r="L1921" s="4" t="s">
        <v>10221</v>
      </c>
    </row>
    <row r="1922">
      <c r="A1922" s="66" t="s">
        <v>10222</v>
      </c>
      <c r="B1922" s="52" t="s">
        <v>6057</v>
      </c>
      <c r="C1922" s="56">
        <v>45834.52777777778</v>
      </c>
      <c r="D1922" s="57" t="s">
        <v>6318</v>
      </c>
      <c r="E1922" s="56">
        <v>45834.541666666664</v>
      </c>
      <c r="F1922" s="52" t="s">
        <v>10223</v>
      </c>
      <c r="G1922" s="4" t="s">
        <v>110</v>
      </c>
      <c r="H1922" s="4" t="s">
        <v>1987</v>
      </c>
      <c r="K1922" s="4" t="s">
        <v>10224</v>
      </c>
      <c r="L1922" s="4"/>
    </row>
    <row r="1923">
      <c r="A1923" s="55" t="s">
        <v>10225</v>
      </c>
      <c r="B1923" s="52" t="s">
        <v>6057</v>
      </c>
      <c r="C1923" s="56">
        <v>45824.4375</v>
      </c>
      <c r="D1923" s="61"/>
      <c r="E1923" s="56">
        <v>45824.541666666664</v>
      </c>
      <c r="F1923" s="52"/>
      <c r="G1923" s="4"/>
      <c r="H1923" s="4" t="s">
        <v>1987</v>
      </c>
      <c r="K1923" s="4" t="s">
        <v>10226</v>
      </c>
      <c r="L1923" s="4"/>
    </row>
    <row r="1924">
      <c r="A1924" s="55" t="s">
        <v>10227</v>
      </c>
      <c r="B1924" s="52" t="s">
        <v>1597</v>
      </c>
      <c r="C1924" s="56">
        <v>45835.4375</v>
      </c>
      <c r="D1924" s="57" t="s">
        <v>2148</v>
      </c>
      <c r="E1924" s="56">
        <v>45835.5625</v>
      </c>
      <c r="F1924" s="52" t="s">
        <v>10199</v>
      </c>
      <c r="G1924" s="4" t="s">
        <v>27</v>
      </c>
      <c r="H1924" s="4" t="s">
        <v>1987</v>
      </c>
      <c r="K1924" s="4" t="s">
        <v>10228</v>
      </c>
      <c r="L1924" s="4" t="s">
        <v>10229</v>
      </c>
    </row>
    <row r="1925">
      <c r="A1925" s="55" t="s">
        <v>10230</v>
      </c>
      <c r="B1925" s="52" t="s">
        <v>1540</v>
      </c>
      <c r="C1925" s="56">
        <v>45840.375</v>
      </c>
      <c r="D1925" s="57" t="s">
        <v>6318</v>
      </c>
      <c r="E1925" s="56">
        <v>45840.395833333336</v>
      </c>
      <c r="F1925" s="52" t="s">
        <v>8719</v>
      </c>
      <c r="G1925" s="4" t="s">
        <v>110</v>
      </c>
      <c r="H1925" s="4" t="s">
        <v>1991</v>
      </c>
      <c r="K1925" s="4" t="s">
        <v>10231</v>
      </c>
      <c r="L1925" s="4" t="s">
        <v>10232</v>
      </c>
    </row>
    <row r="1926">
      <c r="A1926" s="55" t="s">
        <v>10233</v>
      </c>
      <c r="B1926" s="52" t="s">
        <v>5384</v>
      </c>
      <c r="C1926" s="56">
        <v>45835.5625</v>
      </c>
      <c r="D1926" s="57" t="s">
        <v>2147</v>
      </c>
      <c r="E1926" s="56">
        <v>45835.583333333336</v>
      </c>
      <c r="F1926" s="52" t="s">
        <v>8678</v>
      </c>
      <c r="G1926" s="4" t="s">
        <v>27</v>
      </c>
      <c r="H1926" s="4" t="s">
        <v>1987</v>
      </c>
      <c r="K1926" s="4" t="s">
        <v>10234</v>
      </c>
      <c r="L1926" s="4" t="s">
        <v>10235</v>
      </c>
    </row>
    <row r="1927">
      <c r="A1927" s="55" t="s">
        <v>10236</v>
      </c>
      <c r="B1927" s="52" t="s">
        <v>5384</v>
      </c>
      <c r="C1927" s="56">
        <v>45838.5625</v>
      </c>
      <c r="D1927" s="57" t="s">
        <v>2148</v>
      </c>
      <c r="E1927" s="56">
        <v>45838.729166666664</v>
      </c>
      <c r="F1927" s="52" t="s">
        <v>10237</v>
      </c>
      <c r="G1927" s="4" t="s">
        <v>135</v>
      </c>
      <c r="H1927" s="4" t="s">
        <v>1987</v>
      </c>
      <c r="K1927" s="4" t="s">
        <v>10238</v>
      </c>
      <c r="L1927" s="4"/>
    </row>
    <row r="1928">
      <c r="A1928" s="55" t="s">
        <v>10239</v>
      </c>
      <c r="B1928" s="52" t="s">
        <v>5656</v>
      </c>
      <c r="C1928" s="56">
        <v>45835.60208333333</v>
      </c>
      <c r="D1928" s="57" t="s">
        <v>6318</v>
      </c>
      <c r="E1928" s="56">
        <v>45835.62291666667</v>
      </c>
      <c r="F1928" s="52" t="s">
        <v>7424</v>
      </c>
      <c r="G1928" s="4" t="s">
        <v>27</v>
      </c>
      <c r="H1928" s="4" t="s">
        <v>1987</v>
      </c>
      <c r="K1928" s="4"/>
      <c r="L1928" s="4" t="s">
        <v>10240</v>
      </c>
    </row>
    <row r="1929">
      <c r="A1929" s="55" t="s">
        <v>10241</v>
      </c>
      <c r="B1929" s="52" t="s">
        <v>1540</v>
      </c>
      <c r="C1929" s="56">
        <v>45838.333333333336</v>
      </c>
      <c r="D1929" s="57" t="s">
        <v>6318</v>
      </c>
      <c r="E1929" s="56">
        <v>45838.354166666664</v>
      </c>
      <c r="F1929" s="52" t="s">
        <v>10242</v>
      </c>
      <c r="G1929" s="4" t="s">
        <v>110</v>
      </c>
      <c r="H1929" s="4" t="s">
        <v>1987</v>
      </c>
      <c r="K1929" s="4" t="s">
        <v>10243</v>
      </c>
      <c r="L1929" s="4"/>
    </row>
    <row r="1930">
      <c r="A1930" s="55" t="s">
        <v>10244</v>
      </c>
      <c r="B1930" s="52" t="s">
        <v>5628</v>
      </c>
      <c r="C1930" s="56">
        <v>45838.354166666664</v>
      </c>
      <c r="D1930" s="57" t="s">
        <v>2148</v>
      </c>
      <c r="E1930" s="56">
        <v>45838.541666666664</v>
      </c>
      <c r="F1930" s="52" t="s">
        <v>10245</v>
      </c>
      <c r="G1930" s="4" t="s">
        <v>110</v>
      </c>
      <c r="H1930" s="4" t="s">
        <v>1987</v>
      </c>
      <c r="K1930" s="4" t="s">
        <v>10246</v>
      </c>
      <c r="L1930" s="4"/>
    </row>
    <row r="1931">
      <c r="A1931" s="55" t="s">
        <v>10247</v>
      </c>
      <c r="B1931" s="52" t="s">
        <v>1597</v>
      </c>
      <c r="C1931" s="56">
        <v>45838.395833333336</v>
      </c>
      <c r="D1931" s="57" t="s">
        <v>2147</v>
      </c>
      <c r="E1931" s="56">
        <v>45838.4375</v>
      </c>
      <c r="F1931" s="52" t="s">
        <v>10248</v>
      </c>
      <c r="G1931" s="4" t="s">
        <v>27</v>
      </c>
      <c r="H1931" s="4" t="s">
        <v>1987</v>
      </c>
      <c r="K1931" s="4" t="s">
        <v>10249</v>
      </c>
      <c r="L1931" s="4"/>
    </row>
    <row r="1932">
      <c r="A1932" s="55" t="s">
        <v>10250</v>
      </c>
      <c r="B1932" s="52" t="s">
        <v>6216</v>
      </c>
      <c r="C1932" s="56">
        <v>45838.333333333336</v>
      </c>
      <c r="D1932" s="57" t="s">
        <v>6052</v>
      </c>
      <c r="E1932" s="56">
        <v>45838.541666666664</v>
      </c>
      <c r="F1932" s="52" t="s">
        <v>10251</v>
      </c>
      <c r="G1932" s="4" t="s">
        <v>1708</v>
      </c>
      <c r="H1932" s="4" t="s">
        <v>1987</v>
      </c>
      <c r="K1932" s="4" t="s">
        <v>10252</v>
      </c>
      <c r="L1932" s="4"/>
    </row>
    <row r="1933">
      <c r="A1933" s="55" t="s">
        <v>10253</v>
      </c>
      <c r="B1933" s="52" t="s">
        <v>6216</v>
      </c>
      <c r="C1933" s="56">
        <v>45839.333333333336</v>
      </c>
      <c r="D1933" s="57" t="s">
        <v>6052</v>
      </c>
      <c r="E1933" s="56">
        <v>45839.541666666664</v>
      </c>
      <c r="F1933" s="52" t="s">
        <v>10251</v>
      </c>
      <c r="G1933" s="4" t="s">
        <v>1708</v>
      </c>
      <c r="H1933" s="4" t="s">
        <v>1987</v>
      </c>
      <c r="K1933" s="4" t="s">
        <v>10254</v>
      </c>
      <c r="L1933" s="4"/>
    </row>
    <row r="1934">
      <c r="A1934" s="55" t="s">
        <v>10255</v>
      </c>
      <c r="B1934" s="52" t="s">
        <v>6216</v>
      </c>
      <c r="C1934" s="56">
        <v>45840.333333333336</v>
      </c>
      <c r="D1934" s="57" t="s">
        <v>6052</v>
      </c>
      <c r="E1934" s="56">
        <v>45840.541666666664</v>
      </c>
      <c r="F1934" s="52" t="s">
        <v>10251</v>
      </c>
      <c r="G1934" s="4" t="s">
        <v>1708</v>
      </c>
      <c r="H1934" s="4" t="s">
        <v>1987</v>
      </c>
      <c r="K1934" s="4" t="s">
        <v>10256</v>
      </c>
      <c r="L1934" s="4"/>
    </row>
    <row r="1935">
      <c r="A1935" s="55" t="s">
        <v>10257</v>
      </c>
      <c r="B1935" s="52" t="s">
        <v>6216</v>
      </c>
      <c r="C1935" s="56">
        <v>45841.333333333336</v>
      </c>
      <c r="D1935" s="57" t="s">
        <v>6052</v>
      </c>
      <c r="E1935" s="56">
        <v>45841.541666666664</v>
      </c>
      <c r="F1935" s="52" t="s">
        <v>10251</v>
      </c>
      <c r="G1935" s="4" t="s">
        <v>1708</v>
      </c>
      <c r="H1935" s="4" t="s">
        <v>1987</v>
      </c>
      <c r="K1935" s="4" t="s">
        <v>10258</v>
      </c>
      <c r="L1935" s="4" t="s">
        <v>10259</v>
      </c>
    </row>
    <row r="1936">
      <c r="A1936" s="55"/>
      <c r="B1936" s="52"/>
      <c r="C1936" s="56"/>
      <c r="D1936" s="61"/>
      <c r="E1936" s="56"/>
      <c r="F1936" s="52"/>
      <c r="G1936" s="4"/>
      <c r="H1936" s="4"/>
      <c r="K1936" s="4"/>
      <c r="L1936" s="4"/>
    </row>
    <row r="1937">
      <c r="A1937" s="55"/>
      <c r="B1937" s="52"/>
      <c r="C1937" s="56"/>
      <c r="D1937" s="61"/>
      <c r="E1937" s="56"/>
      <c r="F1937" s="52"/>
      <c r="G1937" s="4"/>
      <c r="H1937" s="4"/>
      <c r="K1937" s="4"/>
      <c r="L1937" s="4"/>
    </row>
    <row r="1938">
      <c r="A1938" s="55"/>
      <c r="B1938" s="52"/>
      <c r="C1938" s="56"/>
      <c r="D1938" s="61"/>
      <c r="E1938" s="56"/>
      <c r="F1938" s="52"/>
      <c r="G1938" s="4"/>
      <c r="H1938" s="4"/>
      <c r="K1938" s="4"/>
      <c r="L1938" s="4"/>
    </row>
    <row r="1939">
      <c r="A1939" s="55"/>
      <c r="B1939" s="52"/>
      <c r="C1939" s="56"/>
      <c r="D1939" s="61"/>
      <c r="E1939" s="56"/>
      <c r="F1939" s="52"/>
      <c r="G1939" s="4"/>
      <c r="H1939" s="4"/>
      <c r="K1939" s="4"/>
      <c r="L1939" s="4"/>
    </row>
    <row r="1940">
      <c r="A1940" s="55"/>
      <c r="B1940" s="52"/>
      <c r="C1940" s="56"/>
      <c r="D1940" s="61"/>
      <c r="E1940" s="56"/>
      <c r="F1940" s="52"/>
      <c r="G1940" s="4"/>
      <c r="H1940" s="4"/>
      <c r="K1940" s="4"/>
      <c r="L1940" s="4"/>
    </row>
    <row r="1941">
      <c r="A1941" s="55"/>
      <c r="B1941" s="52"/>
      <c r="C1941" s="56"/>
      <c r="D1941" s="61"/>
      <c r="E1941" s="56"/>
      <c r="F1941" s="52"/>
      <c r="G1941" s="4"/>
      <c r="H1941" s="4"/>
      <c r="K1941" s="4"/>
      <c r="L1941" s="4"/>
    </row>
    <row r="1942">
      <c r="A1942" s="55"/>
      <c r="B1942" s="52"/>
      <c r="C1942" s="56"/>
      <c r="D1942" s="61"/>
      <c r="E1942" s="56"/>
      <c r="F1942" s="52"/>
      <c r="G1942" s="4"/>
      <c r="H1942" s="4"/>
      <c r="K1942" s="4"/>
      <c r="L1942" s="4"/>
    </row>
    <row r="1943">
      <c r="A1943" s="55" t="s">
        <v>10260</v>
      </c>
      <c r="B1943" s="52" t="s">
        <v>5647</v>
      </c>
      <c r="C1943" s="56">
        <v>45848.333333333336</v>
      </c>
      <c r="D1943" s="57" t="s">
        <v>6052</v>
      </c>
      <c r="E1943" s="56">
        <v>45848.4375</v>
      </c>
      <c r="F1943" s="52" t="s">
        <v>9803</v>
      </c>
      <c r="G1943" s="4" t="s">
        <v>110</v>
      </c>
      <c r="H1943" s="4" t="s">
        <v>1987</v>
      </c>
      <c r="K1943" s="4" t="s">
        <v>10261</v>
      </c>
      <c r="L1943" s="4" t="s">
        <v>10262</v>
      </c>
    </row>
    <row r="1944">
      <c r="A1944" s="55"/>
      <c r="B1944" s="52"/>
      <c r="C1944" s="56"/>
      <c r="D1944" s="61"/>
      <c r="E1944" s="56"/>
      <c r="F1944" s="52"/>
      <c r="G1944" s="4"/>
      <c r="H1944" s="4"/>
      <c r="K1944" s="4"/>
      <c r="L1944" s="4"/>
    </row>
    <row r="1945">
      <c r="A1945" s="55"/>
      <c r="B1945" s="52"/>
      <c r="C1945" s="56"/>
      <c r="D1945" s="61"/>
      <c r="E1945" s="56"/>
      <c r="F1945" s="52"/>
      <c r="G1945" s="4"/>
      <c r="H1945" s="4"/>
      <c r="K1945" s="4"/>
      <c r="L1945" s="4"/>
    </row>
    <row r="1946">
      <c r="A1946" s="55" t="s">
        <v>10263</v>
      </c>
      <c r="B1946" s="52" t="s">
        <v>5628</v>
      </c>
      <c r="C1946" s="56">
        <v>45840.333333333336</v>
      </c>
      <c r="D1946" s="57" t="s">
        <v>2147</v>
      </c>
      <c r="E1946" s="56">
        <v>45840.375</v>
      </c>
      <c r="F1946" s="52" t="s">
        <v>10264</v>
      </c>
      <c r="G1946" s="4" t="s">
        <v>110</v>
      </c>
      <c r="H1946" s="4" t="s">
        <v>1987</v>
      </c>
      <c r="K1946" s="4" t="s">
        <v>10265</v>
      </c>
      <c r="L1946" s="4" t="s">
        <v>10266</v>
      </c>
    </row>
    <row r="1947">
      <c r="A1947" s="55" t="s">
        <v>10267</v>
      </c>
      <c r="B1947" s="52" t="s">
        <v>5628</v>
      </c>
      <c r="C1947" s="56">
        <v>45838.50833333333</v>
      </c>
      <c r="D1947" s="57" t="s">
        <v>2147</v>
      </c>
      <c r="E1947" s="56">
        <v>45838.55</v>
      </c>
      <c r="F1947" s="52" t="s">
        <v>10268</v>
      </c>
      <c r="G1947" s="4" t="s">
        <v>27</v>
      </c>
      <c r="H1947" s="4" t="s">
        <v>1987</v>
      </c>
      <c r="K1947" s="4" t="s">
        <v>10269</v>
      </c>
      <c r="L1947" s="4"/>
    </row>
    <row r="1948">
      <c r="A1948" s="55" t="s">
        <v>10270</v>
      </c>
      <c r="B1948" s="52" t="s">
        <v>5384</v>
      </c>
      <c r="C1948" s="56">
        <v>45839.645833333336</v>
      </c>
      <c r="D1948" s="57" t="s">
        <v>2148</v>
      </c>
      <c r="E1948" s="56">
        <v>45839.770833333336</v>
      </c>
      <c r="F1948" s="52" t="s">
        <v>10237</v>
      </c>
      <c r="G1948" s="4" t="s">
        <v>135</v>
      </c>
      <c r="H1948" s="4" t="s">
        <v>1987</v>
      </c>
      <c r="K1948" s="4" t="s">
        <v>10238</v>
      </c>
      <c r="L1948" s="4" t="s">
        <v>10271</v>
      </c>
    </row>
    <row r="1949">
      <c r="A1949" s="55"/>
      <c r="B1949" s="52"/>
      <c r="C1949" s="56"/>
      <c r="D1949" s="61"/>
      <c r="E1949" s="56"/>
      <c r="F1949" s="52"/>
      <c r="G1949" s="4"/>
      <c r="H1949" s="4"/>
      <c r="K1949" s="4"/>
      <c r="L1949" s="4"/>
    </row>
    <row r="1950">
      <c r="A1950" s="55"/>
      <c r="B1950" s="52"/>
      <c r="C1950" s="56"/>
      <c r="D1950" s="61"/>
      <c r="E1950" s="56"/>
      <c r="F1950" s="52"/>
      <c r="G1950" s="4"/>
      <c r="H1950" s="4"/>
      <c r="K1950" s="4"/>
      <c r="L1950" s="4"/>
    </row>
    <row r="1951">
      <c r="A1951" s="55" t="s">
        <v>10272</v>
      </c>
      <c r="B1951" s="52" t="s">
        <v>5619</v>
      </c>
      <c r="C1951" s="56">
        <v>45840.552083333336</v>
      </c>
      <c r="D1951" s="57" t="s">
        <v>2200</v>
      </c>
      <c r="E1951" s="56">
        <v>45840.645833333336</v>
      </c>
      <c r="F1951" s="52" t="s">
        <v>10273</v>
      </c>
      <c r="G1951" s="4" t="s">
        <v>135</v>
      </c>
      <c r="H1951" s="4" t="s">
        <v>1987</v>
      </c>
      <c r="K1951" s="4" t="s">
        <v>10274</v>
      </c>
      <c r="L1951" s="4" t="s">
        <v>10275</v>
      </c>
    </row>
    <row r="1952">
      <c r="A1952" s="55" t="s">
        <v>10276</v>
      </c>
      <c r="B1952" s="52" t="s">
        <v>5678</v>
      </c>
      <c r="C1952" s="56">
        <v>45842.552083333336</v>
      </c>
      <c r="D1952" s="57" t="s">
        <v>2154</v>
      </c>
      <c r="E1952" s="56">
        <v>45842.770833333336</v>
      </c>
      <c r="F1952" s="52" t="s">
        <v>10277</v>
      </c>
      <c r="G1952" s="4" t="s">
        <v>135</v>
      </c>
      <c r="H1952" s="4" t="s">
        <v>1987</v>
      </c>
      <c r="K1952" s="4" t="s">
        <v>10278</v>
      </c>
      <c r="L1952" s="4" t="s">
        <v>10279</v>
      </c>
    </row>
    <row r="1953">
      <c r="A1953" s="55"/>
      <c r="B1953" s="52"/>
      <c r="C1953" s="56"/>
      <c r="D1953" s="61"/>
      <c r="E1953" s="56"/>
      <c r="F1953" s="52"/>
      <c r="G1953" s="4"/>
      <c r="H1953" s="4"/>
      <c r="K1953" s="4"/>
      <c r="L1953" s="4"/>
    </row>
    <row r="1954">
      <c r="A1954" s="55" t="s">
        <v>10280</v>
      </c>
      <c r="B1954" s="52" t="s">
        <v>5384</v>
      </c>
      <c r="C1954" s="56">
        <v>45838.5625</v>
      </c>
      <c r="D1954" s="57" t="s">
        <v>2147</v>
      </c>
      <c r="E1954" s="56">
        <v>45838.59375</v>
      </c>
      <c r="F1954" s="52" t="s">
        <v>10281</v>
      </c>
      <c r="G1954" s="4" t="s">
        <v>27</v>
      </c>
      <c r="H1954" s="4" t="s">
        <v>1987</v>
      </c>
      <c r="K1954" s="4"/>
      <c r="L1954" s="4" t="s">
        <v>10282</v>
      </c>
    </row>
    <row r="1955">
      <c r="A1955" s="55" t="s">
        <v>10283</v>
      </c>
      <c r="B1955" s="52" t="s">
        <v>5628</v>
      </c>
      <c r="C1955" s="56">
        <v>45839.4375</v>
      </c>
      <c r="D1955" s="57" t="s">
        <v>2200</v>
      </c>
      <c r="E1955" s="56">
        <v>45839.541666666664</v>
      </c>
      <c r="F1955" s="52" t="s">
        <v>10211</v>
      </c>
      <c r="G1955" s="4" t="s">
        <v>110</v>
      </c>
      <c r="H1955" s="4" t="s">
        <v>1987</v>
      </c>
      <c r="K1955" s="4" t="s">
        <v>10284</v>
      </c>
      <c r="L1955" s="4"/>
    </row>
    <row r="1956">
      <c r="A1956" s="55" t="s">
        <v>10285</v>
      </c>
      <c r="B1956" s="52" t="s">
        <v>6057</v>
      </c>
      <c r="C1956" s="56">
        <v>45839.552083333336</v>
      </c>
      <c r="D1956" s="57" t="s">
        <v>2154</v>
      </c>
      <c r="E1956" s="56">
        <v>45839.645833333336</v>
      </c>
      <c r="F1956" s="52" t="s">
        <v>10286</v>
      </c>
      <c r="G1956" s="4" t="s">
        <v>135</v>
      </c>
      <c r="H1956" s="4" t="s">
        <v>1987</v>
      </c>
      <c r="K1956" s="4" t="s">
        <v>10287</v>
      </c>
      <c r="L1956" s="4" t="s">
        <v>10288</v>
      </c>
    </row>
    <row r="1957">
      <c r="A1957" s="55" t="s">
        <v>10289</v>
      </c>
      <c r="B1957" s="52" t="s">
        <v>5384</v>
      </c>
      <c r="C1957" s="56">
        <v>45840.645833333336</v>
      </c>
      <c r="D1957" s="57" t="s">
        <v>2154</v>
      </c>
      <c r="E1957" s="56">
        <v>45840.770833333336</v>
      </c>
      <c r="F1957" s="52" t="s">
        <v>10237</v>
      </c>
      <c r="G1957" s="4" t="s">
        <v>135</v>
      </c>
      <c r="H1957" s="4" t="s">
        <v>1987</v>
      </c>
      <c r="K1957" s="4" t="s">
        <v>10238</v>
      </c>
      <c r="L1957" s="4" t="s">
        <v>10290</v>
      </c>
    </row>
    <row r="1958">
      <c r="A1958" s="55" t="s">
        <v>10291</v>
      </c>
      <c r="B1958" s="52" t="s">
        <v>5675</v>
      </c>
      <c r="C1958" s="56">
        <v>45840.395833333336</v>
      </c>
      <c r="D1958" s="57" t="s">
        <v>6318</v>
      </c>
      <c r="E1958" s="56">
        <v>45840.427083333336</v>
      </c>
      <c r="F1958" s="52" t="s">
        <v>10292</v>
      </c>
      <c r="G1958" s="4" t="s">
        <v>110</v>
      </c>
      <c r="H1958" s="4" t="s">
        <v>1987</v>
      </c>
      <c r="K1958" s="4" t="s">
        <v>10293</v>
      </c>
      <c r="L1958" s="4" t="s">
        <v>10294</v>
      </c>
    </row>
    <row r="1959">
      <c r="A1959" s="55" t="s">
        <v>10295</v>
      </c>
      <c r="B1959" s="52" t="s">
        <v>5628</v>
      </c>
      <c r="C1959" s="56">
        <v>45840.427083333336</v>
      </c>
      <c r="D1959" s="57" t="s">
        <v>2200</v>
      </c>
      <c r="E1959" s="56">
        <v>45840.541666666664</v>
      </c>
      <c r="F1959" s="52" t="s">
        <v>10211</v>
      </c>
      <c r="G1959" s="4" t="s">
        <v>110</v>
      </c>
      <c r="H1959" s="4" t="s">
        <v>1987</v>
      </c>
      <c r="K1959" s="4" t="s">
        <v>10284</v>
      </c>
      <c r="L1959" s="4" t="s">
        <v>10296</v>
      </c>
    </row>
    <row r="1960">
      <c r="A1960" s="55" t="s">
        <v>10297</v>
      </c>
      <c r="B1960" s="52" t="s">
        <v>5656</v>
      </c>
      <c r="C1960" s="56">
        <v>45840.520833333336</v>
      </c>
      <c r="D1960" s="57" t="s">
        <v>6052</v>
      </c>
      <c r="E1960" s="56">
        <v>45840.666666666664</v>
      </c>
      <c r="F1960" s="52" t="s">
        <v>8290</v>
      </c>
      <c r="G1960" s="4" t="s">
        <v>27</v>
      </c>
      <c r="H1960" s="4" t="s">
        <v>1987</v>
      </c>
      <c r="K1960" s="4" t="s">
        <v>10298</v>
      </c>
      <c r="L1960" s="4" t="s">
        <v>10299</v>
      </c>
    </row>
    <row r="1961">
      <c r="A1961" s="55" t="s">
        <v>10300</v>
      </c>
      <c r="B1961" s="52" t="s">
        <v>5656</v>
      </c>
      <c r="C1961" s="56">
        <v>45841.5</v>
      </c>
      <c r="D1961" s="57" t="s">
        <v>2147</v>
      </c>
      <c r="E1961" s="56">
        <v>45841.541666666664</v>
      </c>
      <c r="F1961" s="52" t="s">
        <v>10301</v>
      </c>
      <c r="G1961" s="4" t="s">
        <v>27</v>
      </c>
      <c r="H1961" s="4" t="s">
        <v>1991</v>
      </c>
      <c r="K1961" s="4" t="s">
        <v>10302</v>
      </c>
      <c r="L1961" s="4"/>
    </row>
    <row r="1962">
      <c r="A1962" s="55" t="s">
        <v>10303</v>
      </c>
      <c r="B1962" s="52" t="s">
        <v>1617</v>
      </c>
      <c r="C1962" s="56">
        <v>45846.5625</v>
      </c>
      <c r="D1962" s="57" t="s">
        <v>2147</v>
      </c>
      <c r="E1962" s="56">
        <v>45846.625</v>
      </c>
      <c r="F1962" s="52" t="s">
        <v>10304</v>
      </c>
      <c r="G1962" s="4" t="s">
        <v>27</v>
      </c>
      <c r="H1962" s="4" t="s">
        <v>1991</v>
      </c>
      <c r="K1962" s="4" t="s">
        <v>10305</v>
      </c>
      <c r="L1962" s="4" t="s">
        <v>10306</v>
      </c>
    </row>
    <row r="1963">
      <c r="A1963" s="55" t="s">
        <v>10307</v>
      </c>
      <c r="B1963" s="52" t="s">
        <v>1597</v>
      </c>
      <c r="C1963" s="56">
        <v>45842.395833333336</v>
      </c>
      <c r="D1963" s="57" t="s">
        <v>2147</v>
      </c>
      <c r="E1963" s="56">
        <v>45842.4375</v>
      </c>
      <c r="F1963" s="52" t="s">
        <v>10308</v>
      </c>
      <c r="G1963" s="4" t="s">
        <v>27</v>
      </c>
      <c r="H1963" s="4" t="s">
        <v>1991</v>
      </c>
      <c r="K1963" s="4" t="s">
        <v>10309</v>
      </c>
      <c r="L1963" s="4"/>
    </row>
    <row r="1964">
      <c r="A1964" s="55" t="s">
        <v>10310</v>
      </c>
      <c r="B1964" s="52" t="s">
        <v>5647</v>
      </c>
      <c r="C1964" s="56">
        <v>45849.416666666664</v>
      </c>
      <c r="D1964" s="57" t="s">
        <v>2147</v>
      </c>
      <c r="E1964" s="56">
        <v>45849.458333333336</v>
      </c>
      <c r="F1964" s="52" t="s">
        <v>10311</v>
      </c>
      <c r="G1964" s="4" t="s">
        <v>27</v>
      </c>
      <c r="H1964" s="4" t="s">
        <v>1991</v>
      </c>
      <c r="K1964" s="4" t="s">
        <v>10312</v>
      </c>
      <c r="L1964" s="4"/>
    </row>
    <row r="1965">
      <c r="A1965" s="55" t="s">
        <v>10313</v>
      </c>
      <c r="B1965" s="52" t="s">
        <v>5619</v>
      </c>
      <c r="C1965" s="56">
        <v>45841.625</v>
      </c>
      <c r="D1965" s="57" t="s">
        <v>6318</v>
      </c>
      <c r="E1965" s="56">
        <v>45841.770833333336</v>
      </c>
      <c r="F1965" s="52" t="s">
        <v>10314</v>
      </c>
      <c r="G1965" s="4" t="s">
        <v>135</v>
      </c>
      <c r="H1965" s="4" t="s">
        <v>1991</v>
      </c>
      <c r="K1965" s="4" t="s">
        <v>10315</v>
      </c>
      <c r="L1965" s="4" t="s">
        <v>10316</v>
      </c>
    </row>
    <row r="1966">
      <c r="A1966" s="55" t="s">
        <v>10317</v>
      </c>
      <c r="B1966" s="52" t="s">
        <v>5628</v>
      </c>
      <c r="C1966" s="56">
        <v>45841.333333333336</v>
      </c>
      <c r="D1966" s="57" t="s">
        <v>6052</v>
      </c>
      <c r="E1966" s="56">
        <v>45841.541666666664</v>
      </c>
      <c r="F1966" s="52" t="s">
        <v>10318</v>
      </c>
      <c r="G1966" s="4" t="s">
        <v>110</v>
      </c>
      <c r="H1966" s="4" t="s">
        <v>1987</v>
      </c>
      <c r="K1966" s="4" t="s">
        <v>10284</v>
      </c>
      <c r="L1966" s="4" t="s">
        <v>10319</v>
      </c>
    </row>
    <row r="1967">
      <c r="A1967" s="68" t="s">
        <v>10320</v>
      </c>
      <c r="B1967" s="69" t="s">
        <v>5675</v>
      </c>
      <c r="C1967" s="70">
        <v>45839.0</v>
      </c>
      <c r="D1967" s="71"/>
      <c r="E1967" s="70">
        <v>45839.083333333336</v>
      </c>
      <c r="F1967" s="69" t="s">
        <v>10321</v>
      </c>
      <c r="G1967" s="72" t="s">
        <v>5795</v>
      </c>
      <c r="H1967" s="4"/>
      <c r="K1967" s="4"/>
      <c r="L1967" s="4"/>
    </row>
    <row r="1968">
      <c r="A1968" s="68" t="s">
        <v>10322</v>
      </c>
      <c r="B1968" s="69" t="s">
        <v>5384</v>
      </c>
      <c r="C1968" s="70">
        <v>45839.0</v>
      </c>
      <c r="D1968" s="71"/>
      <c r="E1968" s="70">
        <v>45839.166666666664</v>
      </c>
      <c r="F1968" s="69" t="s">
        <v>10321</v>
      </c>
      <c r="G1968" s="72" t="s">
        <v>5795</v>
      </c>
      <c r="H1968" s="4"/>
      <c r="K1968" s="4"/>
      <c r="L1968" s="4"/>
    </row>
    <row r="1969">
      <c r="A1969" s="68" t="s">
        <v>10323</v>
      </c>
      <c r="B1969" s="69" t="s">
        <v>5598</v>
      </c>
      <c r="C1969" s="70">
        <v>45839.0</v>
      </c>
      <c r="D1969" s="71"/>
      <c r="E1969" s="70">
        <v>45839.333333333336</v>
      </c>
      <c r="F1969" s="69" t="s">
        <v>10321</v>
      </c>
      <c r="G1969" s="72" t="s">
        <v>5795</v>
      </c>
      <c r="H1969" s="4"/>
      <c r="K1969" s="4"/>
      <c r="L1969" s="4"/>
    </row>
    <row r="1970">
      <c r="A1970" s="68" t="s">
        <v>10324</v>
      </c>
      <c r="B1970" s="69" t="s">
        <v>5537</v>
      </c>
      <c r="C1970" s="70">
        <v>45839.0</v>
      </c>
      <c r="D1970" s="71"/>
      <c r="E1970" s="70">
        <v>45839.083333333336</v>
      </c>
      <c r="F1970" s="69" t="s">
        <v>10321</v>
      </c>
      <c r="G1970" s="72" t="s">
        <v>5795</v>
      </c>
      <c r="H1970" s="4"/>
      <c r="K1970" s="4"/>
      <c r="L1970" s="4"/>
    </row>
    <row r="1971">
      <c r="A1971" s="68" t="s">
        <v>10325</v>
      </c>
      <c r="B1971" s="69" t="s">
        <v>5619</v>
      </c>
      <c r="C1971" s="70">
        <v>45839.0</v>
      </c>
      <c r="D1971" s="71"/>
      <c r="E1971" s="70">
        <v>45839.083333333336</v>
      </c>
      <c r="F1971" s="69" t="s">
        <v>10321</v>
      </c>
      <c r="G1971" s="72" t="s">
        <v>5795</v>
      </c>
      <c r="H1971" s="4"/>
      <c r="K1971" s="4"/>
      <c r="L1971" s="4"/>
    </row>
    <row r="1972">
      <c r="A1972" s="68" t="s">
        <v>10326</v>
      </c>
      <c r="B1972" s="69" t="s">
        <v>5656</v>
      </c>
      <c r="C1972" s="73">
        <v>45839.0</v>
      </c>
      <c r="D1972" s="74"/>
      <c r="E1972" s="75">
        <v>45839.5</v>
      </c>
      <c r="F1972" s="69" t="s">
        <v>10321</v>
      </c>
      <c r="G1972" s="72" t="s">
        <v>5795</v>
      </c>
      <c r="H1972" s="4"/>
      <c r="K1972" s="4"/>
      <c r="L1972" s="4"/>
    </row>
    <row r="1973">
      <c r="A1973" s="68" t="s">
        <v>10327</v>
      </c>
      <c r="B1973" s="69" t="s">
        <v>1540</v>
      </c>
      <c r="C1973" s="73">
        <v>45839.0</v>
      </c>
      <c r="D1973" s="74"/>
      <c r="E1973" s="75">
        <v>45839.041666666664</v>
      </c>
      <c r="F1973" s="69" t="s">
        <v>10321</v>
      </c>
      <c r="G1973" s="72" t="s">
        <v>5795</v>
      </c>
      <c r="H1973" s="4"/>
      <c r="K1973" s="4"/>
      <c r="L1973" s="4"/>
    </row>
    <row r="1974">
      <c r="A1974" s="55" t="s">
        <v>10328</v>
      </c>
      <c r="B1974" s="52" t="s">
        <v>5384</v>
      </c>
      <c r="C1974" s="56">
        <v>45841.552083333336</v>
      </c>
      <c r="D1974" s="57" t="s">
        <v>2154</v>
      </c>
      <c r="E1974" s="56">
        <v>45841.625</v>
      </c>
      <c r="F1974" s="52" t="s">
        <v>10237</v>
      </c>
      <c r="G1974" s="4" t="s">
        <v>135</v>
      </c>
      <c r="H1974" s="4" t="s">
        <v>1987</v>
      </c>
      <c r="K1974" s="4" t="s">
        <v>10329</v>
      </c>
      <c r="L1974" s="4" t="s">
        <v>10330</v>
      </c>
    </row>
    <row r="1975">
      <c r="A1975" s="55" t="s">
        <v>10331</v>
      </c>
      <c r="B1975" s="52" t="s">
        <v>5678</v>
      </c>
      <c r="C1975" s="56">
        <v>45846.625</v>
      </c>
      <c r="D1975" s="57" t="s">
        <v>2200</v>
      </c>
      <c r="E1975" s="56">
        <v>45846.770833333336</v>
      </c>
      <c r="F1975" s="52" t="s">
        <v>10277</v>
      </c>
      <c r="G1975" s="4" t="s">
        <v>135</v>
      </c>
      <c r="H1975" s="4" t="s">
        <v>1987</v>
      </c>
      <c r="K1975" s="4" t="s">
        <v>10278</v>
      </c>
      <c r="L1975" s="4" t="s">
        <v>10332</v>
      </c>
    </row>
    <row r="1976">
      <c r="A1976" s="55" t="s">
        <v>10333</v>
      </c>
      <c r="B1976" s="52" t="s">
        <v>8165</v>
      </c>
      <c r="C1976" s="56">
        <v>45845.583333333336</v>
      </c>
      <c r="D1976" s="57" t="s">
        <v>2148</v>
      </c>
      <c r="E1976" s="56">
        <v>45845.770833333336</v>
      </c>
      <c r="F1976" s="52" t="s">
        <v>10277</v>
      </c>
      <c r="G1976" s="4" t="s">
        <v>135</v>
      </c>
      <c r="H1976" s="4" t="s">
        <v>1987</v>
      </c>
      <c r="K1976" s="4" t="s">
        <v>10278</v>
      </c>
      <c r="L1976" s="4" t="s">
        <v>10334</v>
      </c>
    </row>
    <row r="1977">
      <c r="A1977" s="55" t="s">
        <v>10335</v>
      </c>
      <c r="B1977" s="52" t="s">
        <v>5647</v>
      </c>
      <c r="C1977" s="56">
        <v>45842.364583333336</v>
      </c>
      <c r="D1977" s="57" t="s">
        <v>2148</v>
      </c>
      <c r="E1977" s="56">
        <v>45842.541666666664</v>
      </c>
      <c r="F1977" s="52" t="s">
        <v>5647</v>
      </c>
      <c r="G1977" s="4" t="s">
        <v>110</v>
      </c>
      <c r="H1977" s="4" t="s">
        <v>1987</v>
      </c>
      <c r="K1977" s="4" t="s">
        <v>10336</v>
      </c>
      <c r="L1977" s="4" t="s">
        <v>10337</v>
      </c>
    </row>
    <row r="1978">
      <c r="A1978" s="55" t="s">
        <v>10338</v>
      </c>
      <c r="B1978" s="52" t="s">
        <v>5647</v>
      </c>
      <c r="C1978" s="56">
        <v>45845.333333333336</v>
      </c>
      <c r="D1978" s="57" t="s">
        <v>6052</v>
      </c>
      <c r="E1978" s="56">
        <v>45845.4375</v>
      </c>
      <c r="F1978" s="52" t="s">
        <v>5647</v>
      </c>
      <c r="G1978" s="4" t="s">
        <v>110</v>
      </c>
      <c r="H1978" s="4" t="s">
        <v>1987</v>
      </c>
      <c r="K1978" s="4" t="s">
        <v>10339</v>
      </c>
      <c r="L1978" s="4" t="s">
        <v>10340</v>
      </c>
    </row>
    <row r="1979">
      <c r="A1979" s="55" t="s">
        <v>10341</v>
      </c>
      <c r="B1979" s="52" t="s">
        <v>5647</v>
      </c>
      <c r="C1979" s="56">
        <v>45846.333333333336</v>
      </c>
      <c r="D1979" s="57" t="s">
        <v>6052</v>
      </c>
      <c r="E1979" s="56">
        <v>45846.4375</v>
      </c>
      <c r="F1979" s="52" t="s">
        <v>5647</v>
      </c>
      <c r="G1979" s="4" t="s">
        <v>110</v>
      </c>
      <c r="H1979" s="4" t="s">
        <v>1987</v>
      </c>
      <c r="K1979" s="4" t="s">
        <v>10342</v>
      </c>
      <c r="L1979" s="4" t="s">
        <v>10343</v>
      </c>
    </row>
    <row r="1980">
      <c r="A1980" s="55" t="s">
        <v>10344</v>
      </c>
      <c r="B1980" s="52" t="s">
        <v>5628</v>
      </c>
      <c r="C1980" s="56">
        <v>45842.333333333336</v>
      </c>
      <c r="D1980" s="57" t="s">
        <v>2147</v>
      </c>
      <c r="E1980" s="56">
        <v>45842.364583333336</v>
      </c>
      <c r="F1980" s="52" t="s">
        <v>10345</v>
      </c>
      <c r="G1980" s="4" t="s">
        <v>110</v>
      </c>
      <c r="H1980" s="4" t="s">
        <v>1987</v>
      </c>
      <c r="K1980" s="4" t="s">
        <v>10284</v>
      </c>
      <c r="L1980" s="4" t="s">
        <v>10346</v>
      </c>
    </row>
    <row r="1981">
      <c r="A1981" s="55" t="s">
        <v>10347</v>
      </c>
      <c r="B1981" s="52" t="s">
        <v>6216</v>
      </c>
      <c r="C1981" s="56">
        <v>45842.5625</v>
      </c>
      <c r="D1981" s="57" t="s">
        <v>2154</v>
      </c>
      <c r="E1981" s="56">
        <v>45842.6875</v>
      </c>
      <c r="F1981" s="52" t="s">
        <v>10251</v>
      </c>
      <c r="G1981" s="4" t="s">
        <v>1708</v>
      </c>
      <c r="H1981" s="4" t="s">
        <v>1987</v>
      </c>
      <c r="K1981" s="4" t="s">
        <v>10348</v>
      </c>
      <c r="L1981" s="4" t="s">
        <v>10259</v>
      </c>
    </row>
    <row r="1982">
      <c r="A1982" s="55" t="s">
        <v>10349</v>
      </c>
      <c r="B1982" s="52" t="s">
        <v>1611</v>
      </c>
      <c r="C1982" s="56">
        <v>45842.6875</v>
      </c>
      <c r="D1982" s="57" t="s">
        <v>2154</v>
      </c>
      <c r="E1982" s="56">
        <v>45842.770833333336</v>
      </c>
      <c r="F1982" s="52" t="s">
        <v>1611</v>
      </c>
      <c r="G1982" s="4" t="s">
        <v>1708</v>
      </c>
      <c r="H1982" s="4" t="s">
        <v>1987</v>
      </c>
      <c r="K1982" s="4" t="s">
        <v>10350</v>
      </c>
      <c r="L1982" s="4"/>
    </row>
    <row r="1983">
      <c r="A1983" s="55" t="s">
        <v>10351</v>
      </c>
      <c r="B1983" s="52" t="s">
        <v>1611</v>
      </c>
      <c r="C1983" s="56">
        <v>45845.333333333336</v>
      </c>
      <c r="D1983" s="57" t="s">
        <v>2154</v>
      </c>
      <c r="E1983" s="56">
        <v>45845.541666666664</v>
      </c>
      <c r="F1983" s="52" t="s">
        <v>1611</v>
      </c>
      <c r="G1983" s="4" t="s">
        <v>1708</v>
      </c>
      <c r="H1983" s="4" t="s">
        <v>1987</v>
      </c>
      <c r="K1983" s="4" t="s">
        <v>10352</v>
      </c>
      <c r="L1983" s="4" t="s">
        <v>10353</v>
      </c>
    </row>
    <row r="1984">
      <c r="A1984" s="55" t="s">
        <v>10354</v>
      </c>
      <c r="B1984" s="52" t="s">
        <v>1611</v>
      </c>
      <c r="C1984" s="56">
        <v>45846.333333333336</v>
      </c>
      <c r="D1984" s="57" t="s">
        <v>6052</v>
      </c>
      <c r="E1984" s="56">
        <v>45846.541666666664</v>
      </c>
      <c r="F1984" s="52" t="s">
        <v>1611</v>
      </c>
      <c r="G1984" s="4" t="s">
        <v>1708</v>
      </c>
      <c r="H1984" s="4" t="s">
        <v>1987</v>
      </c>
      <c r="K1984" s="4" t="s">
        <v>10355</v>
      </c>
      <c r="L1984" s="4" t="s">
        <v>10356</v>
      </c>
    </row>
    <row r="1985">
      <c r="A1985" s="55"/>
      <c r="B1985" s="52"/>
      <c r="C1985" s="56"/>
      <c r="D1985" s="61"/>
      <c r="E1985" s="56"/>
      <c r="F1985" s="52"/>
      <c r="G1985" s="4"/>
      <c r="H1985" s="4"/>
      <c r="K1985" s="4"/>
      <c r="L1985" s="4"/>
    </row>
    <row r="1986">
      <c r="A1986" s="55" t="s">
        <v>10357</v>
      </c>
      <c r="B1986" s="52" t="s">
        <v>1611</v>
      </c>
      <c r="C1986" s="56">
        <v>45848.333333333336</v>
      </c>
      <c r="D1986" s="57" t="s">
        <v>2154</v>
      </c>
      <c r="E1986" s="56">
        <v>45848.541666666664</v>
      </c>
      <c r="F1986" s="52" t="s">
        <v>1611</v>
      </c>
      <c r="G1986" s="4" t="s">
        <v>1708</v>
      </c>
      <c r="H1986" s="4" t="s">
        <v>1987</v>
      </c>
      <c r="K1986" s="4" t="s">
        <v>10358</v>
      </c>
      <c r="L1986" s="4" t="s">
        <v>10359</v>
      </c>
    </row>
    <row r="1987">
      <c r="A1987" s="55" t="s">
        <v>10360</v>
      </c>
      <c r="B1987" s="52" t="s">
        <v>5647</v>
      </c>
      <c r="C1987" s="56">
        <v>45849.416666666664</v>
      </c>
      <c r="D1987" s="57" t="s">
        <v>2147</v>
      </c>
      <c r="E1987" s="56">
        <v>45849.458333333336</v>
      </c>
      <c r="F1987" s="52" t="s">
        <v>10311</v>
      </c>
      <c r="G1987" s="4" t="s">
        <v>110</v>
      </c>
      <c r="H1987" s="4" t="s">
        <v>1991</v>
      </c>
      <c r="K1987" s="4" t="s">
        <v>10361</v>
      </c>
      <c r="L1987" s="4" t="s">
        <v>10362</v>
      </c>
    </row>
    <row r="1988">
      <c r="A1988" s="55" t="s">
        <v>10363</v>
      </c>
      <c r="B1988" s="52" t="s">
        <v>5678</v>
      </c>
      <c r="C1988" s="56">
        <v>45849.5625</v>
      </c>
      <c r="D1988" s="57" t="s">
        <v>2147</v>
      </c>
      <c r="E1988" s="56">
        <v>45849.770833333336</v>
      </c>
      <c r="F1988" s="52" t="s">
        <v>7812</v>
      </c>
      <c r="G1988" s="4" t="s">
        <v>135</v>
      </c>
      <c r="H1988" s="4" t="s">
        <v>1991</v>
      </c>
      <c r="K1988" s="4" t="s">
        <v>10364</v>
      </c>
      <c r="L1988" s="4" t="s">
        <v>10365</v>
      </c>
    </row>
    <row r="1989">
      <c r="A1989" s="55" t="s">
        <v>10366</v>
      </c>
      <c r="B1989" s="52" t="s">
        <v>5656</v>
      </c>
      <c r="C1989" s="56">
        <v>45846.458333333336</v>
      </c>
      <c r="D1989" s="57" t="s">
        <v>2154</v>
      </c>
      <c r="E1989" s="56">
        <v>45846.541666666664</v>
      </c>
      <c r="F1989" s="52" t="s">
        <v>10367</v>
      </c>
      <c r="G1989" s="4" t="s">
        <v>27</v>
      </c>
      <c r="H1989" s="4" t="s">
        <v>1987</v>
      </c>
      <c r="K1989" s="4" t="s">
        <v>10368</v>
      </c>
      <c r="L1989" s="4"/>
    </row>
    <row r="1990">
      <c r="A1990" s="55" t="s">
        <v>10369</v>
      </c>
      <c r="B1990" s="52" t="s">
        <v>1611</v>
      </c>
      <c r="C1990" s="56">
        <v>45849.333333333336</v>
      </c>
      <c r="D1990" s="57" t="s">
        <v>2154</v>
      </c>
      <c r="E1990" s="56">
        <v>45849.541666666664</v>
      </c>
      <c r="F1990" s="52" t="s">
        <v>10370</v>
      </c>
      <c r="G1990" s="4" t="s">
        <v>1708</v>
      </c>
      <c r="H1990" s="4" t="s">
        <v>1987</v>
      </c>
      <c r="K1990" s="4"/>
      <c r="L1990" s="4" t="s">
        <v>10371</v>
      </c>
    </row>
    <row r="1991">
      <c r="A1991" s="55" t="s">
        <v>10372</v>
      </c>
      <c r="B1991" s="52" t="s">
        <v>1617</v>
      </c>
      <c r="C1991" s="56">
        <v>45846.5625</v>
      </c>
      <c r="D1991" s="57" t="s">
        <v>2147</v>
      </c>
      <c r="E1991" s="56">
        <v>45846.625</v>
      </c>
      <c r="F1991" s="52" t="s">
        <v>10373</v>
      </c>
      <c r="G1991" s="4" t="s">
        <v>135</v>
      </c>
      <c r="H1991" s="4" t="s">
        <v>1987</v>
      </c>
      <c r="K1991" s="4" t="s">
        <v>10374</v>
      </c>
      <c r="L1991" s="4"/>
    </row>
    <row r="1992">
      <c r="A1992" s="55" t="s">
        <v>10375</v>
      </c>
      <c r="B1992" s="52" t="s">
        <v>5619</v>
      </c>
      <c r="C1992" s="56">
        <v>45848.5625</v>
      </c>
      <c r="D1992" s="57" t="s">
        <v>6052</v>
      </c>
      <c r="E1992" s="56">
        <v>45848.770833333336</v>
      </c>
      <c r="F1992" s="52" t="s">
        <v>10376</v>
      </c>
      <c r="G1992" s="4" t="s">
        <v>135</v>
      </c>
      <c r="H1992" s="4" t="s">
        <v>1987</v>
      </c>
      <c r="K1992" s="4" t="s">
        <v>10377</v>
      </c>
      <c r="L1992" s="4"/>
    </row>
    <row r="1993">
      <c r="A1993" s="55"/>
      <c r="B1993" s="52"/>
      <c r="C1993" s="56"/>
      <c r="D1993" s="61"/>
      <c r="E1993" s="56"/>
      <c r="F1993" s="52"/>
      <c r="G1993" s="4"/>
      <c r="H1993" s="4"/>
      <c r="K1993" s="4"/>
      <c r="L1993" s="4"/>
    </row>
    <row r="1994">
      <c r="A1994" s="66" t="s">
        <v>10378</v>
      </c>
      <c r="B1994" s="52" t="s">
        <v>5598</v>
      </c>
      <c r="C1994" s="56">
        <v>45852.645833333336</v>
      </c>
      <c r="D1994" s="61"/>
      <c r="E1994" s="56">
        <v>45852.770833333336</v>
      </c>
      <c r="F1994" s="52" t="s">
        <v>10379</v>
      </c>
      <c r="G1994" s="4" t="s">
        <v>135</v>
      </c>
      <c r="H1994" s="4" t="s">
        <v>1987</v>
      </c>
      <c r="K1994" s="4" t="s">
        <v>10380</v>
      </c>
      <c r="L1994" s="4" t="s">
        <v>10381</v>
      </c>
    </row>
    <row r="1995">
      <c r="A1995" s="55" t="s">
        <v>10382</v>
      </c>
      <c r="B1995" s="52" t="s">
        <v>5598</v>
      </c>
      <c r="C1995" s="56">
        <v>45853.5625</v>
      </c>
      <c r="D1995" s="61"/>
      <c r="E1995" s="56">
        <v>45853.770833333336</v>
      </c>
      <c r="F1995" s="52" t="s">
        <v>10379</v>
      </c>
      <c r="G1995" s="4" t="s">
        <v>135</v>
      </c>
      <c r="H1995" s="4" t="s">
        <v>1987</v>
      </c>
      <c r="K1995" s="4" t="s">
        <v>10383</v>
      </c>
      <c r="L1995" s="4"/>
    </row>
    <row r="1996">
      <c r="A1996" s="55" t="s">
        <v>10384</v>
      </c>
      <c r="B1996" s="52" t="s">
        <v>5598</v>
      </c>
      <c r="C1996" s="56">
        <v>45854.5625</v>
      </c>
      <c r="D1996" s="61"/>
      <c r="E1996" s="56">
        <v>45854.770833333336</v>
      </c>
      <c r="F1996" s="52" t="s">
        <v>10379</v>
      </c>
      <c r="G1996" s="4" t="s">
        <v>135</v>
      </c>
      <c r="H1996" s="4" t="s">
        <v>1987</v>
      </c>
      <c r="K1996" s="4" t="s">
        <v>10385</v>
      </c>
      <c r="L1996" s="4"/>
    </row>
    <row r="1997">
      <c r="A1997" s="55" t="s">
        <v>10386</v>
      </c>
      <c r="B1997" s="52" t="s">
        <v>5384</v>
      </c>
      <c r="C1997" s="56">
        <v>45845.5625</v>
      </c>
      <c r="D1997" s="57" t="s">
        <v>6318</v>
      </c>
      <c r="E1997" s="56">
        <v>45845.583333333336</v>
      </c>
      <c r="F1997" s="52" t="s">
        <v>10387</v>
      </c>
      <c r="G1997" s="4" t="s">
        <v>135</v>
      </c>
      <c r="H1997" s="4" t="s">
        <v>1991</v>
      </c>
      <c r="K1997" s="4" t="s">
        <v>10388</v>
      </c>
      <c r="L1997" s="4"/>
    </row>
    <row r="1998">
      <c r="A1998" s="55" t="s">
        <v>10389</v>
      </c>
      <c r="B1998" s="52" t="s">
        <v>5647</v>
      </c>
      <c r="C1998" s="56">
        <v>45849.333333333336</v>
      </c>
      <c r="D1998" s="57" t="s">
        <v>2154</v>
      </c>
      <c r="E1998" s="56">
        <v>45849.416666666664</v>
      </c>
      <c r="F1998" s="52" t="s">
        <v>10390</v>
      </c>
      <c r="G1998" s="4" t="s">
        <v>110</v>
      </c>
      <c r="H1998" s="4" t="s">
        <v>1987</v>
      </c>
      <c r="K1998" s="4"/>
      <c r="L1998" s="4" t="s">
        <v>10391</v>
      </c>
    </row>
    <row r="1999">
      <c r="A1999" s="55" t="s">
        <v>10392</v>
      </c>
      <c r="B1999" s="52" t="s">
        <v>5537</v>
      </c>
      <c r="C1999" s="56">
        <v>45852.333333333336</v>
      </c>
      <c r="D1999" s="57" t="s">
        <v>6052</v>
      </c>
      <c r="E1999" s="56">
        <v>45852.541666666664</v>
      </c>
      <c r="F1999" s="52" t="s">
        <v>10393</v>
      </c>
      <c r="G1999" s="4" t="s">
        <v>110</v>
      </c>
      <c r="H1999" s="4" t="s">
        <v>1987</v>
      </c>
      <c r="K1999" s="4" t="s">
        <v>10394</v>
      </c>
      <c r="L1999" s="4" t="s">
        <v>10395</v>
      </c>
    </row>
    <row r="2000">
      <c r="A2000" s="55" t="s">
        <v>10396</v>
      </c>
      <c r="B2000" s="52" t="s">
        <v>5537</v>
      </c>
      <c r="C2000" s="56">
        <v>45853.333333333336</v>
      </c>
      <c r="D2000" s="57" t="s">
        <v>6052</v>
      </c>
      <c r="E2000" s="56">
        <v>45853.541666666664</v>
      </c>
      <c r="F2000" s="52" t="s">
        <v>10393</v>
      </c>
      <c r="G2000" s="4" t="s">
        <v>110</v>
      </c>
      <c r="H2000" s="4" t="s">
        <v>1987</v>
      </c>
      <c r="K2000" s="4" t="s">
        <v>10397</v>
      </c>
      <c r="L2000" s="4" t="s">
        <v>10395</v>
      </c>
    </row>
    <row r="2001">
      <c r="A2001" s="55" t="s">
        <v>10398</v>
      </c>
      <c r="B2001" s="52" t="s">
        <v>1603</v>
      </c>
      <c r="C2001" s="56">
        <v>45848.520833333336</v>
      </c>
      <c r="D2001" s="57" t="s">
        <v>6318</v>
      </c>
      <c r="E2001" s="56">
        <v>45848.541666666664</v>
      </c>
      <c r="F2001" s="52" t="s">
        <v>10399</v>
      </c>
      <c r="G2001" s="4" t="s">
        <v>110</v>
      </c>
      <c r="H2001" s="4" t="s">
        <v>1987</v>
      </c>
      <c r="K2001" s="4" t="s">
        <v>10400</v>
      </c>
      <c r="L2001" s="4"/>
    </row>
    <row r="2002">
      <c r="A2002" s="55" t="s">
        <v>10401</v>
      </c>
      <c r="B2002" s="52" t="s">
        <v>5656</v>
      </c>
      <c r="C2002" s="56">
        <v>45848.65625</v>
      </c>
      <c r="D2002" s="57" t="s">
        <v>2147</v>
      </c>
      <c r="E2002" s="56">
        <v>45848.697916666664</v>
      </c>
      <c r="F2002" s="52" t="s">
        <v>10402</v>
      </c>
      <c r="G2002" s="4" t="s">
        <v>27</v>
      </c>
      <c r="H2002" s="4" t="s">
        <v>1987</v>
      </c>
      <c r="K2002" s="4" t="s">
        <v>10403</v>
      </c>
      <c r="L2002" s="4"/>
    </row>
    <row r="2003">
      <c r="A2003" s="55" t="s">
        <v>10404</v>
      </c>
      <c r="B2003" s="52" t="s">
        <v>5596</v>
      </c>
      <c r="C2003" s="56">
        <v>45845.4375</v>
      </c>
      <c r="D2003" s="57" t="s">
        <v>2147</v>
      </c>
      <c r="E2003" s="56">
        <v>45845.541666666664</v>
      </c>
      <c r="F2003" s="52" t="s">
        <v>1608</v>
      </c>
      <c r="G2003" s="4" t="s">
        <v>110</v>
      </c>
      <c r="H2003" s="4" t="s">
        <v>1987</v>
      </c>
      <c r="K2003" s="4"/>
      <c r="L2003" s="4" t="s">
        <v>10405</v>
      </c>
    </row>
    <row r="2004">
      <c r="A2004" s="55" t="s">
        <v>10406</v>
      </c>
      <c r="B2004" s="52" t="s">
        <v>5596</v>
      </c>
      <c r="C2004" s="56">
        <v>45846.4375</v>
      </c>
      <c r="D2004" s="57" t="s">
        <v>2147</v>
      </c>
      <c r="E2004" s="56">
        <v>45846.541666666664</v>
      </c>
      <c r="F2004" s="52" t="s">
        <v>5647</v>
      </c>
      <c r="G2004" s="4" t="s">
        <v>110</v>
      </c>
      <c r="H2004" s="4" t="s">
        <v>1987</v>
      </c>
      <c r="K2004" s="4" t="s">
        <v>10407</v>
      </c>
      <c r="L2004" s="4"/>
    </row>
    <row r="2005">
      <c r="A2005" s="55" t="s">
        <v>10408</v>
      </c>
      <c r="B2005" s="52" t="s">
        <v>5596</v>
      </c>
      <c r="C2005" s="56">
        <v>45848.4375</v>
      </c>
      <c r="D2005" s="57" t="s">
        <v>2147</v>
      </c>
      <c r="E2005" s="56">
        <v>45848.520833333336</v>
      </c>
      <c r="F2005" s="52" t="s">
        <v>5647</v>
      </c>
      <c r="G2005" s="4" t="s">
        <v>110</v>
      </c>
      <c r="H2005" s="4" t="s">
        <v>1987</v>
      </c>
      <c r="K2005" s="4"/>
      <c r="L2005" s="4" t="s">
        <v>10409</v>
      </c>
    </row>
    <row r="2006">
      <c r="A2006" s="55" t="s">
        <v>10410</v>
      </c>
      <c r="B2006" s="52" t="s">
        <v>5596</v>
      </c>
      <c r="C2006" s="56">
        <v>45849.458333333336</v>
      </c>
      <c r="D2006" s="57" t="s">
        <v>2147</v>
      </c>
      <c r="E2006" s="56">
        <v>45849.541666666664</v>
      </c>
      <c r="F2006" s="52" t="s">
        <v>5647</v>
      </c>
      <c r="G2006" s="4" t="s">
        <v>110</v>
      </c>
      <c r="H2006" s="4" t="s">
        <v>1987</v>
      </c>
      <c r="K2006" s="4" t="s">
        <v>10411</v>
      </c>
      <c r="L2006" s="4" t="s">
        <v>10409</v>
      </c>
    </row>
    <row r="2007">
      <c r="A2007" s="55" t="s">
        <v>10412</v>
      </c>
      <c r="B2007" s="52" t="s">
        <v>1611</v>
      </c>
      <c r="C2007" s="56">
        <v>45852.333333333336</v>
      </c>
      <c r="D2007" s="57" t="s">
        <v>6052</v>
      </c>
      <c r="E2007" s="56">
        <v>45852.541666666664</v>
      </c>
      <c r="F2007" s="52" t="s">
        <v>1611</v>
      </c>
      <c r="G2007" s="4" t="s">
        <v>1708</v>
      </c>
      <c r="H2007" s="4" t="s">
        <v>1987</v>
      </c>
      <c r="K2007" s="4" t="s">
        <v>10413</v>
      </c>
      <c r="L2007" s="4"/>
    </row>
    <row r="2008">
      <c r="A2008" s="55" t="s">
        <v>10414</v>
      </c>
      <c r="B2008" s="52" t="s">
        <v>1611</v>
      </c>
      <c r="C2008" s="56">
        <v>45853.333333333336</v>
      </c>
      <c r="D2008" s="57" t="s">
        <v>6052</v>
      </c>
      <c r="E2008" s="56">
        <v>45853.541666666664</v>
      </c>
      <c r="F2008" s="52" t="s">
        <v>1611</v>
      </c>
      <c r="G2008" s="4" t="s">
        <v>1708</v>
      </c>
      <c r="H2008" s="4" t="s">
        <v>1987</v>
      </c>
      <c r="K2008" s="4" t="s">
        <v>10415</v>
      </c>
      <c r="L2008" s="4"/>
    </row>
    <row r="2009">
      <c r="A2009" s="55" t="s">
        <v>10416</v>
      </c>
      <c r="B2009" s="52" t="s">
        <v>1611</v>
      </c>
      <c r="C2009" s="56">
        <v>45854.333333333336</v>
      </c>
      <c r="D2009" s="57" t="s">
        <v>6052</v>
      </c>
      <c r="E2009" s="56">
        <v>45854.4375</v>
      </c>
      <c r="F2009" s="52" t="s">
        <v>1611</v>
      </c>
      <c r="G2009" s="4" t="s">
        <v>1708</v>
      </c>
      <c r="H2009" s="4" t="s">
        <v>1987</v>
      </c>
      <c r="K2009" s="4" t="s">
        <v>10417</v>
      </c>
      <c r="L2009" s="4" t="s">
        <v>10418</v>
      </c>
    </row>
    <row r="2010">
      <c r="A2010" s="55" t="s">
        <v>10419</v>
      </c>
      <c r="B2010" s="52" t="s">
        <v>5537</v>
      </c>
      <c r="C2010" s="56">
        <v>45854.333333333336</v>
      </c>
      <c r="D2010" s="57" t="s">
        <v>6052</v>
      </c>
      <c r="E2010" s="56">
        <v>45854.541666666664</v>
      </c>
      <c r="F2010" s="52" t="s">
        <v>10393</v>
      </c>
      <c r="G2010" s="4" t="s">
        <v>110</v>
      </c>
      <c r="H2010" s="4" t="s">
        <v>1987</v>
      </c>
      <c r="K2010" s="4" t="s">
        <v>10420</v>
      </c>
      <c r="L2010" s="4" t="s">
        <v>10395</v>
      </c>
    </row>
    <row r="2011">
      <c r="A2011" s="55" t="s">
        <v>10421</v>
      </c>
      <c r="B2011" s="52" t="s">
        <v>5537</v>
      </c>
      <c r="C2011" s="56">
        <v>45855.333333333336</v>
      </c>
      <c r="D2011" s="57" t="s">
        <v>6052</v>
      </c>
      <c r="E2011" s="56">
        <v>45855.541666666664</v>
      </c>
      <c r="F2011" s="52" t="s">
        <v>6319</v>
      </c>
      <c r="G2011" s="4" t="s">
        <v>110</v>
      </c>
      <c r="H2011" s="4" t="s">
        <v>1987</v>
      </c>
      <c r="K2011" s="4" t="s">
        <v>10422</v>
      </c>
      <c r="L2011" s="4" t="s">
        <v>10423</v>
      </c>
    </row>
    <row r="2012">
      <c r="A2012" s="55" t="s">
        <v>10424</v>
      </c>
      <c r="B2012" s="52" t="s">
        <v>5675</v>
      </c>
      <c r="C2012" s="56">
        <v>45856.395833333336</v>
      </c>
      <c r="D2012" s="57" t="s">
        <v>6052</v>
      </c>
      <c r="E2012" s="56">
        <v>45856.541666666664</v>
      </c>
      <c r="F2012" s="52" t="s">
        <v>10425</v>
      </c>
      <c r="G2012" s="4" t="s">
        <v>110</v>
      </c>
      <c r="H2012" s="4" t="s">
        <v>1987</v>
      </c>
      <c r="K2012" s="4" t="s">
        <v>10426</v>
      </c>
      <c r="L2012" s="4" t="s">
        <v>10427</v>
      </c>
    </row>
    <row r="2013">
      <c r="A2013" s="55"/>
      <c r="B2013" s="52"/>
      <c r="C2013" s="56"/>
      <c r="D2013" s="61"/>
      <c r="E2013" s="56"/>
      <c r="F2013" s="52"/>
      <c r="G2013" s="4"/>
      <c r="H2013" s="4"/>
      <c r="K2013" s="4"/>
      <c r="L2013" s="4"/>
    </row>
    <row r="2014">
      <c r="A2014" s="55"/>
      <c r="B2014" s="52"/>
      <c r="C2014" s="56"/>
      <c r="D2014" s="61"/>
      <c r="E2014" s="56"/>
      <c r="F2014" s="52"/>
      <c r="G2014" s="4"/>
      <c r="H2014" s="4"/>
      <c r="K2014" s="4"/>
      <c r="L2014" s="4"/>
    </row>
    <row r="2015">
      <c r="A2015" s="55"/>
      <c r="B2015" s="52"/>
      <c r="C2015" s="56"/>
      <c r="D2015" s="61"/>
      <c r="E2015" s="56"/>
      <c r="F2015" s="52"/>
      <c r="G2015" s="4"/>
      <c r="H2015" s="4"/>
      <c r="K2015" s="4"/>
      <c r="L2015" s="4"/>
    </row>
    <row r="2016">
      <c r="A2016" s="55"/>
      <c r="B2016" s="52"/>
      <c r="C2016" s="56"/>
      <c r="D2016" s="61"/>
      <c r="E2016" s="56"/>
      <c r="F2016" s="52"/>
      <c r="G2016" s="4"/>
      <c r="H2016" s="4"/>
      <c r="K2016" s="4"/>
      <c r="L2016" s="4"/>
    </row>
    <row r="2017">
      <c r="A2017" s="55"/>
      <c r="B2017" s="52"/>
      <c r="C2017" s="56"/>
      <c r="D2017" s="61"/>
      <c r="E2017" s="56"/>
      <c r="F2017" s="52"/>
      <c r="G2017" s="4"/>
      <c r="H2017" s="4"/>
      <c r="K2017" s="4"/>
      <c r="L2017" s="4"/>
    </row>
    <row r="2018">
      <c r="A2018" s="55" t="s">
        <v>10428</v>
      </c>
      <c r="B2018" s="52" t="s">
        <v>1611</v>
      </c>
      <c r="C2018" s="56">
        <v>45856.395833333336</v>
      </c>
      <c r="D2018" s="57" t="s">
        <v>2147</v>
      </c>
      <c r="E2018" s="56">
        <v>45856.447916666664</v>
      </c>
      <c r="F2018" s="52" t="s">
        <v>10429</v>
      </c>
      <c r="G2018" s="4" t="s">
        <v>27</v>
      </c>
      <c r="H2018" s="4" t="s">
        <v>1991</v>
      </c>
      <c r="K2018" s="4" t="s">
        <v>10430</v>
      </c>
      <c r="L2018" s="4" t="s">
        <v>10431</v>
      </c>
    </row>
    <row r="2019">
      <c r="A2019" s="55" t="s">
        <v>10432</v>
      </c>
      <c r="B2019" s="52" t="s">
        <v>1597</v>
      </c>
      <c r="C2019" s="56">
        <v>45852.61319444444</v>
      </c>
      <c r="D2019" s="57" t="s">
        <v>2147</v>
      </c>
      <c r="E2019" s="56">
        <v>45852.64166666667</v>
      </c>
      <c r="F2019" s="52" t="s">
        <v>10433</v>
      </c>
      <c r="G2019" s="4" t="s">
        <v>27</v>
      </c>
      <c r="H2019" s="4" t="s">
        <v>1987</v>
      </c>
      <c r="K2019" s="4" t="s">
        <v>10434</v>
      </c>
      <c r="L2019" s="4" t="s">
        <v>10435</v>
      </c>
    </row>
    <row r="2020">
      <c r="A2020" s="55" t="s">
        <v>10436</v>
      </c>
      <c r="B2020" s="52" t="s">
        <v>5678</v>
      </c>
      <c r="C2020" s="56">
        <v>45852.5625</v>
      </c>
      <c r="D2020" s="57" t="s">
        <v>2154</v>
      </c>
      <c r="E2020" s="56">
        <v>45852.625</v>
      </c>
      <c r="F2020" s="52" t="s">
        <v>10437</v>
      </c>
      <c r="G2020" s="4" t="s">
        <v>135</v>
      </c>
      <c r="H2020" s="4" t="s">
        <v>1987</v>
      </c>
      <c r="K2020" s="4" t="s">
        <v>10438</v>
      </c>
      <c r="L2020" s="4"/>
    </row>
    <row r="2021">
      <c r="A2021" s="55" t="s">
        <v>10439</v>
      </c>
      <c r="B2021" s="52" t="s">
        <v>5619</v>
      </c>
      <c r="C2021" s="56">
        <v>45852.625</v>
      </c>
      <c r="D2021" s="57" t="s">
        <v>6318</v>
      </c>
      <c r="E2021" s="56">
        <v>45852.645833333336</v>
      </c>
      <c r="F2021" s="52" t="s">
        <v>10440</v>
      </c>
      <c r="G2021" s="4" t="s">
        <v>135</v>
      </c>
      <c r="H2021" s="4" t="s">
        <v>1987</v>
      </c>
      <c r="K2021" s="4" t="s">
        <v>10441</v>
      </c>
      <c r="L2021" s="4"/>
    </row>
    <row r="2022">
      <c r="A2022" s="55" t="s">
        <v>10442</v>
      </c>
      <c r="B2022" s="52" t="s">
        <v>5656</v>
      </c>
      <c r="C2022" s="56">
        <v>45852.64166666667</v>
      </c>
      <c r="D2022" s="57" t="s">
        <v>2147</v>
      </c>
      <c r="E2022" s="56">
        <v>45852.683333333334</v>
      </c>
      <c r="F2022" s="52" t="s">
        <v>10443</v>
      </c>
      <c r="G2022" s="4" t="s">
        <v>27</v>
      </c>
      <c r="H2022" s="4" t="s">
        <v>1987</v>
      </c>
      <c r="K2022" s="4" t="s">
        <v>10444</v>
      </c>
      <c r="L2022" s="4"/>
    </row>
    <row r="2023">
      <c r="A2023" s="55" t="s">
        <v>10445</v>
      </c>
      <c r="B2023" s="52" t="s">
        <v>5598</v>
      </c>
      <c r="C2023" s="56">
        <v>45855.5625</v>
      </c>
      <c r="D2023" s="61"/>
      <c r="E2023" s="56">
        <v>45855.708333333336</v>
      </c>
      <c r="F2023" s="52" t="s">
        <v>10379</v>
      </c>
      <c r="G2023" s="4" t="s">
        <v>135</v>
      </c>
      <c r="H2023" s="4" t="s">
        <v>1987</v>
      </c>
      <c r="K2023" s="4" t="s">
        <v>10446</v>
      </c>
      <c r="L2023" s="4" t="s">
        <v>10447</v>
      </c>
    </row>
    <row r="2024">
      <c r="A2024" s="55" t="s">
        <v>10448</v>
      </c>
      <c r="B2024" s="52" t="s">
        <v>1617</v>
      </c>
      <c r="C2024" s="56">
        <v>45856.583333333336</v>
      </c>
      <c r="D2024" s="57" t="s">
        <v>6052</v>
      </c>
      <c r="E2024" s="56">
        <v>45856.770833333336</v>
      </c>
      <c r="F2024" s="52" t="s">
        <v>10449</v>
      </c>
      <c r="G2024" s="4" t="s">
        <v>135</v>
      </c>
      <c r="H2024" s="4" t="s">
        <v>1987</v>
      </c>
      <c r="K2024" s="4" t="s">
        <v>10450</v>
      </c>
      <c r="L2024" s="4" t="s">
        <v>10451</v>
      </c>
    </row>
    <row r="2025">
      <c r="A2025" s="55" t="s">
        <v>10452</v>
      </c>
      <c r="B2025" s="52" t="s">
        <v>1617</v>
      </c>
      <c r="C2025" s="56">
        <v>45859.5625</v>
      </c>
      <c r="D2025" s="57" t="s">
        <v>6052</v>
      </c>
      <c r="E2025" s="56">
        <v>45859.770833333336</v>
      </c>
      <c r="F2025" s="52" t="s">
        <v>10449</v>
      </c>
      <c r="G2025" s="4" t="s">
        <v>135</v>
      </c>
      <c r="H2025" s="4" t="s">
        <v>1987</v>
      </c>
      <c r="K2025" s="4" t="s">
        <v>10453</v>
      </c>
      <c r="L2025" s="4"/>
    </row>
    <row r="2026">
      <c r="A2026" s="55" t="s">
        <v>10454</v>
      </c>
      <c r="B2026" s="52" t="s">
        <v>1597</v>
      </c>
      <c r="C2026" s="56">
        <v>45853.4375</v>
      </c>
      <c r="D2026" s="57" t="s">
        <v>2148</v>
      </c>
      <c r="E2026" s="56">
        <v>45853.666666666664</v>
      </c>
      <c r="F2026" s="52" t="s">
        <v>10455</v>
      </c>
      <c r="G2026" s="4" t="s">
        <v>27</v>
      </c>
      <c r="H2026" s="4" t="s">
        <v>1987</v>
      </c>
      <c r="K2026" s="4"/>
      <c r="L2026" s="4" t="s">
        <v>10456</v>
      </c>
    </row>
    <row r="2027">
      <c r="A2027" s="55" t="s">
        <v>10457</v>
      </c>
      <c r="B2027" s="52" t="s">
        <v>1597</v>
      </c>
      <c r="C2027" s="56">
        <v>45854.458333333336</v>
      </c>
      <c r="D2027" s="57" t="s">
        <v>2148</v>
      </c>
      <c r="E2027" s="56">
        <v>45854.5</v>
      </c>
      <c r="F2027" s="52" t="s">
        <v>10455</v>
      </c>
      <c r="G2027" s="4" t="s">
        <v>27</v>
      </c>
      <c r="H2027" s="4" t="s">
        <v>1987</v>
      </c>
      <c r="K2027" s="4" t="s">
        <v>10458</v>
      </c>
      <c r="L2027" s="4" t="s">
        <v>10459</v>
      </c>
    </row>
    <row r="2028">
      <c r="A2028" s="55" t="s">
        <v>10460</v>
      </c>
      <c r="B2028" s="52" t="s">
        <v>5656</v>
      </c>
      <c r="C2028" s="56">
        <v>45854.5</v>
      </c>
      <c r="D2028" s="57" t="s">
        <v>2148</v>
      </c>
      <c r="E2028" s="56">
        <v>45854.541666666664</v>
      </c>
      <c r="F2028" s="52" t="s">
        <v>7424</v>
      </c>
      <c r="G2028" s="4" t="s">
        <v>27</v>
      </c>
      <c r="H2028" s="4" t="s">
        <v>1987</v>
      </c>
      <c r="K2028" s="4" t="s">
        <v>10461</v>
      </c>
      <c r="L2028" s="4" t="s">
        <v>10462</v>
      </c>
    </row>
    <row r="2029">
      <c r="A2029" s="55" t="s">
        <v>10463</v>
      </c>
      <c r="B2029" s="52" t="s">
        <v>6057</v>
      </c>
      <c r="C2029" s="56">
        <v>45853.354166666664</v>
      </c>
      <c r="D2029" s="57" t="s">
        <v>2154</v>
      </c>
      <c r="E2029" s="56">
        <v>45853.4375</v>
      </c>
      <c r="F2029" s="52" t="s">
        <v>8536</v>
      </c>
      <c r="G2029" s="4" t="s">
        <v>27</v>
      </c>
      <c r="H2029" s="4" t="s">
        <v>1987</v>
      </c>
      <c r="K2029" s="4" t="s">
        <v>10464</v>
      </c>
      <c r="L2029" s="4"/>
    </row>
    <row r="2030">
      <c r="A2030" s="55" t="s">
        <v>10465</v>
      </c>
      <c r="B2030" s="52" t="s">
        <v>6057</v>
      </c>
      <c r="C2030" s="56">
        <v>45853.666666666664</v>
      </c>
      <c r="D2030" s="57" t="s">
        <v>2154</v>
      </c>
      <c r="E2030" s="56">
        <v>45853.770833333336</v>
      </c>
      <c r="F2030" s="52" t="s">
        <v>6057</v>
      </c>
      <c r="G2030" s="4" t="s">
        <v>27</v>
      </c>
      <c r="H2030" s="4" t="s">
        <v>1987</v>
      </c>
      <c r="K2030" s="4" t="s">
        <v>10466</v>
      </c>
      <c r="L2030" s="4"/>
    </row>
    <row r="2031">
      <c r="A2031" s="55" t="s">
        <v>10467</v>
      </c>
      <c r="B2031" s="52" t="s">
        <v>5598</v>
      </c>
      <c r="C2031" s="56">
        <v>45854.354166666664</v>
      </c>
      <c r="D2031" s="57" t="s">
        <v>2147</v>
      </c>
      <c r="E2031" s="56">
        <v>45854.416666666664</v>
      </c>
      <c r="F2031" s="52" t="s">
        <v>10468</v>
      </c>
      <c r="G2031" s="4" t="s">
        <v>27</v>
      </c>
      <c r="H2031" s="4" t="s">
        <v>1987</v>
      </c>
      <c r="K2031" s="4" t="s">
        <v>10469</v>
      </c>
      <c r="L2031" s="4" t="s">
        <v>10470</v>
      </c>
    </row>
    <row r="2032">
      <c r="A2032" s="55" t="s">
        <v>10471</v>
      </c>
      <c r="B2032" s="52" t="s">
        <v>5598</v>
      </c>
      <c r="C2032" s="56">
        <v>45854.4375</v>
      </c>
      <c r="D2032" s="57" t="s">
        <v>2147</v>
      </c>
      <c r="E2032" s="56">
        <v>45854.541666666664</v>
      </c>
      <c r="F2032" s="52" t="s">
        <v>10472</v>
      </c>
      <c r="G2032" s="4" t="s">
        <v>1708</v>
      </c>
      <c r="H2032" s="4" t="s">
        <v>1987</v>
      </c>
      <c r="K2032" s="4" t="s">
        <v>10473</v>
      </c>
      <c r="L2032" s="4"/>
    </row>
    <row r="2033">
      <c r="A2033" s="55" t="s">
        <v>10474</v>
      </c>
      <c r="B2033" s="52" t="s">
        <v>5598</v>
      </c>
      <c r="C2033" s="56">
        <v>45855.333333333336</v>
      </c>
      <c r="D2033" s="57" t="s">
        <v>2147</v>
      </c>
      <c r="E2033" s="56">
        <v>45855.541666666664</v>
      </c>
      <c r="F2033" s="52" t="s">
        <v>10472</v>
      </c>
      <c r="G2033" s="4" t="s">
        <v>1708</v>
      </c>
      <c r="H2033" s="4" t="s">
        <v>1987</v>
      </c>
      <c r="K2033" s="4" t="s">
        <v>10475</v>
      </c>
      <c r="L2033" s="4"/>
    </row>
    <row r="2034">
      <c r="A2034" s="55" t="s">
        <v>10476</v>
      </c>
      <c r="B2034" s="52" t="s">
        <v>1611</v>
      </c>
      <c r="C2034" s="56">
        <v>45856.333333333336</v>
      </c>
      <c r="D2034" s="57" t="s">
        <v>2147</v>
      </c>
      <c r="E2034" s="56">
        <v>45856.4375</v>
      </c>
      <c r="F2034" s="52" t="s">
        <v>10477</v>
      </c>
      <c r="G2034" s="4" t="s">
        <v>1708</v>
      </c>
      <c r="H2034" s="4" t="s">
        <v>1987</v>
      </c>
      <c r="K2034" s="4" t="s">
        <v>10478</v>
      </c>
      <c r="L2034" s="4" t="s">
        <v>10479</v>
      </c>
    </row>
    <row r="2035">
      <c r="A2035" s="55" t="s">
        <v>10480</v>
      </c>
      <c r="B2035" s="52" t="s">
        <v>5598</v>
      </c>
      <c r="C2035" s="56">
        <v>45859.333333333336</v>
      </c>
      <c r="D2035" s="57" t="s">
        <v>2147</v>
      </c>
      <c r="E2035" s="56">
        <v>45859.541666666664</v>
      </c>
      <c r="F2035" s="52" t="s">
        <v>10472</v>
      </c>
      <c r="G2035" s="4" t="s">
        <v>1708</v>
      </c>
      <c r="H2035" s="4" t="s">
        <v>1987</v>
      </c>
      <c r="K2035" s="4" t="s">
        <v>10481</v>
      </c>
      <c r="L2035" s="4"/>
    </row>
    <row r="2036">
      <c r="A2036" s="55" t="s">
        <v>10482</v>
      </c>
      <c r="B2036" s="52" t="s">
        <v>5598</v>
      </c>
      <c r="C2036" s="56">
        <v>45860.333333333336</v>
      </c>
      <c r="D2036" s="57" t="s">
        <v>2147</v>
      </c>
      <c r="E2036" s="56">
        <v>45860.541666666664</v>
      </c>
      <c r="F2036" s="52" t="s">
        <v>10472</v>
      </c>
      <c r="G2036" s="4" t="s">
        <v>1708</v>
      </c>
      <c r="H2036" s="4" t="s">
        <v>1987</v>
      </c>
      <c r="K2036" s="4" t="s">
        <v>10483</v>
      </c>
      <c r="L2036" s="4"/>
    </row>
    <row r="2037">
      <c r="A2037" s="55" t="s">
        <v>10484</v>
      </c>
      <c r="B2037" s="52" t="s">
        <v>1597</v>
      </c>
      <c r="C2037" s="56">
        <v>45854.541666666664</v>
      </c>
      <c r="D2037" s="57" t="s">
        <v>2148</v>
      </c>
      <c r="E2037" s="56">
        <v>45854.666666666664</v>
      </c>
      <c r="F2037" s="52" t="s">
        <v>10455</v>
      </c>
      <c r="G2037" s="4" t="s">
        <v>27</v>
      </c>
      <c r="H2037" s="4" t="s">
        <v>1987</v>
      </c>
      <c r="K2037" s="4" t="s">
        <v>10485</v>
      </c>
      <c r="L2037" s="4" t="s">
        <v>10459</v>
      </c>
    </row>
    <row r="2038">
      <c r="A2038" s="55" t="s">
        <v>10486</v>
      </c>
      <c r="B2038" s="52" t="s">
        <v>5537</v>
      </c>
      <c r="C2038" s="56">
        <v>45860.416666666664</v>
      </c>
      <c r="D2038" s="57" t="s">
        <v>6318</v>
      </c>
      <c r="E2038" s="56">
        <v>45860.4375</v>
      </c>
      <c r="F2038" s="52" t="s">
        <v>8173</v>
      </c>
      <c r="G2038" s="4" t="s">
        <v>110</v>
      </c>
      <c r="H2038" s="4" t="s">
        <v>1991</v>
      </c>
      <c r="K2038" s="4" t="s">
        <v>10487</v>
      </c>
      <c r="L2038" s="4" t="s">
        <v>10488</v>
      </c>
    </row>
    <row r="2039">
      <c r="A2039" s="55" t="s">
        <v>10489</v>
      </c>
      <c r="B2039" s="52" t="s">
        <v>1597</v>
      </c>
      <c r="C2039" s="56">
        <v>45855.5625</v>
      </c>
      <c r="D2039" s="57" t="s">
        <v>2200</v>
      </c>
      <c r="E2039" s="56">
        <v>45855.770833333336</v>
      </c>
      <c r="F2039" s="52" t="s">
        <v>10490</v>
      </c>
      <c r="G2039" s="4" t="s">
        <v>27</v>
      </c>
      <c r="H2039" s="4" t="s">
        <v>1987</v>
      </c>
      <c r="K2039" s="4" t="s">
        <v>10491</v>
      </c>
      <c r="L2039" s="4" t="s">
        <v>10492</v>
      </c>
    </row>
    <row r="2040">
      <c r="A2040" s="55" t="s">
        <v>10493</v>
      </c>
      <c r="B2040" s="52" t="s">
        <v>6057</v>
      </c>
      <c r="C2040" s="56">
        <v>45855.375</v>
      </c>
      <c r="D2040" s="57" t="s">
        <v>2148</v>
      </c>
      <c r="E2040" s="56">
        <v>45855.5625</v>
      </c>
      <c r="F2040" s="52" t="s">
        <v>8536</v>
      </c>
      <c r="G2040" s="4" t="s">
        <v>27</v>
      </c>
      <c r="H2040" s="4" t="s">
        <v>1987</v>
      </c>
      <c r="K2040" s="4" t="s">
        <v>10494</v>
      </c>
      <c r="L2040" s="4" t="s">
        <v>10495</v>
      </c>
    </row>
    <row r="2041">
      <c r="A2041" s="55" t="s">
        <v>10496</v>
      </c>
      <c r="B2041" s="52" t="s">
        <v>6057</v>
      </c>
      <c r="C2041" s="56">
        <v>45854.666666666664</v>
      </c>
      <c r="D2041" s="57" t="s">
        <v>2154</v>
      </c>
      <c r="E2041" s="56">
        <v>45854.75</v>
      </c>
      <c r="F2041" s="52" t="s">
        <v>6057</v>
      </c>
      <c r="G2041" s="4" t="s">
        <v>27</v>
      </c>
      <c r="H2041" s="4" t="s">
        <v>1987</v>
      </c>
      <c r="K2041" s="4" t="s">
        <v>10497</v>
      </c>
      <c r="L2041" s="4"/>
    </row>
    <row r="2042">
      <c r="A2042" s="55" t="s">
        <v>10498</v>
      </c>
      <c r="B2042" s="52" t="s">
        <v>5537</v>
      </c>
      <c r="C2042" s="56">
        <v>45856.333333333336</v>
      </c>
      <c r="D2042" s="57" t="s">
        <v>2147</v>
      </c>
      <c r="E2042" s="56">
        <v>45856.395833333336</v>
      </c>
      <c r="F2042" s="52" t="s">
        <v>6319</v>
      </c>
      <c r="G2042" s="4" t="s">
        <v>110</v>
      </c>
      <c r="H2042" s="4" t="s">
        <v>1987</v>
      </c>
      <c r="K2042" s="4" t="s">
        <v>10422</v>
      </c>
      <c r="L2042" s="4" t="s">
        <v>10499</v>
      </c>
    </row>
    <row r="2043">
      <c r="A2043" s="55" t="s">
        <v>10500</v>
      </c>
      <c r="B2043" s="52" t="s">
        <v>5598</v>
      </c>
      <c r="C2043" s="56">
        <v>45856.447916666664</v>
      </c>
      <c r="D2043" s="57" t="s">
        <v>2147</v>
      </c>
      <c r="E2043" s="56">
        <v>45856.479166666664</v>
      </c>
      <c r="F2043" s="52" t="s">
        <v>10501</v>
      </c>
      <c r="G2043" s="4" t="s">
        <v>27</v>
      </c>
      <c r="H2043" s="4" t="s">
        <v>1987</v>
      </c>
      <c r="K2043" s="4" t="s">
        <v>10502</v>
      </c>
      <c r="L2043" s="4"/>
    </row>
    <row r="2044">
      <c r="A2044" s="55" t="s">
        <v>10503</v>
      </c>
      <c r="B2044" s="52" t="s">
        <v>5675</v>
      </c>
      <c r="C2044" s="56">
        <v>45856.479166666664</v>
      </c>
      <c r="D2044" s="57" t="s">
        <v>2147</v>
      </c>
      <c r="E2044" s="56">
        <v>45856.520833333336</v>
      </c>
      <c r="F2044" s="52" t="s">
        <v>8723</v>
      </c>
      <c r="G2044" s="4" t="s">
        <v>27</v>
      </c>
      <c r="H2044" s="4" t="s">
        <v>1987</v>
      </c>
      <c r="K2044" s="4" t="s">
        <v>10504</v>
      </c>
      <c r="L2044" s="4"/>
    </row>
    <row r="2045">
      <c r="A2045" s="55"/>
      <c r="B2045" s="52"/>
      <c r="C2045" s="56"/>
      <c r="D2045" s="61"/>
      <c r="E2045" s="56"/>
      <c r="F2045" s="52"/>
    </row>
    <row r="2046">
      <c r="A2046" s="55" t="s">
        <v>10505</v>
      </c>
      <c r="B2046" s="52" t="s">
        <v>5675</v>
      </c>
      <c r="C2046" s="56">
        <v>45859.333333333336</v>
      </c>
      <c r="D2046" s="57" t="s">
        <v>6052</v>
      </c>
      <c r="E2046" s="56">
        <v>45859.541666666664</v>
      </c>
      <c r="F2046" s="52" t="s">
        <v>10425</v>
      </c>
      <c r="G2046" s="4" t="s">
        <v>110</v>
      </c>
      <c r="H2046" s="4" t="s">
        <v>1987</v>
      </c>
      <c r="K2046" s="4" t="s">
        <v>10506</v>
      </c>
      <c r="L2046" s="4" t="s">
        <v>10427</v>
      </c>
    </row>
    <row r="2047">
      <c r="A2047" s="55" t="s">
        <v>10507</v>
      </c>
      <c r="B2047" s="52" t="s">
        <v>5675</v>
      </c>
      <c r="C2047" s="56">
        <v>45860.333333333336</v>
      </c>
      <c r="D2047" s="57" t="s">
        <v>2154</v>
      </c>
      <c r="E2047" s="56">
        <v>45860.416666666664</v>
      </c>
      <c r="F2047" s="52" t="s">
        <v>10425</v>
      </c>
      <c r="G2047" s="4" t="s">
        <v>110</v>
      </c>
      <c r="H2047" s="4" t="s">
        <v>1987</v>
      </c>
      <c r="K2047" s="4" t="s">
        <v>10508</v>
      </c>
      <c r="L2047" s="4" t="s">
        <v>10509</v>
      </c>
    </row>
    <row r="2048">
      <c r="A2048" s="55" t="s">
        <v>10510</v>
      </c>
      <c r="B2048" s="52" t="s">
        <v>1611</v>
      </c>
      <c r="C2048" s="56">
        <v>45856.479166666664</v>
      </c>
      <c r="D2048" s="61"/>
      <c r="E2048" s="56">
        <v>45856.541666666664</v>
      </c>
      <c r="F2048" s="52" t="s">
        <v>10511</v>
      </c>
      <c r="G2048" s="4" t="s">
        <v>1708</v>
      </c>
      <c r="H2048" s="4" t="s">
        <v>1987</v>
      </c>
      <c r="K2048" s="4" t="s">
        <v>10512</v>
      </c>
      <c r="L2048" s="4"/>
    </row>
    <row r="2049">
      <c r="A2049" s="55" t="s">
        <v>10513</v>
      </c>
      <c r="B2049" s="52" t="s">
        <v>1597</v>
      </c>
      <c r="C2049" s="56">
        <v>45856.520833333336</v>
      </c>
      <c r="D2049" s="57" t="s">
        <v>2154</v>
      </c>
      <c r="E2049" s="56">
        <v>45856.583333333336</v>
      </c>
      <c r="F2049" s="52" t="s">
        <v>10199</v>
      </c>
      <c r="G2049" s="4" t="s">
        <v>27</v>
      </c>
      <c r="H2049" s="4" t="s">
        <v>1987</v>
      </c>
      <c r="K2049" s="4"/>
      <c r="L2049" s="4" t="s">
        <v>10514</v>
      </c>
    </row>
    <row r="2050">
      <c r="A2050" s="55" t="s">
        <v>10515</v>
      </c>
      <c r="B2050" s="52" t="s">
        <v>5598</v>
      </c>
      <c r="C2050" s="56">
        <v>45856.4375</v>
      </c>
      <c r="D2050" s="57" t="s">
        <v>2147</v>
      </c>
      <c r="E2050" s="56">
        <v>45856.479166666664</v>
      </c>
      <c r="F2050" s="52" t="s">
        <v>10516</v>
      </c>
      <c r="G2050" s="4" t="s">
        <v>1708</v>
      </c>
      <c r="H2050" s="4" t="s">
        <v>1987</v>
      </c>
      <c r="K2050" s="4" t="s">
        <v>10517</v>
      </c>
      <c r="L2050" s="4"/>
    </row>
    <row r="2051">
      <c r="A2051" s="55" t="s">
        <v>10518</v>
      </c>
      <c r="B2051" s="52" t="s">
        <v>1617</v>
      </c>
      <c r="C2051" s="56">
        <v>45855.708333333336</v>
      </c>
      <c r="D2051" s="57" t="s">
        <v>2147</v>
      </c>
      <c r="E2051" s="56">
        <v>45855.770833333336</v>
      </c>
      <c r="F2051" s="52" t="s">
        <v>10449</v>
      </c>
      <c r="G2051" s="4" t="s">
        <v>135</v>
      </c>
      <c r="H2051" s="4" t="s">
        <v>1987</v>
      </c>
      <c r="K2051" s="4" t="s">
        <v>10519</v>
      </c>
      <c r="L2051" s="4"/>
    </row>
    <row r="2052">
      <c r="A2052" s="55" t="s">
        <v>10520</v>
      </c>
      <c r="B2052" s="52" t="s">
        <v>8165</v>
      </c>
      <c r="C2052" s="56">
        <v>45856.5625</v>
      </c>
      <c r="D2052" s="57" t="s">
        <v>6318</v>
      </c>
      <c r="E2052" s="56">
        <v>45856.583333333336</v>
      </c>
      <c r="F2052" s="52" t="s">
        <v>10521</v>
      </c>
      <c r="G2052" s="4" t="s">
        <v>135</v>
      </c>
      <c r="H2052" s="4" t="s">
        <v>1987</v>
      </c>
      <c r="K2052" s="4" t="s">
        <v>10450</v>
      </c>
      <c r="L2052" s="4" t="s">
        <v>10522</v>
      </c>
    </row>
    <row r="2053">
      <c r="A2053" s="55" t="s">
        <v>10523</v>
      </c>
      <c r="B2053" s="52" t="s">
        <v>5384</v>
      </c>
      <c r="C2053" s="56">
        <v>45862.541666666664</v>
      </c>
      <c r="D2053" s="57" t="s">
        <v>2147</v>
      </c>
      <c r="E2053" s="56">
        <v>45862.5625</v>
      </c>
      <c r="F2053" s="52" t="s">
        <v>10524</v>
      </c>
      <c r="G2053" s="4" t="s">
        <v>135</v>
      </c>
      <c r="H2053" s="4" t="s">
        <v>1991</v>
      </c>
      <c r="K2053" s="4" t="s">
        <v>10525</v>
      </c>
      <c r="L2053" s="4" t="s">
        <v>10526</v>
      </c>
    </row>
    <row r="2054">
      <c r="A2054" s="55" t="s">
        <v>10527</v>
      </c>
      <c r="B2054" s="52" t="s">
        <v>1617</v>
      </c>
      <c r="C2054" s="56">
        <v>45860.5625</v>
      </c>
      <c r="D2054" s="57" t="s">
        <v>6052</v>
      </c>
      <c r="E2054" s="56">
        <v>45860.770833333336</v>
      </c>
      <c r="F2054" s="52" t="s">
        <v>10449</v>
      </c>
      <c r="G2054" s="4" t="s">
        <v>135</v>
      </c>
      <c r="H2054" s="4" t="s">
        <v>1987</v>
      </c>
      <c r="K2054" s="4" t="s">
        <v>10528</v>
      </c>
      <c r="L2054" s="4"/>
    </row>
    <row r="2055">
      <c r="A2055" s="55" t="s">
        <v>10529</v>
      </c>
      <c r="B2055" s="52" t="s">
        <v>5598</v>
      </c>
      <c r="C2055" s="56">
        <v>45861.666666666664</v>
      </c>
      <c r="D2055" s="57" t="s">
        <v>2148</v>
      </c>
      <c r="E2055" s="56">
        <v>45861.770833333336</v>
      </c>
      <c r="F2055" s="52" t="s">
        <v>10530</v>
      </c>
      <c r="G2055" s="4" t="s">
        <v>135</v>
      </c>
      <c r="H2055" s="4" t="s">
        <v>1991</v>
      </c>
      <c r="K2055" s="4" t="s">
        <v>10531</v>
      </c>
      <c r="L2055" s="4" t="s">
        <v>10532</v>
      </c>
    </row>
    <row r="2056">
      <c r="A2056" s="55" t="s">
        <v>10533</v>
      </c>
      <c r="B2056" s="52" t="s">
        <v>6069</v>
      </c>
      <c r="C2056" s="56">
        <v>45863.5625</v>
      </c>
      <c r="D2056" s="57" t="s">
        <v>6052</v>
      </c>
      <c r="E2056" s="56">
        <v>45863.604166666664</v>
      </c>
      <c r="F2056" s="52" t="s">
        <v>7051</v>
      </c>
      <c r="G2056" s="4" t="s">
        <v>135</v>
      </c>
      <c r="H2056" s="4" t="s">
        <v>1987</v>
      </c>
      <c r="K2056" s="4" t="s">
        <v>10534</v>
      </c>
      <c r="L2056" s="4" t="s">
        <v>10535</v>
      </c>
    </row>
    <row r="2057">
      <c r="A2057" s="55" t="s">
        <v>10536</v>
      </c>
      <c r="B2057" s="52" t="s">
        <v>5384</v>
      </c>
      <c r="C2057" s="56">
        <v>45866.625</v>
      </c>
      <c r="D2057" s="57" t="s">
        <v>6052</v>
      </c>
      <c r="E2057" s="56">
        <v>45866.770833333336</v>
      </c>
      <c r="F2057" s="52" t="s">
        <v>10537</v>
      </c>
      <c r="G2057" s="4" t="s">
        <v>135</v>
      </c>
      <c r="H2057" s="4" t="s">
        <v>1987</v>
      </c>
      <c r="K2057" s="4" t="s">
        <v>10538</v>
      </c>
      <c r="L2057" s="4" t="s">
        <v>10539</v>
      </c>
    </row>
    <row r="2058">
      <c r="A2058" s="55" t="s">
        <v>10540</v>
      </c>
      <c r="B2058" s="52" t="s">
        <v>5384</v>
      </c>
      <c r="C2058" s="56">
        <v>45867.583333333336</v>
      </c>
      <c r="D2058" s="57" t="s">
        <v>6052</v>
      </c>
      <c r="E2058" s="56">
        <v>45867.770833333336</v>
      </c>
      <c r="F2058" s="52" t="s">
        <v>10537</v>
      </c>
      <c r="G2058" s="4" t="s">
        <v>135</v>
      </c>
      <c r="H2058" s="4" t="s">
        <v>1987</v>
      </c>
      <c r="K2058" s="4" t="s">
        <v>10541</v>
      </c>
      <c r="L2058" s="4" t="s">
        <v>10542</v>
      </c>
    </row>
    <row r="2059">
      <c r="A2059" s="55" t="s">
        <v>10543</v>
      </c>
      <c r="B2059" s="52" t="s">
        <v>5384</v>
      </c>
      <c r="C2059" s="56">
        <v>45868.666666666664</v>
      </c>
      <c r="D2059" s="57" t="s">
        <v>6052</v>
      </c>
      <c r="E2059" s="56">
        <v>45868.770833333336</v>
      </c>
      <c r="F2059" s="52" t="s">
        <v>10537</v>
      </c>
      <c r="G2059" s="4" t="s">
        <v>135</v>
      </c>
      <c r="H2059" s="4" t="s">
        <v>1987</v>
      </c>
      <c r="K2059" s="4" t="s">
        <v>10544</v>
      </c>
      <c r="L2059" s="4" t="s">
        <v>10545</v>
      </c>
    </row>
    <row r="2060">
      <c r="A2060" s="55" t="s">
        <v>10546</v>
      </c>
      <c r="B2060" s="52" t="s">
        <v>1617</v>
      </c>
      <c r="C2060" s="56">
        <v>45861.5625</v>
      </c>
      <c r="D2060" s="57" t="s">
        <v>2200</v>
      </c>
      <c r="E2060" s="56">
        <v>45861.666666666664</v>
      </c>
      <c r="F2060" s="52" t="s">
        <v>10547</v>
      </c>
      <c r="G2060" s="4" t="s">
        <v>135</v>
      </c>
      <c r="H2060" s="4" t="s">
        <v>1987</v>
      </c>
      <c r="K2060" s="4" t="s">
        <v>10548</v>
      </c>
      <c r="L2060" s="4" t="s">
        <v>10549</v>
      </c>
    </row>
    <row r="2061">
      <c r="A2061" s="55" t="s">
        <v>10550</v>
      </c>
      <c r="B2061" s="52" t="s">
        <v>5675</v>
      </c>
      <c r="C2061" s="56">
        <v>45861.333333333336</v>
      </c>
      <c r="D2061" s="57" t="s">
        <v>6052</v>
      </c>
      <c r="E2061" s="56">
        <v>45861.541666666664</v>
      </c>
      <c r="F2061" s="52" t="s">
        <v>10551</v>
      </c>
      <c r="G2061" s="4" t="s">
        <v>110</v>
      </c>
      <c r="H2061" s="4" t="s">
        <v>1987</v>
      </c>
      <c r="K2061" s="4" t="s">
        <v>10552</v>
      </c>
      <c r="L2061" s="4" t="s">
        <v>10553</v>
      </c>
    </row>
    <row r="2062">
      <c r="A2062" s="55"/>
      <c r="B2062" s="52"/>
      <c r="C2062" s="56"/>
      <c r="D2062" s="61"/>
      <c r="E2062" s="56"/>
      <c r="F2062" s="52"/>
      <c r="G2062" s="4"/>
      <c r="H2062" s="4"/>
      <c r="K2062" s="4"/>
      <c r="L2062" s="4"/>
    </row>
    <row r="2063">
      <c r="A2063" s="55"/>
      <c r="B2063" s="52"/>
      <c r="C2063" s="56"/>
      <c r="D2063" s="61"/>
      <c r="E2063" s="56"/>
      <c r="F2063" s="52"/>
      <c r="G2063" s="4"/>
      <c r="H2063" s="4"/>
      <c r="K2063" s="4"/>
      <c r="L2063" s="4"/>
    </row>
    <row r="2064">
      <c r="A2064" s="55"/>
      <c r="B2064" s="52"/>
      <c r="C2064" s="56"/>
      <c r="D2064" s="61"/>
      <c r="E2064" s="56"/>
      <c r="F2064" s="52"/>
      <c r="G2064" s="4"/>
      <c r="H2064" s="4"/>
      <c r="K2064" s="4"/>
      <c r="L2064" s="4"/>
    </row>
    <row r="2065">
      <c r="A2065" s="55"/>
      <c r="B2065" s="52"/>
      <c r="C2065" s="56"/>
      <c r="D2065" s="61"/>
      <c r="E2065" s="56"/>
      <c r="F2065" s="52"/>
      <c r="G2065" s="4"/>
      <c r="H2065" s="4"/>
      <c r="K2065" s="4"/>
      <c r="L2065" s="4"/>
    </row>
    <row r="2066">
      <c r="A2066" s="55"/>
      <c r="B2066" s="52"/>
      <c r="C2066" s="56"/>
      <c r="D2066" s="61"/>
      <c r="E2066" s="56"/>
      <c r="F2066" s="52"/>
      <c r="G2066" s="4"/>
      <c r="H2066" s="4"/>
      <c r="K2066" s="4"/>
      <c r="L2066" s="4"/>
    </row>
    <row r="2067">
      <c r="A2067" s="55"/>
      <c r="B2067" s="52"/>
      <c r="C2067" s="56"/>
      <c r="D2067" s="61"/>
      <c r="E2067" s="56"/>
      <c r="F2067" s="52"/>
      <c r="G2067" s="4"/>
      <c r="H2067" s="4"/>
      <c r="K2067" s="4"/>
      <c r="L2067" s="4"/>
    </row>
    <row r="2068">
      <c r="A2068" s="55" t="s">
        <v>10554</v>
      </c>
      <c r="B2068" s="52" t="s">
        <v>6057</v>
      </c>
      <c r="C2068" s="56">
        <v>45856.583333333336</v>
      </c>
      <c r="D2068" s="61"/>
      <c r="E2068" s="56">
        <v>45856.791666666664</v>
      </c>
      <c r="F2068" s="52" t="s">
        <v>8536</v>
      </c>
      <c r="G2068" s="4" t="s">
        <v>27</v>
      </c>
      <c r="H2068" s="4" t="s">
        <v>1987</v>
      </c>
      <c r="K2068" s="4" t="s">
        <v>10555</v>
      </c>
      <c r="L2068" s="4"/>
    </row>
    <row r="2069">
      <c r="A2069" s="55" t="s">
        <v>10556</v>
      </c>
      <c r="B2069" s="52" t="s">
        <v>6057</v>
      </c>
      <c r="C2069" s="56">
        <v>45857.625</v>
      </c>
      <c r="D2069" s="57" t="s">
        <v>2147</v>
      </c>
      <c r="E2069" s="56">
        <v>45857.791666666664</v>
      </c>
      <c r="F2069" s="52" t="s">
        <v>8880</v>
      </c>
      <c r="G2069" s="4" t="s">
        <v>27</v>
      </c>
      <c r="H2069" s="4" t="s">
        <v>1987</v>
      </c>
      <c r="K2069" s="4" t="s">
        <v>10557</v>
      </c>
      <c r="L2069" s="4"/>
    </row>
    <row r="2070">
      <c r="A2070" s="55" t="s">
        <v>10558</v>
      </c>
      <c r="B2070" s="52" t="s">
        <v>6057</v>
      </c>
      <c r="C2070" s="56">
        <v>45859.375</v>
      </c>
      <c r="D2070" s="57" t="s">
        <v>6052</v>
      </c>
      <c r="E2070" s="56">
        <v>45859.791666666664</v>
      </c>
      <c r="F2070" s="52" t="s">
        <v>10559</v>
      </c>
      <c r="G2070" s="4" t="s">
        <v>27</v>
      </c>
      <c r="H2070" s="4" t="s">
        <v>1987</v>
      </c>
      <c r="K2070" s="4" t="s">
        <v>10560</v>
      </c>
      <c r="L2070" s="4"/>
    </row>
    <row r="2071">
      <c r="A2071" s="55" t="s">
        <v>10561</v>
      </c>
      <c r="B2071" s="52" t="s">
        <v>6057</v>
      </c>
      <c r="C2071" s="56">
        <v>45860.416666666664</v>
      </c>
      <c r="D2071" s="57" t="s">
        <v>2147</v>
      </c>
      <c r="E2071" s="56">
        <v>45860.625</v>
      </c>
      <c r="F2071" s="52" t="s">
        <v>8880</v>
      </c>
      <c r="G2071" s="4" t="s">
        <v>27</v>
      </c>
      <c r="H2071" s="4" t="s">
        <v>1987</v>
      </c>
      <c r="K2071" s="4" t="s">
        <v>10562</v>
      </c>
      <c r="L2071" s="4" t="s">
        <v>10563</v>
      </c>
    </row>
    <row r="2072">
      <c r="A2072" s="55" t="s">
        <v>10564</v>
      </c>
      <c r="B2072" s="52" t="s">
        <v>5656</v>
      </c>
      <c r="C2072" s="56">
        <v>45860.625</v>
      </c>
      <c r="D2072" s="57" t="s">
        <v>6052</v>
      </c>
      <c r="E2072" s="56">
        <v>45860.708333333336</v>
      </c>
      <c r="F2072" s="52" t="s">
        <v>7424</v>
      </c>
      <c r="G2072" s="4" t="s">
        <v>27</v>
      </c>
      <c r="H2072" s="4" t="s">
        <v>1987</v>
      </c>
      <c r="K2072" s="4" t="s">
        <v>10565</v>
      </c>
      <c r="L2072" s="4" t="s">
        <v>10566</v>
      </c>
    </row>
    <row r="2073">
      <c r="A2073" s="55" t="s">
        <v>10567</v>
      </c>
      <c r="B2073" s="52" t="s">
        <v>5675</v>
      </c>
      <c r="C2073" s="56">
        <v>45860.4375</v>
      </c>
      <c r="D2073" s="57" t="s">
        <v>2154</v>
      </c>
      <c r="E2073" s="56">
        <v>45860.541666666664</v>
      </c>
      <c r="F2073" s="52" t="s">
        <v>10425</v>
      </c>
      <c r="G2073" s="4" t="s">
        <v>110</v>
      </c>
      <c r="H2073" s="4" t="s">
        <v>1987</v>
      </c>
      <c r="K2073" s="4" t="s">
        <v>10568</v>
      </c>
      <c r="L2073" s="4" t="s">
        <v>10427</v>
      </c>
    </row>
    <row r="2074">
      <c r="A2074" s="55"/>
      <c r="B2074" s="52"/>
      <c r="C2074" s="56"/>
      <c r="D2074" s="61"/>
      <c r="E2074" s="56"/>
      <c r="F2074" s="52"/>
      <c r="G2074" s="4"/>
      <c r="H2074" s="4"/>
      <c r="K2074" s="4"/>
      <c r="L2074" s="4"/>
    </row>
    <row r="2075">
      <c r="A2075" s="55" t="s">
        <v>10569</v>
      </c>
      <c r="B2075" s="52" t="s">
        <v>5675</v>
      </c>
      <c r="C2075" s="56">
        <v>45862.333333333336</v>
      </c>
      <c r="D2075" s="57" t="s">
        <v>2200</v>
      </c>
      <c r="E2075" s="56">
        <v>45862.541666666664</v>
      </c>
      <c r="F2075" s="52" t="s">
        <v>10570</v>
      </c>
      <c r="G2075" s="4" t="s">
        <v>110</v>
      </c>
      <c r="H2075" s="4" t="s">
        <v>1987</v>
      </c>
      <c r="K2075" s="4" t="s">
        <v>10571</v>
      </c>
      <c r="L2075" s="4" t="s">
        <v>10572</v>
      </c>
    </row>
    <row r="2076">
      <c r="A2076" s="55" t="s">
        <v>10573</v>
      </c>
      <c r="B2076" s="52" t="s">
        <v>8165</v>
      </c>
      <c r="C2076" s="56">
        <v>45863.333333333336</v>
      </c>
      <c r="D2076" s="57" t="s">
        <v>2147</v>
      </c>
      <c r="E2076" s="56">
        <v>45863.395833333336</v>
      </c>
      <c r="F2076" s="52" t="s">
        <v>10574</v>
      </c>
      <c r="G2076" s="4" t="s">
        <v>110</v>
      </c>
      <c r="H2076" s="4" t="s">
        <v>1987</v>
      </c>
      <c r="K2076" s="4" t="s">
        <v>10575</v>
      </c>
      <c r="L2076" s="4" t="s">
        <v>10576</v>
      </c>
    </row>
    <row r="2077">
      <c r="A2077" s="55" t="s">
        <v>10577</v>
      </c>
      <c r="B2077" s="52" t="s">
        <v>5598</v>
      </c>
      <c r="C2077" s="56">
        <v>45861.333333333336</v>
      </c>
      <c r="D2077" s="57" t="s">
        <v>2147</v>
      </c>
      <c r="E2077" s="56">
        <v>45861.479166666664</v>
      </c>
      <c r="F2077" s="52" t="s">
        <v>10472</v>
      </c>
      <c r="G2077" s="4" t="s">
        <v>1708</v>
      </c>
      <c r="H2077" s="4" t="s">
        <v>1987</v>
      </c>
      <c r="K2077" s="4" t="s">
        <v>10578</v>
      </c>
      <c r="L2077" s="4" t="s">
        <v>10579</v>
      </c>
    </row>
    <row r="2078">
      <c r="A2078" s="55" t="s">
        <v>10580</v>
      </c>
      <c r="B2078" s="52" t="s">
        <v>5656</v>
      </c>
      <c r="C2078" s="56">
        <v>45862.333333333336</v>
      </c>
      <c r="D2078" s="57" t="s">
        <v>6052</v>
      </c>
      <c r="E2078" s="56">
        <v>45862.541666666664</v>
      </c>
      <c r="F2078" s="52" t="s">
        <v>10581</v>
      </c>
      <c r="G2078" s="4" t="s">
        <v>1708</v>
      </c>
      <c r="H2078" s="4" t="s">
        <v>1987</v>
      </c>
      <c r="K2078" s="4"/>
      <c r="L2078" s="4" t="s">
        <v>10582</v>
      </c>
    </row>
    <row r="2079">
      <c r="A2079" s="55" t="s">
        <v>10583</v>
      </c>
      <c r="B2079" s="52" t="s">
        <v>5656</v>
      </c>
      <c r="C2079" s="56">
        <v>45863.333333333336</v>
      </c>
      <c r="D2079" s="57" t="s">
        <v>6052</v>
      </c>
      <c r="E2079" s="56">
        <v>45863.541666666664</v>
      </c>
      <c r="F2079" s="52" t="s">
        <v>10581</v>
      </c>
      <c r="G2079" s="4" t="s">
        <v>1708</v>
      </c>
      <c r="H2079" s="4" t="s">
        <v>1987</v>
      </c>
      <c r="K2079" s="4" t="s">
        <v>10584</v>
      </c>
      <c r="L2079" s="4"/>
    </row>
    <row r="2080">
      <c r="A2080" s="55"/>
      <c r="B2080" s="52"/>
      <c r="C2080" s="56"/>
      <c r="D2080" s="61"/>
      <c r="E2080" s="56"/>
      <c r="F2080" s="52"/>
      <c r="G2080" s="4"/>
      <c r="H2080" s="4"/>
      <c r="K2080" s="4"/>
      <c r="L2080" s="4"/>
    </row>
    <row r="2081">
      <c r="A2081" s="55" t="s">
        <v>10585</v>
      </c>
      <c r="B2081" s="52" t="s">
        <v>5656</v>
      </c>
      <c r="C2081" s="56">
        <v>45866.333333333336</v>
      </c>
      <c r="D2081" s="57" t="s">
        <v>6052</v>
      </c>
      <c r="E2081" s="56">
        <v>45866.479166666664</v>
      </c>
      <c r="F2081" s="52" t="s">
        <v>10581</v>
      </c>
      <c r="G2081" s="4" t="s">
        <v>1708</v>
      </c>
      <c r="H2081" s="4" t="s">
        <v>1987</v>
      </c>
      <c r="K2081" s="4" t="s">
        <v>10586</v>
      </c>
      <c r="L2081" s="4" t="s">
        <v>10587</v>
      </c>
    </row>
    <row r="2082">
      <c r="A2082" s="55" t="s">
        <v>10588</v>
      </c>
      <c r="B2082" s="52" t="s">
        <v>6057</v>
      </c>
      <c r="C2082" s="56">
        <v>45860.833333333336</v>
      </c>
      <c r="D2082" s="57" t="s">
        <v>2147</v>
      </c>
      <c r="E2082" s="56">
        <v>45860.916666666664</v>
      </c>
      <c r="F2082" s="52" t="s">
        <v>10589</v>
      </c>
      <c r="G2082" s="4" t="s">
        <v>27</v>
      </c>
      <c r="H2082" s="4" t="s">
        <v>1987</v>
      </c>
      <c r="K2082" s="4" t="s">
        <v>10590</v>
      </c>
      <c r="L2082" s="4"/>
    </row>
    <row r="2083">
      <c r="A2083" s="55" t="s">
        <v>10591</v>
      </c>
      <c r="B2083" s="52" t="s">
        <v>5656</v>
      </c>
      <c r="C2083" s="56">
        <v>45861.375</v>
      </c>
      <c r="D2083" s="57" t="s">
        <v>2147</v>
      </c>
      <c r="E2083" s="56">
        <v>45861.416666666664</v>
      </c>
      <c r="F2083" s="52" t="s">
        <v>7424</v>
      </c>
      <c r="G2083" s="4" t="s">
        <v>27</v>
      </c>
      <c r="H2083" s="4" t="s">
        <v>1987</v>
      </c>
      <c r="K2083" s="4" t="s">
        <v>10592</v>
      </c>
      <c r="L2083" s="4"/>
    </row>
    <row r="2084">
      <c r="A2084" s="55" t="s">
        <v>10593</v>
      </c>
      <c r="B2084" s="52" t="s">
        <v>5628</v>
      </c>
      <c r="C2084" s="56">
        <v>45863.4375</v>
      </c>
      <c r="D2084" s="57" t="s">
        <v>2147</v>
      </c>
      <c r="E2084" s="56">
        <v>45863.5</v>
      </c>
      <c r="F2084" s="52" t="s">
        <v>9564</v>
      </c>
      <c r="G2084" s="4" t="s">
        <v>110</v>
      </c>
      <c r="H2084" s="4" t="s">
        <v>1991</v>
      </c>
      <c r="K2084" s="4" t="s">
        <v>10594</v>
      </c>
      <c r="L2084" s="4" t="s">
        <v>10595</v>
      </c>
    </row>
    <row r="2085">
      <c r="A2085" s="55" t="s">
        <v>10596</v>
      </c>
      <c r="B2085" s="52" t="s">
        <v>10597</v>
      </c>
      <c r="C2085" s="56">
        <v>45861.479166666664</v>
      </c>
      <c r="D2085" s="61"/>
      <c r="E2085" s="56">
        <v>45861.541666666664</v>
      </c>
      <c r="F2085" s="52" t="s">
        <v>10598</v>
      </c>
      <c r="G2085" s="4" t="s">
        <v>1708</v>
      </c>
      <c r="H2085" s="4" t="s">
        <v>1987</v>
      </c>
      <c r="K2085" s="4" t="s">
        <v>10599</v>
      </c>
      <c r="L2085" s="4" t="s">
        <v>10600</v>
      </c>
    </row>
    <row r="2086">
      <c r="A2086" s="55" t="s">
        <v>10601</v>
      </c>
      <c r="B2086" s="52" t="s">
        <v>1597</v>
      </c>
      <c r="C2086" s="56">
        <v>45862.375</v>
      </c>
      <c r="D2086" s="57" t="s">
        <v>6052</v>
      </c>
      <c r="E2086" s="56">
        <v>45862.75</v>
      </c>
      <c r="F2086" s="52" t="s">
        <v>10199</v>
      </c>
      <c r="G2086" s="4" t="s">
        <v>27</v>
      </c>
      <c r="H2086" s="4" t="s">
        <v>1987</v>
      </c>
      <c r="K2086" s="4" t="s">
        <v>10602</v>
      </c>
      <c r="L2086" s="4" t="s">
        <v>10603</v>
      </c>
    </row>
    <row r="2087">
      <c r="A2087" s="55" t="s">
        <v>10604</v>
      </c>
      <c r="B2087" s="52" t="s">
        <v>6057</v>
      </c>
      <c r="C2087" s="56">
        <v>45861.416666666664</v>
      </c>
      <c r="D2087" s="57" t="s">
        <v>6052</v>
      </c>
      <c r="E2087" s="56">
        <v>45861.645833333336</v>
      </c>
      <c r="F2087" s="52" t="s">
        <v>8536</v>
      </c>
      <c r="G2087" s="4" t="s">
        <v>27</v>
      </c>
      <c r="H2087" s="4" t="s">
        <v>1987</v>
      </c>
      <c r="K2087" s="4"/>
      <c r="L2087" s="4" t="s">
        <v>10605</v>
      </c>
    </row>
    <row r="2088">
      <c r="A2088" s="55" t="s">
        <v>10606</v>
      </c>
      <c r="B2088" s="52" t="s">
        <v>5598</v>
      </c>
      <c r="C2088" s="56">
        <v>45861.645833333336</v>
      </c>
      <c r="D2088" s="57" t="s">
        <v>2200</v>
      </c>
      <c r="E2088" s="56">
        <v>45861.791666666664</v>
      </c>
      <c r="F2088" s="52" t="s">
        <v>5377</v>
      </c>
      <c r="G2088" s="4" t="s">
        <v>27</v>
      </c>
      <c r="H2088" s="4" t="s">
        <v>1987</v>
      </c>
      <c r="K2088" s="4" t="s">
        <v>10607</v>
      </c>
      <c r="L2088" s="4" t="s">
        <v>10608</v>
      </c>
    </row>
    <row r="2089">
      <c r="A2089" s="55" t="s">
        <v>10609</v>
      </c>
      <c r="B2089" s="52" t="s">
        <v>5598</v>
      </c>
      <c r="C2089" s="56">
        <v>45862.604166666664</v>
      </c>
      <c r="D2089" s="57" t="s">
        <v>2148</v>
      </c>
      <c r="E2089" s="56">
        <v>45862.75</v>
      </c>
      <c r="F2089" s="52" t="s">
        <v>10530</v>
      </c>
      <c r="G2089" s="4" t="s">
        <v>135</v>
      </c>
      <c r="H2089" s="4" t="s">
        <v>1987</v>
      </c>
      <c r="K2089" s="4" t="s">
        <v>10531</v>
      </c>
      <c r="L2089" s="4" t="s">
        <v>10610</v>
      </c>
    </row>
    <row r="2090">
      <c r="A2090" s="55" t="s">
        <v>10611</v>
      </c>
      <c r="B2090" s="52" t="s">
        <v>8165</v>
      </c>
      <c r="C2090" s="56">
        <v>45862.5625</v>
      </c>
      <c r="D2090" s="57" t="s">
        <v>2147</v>
      </c>
      <c r="E2090" s="56">
        <v>45862.604166666664</v>
      </c>
      <c r="F2090" s="52" t="s">
        <v>10612</v>
      </c>
      <c r="G2090" s="4" t="s">
        <v>135</v>
      </c>
      <c r="H2090" s="4" t="s">
        <v>1987</v>
      </c>
      <c r="K2090" s="4" t="s">
        <v>10613</v>
      </c>
      <c r="L2090" s="4"/>
    </row>
    <row r="2091">
      <c r="A2091" s="55" t="s">
        <v>10614</v>
      </c>
      <c r="B2091" s="52" t="s">
        <v>5686</v>
      </c>
      <c r="C2091" s="56">
        <v>45866.333333333336</v>
      </c>
      <c r="D2091" s="57" t="s">
        <v>2200</v>
      </c>
      <c r="E2091" s="56">
        <v>45866.541666666664</v>
      </c>
      <c r="F2091" s="52" t="s">
        <v>6048</v>
      </c>
      <c r="G2091" s="4" t="s">
        <v>110</v>
      </c>
      <c r="H2091" s="4" t="s">
        <v>1987</v>
      </c>
      <c r="K2091" s="4" t="s">
        <v>10615</v>
      </c>
      <c r="L2091" s="4"/>
    </row>
    <row r="2092">
      <c r="A2092" s="55" t="s">
        <v>10616</v>
      </c>
      <c r="B2092" s="52" t="s">
        <v>5686</v>
      </c>
      <c r="C2092" s="56">
        <v>45863.395833333336</v>
      </c>
      <c r="D2092" s="57" t="s">
        <v>2147</v>
      </c>
      <c r="E2092" s="56">
        <v>45863.4375</v>
      </c>
      <c r="F2092" s="52" t="s">
        <v>6048</v>
      </c>
      <c r="G2092" s="4" t="s">
        <v>110</v>
      </c>
      <c r="H2092" s="4" t="s">
        <v>1987</v>
      </c>
      <c r="K2092" s="4" t="s">
        <v>10617</v>
      </c>
      <c r="L2092" s="4"/>
    </row>
    <row r="2093">
      <c r="A2093" s="55"/>
      <c r="B2093" s="52"/>
      <c r="C2093" s="56"/>
      <c r="D2093" s="61"/>
      <c r="E2093" s="56"/>
      <c r="F2093" s="52"/>
      <c r="G2093" s="4"/>
      <c r="H2093" s="4"/>
      <c r="K2093" s="4"/>
      <c r="L2093" s="4"/>
    </row>
    <row r="2094">
      <c r="A2094" s="55" t="s">
        <v>10618</v>
      </c>
      <c r="B2094" s="52" t="s">
        <v>5686</v>
      </c>
      <c r="C2094" s="56">
        <v>45867.333333333336</v>
      </c>
      <c r="D2094" s="57" t="s">
        <v>2200</v>
      </c>
      <c r="E2094" s="56">
        <v>45867.541666666664</v>
      </c>
      <c r="F2094" s="52" t="s">
        <v>6048</v>
      </c>
      <c r="G2094" s="4" t="s">
        <v>110</v>
      </c>
      <c r="H2094" s="4" t="s">
        <v>1987</v>
      </c>
      <c r="K2094" s="4" t="s">
        <v>10619</v>
      </c>
      <c r="L2094" s="4"/>
    </row>
    <row r="2095">
      <c r="A2095" s="55" t="s">
        <v>10620</v>
      </c>
      <c r="B2095" s="52" t="s">
        <v>5686</v>
      </c>
      <c r="C2095" s="56">
        <v>45863.5</v>
      </c>
      <c r="D2095" s="57" t="s">
        <v>2147</v>
      </c>
      <c r="E2095" s="56">
        <v>45863.541666666664</v>
      </c>
      <c r="F2095" s="52" t="s">
        <v>6048</v>
      </c>
      <c r="G2095" s="4" t="s">
        <v>110</v>
      </c>
      <c r="H2095" s="4" t="s">
        <v>1987</v>
      </c>
      <c r="K2095" s="4" t="s">
        <v>10621</v>
      </c>
      <c r="L2095" s="4"/>
    </row>
    <row r="2096">
      <c r="A2096" s="55" t="s">
        <v>10622</v>
      </c>
      <c r="B2096" s="52" t="s">
        <v>5686</v>
      </c>
      <c r="C2096" s="56">
        <v>45863.375</v>
      </c>
      <c r="D2096" s="57" t="s">
        <v>6318</v>
      </c>
      <c r="E2096" s="56">
        <v>45863.395833333336</v>
      </c>
      <c r="F2096" s="52" t="s">
        <v>6370</v>
      </c>
      <c r="G2096" s="4" t="s">
        <v>27</v>
      </c>
      <c r="H2096" s="4" t="s">
        <v>1987</v>
      </c>
      <c r="K2096" s="4" t="s">
        <v>10623</v>
      </c>
      <c r="L2096" s="4"/>
    </row>
    <row r="2097">
      <c r="A2097" s="55" t="s">
        <v>10624</v>
      </c>
      <c r="B2097" s="52" t="s">
        <v>5656</v>
      </c>
      <c r="C2097" s="56">
        <v>45863.395833333336</v>
      </c>
      <c r="D2097" s="57" t="s">
        <v>2147</v>
      </c>
      <c r="E2097" s="56">
        <v>45863.458333333336</v>
      </c>
      <c r="F2097" s="52" t="s">
        <v>7400</v>
      </c>
      <c r="G2097" s="4" t="s">
        <v>27</v>
      </c>
      <c r="H2097" s="4" t="s">
        <v>1987</v>
      </c>
      <c r="K2097" s="4" t="s">
        <v>10625</v>
      </c>
      <c r="L2097" s="4"/>
    </row>
    <row r="2098">
      <c r="A2098" s="55" t="s">
        <v>10626</v>
      </c>
      <c r="B2098" s="52" t="s">
        <v>5384</v>
      </c>
      <c r="C2098" s="56">
        <v>45866.5625</v>
      </c>
      <c r="D2098" s="57" t="s">
        <v>2147</v>
      </c>
      <c r="E2098" s="56">
        <v>45866.583333333336</v>
      </c>
      <c r="F2098" s="52" t="s">
        <v>6517</v>
      </c>
      <c r="G2098" s="4" t="s">
        <v>135</v>
      </c>
      <c r="H2098" s="4" t="s">
        <v>1991</v>
      </c>
      <c r="K2098" s="4" t="s">
        <v>10627</v>
      </c>
      <c r="L2098" s="4"/>
    </row>
    <row r="2099">
      <c r="A2099" s="66" t="s">
        <v>10628</v>
      </c>
      <c r="B2099" s="52" t="s">
        <v>6057</v>
      </c>
      <c r="C2099" s="56">
        <v>45863.458333333336</v>
      </c>
      <c r="D2099" s="57" t="s">
        <v>2200</v>
      </c>
      <c r="E2099" s="56">
        <v>45863.791666666664</v>
      </c>
      <c r="F2099" s="52" t="s">
        <v>10629</v>
      </c>
      <c r="G2099" s="4" t="s">
        <v>27</v>
      </c>
      <c r="H2099" s="4" t="s">
        <v>1987</v>
      </c>
      <c r="K2099" s="4" t="s">
        <v>10630</v>
      </c>
      <c r="L2099" s="4" t="s">
        <v>10631</v>
      </c>
    </row>
    <row r="2100">
      <c r="A2100" s="55" t="s">
        <v>10632</v>
      </c>
      <c r="B2100" s="52" t="s">
        <v>6057</v>
      </c>
      <c r="C2100" s="56">
        <v>45862.75</v>
      </c>
      <c r="D2100" s="57" t="s">
        <v>2147</v>
      </c>
      <c r="E2100" s="56">
        <v>45862.791666666664</v>
      </c>
      <c r="F2100" s="52" t="s">
        <v>8880</v>
      </c>
      <c r="G2100" s="4" t="s">
        <v>27</v>
      </c>
      <c r="H2100" s="4" t="s">
        <v>1987</v>
      </c>
      <c r="K2100" s="4"/>
      <c r="L2100" s="4" t="s">
        <v>10633</v>
      </c>
    </row>
    <row r="2101">
      <c r="A2101" s="55" t="s">
        <v>10634</v>
      </c>
      <c r="B2101" s="52" t="s">
        <v>1611</v>
      </c>
      <c r="C2101" s="56">
        <v>45866.458333333336</v>
      </c>
      <c r="D2101" s="57" t="s">
        <v>2154</v>
      </c>
      <c r="E2101" s="56">
        <v>45866.541666666664</v>
      </c>
      <c r="F2101" s="52" t="s">
        <v>1611</v>
      </c>
      <c r="G2101" s="4" t="s">
        <v>27</v>
      </c>
      <c r="H2101" s="4" t="s">
        <v>1987</v>
      </c>
      <c r="K2101" s="4" t="s">
        <v>10635</v>
      </c>
      <c r="L2101" s="4"/>
    </row>
    <row r="2102">
      <c r="A2102" s="55" t="s">
        <v>10636</v>
      </c>
      <c r="B2102" s="52" t="s">
        <v>1611</v>
      </c>
      <c r="C2102" s="56">
        <v>45866.479166666664</v>
      </c>
      <c r="D2102" s="57" t="s">
        <v>2147</v>
      </c>
      <c r="E2102" s="56">
        <v>45866.541666666664</v>
      </c>
      <c r="F2102" s="52" t="s">
        <v>1611</v>
      </c>
      <c r="G2102" s="4" t="s">
        <v>1708</v>
      </c>
      <c r="H2102" s="4" t="s">
        <v>1987</v>
      </c>
      <c r="K2102" s="4" t="s">
        <v>10637</v>
      </c>
      <c r="L2102" s="4"/>
    </row>
    <row r="2103">
      <c r="A2103" s="55" t="s">
        <v>10638</v>
      </c>
      <c r="B2103" s="52" t="s">
        <v>1611</v>
      </c>
      <c r="C2103" s="56">
        <v>45867.333333333336</v>
      </c>
      <c r="D2103" s="57" t="s">
        <v>2147</v>
      </c>
      <c r="E2103" s="56">
        <v>45867.541666666664</v>
      </c>
      <c r="F2103" s="52" t="s">
        <v>10639</v>
      </c>
      <c r="G2103" s="4" t="s">
        <v>1708</v>
      </c>
      <c r="H2103" s="4" t="s">
        <v>1987</v>
      </c>
      <c r="K2103" s="4" t="s">
        <v>10640</v>
      </c>
      <c r="L2103" s="4"/>
    </row>
    <row r="2104">
      <c r="A2104" s="55" t="s">
        <v>10641</v>
      </c>
      <c r="B2104" s="52" t="s">
        <v>1611</v>
      </c>
      <c r="C2104" s="56">
        <v>45868.333333333336</v>
      </c>
      <c r="D2104" s="57" t="s">
        <v>2147</v>
      </c>
      <c r="E2104" s="56">
        <v>45868.541666666664</v>
      </c>
      <c r="F2104" s="52" t="s">
        <v>10639</v>
      </c>
      <c r="G2104" s="4" t="s">
        <v>1708</v>
      </c>
      <c r="H2104" s="4" t="s">
        <v>1987</v>
      </c>
      <c r="K2104" s="4" t="s">
        <v>10642</v>
      </c>
      <c r="L2104" s="4"/>
    </row>
    <row r="2105">
      <c r="A2105" s="55" t="s">
        <v>10643</v>
      </c>
      <c r="B2105" s="52" t="s">
        <v>1611</v>
      </c>
      <c r="C2105" s="56">
        <v>45869.333333333336</v>
      </c>
      <c r="D2105" s="57" t="s">
        <v>2147</v>
      </c>
      <c r="E2105" s="56">
        <v>45869.541666666664</v>
      </c>
      <c r="F2105" s="52" t="s">
        <v>10639</v>
      </c>
      <c r="G2105" s="4" t="s">
        <v>1708</v>
      </c>
      <c r="H2105" s="4" t="s">
        <v>1987</v>
      </c>
      <c r="K2105" s="4" t="s">
        <v>10644</v>
      </c>
      <c r="L2105" s="4"/>
    </row>
    <row r="2106">
      <c r="A2106" s="55" t="s">
        <v>10645</v>
      </c>
      <c r="B2106" s="52" t="s">
        <v>1611</v>
      </c>
      <c r="C2106" s="56">
        <v>45870.333333333336</v>
      </c>
      <c r="D2106" s="57" t="s">
        <v>2147</v>
      </c>
      <c r="E2106" s="56">
        <v>45870.541666666664</v>
      </c>
      <c r="F2106" s="52" t="s">
        <v>10639</v>
      </c>
      <c r="G2106" s="4" t="s">
        <v>1708</v>
      </c>
      <c r="H2106" s="4" t="s">
        <v>1987</v>
      </c>
      <c r="K2106" s="4" t="s">
        <v>10646</v>
      </c>
      <c r="L2106" s="4"/>
    </row>
    <row r="2107">
      <c r="A2107" s="55"/>
      <c r="B2107" s="52"/>
      <c r="C2107" s="56"/>
      <c r="D2107" s="61"/>
      <c r="E2107" s="56"/>
      <c r="F2107" s="52"/>
      <c r="G2107" s="4"/>
      <c r="H2107" s="4"/>
      <c r="K2107" s="4"/>
      <c r="L2107" s="4"/>
    </row>
    <row r="2108">
      <c r="A2108" s="55" t="s">
        <v>10647</v>
      </c>
      <c r="B2108" s="52" t="s">
        <v>5384</v>
      </c>
      <c r="C2108" s="56">
        <v>45870.5625</v>
      </c>
      <c r="D2108" s="57" t="s">
        <v>6052</v>
      </c>
      <c r="E2108" s="56">
        <v>45870.770833333336</v>
      </c>
      <c r="F2108" s="52" t="s">
        <v>10648</v>
      </c>
      <c r="G2108" s="4" t="s">
        <v>135</v>
      </c>
      <c r="H2108" s="4" t="s">
        <v>1991</v>
      </c>
      <c r="K2108" s="4" t="s">
        <v>10649</v>
      </c>
      <c r="L2108" s="4" t="s">
        <v>10650</v>
      </c>
    </row>
    <row r="2109">
      <c r="A2109" s="55" t="s">
        <v>10651</v>
      </c>
      <c r="B2109" s="52" t="s">
        <v>5384</v>
      </c>
      <c r="C2109" s="56">
        <v>45873.5625</v>
      </c>
      <c r="D2109" s="57" t="s">
        <v>6052</v>
      </c>
      <c r="E2109" s="56">
        <v>45873.729166666664</v>
      </c>
      <c r="F2109" s="52" t="s">
        <v>10652</v>
      </c>
      <c r="G2109" s="4" t="s">
        <v>135</v>
      </c>
      <c r="H2109" s="4" t="s">
        <v>1987</v>
      </c>
      <c r="K2109" s="4"/>
      <c r="L2109" s="4" t="s">
        <v>10653</v>
      </c>
    </row>
    <row r="2110">
      <c r="A2110" s="55" t="s">
        <v>10654</v>
      </c>
      <c r="B2110" s="52" t="s">
        <v>1617</v>
      </c>
      <c r="C2110" s="56">
        <v>45874.552083333336</v>
      </c>
      <c r="D2110" s="57" t="s">
        <v>6052</v>
      </c>
      <c r="E2110" s="56">
        <v>45874.770833333336</v>
      </c>
      <c r="F2110" s="52" t="s">
        <v>10655</v>
      </c>
      <c r="G2110" s="4" t="s">
        <v>135</v>
      </c>
      <c r="H2110" s="4" t="s">
        <v>1987</v>
      </c>
      <c r="K2110" s="4" t="s">
        <v>10656</v>
      </c>
      <c r="L2110" s="4" t="s">
        <v>10657</v>
      </c>
    </row>
    <row r="2111">
      <c r="A2111" s="55" t="s">
        <v>10658</v>
      </c>
      <c r="B2111" s="52" t="s">
        <v>1597</v>
      </c>
      <c r="C2111" s="56">
        <v>45866.541666666664</v>
      </c>
      <c r="D2111" s="57" t="s">
        <v>2148</v>
      </c>
      <c r="E2111" s="56">
        <v>45866.708333333336</v>
      </c>
      <c r="F2111" s="52" t="s">
        <v>10659</v>
      </c>
      <c r="G2111" s="4" t="s">
        <v>27</v>
      </c>
      <c r="H2111" s="4" t="s">
        <v>1987</v>
      </c>
      <c r="K2111" s="4" t="s">
        <v>10660</v>
      </c>
      <c r="L2111" s="4"/>
    </row>
    <row r="2112">
      <c r="A2112" s="55" t="s">
        <v>10661</v>
      </c>
      <c r="B2112" s="52" t="s">
        <v>6057</v>
      </c>
      <c r="C2112" s="56">
        <v>45867.416666666664</v>
      </c>
      <c r="D2112" s="57" t="s">
        <v>2154</v>
      </c>
      <c r="E2112" s="56">
        <v>45867.5</v>
      </c>
      <c r="F2112" s="52" t="s">
        <v>8880</v>
      </c>
      <c r="G2112" s="4" t="s">
        <v>27</v>
      </c>
      <c r="H2112" s="4" t="s">
        <v>1987</v>
      </c>
      <c r="K2112" s="4" t="s">
        <v>10662</v>
      </c>
      <c r="L2112" s="4"/>
    </row>
    <row r="2113">
      <c r="A2113" s="55" t="s">
        <v>10663</v>
      </c>
      <c r="B2113" s="52" t="s">
        <v>6057</v>
      </c>
      <c r="C2113" s="56">
        <v>45866.375</v>
      </c>
      <c r="D2113" s="57" t="s">
        <v>2154</v>
      </c>
      <c r="E2113" s="56">
        <v>45866.458333333336</v>
      </c>
      <c r="F2113" s="52" t="s">
        <v>8880</v>
      </c>
      <c r="G2113" s="4" t="s">
        <v>27</v>
      </c>
      <c r="H2113" s="4" t="s">
        <v>1987</v>
      </c>
      <c r="K2113" s="4" t="s">
        <v>10662</v>
      </c>
      <c r="L2113" s="4" t="s">
        <v>10664</v>
      </c>
    </row>
    <row r="2114">
      <c r="A2114" s="55" t="s">
        <v>10665</v>
      </c>
      <c r="B2114" s="52" t="s">
        <v>6057</v>
      </c>
      <c r="C2114" s="56">
        <v>45866.708333333336</v>
      </c>
      <c r="D2114" s="57" t="s">
        <v>2154</v>
      </c>
      <c r="E2114" s="56">
        <v>45866.916666666664</v>
      </c>
      <c r="F2114" s="52" t="s">
        <v>8880</v>
      </c>
      <c r="G2114" s="4" t="s">
        <v>27</v>
      </c>
      <c r="H2114" s="4" t="s">
        <v>1987</v>
      </c>
      <c r="K2114" s="4" t="s">
        <v>10666</v>
      </c>
      <c r="L2114" s="4" t="s">
        <v>10664</v>
      </c>
    </row>
    <row r="2115">
      <c r="A2115" s="55" t="s">
        <v>10667</v>
      </c>
      <c r="B2115" s="52" t="s">
        <v>1597</v>
      </c>
      <c r="C2115" s="56">
        <v>45869.583333333336</v>
      </c>
      <c r="D2115" s="57" t="s">
        <v>2147</v>
      </c>
      <c r="E2115" s="56">
        <v>45869.625</v>
      </c>
      <c r="F2115" s="52" t="s">
        <v>10668</v>
      </c>
      <c r="G2115" s="4" t="s">
        <v>27</v>
      </c>
      <c r="H2115" s="4" t="s">
        <v>1991</v>
      </c>
      <c r="K2115" s="4" t="s">
        <v>10669</v>
      </c>
      <c r="L2115" s="4"/>
    </row>
    <row r="2116">
      <c r="A2116" s="55" t="s">
        <v>10670</v>
      </c>
      <c r="B2116" s="52" t="s">
        <v>5686</v>
      </c>
      <c r="C2116" s="56">
        <v>45868.333333333336</v>
      </c>
      <c r="D2116" s="57" t="s">
        <v>2200</v>
      </c>
      <c r="E2116" s="56">
        <v>45868.541666666664</v>
      </c>
      <c r="F2116" s="52" t="s">
        <v>6048</v>
      </c>
      <c r="G2116" s="4" t="s">
        <v>110</v>
      </c>
      <c r="H2116" s="4" t="s">
        <v>1987</v>
      </c>
      <c r="K2116" s="4" t="s">
        <v>10671</v>
      </c>
      <c r="L2116" s="4"/>
    </row>
    <row r="2117">
      <c r="A2117" s="55" t="s">
        <v>10672</v>
      </c>
      <c r="B2117" s="52" t="s">
        <v>5598</v>
      </c>
      <c r="C2117" s="56">
        <v>45866.583333333336</v>
      </c>
      <c r="D2117" s="57" t="s">
        <v>2147</v>
      </c>
      <c r="E2117" s="56">
        <v>45866.625</v>
      </c>
      <c r="F2117" s="52" t="s">
        <v>8733</v>
      </c>
      <c r="G2117" s="4" t="s">
        <v>135</v>
      </c>
      <c r="H2117" s="4" t="s">
        <v>1987</v>
      </c>
      <c r="K2117" s="4" t="s">
        <v>10673</v>
      </c>
      <c r="L2117" s="4"/>
    </row>
    <row r="2118">
      <c r="A2118" s="55" t="s">
        <v>10674</v>
      </c>
      <c r="B2118" s="52" t="s">
        <v>5598</v>
      </c>
      <c r="C2118" s="56">
        <v>45867.5625</v>
      </c>
      <c r="D2118" s="57" t="s">
        <v>2147</v>
      </c>
      <c r="E2118" s="56">
        <v>45867.583333333336</v>
      </c>
      <c r="F2118" s="52" t="s">
        <v>8733</v>
      </c>
      <c r="G2118" s="4" t="s">
        <v>135</v>
      </c>
      <c r="H2118" s="4" t="s">
        <v>1987</v>
      </c>
      <c r="K2118" s="4" t="s">
        <v>10675</v>
      </c>
      <c r="L2118" s="4"/>
    </row>
    <row r="2119">
      <c r="A2119" s="55" t="s">
        <v>10676</v>
      </c>
      <c r="B2119" s="52" t="s">
        <v>5656</v>
      </c>
      <c r="C2119" s="56">
        <v>45867.5</v>
      </c>
      <c r="D2119" s="57" t="s">
        <v>2200</v>
      </c>
      <c r="E2119" s="56">
        <v>45867.708333333336</v>
      </c>
      <c r="F2119" s="52" t="s">
        <v>7424</v>
      </c>
      <c r="G2119" s="4" t="s">
        <v>27</v>
      </c>
      <c r="H2119" s="4" t="s">
        <v>1987</v>
      </c>
      <c r="K2119" s="4" t="s">
        <v>10677</v>
      </c>
      <c r="L2119" s="4" t="s">
        <v>10678</v>
      </c>
    </row>
    <row r="2120">
      <c r="A2120" s="55"/>
      <c r="B2120" s="52"/>
      <c r="C2120" s="56"/>
      <c r="D2120" s="61"/>
      <c r="E2120" s="56"/>
      <c r="F2120" s="52"/>
      <c r="G2120" s="4"/>
      <c r="H2120" s="4"/>
      <c r="K2120" s="4"/>
      <c r="L2120" s="4"/>
    </row>
    <row r="2121">
      <c r="A2121" s="55"/>
      <c r="B2121" s="52"/>
      <c r="C2121" s="56"/>
      <c r="D2121" s="61"/>
      <c r="E2121" s="56"/>
      <c r="F2121" s="52"/>
      <c r="G2121" s="4"/>
      <c r="H2121" s="4"/>
      <c r="K2121" s="4"/>
      <c r="L2121" s="4"/>
    </row>
    <row r="2122">
      <c r="A2122" s="55"/>
      <c r="B2122" s="52"/>
      <c r="C2122" s="56"/>
      <c r="D2122" s="61"/>
      <c r="E2122" s="56"/>
      <c r="F2122" s="52"/>
      <c r="G2122" s="4"/>
      <c r="H2122" s="4"/>
      <c r="K2122" s="4"/>
      <c r="L2122" s="4"/>
    </row>
    <row r="2123">
      <c r="A2123" s="55"/>
      <c r="B2123" s="52"/>
      <c r="C2123" s="56"/>
      <c r="D2123" s="61"/>
      <c r="E2123" s="56"/>
      <c r="F2123" s="52"/>
      <c r="G2123" s="4"/>
      <c r="H2123" s="4"/>
      <c r="K2123" s="4"/>
      <c r="L2123" s="4"/>
    </row>
    <row r="2124">
      <c r="A2124" s="55" t="s">
        <v>10679</v>
      </c>
      <c r="B2124" s="52" t="s">
        <v>5647</v>
      </c>
      <c r="C2124" s="56">
        <v>45870.333333333336</v>
      </c>
      <c r="D2124" s="57" t="s">
        <v>6052</v>
      </c>
      <c r="E2124" s="56">
        <v>45870.541666666664</v>
      </c>
      <c r="F2124" s="52" t="s">
        <v>9803</v>
      </c>
      <c r="G2124" s="4" t="s">
        <v>110</v>
      </c>
      <c r="H2124" s="4" t="s">
        <v>1987</v>
      </c>
      <c r="K2124" s="4" t="s">
        <v>10680</v>
      </c>
      <c r="L2124" s="4"/>
    </row>
    <row r="2125">
      <c r="A2125" s="55" t="s">
        <v>10681</v>
      </c>
      <c r="B2125" s="52" t="s">
        <v>6057</v>
      </c>
      <c r="C2125" s="56">
        <v>45868.37569444445</v>
      </c>
      <c r="D2125" s="57" t="s">
        <v>6052</v>
      </c>
      <c r="E2125" s="56">
        <v>45868.791666666664</v>
      </c>
      <c r="F2125" s="52" t="s">
        <v>6057</v>
      </c>
      <c r="G2125" s="4" t="s">
        <v>27</v>
      </c>
      <c r="H2125" s="4" t="s">
        <v>1987</v>
      </c>
      <c r="K2125" s="4" t="s">
        <v>10682</v>
      </c>
      <c r="L2125" s="4"/>
    </row>
    <row r="2126">
      <c r="A2126" s="55" t="s">
        <v>10683</v>
      </c>
      <c r="B2126" s="52" t="s">
        <v>6057</v>
      </c>
      <c r="C2126" s="56">
        <v>45869.354166666664</v>
      </c>
      <c r="D2126" s="57" t="s">
        <v>6318</v>
      </c>
      <c r="E2126" s="56">
        <v>45869.375</v>
      </c>
      <c r="F2126" s="52" t="s">
        <v>8536</v>
      </c>
      <c r="G2126" s="4" t="s">
        <v>27</v>
      </c>
      <c r="H2126" s="4" t="s">
        <v>1987</v>
      </c>
      <c r="K2126" s="4" t="s">
        <v>10684</v>
      </c>
      <c r="L2126" s="4" t="s">
        <v>10685</v>
      </c>
    </row>
    <row r="2127">
      <c r="A2127" s="55" t="s">
        <v>10686</v>
      </c>
      <c r="B2127" s="52" t="s">
        <v>5596</v>
      </c>
      <c r="C2127" s="56">
        <v>45869.333333333336</v>
      </c>
      <c r="D2127" s="57" t="s">
        <v>2147</v>
      </c>
      <c r="E2127" s="56">
        <v>45869.541666666664</v>
      </c>
      <c r="F2127" s="52" t="s">
        <v>10687</v>
      </c>
      <c r="G2127" s="4" t="s">
        <v>110</v>
      </c>
      <c r="H2127" s="4" t="s">
        <v>1987</v>
      </c>
      <c r="K2127" s="4" t="s">
        <v>10688</v>
      </c>
      <c r="L2127" s="4" t="s">
        <v>10689</v>
      </c>
    </row>
    <row r="2128">
      <c r="A2128" s="66" t="s">
        <v>10690</v>
      </c>
      <c r="B2128" s="52" t="s">
        <v>5647</v>
      </c>
      <c r="C2128" s="56">
        <v>45873.333333333336</v>
      </c>
      <c r="D2128" s="57" t="s">
        <v>6052</v>
      </c>
      <c r="E2128" s="56">
        <v>45873.541666666664</v>
      </c>
      <c r="F2128" s="52" t="s">
        <v>9803</v>
      </c>
      <c r="G2128" s="4" t="s">
        <v>110</v>
      </c>
      <c r="H2128" s="4" t="s">
        <v>1987</v>
      </c>
      <c r="K2128" s="4" t="s">
        <v>10691</v>
      </c>
      <c r="L2128" s="4"/>
    </row>
    <row r="2129">
      <c r="A2129" s="55" t="s">
        <v>10692</v>
      </c>
      <c r="B2129" s="52" t="s">
        <v>5647</v>
      </c>
      <c r="C2129" s="56">
        <v>45874.333333333336</v>
      </c>
      <c r="D2129" s="57" t="s">
        <v>6052</v>
      </c>
      <c r="E2129" s="56">
        <v>45874.541666666664</v>
      </c>
      <c r="F2129" s="52" t="s">
        <v>9803</v>
      </c>
      <c r="G2129" s="4" t="s">
        <v>110</v>
      </c>
      <c r="H2129" s="4" t="s">
        <v>1987</v>
      </c>
      <c r="K2129" s="4" t="s">
        <v>10693</v>
      </c>
      <c r="L2129" s="4"/>
    </row>
    <row r="2130">
      <c r="A2130" s="55"/>
      <c r="B2130" s="52"/>
      <c r="C2130" s="56"/>
      <c r="D2130" s="61"/>
      <c r="E2130" s="56"/>
      <c r="F2130" s="52"/>
      <c r="G2130" s="4"/>
      <c r="H2130" s="4"/>
      <c r="K2130" s="4"/>
      <c r="L2130" s="4"/>
    </row>
    <row r="2131">
      <c r="A2131" s="55" t="s">
        <v>10694</v>
      </c>
      <c r="B2131" s="52" t="s">
        <v>5647</v>
      </c>
      <c r="C2131" s="56">
        <v>45869.395833333336</v>
      </c>
      <c r="D2131" s="57" t="s">
        <v>2147</v>
      </c>
      <c r="E2131" s="56">
        <v>45869.4375</v>
      </c>
      <c r="F2131" s="52" t="s">
        <v>7279</v>
      </c>
      <c r="G2131" s="4" t="s">
        <v>27</v>
      </c>
      <c r="H2131" s="4" t="s">
        <v>1987</v>
      </c>
      <c r="K2131" s="4"/>
      <c r="L2131" s="4" t="s">
        <v>10695</v>
      </c>
    </row>
    <row r="2132">
      <c r="A2132" s="55" t="s">
        <v>10696</v>
      </c>
      <c r="B2132" s="52" t="s">
        <v>5598</v>
      </c>
      <c r="C2132" s="56">
        <v>45868.5625</v>
      </c>
      <c r="D2132" s="57" t="s">
        <v>2147</v>
      </c>
      <c r="E2132" s="56">
        <v>45868.604166666664</v>
      </c>
      <c r="F2132" s="52" t="s">
        <v>8733</v>
      </c>
      <c r="G2132" s="4" t="s">
        <v>135</v>
      </c>
      <c r="H2132" s="4" t="s">
        <v>1987</v>
      </c>
      <c r="K2132" s="4" t="s">
        <v>10697</v>
      </c>
      <c r="L2132" s="4"/>
    </row>
    <row r="2133">
      <c r="A2133" s="55" t="s">
        <v>10698</v>
      </c>
      <c r="B2133" s="52" t="s">
        <v>8165</v>
      </c>
      <c r="C2133" s="56">
        <v>45868.604166666664</v>
      </c>
      <c r="D2133" s="57" t="s">
        <v>2147</v>
      </c>
      <c r="E2133" s="56">
        <v>45868.666666666664</v>
      </c>
      <c r="F2133" s="52" t="s">
        <v>10699</v>
      </c>
      <c r="G2133" s="4" t="s">
        <v>135</v>
      </c>
      <c r="H2133" s="4" t="s">
        <v>1987</v>
      </c>
      <c r="K2133" s="4" t="s">
        <v>10700</v>
      </c>
      <c r="L2133" s="4"/>
    </row>
    <row r="2134">
      <c r="A2134" s="55" t="s">
        <v>10701</v>
      </c>
      <c r="B2134" s="52" t="s">
        <v>5384</v>
      </c>
      <c r="C2134" s="56">
        <v>45869.666666666664</v>
      </c>
      <c r="D2134" s="57" t="s">
        <v>6052</v>
      </c>
      <c r="E2134" s="56">
        <v>45869.770833333336</v>
      </c>
      <c r="F2134" s="52" t="s">
        <v>10702</v>
      </c>
      <c r="G2134" s="4" t="s">
        <v>135</v>
      </c>
      <c r="H2134" s="4" t="s">
        <v>1987</v>
      </c>
      <c r="K2134" s="4" t="s">
        <v>10703</v>
      </c>
      <c r="L2134" s="4" t="s">
        <v>10704</v>
      </c>
    </row>
    <row r="2135">
      <c r="A2135" s="55" t="s">
        <v>10705</v>
      </c>
      <c r="B2135" s="52" t="s">
        <v>8165</v>
      </c>
      <c r="C2135" s="56">
        <v>45869.5625</v>
      </c>
      <c r="D2135" s="57" t="s">
        <v>2147</v>
      </c>
      <c r="E2135" s="56">
        <v>45869.666666666664</v>
      </c>
      <c r="F2135" s="52" t="s">
        <v>8733</v>
      </c>
      <c r="G2135" s="4" t="s">
        <v>135</v>
      </c>
      <c r="H2135" s="4" t="s">
        <v>1987</v>
      </c>
      <c r="K2135" s="4" t="s">
        <v>10706</v>
      </c>
      <c r="L2135" s="4"/>
    </row>
    <row r="2136">
      <c r="A2136" s="55" t="s">
        <v>10707</v>
      </c>
      <c r="B2136" s="52" t="s">
        <v>1611</v>
      </c>
      <c r="C2136" s="56">
        <v>45870.40972222222</v>
      </c>
      <c r="D2136" s="57" t="s">
        <v>2147</v>
      </c>
      <c r="E2136" s="56">
        <v>45870.45138888889</v>
      </c>
      <c r="F2136" s="52" t="s">
        <v>10708</v>
      </c>
      <c r="G2136" s="4" t="s">
        <v>27</v>
      </c>
      <c r="H2136" s="4" t="s">
        <v>1987</v>
      </c>
      <c r="K2136" s="4" t="s">
        <v>10709</v>
      </c>
      <c r="L2136" s="4"/>
    </row>
    <row r="2137">
      <c r="A2137" s="55" t="s">
        <v>10710</v>
      </c>
      <c r="B2137" s="52" t="s">
        <v>1611</v>
      </c>
      <c r="C2137" s="56">
        <v>45873.333333333336</v>
      </c>
      <c r="D2137" s="57" t="s">
        <v>2147</v>
      </c>
      <c r="E2137" s="56">
        <v>45873.541666666664</v>
      </c>
      <c r="F2137" s="52" t="s">
        <v>10639</v>
      </c>
      <c r="G2137" s="4" t="s">
        <v>1708</v>
      </c>
      <c r="H2137" s="4" t="s">
        <v>1987</v>
      </c>
      <c r="K2137" s="4" t="s">
        <v>10711</v>
      </c>
      <c r="L2137" s="4"/>
    </row>
    <row r="2138">
      <c r="A2138" s="55" t="s">
        <v>10712</v>
      </c>
      <c r="B2138" s="52" t="s">
        <v>1611</v>
      </c>
      <c r="C2138" s="56">
        <v>45874.333333333336</v>
      </c>
      <c r="D2138" s="57" t="s">
        <v>6052</v>
      </c>
      <c r="E2138" s="56">
        <v>45874.541666666664</v>
      </c>
      <c r="F2138" s="52" t="s">
        <v>10639</v>
      </c>
      <c r="G2138" s="4" t="s">
        <v>1708</v>
      </c>
      <c r="H2138" s="4" t="s">
        <v>1987</v>
      </c>
      <c r="K2138" s="4" t="s">
        <v>10713</v>
      </c>
      <c r="L2138" s="4" t="s">
        <v>10714</v>
      </c>
    </row>
    <row r="2139">
      <c r="A2139" s="55" t="s">
        <v>10715</v>
      </c>
      <c r="B2139" s="52" t="s">
        <v>5656</v>
      </c>
      <c r="C2139" s="56">
        <v>45870.583333333336</v>
      </c>
      <c r="D2139" s="57" t="s">
        <v>2147</v>
      </c>
      <c r="E2139" s="56">
        <v>45870.625</v>
      </c>
      <c r="F2139" s="52" t="s">
        <v>10716</v>
      </c>
      <c r="G2139" s="4" t="s">
        <v>27</v>
      </c>
      <c r="H2139" s="4" t="s">
        <v>1991</v>
      </c>
      <c r="K2139" s="4" t="s">
        <v>10717</v>
      </c>
      <c r="L2139" s="4" t="s">
        <v>10718</v>
      </c>
    </row>
    <row r="2140">
      <c r="A2140" s="55"/>
      <c r="B2140" s="52"/>
      <c r="C2140" s="56"/>
      <c r="D2140" s="61"/>
      <c r="E2140" s="56"/>
      <c r="F2140" s="52"/>
      <c r="G2140" s="4"/>
      <c r="H2140" s="4"/>
      <c r="K2140" s="4"/>
      <c r="L2140" s="4"/>
    </row>
    <row r="2141">
      <c r="A2141" s="55"/>
      <c r="B2141" s="52"/>
      <c r="C2141" s="56"/>
      <c r="D2141" s="61"/>
      <c r="E2141" s="56"/>
      <c r="F2141" s="52"/>
      <c r="G2141" s="4"/>
      <c r="H2141" s="4"/>
      <c r="K2141" s="4"/>
      <c r="L2141" s="4"/>
    </row>
    <row r="2142">
      <c r="A2142" s="55" t="s">
        <v>10719</v>
      </c>
      <c r="B2142" s="52" t="s">
        <v>5675</v>
      </c>
      <c r="C2142" s="56">
        <v>45874.6875</v>
      </c>
      <c r="D2142" s="57" t="s">
        <v>2147</v>
      </c>
      <c r="E2142" s="56">
        <v>45874.770833333336</v>
      </c>
      <c r="F2142" s="52" t="s">
        <v>9183</v>
      </c>
      <c r="G2142" s="4" t="s">
        <v>27</v>
      </c>
      <c r="H2142" s="4" t="s">
        <v>1991</v>
      </c>
      <c r="K2142" s="4" t="s">
        <v>10720</v>
      </c>
      <c r="L2142" s="4" t="s">
        <v>10721</v>
      </c>
    </row>
    <row r="2143">
      <c r="A2143" s="55" t="s">
        <v>10722</v>
      </c>
      <c r="B2143" s="52" t="s">
        <v>5647</v>
      </c>
      <c r="C2143" s="56">
        <v>45875.333333333336</v>
      </c>
      <c r="D2143" s="57" t="s">
        <v>2147</v>
      </c>
      <c r="E2143" s="56">
        <v>45875.5</v>
      </c>
      <c r="F2143" s="52" t="s">
        <v>10723</v>
      </c>
      <c r="G2143" s="4" t="s">
        <v>110</v>
      </c>
      <c r="H2143" s="4" t="s">
        <v>1991</v>
      </c>
      <c r="K2143" s="4" t="s">
        <v>10724</v>
      </c>
      <c r="L2143" s="4" t="s">
        <v>10725</v>
      </c>
    </row>
    <row r="2144">
      <c r="A2144" s="68" t="s">
        <v>10726</v>
      </c>
      <c r="B2144" s="69" t="s">
        <v>5675</v>
      </c>
      <c r="C2144" s="70">
        <v>45870.0</v>
      </c>
      <c r="D2144" s="71"/>
      <c r="E2144" s="70">
        <v>45870.083333333336</v>
      </c>
      <c r="F2144" s="69" t="s">
        <v>10321</v>
      </c>
      <c r="G2144" s="72" t="s">
        <v>5795</v>
      </c>
      <c r="H2144" s="4"/>
      <c r="K2144" s="4"/>
      <c r="L2144" s="4"/>
    </row>
    <row r="2145">
      <c r="A2145" s="68" t="s">
        <v>10727</v>
      </c>
      <c r="B2145" s="69" t="s">
        <v>5384</v>
      </c>
      <c r="C2145" s="70">
        <v>45870.0</v>
      </c>
      <c r="D2145" s="71"/>
      <c r="E2145" s="70">
        <v>45870.166666666664</v>
      </c>
      <c r="F2145" s="69" t="s">
        <v>10321</v>
      </c>
      <c r="G2145" s="72" t="s">
        <v>5795</v>
      </c>
      <c r="H2145" s="4"/>
      <c r="K2145" s="4"/>
      <c r="L2145" s="4"/>
    </row>
    <row r="2146">
      <c r="A2146" s="68" t="s">
        <v>10728</v>
      </c>
      <c r="B2146" s="69" t="s">
        <v>5598</v>
      </c>
      <c r="C2146" s="70">
        <v>45870.0</v>
      </c>
      <c r="D2146" s="71"/>
      <c r="E2146" s="70">
        <v>45870.333333333336</v>
      </c>
      <c r="F2146" s="69" t="s">
        <v>10321</v>
      </c>
      <c r="G2146" s="72" t="s">
        <v>5795</v>
      </c>
      <c r="H2146" s="4"/>
      <c r="K2146" s="4"/>
      <c r="L2146" s="4"/>
    </row>
    <row r="2147">
      <c r="A2147" s="68" t="s">
        <v>10729</v>
      </c>
      <c r="B2147" s="69" t="s">
        <v>5537</v>
      </c>
      <c r="C2147" s="70">
        <v>45870.0</v>
      </c>
      <c r="D2147" s="71"/>
      <c r="E2147" s="70">
        <v>45870.083333333336</v>
      </c>
      <c r="F2147" s="69" t="s">
        <v>10321</v>
      </c>
      <c r="G2147" s="72" t="s">
        <v>5795</v>
      </c>
      <c r="H2147" s="4"/>
      <c r="K2147" s="4"/>
      <c r="L2147" s="4"/>
    </row>
    <row r="2148">
      <c r="A2148" s="68" t="s">
        <v>10730</v>
      </c>
      <c r="B2148" s="69" t="s">
        <v>5619</v>
      </c>
      <c r="C2148" s="70">
        <v>45870.0</v>
      </c>
      <c r="D2148" s="71"/>
      <c r="E2148" s="70">
        <v>45870.083333333336</v>
      </c>
      <c r="F2148" s="69" t="s">
        <v>10321</v>
      </c>
      <c r="G2148" s="72" t="s">
        <v>5795</v>
      </c>
      <c r="H2148" s="4"/>
      <c r="K2148" s="4"/>
      <c r="L2148" s="4"/>
    </row>
    <row r="2149">
      <c r="A2149" s="68" t="s">
        <v>10731</v>
      </c>
      <c r="B2149" s="69" t="s">
        <v>5656</v>
      </c>
      <c r="C2149" s="75">
        <v>45870.0</v>
      </c>
      <c r="D2149" s="74"/>
      <c r="E2149" s="75">
        <v>45870.5</v>
      </c>
      <c r="F2149" s="69" t="s">
        <v>10321</v>
      </c>
      <c r="G2149" s="72" t="s">
        <v>5795</v>
      </c>
      <c r="H2149" s="4"/>
      <c r="K2149" s="4"/>
      <c r="L2149" s="4"/>
    </row>
    <row r="2150">
      <c r="A2150" s="68" t="s">
        <v>10732</v>
      </c>
      <c r="B2150" s="69" t="s">
        <v>1540</v>
      </c>
      <c r="C2150" s="75">
        <v>45870.0</v>
      </c>
      <c r="D2150" s="74"/>
      <c r="E2150" s="75">
        <v>45870.041666666664</v>
      </c>
      <c r="F2150" s="69" t="s">
        <v>10321</v>
      </c>
      <c r="G2150" s="72" t="s">
        <v>5795</v>
      </c>
      <c r="H2150" s="4"/>
      <c r="K2150" s="4"/>
      <c r="L2150" s="4"/>
    </row>
    <row r="2151">
      <c r="A2151" s="55" t="s">
        <v>10733</v>
      </c>
      <c r="B2151" s="52" t="s">
        <v>1617</v>
      </c>
      <c r="C2151" s="76">
        <v>45876.604166666664</v>
      </c>
      <c r="D2151" s="41" t="s">
        <v>2147</v>
      </c>
      <c r="E2151" s="76">
        <v>45876.645833333336</v>
      </c>
      <c r="F2151" s="52" t="s">
        <v>10734</v>
      </c>
      <c r="G2151" s="4" t="s">
        <v>135</v>
      </c>
      <c r="H2151" s="4" t="s">
        <v>1991</v>
      </c>
      <c r="K2151" s="4" t="s">
        <v>10735</v>
      </c>
      <c r="L2151" s="4"/>
    </row>
    <row r="2152">
      <c r="A2152" s="55" t="s">
        <v>10736</v>
      </c>
      <c r="B2152" s="52" t="s">
        <v>1603</v>
      </c>
      <c r="C2152" s="76">
        <v>45875.5</v>
      </c>
      <c r="D2152" s="41" t="s">
        <v>2147</v>
      </c>
      <c r="E2152" s="76">
        <v>45875.541666666664</v>
      </c>
      <c r="F2152" s="52" t="s">
        <v>10737</v>
      </c>
      <c r="G2152" s="4" t="s">
        <v>110</v>
      </c>
      <c r="H2152" s="4" t="s">
        <v>1987</v>
      </c>
      <c r="K2152" s="4" t="s">
        <v>10738</v>
      </c>
      <c r="L2152" s="4"/>
    </row>
    <row r="2153">
      <c r="A2153" s="55" t="s">
        <v>10739</v>
      </c>
      <c r="B2153" s="52" t="s">
        <v>1603</v>
      </c>
      <c r="C2153" s="76">
        <v>45876.333333333336</v>
      </c>
      <c r="D2153" s="41" t="s">
        <v>2147</v>
      </c>
      <c r="E2153" s="76">
        <v>45876.520833333336</v>
      </c>
      <c r="F2153" s="52" t="s">
        <v>10737</v>
      </c>
      <c r="G2153" s="4" t="s">
        <v>110</v>
      </c>
      <c r="H2153" s="4" t="s">
        <v>1987</v>
      </c>
      <c r="K2153" s="4"/>
      <c r="L2153" s="4" t="s">
        <v>10740</v>
      </c>
    </row>
    <row r="2154">
      <c r="A2154" s="55" t="s">
        <v>10741</v>
      </c>
      <c r="B2154" s="52" t="s">
        <v>5537</v>
      </c>
      <c r="C2154" s="76">
        <v>45876.520833333336</v>
      </c>
      <c r="D2154" s="41" t="s">
        <v>6318</v>
      </c>
      <c r="E2154" s="76">
        <v>45876.541666666664</v>
      </c>
      <c r="F2154" s="52" t="s">
        <v>10742</v>
      </c>
      <c r="G2154" s="4" t="s">
        <v>110</v>
      </c>
      <c r="H2154" s="4" t="s">
        <v>1987</v>
      </c>
      <c r="K2154" s="4" t="s">
        <v>10743</v>
      </c>
      <c r="L2154" s="4" t="s">
        <v>10744</v>
      </c>
    </row>
    <row r="2155">
      <c r="A2155" s="55" t="s">
        <v>10745</v>
      </c>
      <c r="B2155" s="52" t="s">
        <v>5537</v>
      </c>
      <c r="C2155" s="76">
        <v>45877.333333333336</v>
      </c>
      <c r="D2155" s="41" t="s">
        <v>2200</v>
      </c>
      <c r="E2155" s="76">
        <v>45877.458333333336</v>
      </c>
      <c r="F2155" s="52" t="s">
        <v>10742</v>
      </c>
      <c r="G2155" s="4" t="s">
        <v>110</v>
      </c>
      <c r="H2155" s="4" t="s">
        <v>1987</v>
      </c>
      <c r="K2155" s="4"/>
      <c r="L2155" s="4" t="s">
        <v>10746</v>
      </c>
    </row>
    <row r="2156">
      <c r="A2156" s="55" t="s">
        <v>10747</v>
      </c>
      <c r="B2156" s="52" t="s">
        <v>5537</v>
      </c>
      <c r="C2156" s="76">
        <v>45880.4375</v>
      </c>
      <c r="D2156" s="41" t="s">
        <v>2154</v>
      </c>
      <c r="E2156" s="76">
        <v>45880.541666666664</v>
      </c>
      <c r="F2156" s="52" t="s">
        <v>10742</v>
      </c>
      <c r="G2156" s="4" t="s">
        <v>110</v>
      </c>
      <c r="H2156" s="4" t="s">
        <v>1987</v>
      </c>
      <c r="K2156" s="4" t="s">
        <v>10748</v>
      </c>
      <c r="L2156" s="4" t="s">
        <v>10749</v>
      </c>
    </row>
    <row r="2157">
      <c r="A2157" s="55" t="s">
        <v>10750</v>
      </c>
      <c r="B2157" s="52" t="s">
        <v>5537</v>
      </c>
      <c r="C2157" s="76">
        <v>45881.333333333336</v>
      </c>
      <c r="D2157" s="41" t="s">
        <v>2148</v>
      </c>
      <c r="E2157" s="76">
        <v>45881.489583333336</v>
      </c>
      <c r="F2157" s="52" t="s">
        <v>10751</v>
      </c>
      <c r="G2157" s="4" t="s">
        <v>110</v>
      </c>
      <c r="H2157" s="4" t="s">
        <v>1987</v>
      </c>
      <c r="K2157" s="4" t="s">
        <v>10752</v>
      </c>
      <c r="L2157" s="4" t="s">
        <v>10753</v>
      </c>
    </row>
    <row r="2158">
      <c r="A2158" s="55" t="s">
        <v>10754</v>
      </c>
      <c r="B2158" s="52" t="s">
        <v>5628</v>
      </c>
      <c r="C2158" s="76">
        <v>45883.333333333336</v>
      </c>
      <c r="D2158" s="41" t="s">
        <v>6052</v>
      </c>
      <c r="E2158" s="76">
        <v>45883.541666666664</v>
      </c>
      <c r="F2158" s="52" t="s">
        <v>10755</v>
      </c>
      <c r="G2158" s="4" t="s">
        <v>110</v>
      </c>
      <c r="H2158" s="4" t="s">
        <v>1987</v>
      </c>
      <c r="K2158" s="4" t="s">
        <v>10752</v>
      </c>
      <c r="L2158" s="4" t="s">
        <v>10756</v>
      </c>
    </row>
    <row r="2159">
      <c r="A2159" s="55" t="s">
        <v>10757</v>
      </c>
      <c r="B2159" s="52" t="s">
        <v>5628</v>
      </c>
      <c r="C2159" s="76">
        <v>45882.333333333336</v>
      </c>
      <c r="D2159" s="41" t="s">
        <v>6052</v>
      </c>
      <c r="E2159" s="76">
        <v>45882.541666666664</v>
      </c>
      <c r="F2159" s="52" t="s">
        <v>10755</v>
      </c>
      <c r="G2159" s="4" t="s">
        <v>110</v>
      </c>
      <c r="H2159" s="4" t="s">
        <v>1987</v>
      </c>
      <c r="K2159" s="4" t="s">
        <v>10758</v>
      </c>
      <c r="L2159" s="4"/>
    </row>
    <row r="2160">
      <c r="A2160" s="55" t="s">
        <v>10759</v>
      </c>
      <c r="B2160" s="52" t="s">
        <v>5628</v>
      </c>
      <c r="C2160" s="76">
        <v>45884.333333333336</v>
      </c>
      <c r="D2160" s="41" t="s">
        <v>6052</v>
      </c>
      <c r="E2160" s="76">
        <v>45884.541666666664</v>
      </c>
      <c r="F2160" s="52" t="s">
        <v>10755</v>
      </c>
      <c r="G2160" s="4" t="s">
        <v>110</v>
      </c>
      <c r="H2160" s="4" t="s">
        <v>1987</v>
      </c>
      <c r="K2160" s="4" t="s">
        <v>10752</v>
      </c>
      <c r="L2160" s="4" t="s">
        <v>10760</v>
      </c>
    </row>
    <row r="2161">
      <c r="A2161" s="55" t="s">
        <v>10761</v>
      </c>
      <c r="B2161" s="52" t="s">
        <v>5686</v>
      </c>
      <c r="C2161" s="76">
        <v>45880.333333333336</v>
      </c>
      <c r="D2161" s="41" t="s">
        <v>2154</v>
      </c>
      <c r="E2161" s="76">
        <v>45880.4375</v>
      </c>
      <c r="F2161" s="52" t="s">
        <v>10762</v>
      </c>
      <c r="G2161" s="4" t="s">
        <v>110</v>
      </c>
      <c r="H2161" s="4" t="s">
        <v>1987</v>
      </c>
      <c r="K2161" s="4" t="s">
        <v>10763</v>
      </c>
      <c r="L2161" s="4" t="s">
        <v>10764</v>
      </c>
    </row>
    <row r="2162">
      <c r="A2162" s="55" t="s">
        <v>10765</v>
      </c>
      <c r="B2162" s="52" t="s">
        <v>5596</v>
      </c>
      <c r="C2162" s="76">
        <v>45875.54583333333</v>
      </c>
      <c r="D2162" s="41" t="s">
        <v>2147</v>
      </c>
      <c r="E2162" s="76">
        <v>45875.5875</v>
      </c>
      <c r="F2162" s="52" t="s">
        <v>6189</v>
      </c>
      <c r="G2162" s="4" t="s">
        <v>27</v>
      </c>
      <c r="H2162" s="4" t="s">
        <v>1991</v>
      </c>
      <c r="K2162" s="4" t="s">
        <v>10766</v>
      </c>
      <c r="L2162" s="4"/>
    </row>
    <row r="2163">
      <c r="A2163" s="55" t="s">
        <v>10767</v>
      </c>
      <c r="B2163" s="52" t="s">
        <v>1617</v>
      </c>
      <c r="C2163" s="76">
        <v>45875.552083333336</v>
      </c>
      <c r="D2163" s="41" t="s">
        <v>6052</v>
      </c>
      <c r="E2163" s="76">
        <v>45875.770833333336</v>
      </c>
      <c r="F2163" s="52" t="s">
        <v>10655</v>
      </c>
      <c r="G2163" s="4" t="s">
        <v>135</v>
      </c>
      <c r="H2163" s="4" t="s">
        <v>1987</v>
      </c>
      <c r="K2163" s="4" t="s">
        <v>10656</v>
      </c>
      <c r="L2163" s="4" t="s">
        <v>10768</v>
      </c>
    </row>
    <row r="2164">
      <c r="A2164" s="55" t="s">
        <v>10769</v>
      </c>
      <c r="B2164" s="52" t="s">
        <v>1617</v>
      </c>
      <c r="C2164" s="76">
        <v>45876.552083333336</v>
      </c>
      <c r="D2164" s="41" t="s">
        <v>6052</v>
      </c>
      <c r="E2164" s="76">
        <v>45876.604166666664</v>
      </c>
      <c r="F2164" s="52" t="s">
        <v>10655</v>
      </c>
      <c r="G2164" s="4" t="s">
        <v>135</v>
      </c>
      <c r="H2164" s="4" t="s">
        <v>1987</v>
      </c>
      <c r="K2164" s="4" t="s">
        <v>10656</v>
      </c>
      <c r="L2164" s="4" t="s">
        <v>10770</v>
      </c>
    </row>
    <row r="2165">
      <c r="A2165" s="55"/>
      <c r="B2165" s="52"/>
      <c r="C2165" s="76"/>
      <c r="D2165" s="20"/>
      <c r="E2165" s="76"/>
      <c r="F2165" s="52"/>
      <c r="G2165" s="4"/>
      <c r="H2165" s="4"/>
      <c r="K2165" s="4"/>
      <c r="L2165" s="4"/>
    </row>
    <row r="2166">
      <c r="A2166" s="55" t="s">
        <v>10771</v>
      </c>
      <c r="B2166" s="52" t="s">
        <v>5678</v>
      </c>
      <c r="C2166" s="76">
        <v>45880.5625</v>
      </c>
      <c r="D2166" s="41" t="s">
        <v>2200</v>
      </c>
      <c r="E2166" s="76">
        <v>45880.729166666664</v>
      </c>
      <c r="F2166" s="52" t="s">
        <v>10772</v>
      </c>
      <c r="G2166" s="4" t="s">
        <v>135</v>
      </c>
      <c r="H2166" s="4" t="s">
        <v>1987</v>
      </c>
      <c r="K2166" s="4" t="s">
        <v>10773</v>
      </c>
      <c r="L2166" s="4" t="s">
        <v>10774</v>
      </c>
    </row>
    <row r="2167">
      <c r="A2167" s="55" t="s">
        <v>10775</v>
      </c>
      <c r="B2167" s="52" t="s">
        <v>6069</v>
      </c>
      <c r="C2167" s="76">
        <v>45884.552083333336</v>
      </c>
      <c r="D2167" s="41" t="s">
        <v>2147</v>
      </c>
      <c r="E2167" s="76">
        <v>45884.59375</v>
      </c>
      <c r="F2167" s="52" t="s">
        <v>10776</v>
      </c>
      <c r="G2167" s="4" t="s">
        <v>135</v>
      </c>
      <c r="H2167" s="4" t="s">
        <v>1987</v>
      </c>
      <c r="K2167" s="4" t="s">
        <v>10777</v>
      </c>
      <c r="L2167" s="4" t="s">
        <v>10778</v>
      </c>
    </row>
    <row r="2168">
      <c r="A2168" s="55" t="s">
        <v>10779</v>
      </c>
      <c r="B2168" s="52" t="s">
        <v>1611</v>
      </c>
      <c r="C2168" s="76">
        <v>45875.5625</v>
      </c>
      <c r="D2168" s="41" t="s">
        <v>6052</v>
      </c>
      <c r="E2168" s="76">
        <v>45875.770833333336</v>
      </c>
      <c r="F2168" s="52" t="s">
        <v>1611</v>
      </c>
      <c r="G2168" s="4" t="s">
        <v>1708</v>
      </c>
      <c r="H2168" s="4" t="s">
        <v>1987</v>
      </c>
      <c r="K2168" s="4" t="s">
        <v>10780</v>
      </c>
      <c r="L2168" s="4"/>
    </row>
    <row r="2169">
      <c r="A2169" s="55" t="s">
        <v>10781</v>
      </c>
      <c r="B2169" s="52" t="s">
        <v>1611</v>
      </c>
      <c r="C2169" s="76">
        <v>45876.333333333336</v>
      </c>
      <c r="D2169" s="41" t="s">
        <v>6052</v>
      </c>
      <c r="E2169" s="76">
        <v>45876.541666666664</v>
      </c>
      <c r="F2169" s="52" t="s">
        <v>10782</v>
      </c>
      <c r="G2169" s="4" t="s">
        <v>1708</v>
      </c>
      <c r="H2169" s="4" t="s">
        <v>1987</v>
      </c>
      <c r="K2169" s="4" t="s">
        <v>10783</v>
      </c>
      <c r="L2169" s="4"/>
    </row>
    <row r="2170">
      <c r="A2170" s="55" t="s">
        <v>10784</v>
      </c>
      <c r="B2170" s="52" t="s">
        <v>1611</v>
      </c>
      <c r="C2170" s="76">
        <v>45877.333333333336</v>
      </c>
      <c r="D2170" s="41" t="s">
        <v>6052</v>
      </c>
      <c r="E2170" s="76">
        <v>45877.541666666664</v>
      </c>
      <c r="F2170" s="52" t="s">
        <v>10782</v>
      </c>
      <c r="G2170" s="4" t="s">
        <v>1708</v>
      </c>
      <c r="H2170" s="4" t="s">
        <v>1987</v>
      </c>
      <c r="K2170" s="4" t="s">
        <v>10785</v>
      </c>
      <c r="L2170" s="4"/>
    </row>
    <row r="2171">
      <c r="A2171" s="55" t="s">
        <v>10786</v>
      </c>
      <c r="B2171" s="52" t="s">
        <v>1617</v>
      </c>
      <c r="C2171" s="76">
        <v>45876.645833333336</v>
      </c>
      <c r="D2171" s="41" t="s">
        <v>6052</v>
      </c>
      <c r="E2171" s="76">
        <v>45876.770833333336</v>
      </c>
      <c r="F2171" s="52" t="s">
        <v>10655</v>
      </c>
      <c r="G2171" s="4" t="s">
        <v>135</v>
      </c>
      <c r="H2171" s="4" t="s">
        <v>1987</v>
      </c>
      <c r="K2171" s="4" t="s">
        <v>10787</v>
      </c>
      <c r="L2171" s="4" t="s">
        <v>10770</v>
      </c>
    </row>
    <row r="2172">
      <c r="A2172" s="55" t="s">
        <v>10788</v>
      </c>
      <c r="B2172" s="52" t="s">
        <v>5686</v>
      </c>
      <c r="C2172" s="76">
        <v>45877.458333333336</v>
      </c>
      <c r="D2172" s="41" t="s">
        <v>2154</v>
      </c>
      <c r="E2172" s="76">
        <v>45877.541666666664</v>
      </c>
      <c r="F2172" s="52" t="s">
        <v>10789</v>
      </c>
      <c r="G2172" s="4" t="s">
        <v>110</v>
      </c>
      <c r="H2172" s="4" t="s">
        <v>1987</v>
      </c>
      <c r="K2172" s="4" t="s">
        <v>10790</v>
      </c>
      <c r="L2172" s="4"/>
    </row>
    <row r="2173">
      <c r="A2173" s="55" t="s">
        <v>10791</v>
      </c>
      <c r="B2173" s="52" t="s">
        <v>1611</v>
      </c>
      <c r="C2173" s="76">
        <v>45881.458333333336</v>
      </c>
      <c r="D2173" s="41" t="s">
        <v>2147</v>
      </c>
      <c r="E2173" s="76">
        <v>45881.5</v>
      </c>
      <c r="F2173" s="52" t="s">
        <v>10792</v>
      </c>
      <c r="G2173" s="4" t="s">
        <v>1708</v>
      </c>
      <c r="H2173" s="4" t="s">
        <v>1991</v>
      </c>
      <c r="K2173" s="4" t="s">
        <v>10793</v>
      </c>
      <c r="L2173" s="4"/>
    </row>
    <row r="2174">
      <c r="A2174" s="55" t="s">
        <v>10794</v>
      </c>
      <c r="B2174" s="52" t="s">
        <v>1617</v>
      </c>
      <c r="C2174" s="76">
        <v>45877.552083333336</v>
      </c>
      <c r="D2174" s="41" t="s">
        <v>6052</v>
      </c>
      <c r="E2174" s="76">
        <v>45877.770833333336</v>
      </c>
      <c r="F2174" s="52" t="s">
        <v>10795</v>
      </c>
      <c r="G2174" s="4" t="s">
        <v>135</v>
      </c>
      <c r="H2174" s="4" t="s">
        <v>1987</v>
      </c>
      <c r="K2174" s="4" t="s">
        <v>10796</v>
      </c>
      <c r="L2174" s="4" t="s">
        <v>10768</v>
      </c>
    </row>
    <row r="2175">
      <c r="A2175" s="55" t="s">
        <v>10797</v>
      </c>
      <c r="B2175" s="52" t="s">
        <v>1597</v>
      </c>
      <c r="C2175" s="76">
        <v>45880.333333333336</v>
      </c>
      <c r="D2175" s="41" t="s">
        <v>6052</v>
      </c>
      <c r="E2175" s="76">
        <v>45880.541666666664</v>
      </c>
      <c r="F2175" s="52" t="s">
        <v>10798</v>
      </c>
      <c r="G2175" s="4" t="s">
        <v>1708</v>
      </c>
      <c r="H2175" s="4" t="s">
        <v>1987</v>
      </c>
      <c r="K2175" s="4" t="s">
        <v>10799</v>
      </c>
      <c r="L2175" s="4"/>
    </row>
    <row r="2176">
      <c r="A2176" s="55" t="s">
        <v>10800</v>
      </c>
      <c r="B2176" s="52" t="s">
        <v>5678</v>
      </c>
      <c r="C2176" s="76">
        <v>45881.572916666664</v>
      </c>
      <c r="D2176" s="41" t="s">
        <v>2200</v>
      </c>
      <c r="E2176" s="76">
        <v>45881.791666666664</v>
      </c>
      <c r="F2176" s="52" t="s">
        <v>10772</v>
      </c>
      <c r="G2176" s="4" t="s">
        <v>135</v>
      </c>
      <c r="H2176" s="4" t="s">
        <v>1987</v>
      </c>
      <c r="K2176" s="4" t="s">
        <v>10801</v>
      </c>
      <c r="L2176" s="4" t="s">
        <v>10802</v>
      </c>
    </row>
    <row r="2177">
      <c r="A2177" s="55" t="s">
        <v>10803</v>
      </c>
      <c r="B2177" s="52" t="s">
        <v>5628</v>
      </c>
      <c r="C2177" s="76">
        <v>45881.489583333336</v>
      </c>
      <c r="D2177" s="41" t="s">
        <v>2147</v>
      </c>
      <c r="E2177" s="76">
        <v>45881.541666666664</v>
      </c>
      <c r="F2177" s="52" t="s">
        <v>10755</v>
      </c>
      <c r="G2177" s="4" t="s">
        <v>110</v>
      </c>
      <c r="H2177" s="4" t="s">
        <v>1987</v>
      </c>
      <c r="K2177" s="4" t="s">
        <v>10804</v>
      </c>
      <c r="L2177" s="4"/>
    </row>
    <row r="2178">
      <c r="A2178" s="55" t="s">
        <v>10805</v>
      </c>
      <c r="B2178" s="52" t="s">
        <v>1597</v>
      </c>
      <c r="C2178" s="76">
        <v>45882.123611111114</v>
      </c>
      <c r="D2178" s="41" t="s">
        <v>2200</v>
      </c>
      <c r="E2178" s="76">
        <v>45882.248611111114</v>
      </c>
      <c r="F2178" s="52" t="s">
        <v>10806</v>
      </c>
      <c r="G2178" s="4" t="s">
        <v>27</v>
      </c>
      <c r="H2178" s="4" t="s">
        <v>1987</v>
      </c>
      <c r="K2178" s="4" t="s">
        <v>10807</v>
      </c>
      <c r="L2178" s="4"/>
    </row>
    <row r="2179">
      <c r="A2179" s="55" t="s">
        <v>10808</v>
      </c>
      <c r="B2179" s="52" t="s">
        <v>5656</v>
      </c>
      <c r="C2179" s="76">
        <v>45882.375</v>
      </c>
      <c r="D2179" s="41" t="s">
        <v>6052</v>
      </c>
      <c r="E2179" s="76">
        <v>45882.583333333336</v>
      </c>
      <c r="F2179" s="52" t="s">
        <v>7424</v>
      </c>
      <c r="G2179" s="4" t="s">
        <v>27</v>
      </c>
      <c r="H2179" s="4" t="s">
        <v>1987</v>
      </c>
      <c r="K2179" s="4" t="s">
        <v>10809</v>
      </c>
      <c r="L2179" s="4"/>
    </row>
    <row r="2180">
      <c r="A2180" s="55" t="s">
        <v>10810</v>
      </c>
      <c r="B2180" s="52" t="s">
        <v>1597</v>
      </c>
      <c r="C2180" s="76">
        <v>45881.333333333336</v>
      </c>
      <c r="D2180" s="20"/>
      <c r="E2180" s="76">
        <v>45881.458333333336</v>
      </c>
      <c r="F2180" s="52" t="s">
        <v>10811</v>
      </c>
      <c r="G2180" s="4" t="s">
        <v>1708</v>
      </c>
      <c r="H2180" s="4" t="s">
        <v>1987</v>
      </c>
      <c r="K2180" s="4" t="s">
        <v>10812</v>
      </c>
      <c r="L2180" s="4"/>
    </row>
    <row r="2181">
      <c r="A2181" s="55" t="s">
        <v>10813</v>
      </c>
      <c r="B2181" s="52" t="s">
        <v>1611</v>
      </c>
      <c r="C2181" s="76">
        <v>45881.5</v>
      </c>
      <c r="D2181" s="41" t="s">
        <v>2147</v>
      </c>
      <c r="E2181" s="76">
        <v>45881.541666666664</v>
      </c>
      <c r="F2181" s="52" t="s">
        <v>10814</v>
      </c>
      <c r="G2181" s="4" t="s">
        <v>1708</v>
      </c>
      <c r="H2181" s="4" t="s">
        <v>1987</v>
      </c>
      <c r="K2181" s="4" t="s">
        <v>10815</v>
      </c>
      <c r="L2181" s="4" t="s">
        <v>10816</v>
      </c>
    </row>
    <row r="2182">
      <c r="A2182" s="55" t="s">
        <v>10817</v>
      </c>
      <c r="B2182" s="52" t="s">
        <v>1611</v>
      </c>
      <c r="C2182" s="76">
        <v>45882.55416666667</v>
      </c>
      <c r="D2182" s="20"/>
      <c r="E2182" s="76">
        <v>45882.6375</v>
      </c>
      <c r="F2182" s="52" t="s">
        <v>10818</v>
      </c>
      <c r="G2182" s="4" t="s">
        <v>27</v>
      </c>
      <c r="H2182" s="4" t="s">
        <v>1987</v>
      </c>
      <c r="K2182" s="4" t="s">
        <v>10819</v>
      </c>
      <c r="L2182" s="4"/>
    </row>
    <row r="2183">
      <c r="A2183" s="55" t="s">
        <v>10820</v>
      </c>
      <c r="B2183" s="52" t="s">
        <v>5598</v>
      </c>
      <c r="C2183" s="76">
        <v>45882.645833333336</v>
      </c>
      <c r="D2183" s="41" t="s">
        <v>2200</v>
      </c>
      <c r="E2183" s="76">
        <v>45882.770833333336</v>
      </c>
      <c r="F2183" s="52" t="s">
        <v>10772</v>
      </c>
      <c r="G2183" s="4" t="s">
        <v>135</v>
      </c>
      <c r="H2183" s="4" t="s">
        <v>1987</v>
      </c>
      <c r="K2183" s="4" t="s">
        <v>10773</v>
      </c>
      <c r="L2183" s="4" t="s">
        <v>10821</v>
      </c>
    </row>
    <row r="2184">
      <c r="A2184" s="55" t="s">
        <v>10822</v>
      </c>
      <c r="B2184" s="52" t="s">
        <v>5384</v>
      </c>
      <c r="C2184" s="76">
        <v>45882.604166666664</v>
      </c>
      <c r="D2184" s="41" t="s">
        <v>2147</v>
      </c>
      <c r="E2184" s="76">
        <v>45882.645833333336</v>
      </c>
      <c r="F2184" s="52" t="s">
        <v>8042</v>
      </c>
      <c r="G2184" s="4" t="s">
        <v>135</v>
      </c>
      <c r="H2184" s="4" t="s">
        <v>1987</v>
      </c>
      <c r="K2184" s="4" t="s">
        <v>10823</v>
      </c>
      <c r="L2184" s="4"/>
    </row>
    <row r="2185">
      <c r="A2185" s="55" t="s">
        <v>10824</v>
      </c>
      <c r="B2185" s="52" t="s">
        <v>5598</v>
      </c>
      <c r="C2185" s="76">
        <v>45882.552083333336</v>
      </c>
      <c r="D2185" s="41" t="s">
        <v>2147</v>
      </c>
      <c r="E2185" s="76">
        <v>45882.583333333336</v>
      </c>
      <c r="F2185" s="52" t="s">
        <v>9016</v>
      </c>
      <c r="G2185" s="4" t="s">
        <v>135</v>
      </c>
      <c r="H2185" s="4" t="s">
        <v>1987</v>
      </c>
      <c r="K2185" s="4" t="s">
        <v>10825</v>
      </c>
      <c r="L2185" s="4" t="s">
        <v>10826</v>
      </c>
    </row>
    <row r="2186">
      <c r="A2186" s="55" t="s">
        <v>10827</v>
      </c>
      <c r="B2186" s="52" t="s">
        <v>1611</v>
      </c>
      <c r="C2186" s="76">
        <v>45884.395833333336</v>
      </c>
      <c r="D2186" s="41" t="s">
        <v>2147</v>
      </c>
      <c r="E2186" s="76">
        <v>45884.458333333336</v>
      </c>
      <c r="F2186" s="52" t="s">
        <v>10828</v>
      </c>
      <c r="G2186" s="4" t="s">
        <v>1708</v>
      </c>
      <c r="H2186" s="4" t="s">
        <v>1991</v>
      </c>
      <c r="K2186" s="4" t="s">
        <v>10829</v>
      </c>
      <c r="L2186" s="4" t="s">
        <v>10830</v>
      </c>
    </row>
    <row r="2187">
      <c r="A2187" s="55" t="s">
        <v>10831</v>
      </c>
      <c r="B2187" s="52" t="s">
        <v>1611</v>
      </c>
      <c r="C2187" s="76">
        <v>45882.5625</v>
      </c>
      <c r="D2187" s="41" t="s">
        <v>2200</v>
      </c>
      <c r="E2187" s="76">
        <v>45882.6875</v>
      </c>
      <c r="F2187" s="52" t="s">
        <v>10832</v>
      </c>
      <c r="G2187" s="4" t="s">
        <v>1708</v>
      </c>
      <c r="H2187" s="4" t="s">
        <v>1987</v>
      </c>
      <c r="K2187" s="4" t="s">
        <v>10833</v>
      </c>
      <c r="L2187" s="4"/>
    </row>
    <row r="2188">
      <c r="A2188" s="55" t="s">
        <v>10834</v>
      </c>
      <c r="B2188" s="52" t="s">
        <v>1597</v>
      </c>
      <c r="C2188" s="76">
        <v>45882.6875</v>
      </c>
      <c r="D2188" s="41" t="s">
        <v>2154</v>
      </c>
      <c r="E2188" s="76">
        <v>45882.770833333336</v>
      </c>
      <c r="F2188" s="52" t="s">
        <v>7332</v>
      </c>
      <c r="G2188" s="4" t="s">
        <v>1708</v>
      </c>
      <c r="H2188" s="4" t="s">
        <v>1987</v>
      </c>
      <c r="K2188" s="4" t="s">
        <v>10835</v>
      </c>
      <c r="L2188" s="4"/>
    </row>
    <row r="2189">
      <c r="A2189" s="55" t="s">
        <v>10836</v>
      </c>
      <c r="B2189" s="52" t="s">
        <v>5656</v>
      </c>
      <c r="C2189" s="76">
        <v>45883.333333333336</v>
      </c>
      <c r="D2189" s="41" t="s">
        <v>6052</v>
      </c>
      <c r="E2189" s="76">
        <v>45883.541666666664</v>
      </c>
      <c r="F2189" s="52" t="s">
        <v>7400</v>
      </c>
      <c r="G2189" s="4" t="s">
        <v>1708</v>
      </c>
      <c r="H2189" s="4" t="s">
        <v>1987</v>
      </c>
      <c r="K2189" s="4" t="s">
        <v>10837</v>
      </c>
      <c r="L2189" s="4"/>
    </row>
    <row r="2190">
      <c r="A2190" s="55" t="s">
        <v>10838</v>
      </c>
      <c r="B2190" s="52" t="s">
        <v>5656</v>
      </c>
      <c r="C2190" s="76">
        <v>45884.333333333336</v>
      </c>
      <c r="D2190" s="41" t="s">
        <v>2147</v>
      </c>
      <c r="E2190" s="76">
        <v>45884.395833333336</v>
      </c>
      <c r="F2190" s="52" t="s">
        <v>7400</v>
      </c>
      <c r="G2190" s="4" t="s">
        <v>1708</v>
      </c>
      <c r="H2190" s="4" t="s">
        <v>1987</v>
      </c>
      <c r="K2190" s="4"/>
      <c r="L2190" s="4" t="s">
        <v>10839</v>
      </c>
    </row>
    <row r="2191">
      <c r="A2191" s="55" t="s">
        <v>10840</v>
      </c>
      <c r="B2191" s="52" t="s">
        <v>5596</v>
      </c>
      <c r="C2191" s="76">
        <v>45884.458333333336</v>
      </c>
      <c r="D2191" s="41" t="s">
        <v>2154</v>
      </c>
      <c r="E2191" s="76">
        <v>45884.541666666664</v>
      </c>
      <c r="F2191" s="52" t="s">
        <v>8952</v>
      </c>
      <c r="G2191" s="4" t="s">
        <v>1708</v>
      </c>
      <c r="H2191" s="4" t="s">
        <v>1987</v>
      </c>
      <c r="K2191" s="4" t="s">
        <v>10841</v>
      </c>
      <c r="L2191" s="4"/>
    </row>
    <row r="2192">
      <c r="A2192" s="55" t="s">
        <v>10842</v>
      </c>
      <c r="B2192" s="52" t="s">
        <v>5596</v>
      </c>
      <c r="C2192" s="76">
        <v>45887.333333333336</v>
      </c>
      <c r="D2192" s="41" t="s">
        <v>2154</v>
      </c>
      <c r="E2192" s="76">
        <v>45887.416666666664</v>
      </c>
      <c r="F2192" s="52" t="s">
        <v>8952</v>
      </c>
      <c r="G2192" s="4" t="s">
        <v>1708</v>
      </c>
      <c r="H2192" s="4" t="s">
        <v>1987</v>
      </c>
      <c r="K2192" s="4"/>
      <c r="L2192" s="4" t="s">
        <v>10843</v>
      </c>
    </row>
    <row r="2193">
      <c r="A2193" s="55" t="s">
        <v>10844</v>
      </c>
      <c r="B2193" s="52" t="s">
        <v>5596</v>
      </c>
      <c r="C2193" s="76">
        <v>45888.333333333336</v>
      </c>
      <c r="D2193" s="41" t="s">
        <v>6052</v>
      </c>
      <c r="E2193" s="76">
        <v>45888.541666666664</v>
      </c>
      <c r="F2193" s="52" t="s">
        <v>8952</v>
      </c>
      <c r="G2193" s="4" t="s">
        <v>1708</v>
      </c>
      <c r="H2193" s="4" t="s">
        <v>1987</v>
      </c>
      <c r="K2193" s="4" t="s">
        <v>10845</v>
      </c>
      <c r="L2193" s="4"/>
    </row>
    <row r="2194">
      <c r="A2194" s="55" t="s">
        <v>10846</v>
      </c>
      <c r="B2194" s="52" t="s">
        <v>5596</v>
      </c>
      <c r="C2194" s="76">
        <v>45889.5625</v>
      </c>
      <c r="D2194" s="41" t="s">
        <v>6052</v>
      </c>
      <c r="E2194" s="76">
        <v>45889.770833333336</v>
      </c>
      <c r="F2194" s="52" t="s">
        <v>8952</v>
      </c>
      <c r="G2194" s="4" t="s">
        <v>1708</v>
      </c>
      <c r="H2194" s="4" t="s">
        <v>1987</v>
      </c>
      <c r="K2194" s="4" t="s">
        <v>10847</v>
      </c>
      <c r="L2194" s="4" t="s">
        <v>10848</v>
      </c>
    </row>
    <row r="2195">
      <c r="A2195" s="55" t="s">
        <v>10849</v>
      </c>
      <c r="B2195" s="52" t="s">
        <v>5596</v>
      </c>
      <c r="C2195" s="76">
        <v>45890.333333333336</v>
      </c>
      <c r="D2195" s="41" t="s">
        <v>6052</v>
      </c>
      <c r="E2195" s="76">
        <v>45890.541666666664</v>
      </c>
      <c r="F2195" s="52" t="s">
        <v>8952</v>
      </c>
      <c r="G2195" s="4" t="s">
        <v>1708</v>
      </c>
      <c r="H2195" s="4" t="s">
        <v>1987</v>
      </c>
      <c r="K2195" s="4" t="s">
        <v>10850</v>
      </c>
      <c r="L2195" s="4"/>
    </row>
    <row r="2196">
      <c r="A2196" s="55" t="s">
        <v>10851</v>
      </c>
      <c r="B2196" s="52" t="s">
        <v>5628</v>
      </c>
      <c r="C2196" s="76">
        <v>45883.472916666666</v>
      </c>
      <c r="D2196" s="41" t="s">
        <v>2154</v>
      </c>
      <c r="E2196" s="76">
        <v>45883.55625</v>
      </c>
      <c r="F2196" s="52" t="s">
        <v>6370</v>
      </c>
      <c r="G2196" s="4" t="s">
        <v>27</v>
      </c>
      <c r="H2196" s="4" t="s">
        <v>1987</v>
      </c>
      <c r="K2196" s="4" t="s">
        <v>10852</v>
      </c>
      <c r="L2196" s="4"/>
    </row>
    <row r="2197">
      <c r="A2197" s="55" t="s">
        <v>10853</v>
      </c>
      <c r="B2197" s="52" t="s">
        <v>5628</v>
      </c>
      <c r="C2197" s="76">
        <v>45887.333333333336</v>
      </c>
      <c r="D2197" s="41" t="s">
        <v>6052</v>
      </c>
      <c r="E2197" s="76">
        <v>45887.541666666664</v>
      </c>
      <c r="F2197" s="52" t="s">
        <v>10854</v>
      </c>
      <c r="G2197" s="4" t="s">
        <v>110</v>
      </c>
      <c r="H2197" s="4" t="s">
        <v>1987</v>
      </c>
      <c r="K2197" s="4" t="s">
        <v>10855</v>
      </c>
      <c r="L2197" s="4"/>
    </row>
    <row r="2198">
      <c r="A2198" s="55" t="s">
        <v>10856</v>
      </c>
      <c r="B2198" s="52" t="s">
        <v>5656</v>
      </c>
      <c r="C2198" s="76">
        <v>45889.333333333336</v>
      </c>
      <c r="D2198" s="41" t="s">
        <v>2147</v>
      </c>
      <c r="E2198" s="76">
        <v>45889.375</v>
      </c>
      <c r="F2198" s="52" t="s">
        <v>10857</v>
      </c>
      <c r="G2198" s="4" t="s">
        <v>110</v>
      </c>
      <c r="H2198" s="4" t="s">
        <v>1987</v>
      </c>
      <c r="K2198" s="4" t="s">
        <v>10858</v>
      </c>
      <c r="L2198" s="4" t="s">
        <v>10859</v>
      </c>
    </row>
    <row r="2199">
      <c r="A2199" s="55" t="s">
        <v>10860</v>
      </c>
      <c r="B2199" s="52" t="s">
        <v>5537</v>
      </c>
      <c r="C2199" s="76">
        <v>45889.375</v>
      </c>
      <c r="D2199" s="41" t="s">
        <v>2148</v>
      </c>
      <c r="E2199" s="76">
        <v>45889.541666666664</v>
      </c>
      <c r="F2199" s="52" t="s">
        <v>10861</v>
      </c>
      <c r="G2199" s="4" t="s">
        <v>110</v>
      </c>
      <c r="H2199" s="4" t="s">
        <v>1987</v>
      </c>
      <c r="K2199" s="4" t="s">
        <v>10862</v>
      </c>
      <c r="L2199" s="4" t="s">
        <v>10863</v>
      </c>
    </row>
    <row r="2200">
      <c r="A2200" s="55" t="s">
        <v>10864</v>
      </c>
      <c r="B2200" s="52" t="s">
        <v>5675</v>
      </c>
      <c r="C2200" s="76">
        <v>45894.333333333336</v>
      </c>
      <c r="D2200" s="41" t="s">
        <v>6052</v>
      </c>
      <c r="E2200" s="76">
        <v>45894.541666666664</v>
      </c>
      <c r="F2200" s="52" t="s">
        <v>10865</v>
      </c>
      <c r="G2200" s="4" t="s">
        <v>110</v>
      </c>
      <c r="H2200" s="4" t="s">
        <v>1987</v>
      </c>
      <c r="K2200" s="4" t="s">
        <v>10866</v>
      </c>
      <c r="L2200" s="4" t="s">
        <v>10867</v>
      </c>
    </row>
    <row r="2201">
      <c r="A2201" s="55" t="s">
        <v>10868</v>
      </c>
      <c r="B2201" s="52" t="s">
        <v>5675</v>
      </c>
      <c r="C2201" s="76">
        <v>45891.333333333336</v>
      </c>
      <c r="D2201" s="41" t="s">
        <v>6052</v>
      </c>
      <c r="E2201" s="76">
        <v>45891.541666666664</v>
      </c>
      <c r="F2201" s="52" t="s">
        <v>10865</v>
      </c>
      <c r="G2201" s="4" t="s">
        <v>110</v>
      </c>
      <c r="H2201" s="4" t="s">
        <v>1987</v>
      </c>
      <c r="K2201" s="4" t="s">
        <v>10869</v>
      </c>
      <c r="L2201" s="4" t="s">
        <v>10870</v>
      </c>
    </row>
    <row r="2202">
      <c r="A2202" s="55" t="s">
        <v>10871</v>
      </c>
      <c r="B2202" s="52" t="s">
        <v>5675</v>
      </c>
      <c r="C2202" s="76">
        <v>45890.479166666664</v>
      </c>
      <c r="D2202" s="41" t="s">
        <v>2154</v>
      </c>
      <c r="E2202" s="76">
        <v>45890.541666666664</v>
      </c>
      <c r="F2202" s="52" t="s">
        <v>10865</v>
      </c>
      <c r="G2202" s="4" t="s">
        <v>110</v>
      </c>
      <c r="H2202" s="4" t="s">
        <v>1987</v>
      </c>
      <c r="K2202" s="4" t="s">
        <v>10872</v>
      </c>
      <c r="L2202" s="4" t="s">
        <v>10873</v>
      </c>
    </row>
    <row r="2203">
      <c r="A2203" s="55" t="s">
        <v>10874</v>
      </c>
      <c r="B2203" s="52" t="s">
        <v>5647</v>
      </c>
      <c r="C2203" s="76">
        <v>45895.4375</v>
      </c>
      <c r="D2203" s="41" t="s">
        <v>6052</v>
      </c>
      <c r="E2203" s="76">
        <v>45895.541666666664</v>
      </c>
      <c r="F2203" s="52" t="s">
        <v>10875</v>
      </c>
      <c r="G2203" s="4" t="s">
        <v>110</v>
      </c>
      <c r="H2203" s="4" t="s">
        <v>1987</v>
      </c>
      <c r="K2203" s="4"/>
      <c r="L2203" s="4" t="s">
        <v>10876</v>
      </c>
    </row>
    <row r="2204">
      <c r="A2204" s="55" t="s">
        <v>10877</v>
      </c>
      <c r="B2204" s="52" t="s">
        <v>5647</v>
      </c>
      <c r="C2204" s="76">
        <v>45897.333333333336</v>
      </c>
      <c r="D2204" s="41" t="s">
        <v>6052</v>
      </c>
      <c r="E2204" s="76">
        <v>45897.458333333336</v>
      </c>
      <c r="F2204" s="52" t="s">
        <v>10878</v>
      </c>
      <c r="G2204" s="4" t="s">
        <v>110</v>
      </c>
      <c r="H2204" s="4" t="s">
        <v>1987</v>
      </c>
      <c r="K2204" s="4" t="s">
        <v>10879</v>
      </c>
      <c r="L2204" s="4" t="s">
        <v>10880</v>
      </c>
    </row>
    <row r="2205">
      <c r="A2205" s="55" t="s">
        <v>10881</v>
      </c>
      <c r="B2205" s="52" t="s">
        <v>5647</v>
      </c>
      <c r="C2205" s="76">
        <v>45896.333333333336</v>
      </c>
      <c r="D2205" s="41" t="s">
        <v>6052</v>
      </c>
      <c r="E2205" s="76">
        <v>45896.375</v>
      </c>
      <c r="F2205" s="52" t="s">
        <v>10878</v>
      </c>
      <c r="G2205" s="4" t="s">
        <v>110</v>
      </c>
      <c r="H2205" s="4" t="s">
        <v>1987</v>
      </c>
      <c r="K2205" s="4" t="s">
        <v>10882</v>
      </c>
      <c r="L2205" s="4" t="s">
        <v>10883</v>
      </c>
    </row>
    <row r="2206">
      <c r="A2206" s="55" t="s">
        <v>10884</v>
      </c>
      <c r="B2206" s="52" t="s">
        <v>5598</v>
      </c>
      <c r="C2206" s="76">
        <v>45883.604166666664</v>
      </c>
      <c r="D2206" s="41" t="s">
        <v>6052</v>
      </c>
      <c r="E2206" s="76">
        <v>45883.770833333336</v>
      </c>
      <c r="F2206" s="52" t="s">
        <v>10772</v>
      </c>
      <c r="G2206" s="4" t="s">
        <v>135</v>
      </c>
      <c r="H2206" s="4" t="s">
        <v>1987</v>
      </c>
      <c r="K2206" s="4" t="s">
        <v>10773</v>
      </c>
      <c r="L2206" s="4" t="s">
        <v>10885</v>
      </c>
    </row>
    <row r="2207">
      <c r="A2207" s="55" t="s">
        <v>10886</v>
      </c>
      <c r="B2207" s="52" t="s">
        <v>5619</v>
      </c>
      <c r="C2207" s="76">
        <v>45882.583333333336</v>
      </c>
      <c r="D2207" s="41" t="s">
        <v>2147</v>
      </c>
      <c r="E2207" s="76">
        <v>45882.604166666664</v>
      </c>
      <c r="F2207" s="52" t="s">
        <v>9016</v>
      </c>
      <c r="G2207" s="4" t="s">
        <v>135</v>
      </c>
      <c r="H2207" s="4" t="s">
        <v>1987</v>
      </c>
      <c r="K2207" s="4" t="s">
        <v>10887</v>
      </c>
      <c r="L2207" s="4" t="s">
        <v>10826</v>
      </c>
    </row>
    <row r="2208">
      <c r="A2208" s="55" t="s">
        <v>10888</v>
      </c>
      <c r="B2208" s="52" t="s">
        <v>5384</v>
      </c>
      <c r="C2208" s="76">
        <v>45883.552083333336</v>
      </c>
      <c r="D2208" s="41" t="s">
        <v>2147</v>
      </c>
      <c r="E2208" s="76">
        <v>45883.604166666664</v>
      </c>
      <c r="F2208" s="52" t="s">
        <v>8042</v>
      </c>
      <c r="G2208" s="4" t="s">
        <v>135</v>
      </c>
      <c r="H2208" s="4" t="s">
        <v>1987</v>
      </c>
      <c r="K2208" s="4" t="s">
        <v>10823</v>
      </c>
      <c r="L2208" s="4" t="s">
        <v>10889</v>
      </c>
    </row>
    <row r="2209">
      <c r="A2209" s="55" t="s">
        <v>10890</v>
      </c>
      <c r="B2209" s="52" t="s">
        <v>5598</v>
      </c>
      <c r="C2209" s="76">
        <v>45887.5625</v>
      </c>
      <c r="D2209" s="41" t="s">
        <v>2148</v>
      </c>
      <c r="E2209" s="76">
        <v>45887.666666666664</v>
      </c>
      <c r="F2209" s="52" t="s">
        <v>10891</v>
      </c>
      <c r="G2209" s="4" t="s">
        <v>135</v>
      </c>
      <c r="H2209" s="4" t="s">
        <v>1987</v>
      </c>
      <c r="K2209" s="4" t="s">
        <v>10892</v>
      </c>
      <c r="L2209" s="4" t="s">
        <v>10893</v>
      </c>
    </row>
    <row r="2210">
      <c r="A2210" s="66" t="s">
        <v>10894</v>
      </c>
      <c r="B2210" s="52" t="s">
        <v>5598</v>
      </c>
      <c r="C2210" s="76">
        <v>45888.552083333336</v>
      </c>
      <c r="D2210" s="41" t="s">
        <v>2148</v>
      </c>
      <c r="E2210" s="76">
        <v>45888.770833333336</v>
      </c>
      <c r="F2210" s="52" t="s">
        <v>10891</v>
      </c>
      <c r="G2210" s="4" t="s">
        <v>135</v>
      </c>
      <c r="H2210" s="4" t="s">
        <v>1987</v>
      </c>
      <c r="K2210" s="4"/>
      <c r="L2210" s="4" t="s">
        <v>10895</v>
      </c>
    </row>
    <row r="2211">
      <c r="A2211" s="55" t="s">
        <v>10896</v>
      </c>
      <c r="B2211" s="52" t="s">
        <v>5598</v>
      </c>
      <c r="C2211" s="76">
        <v>45890.552083333336</v>
      </c>
      <c r="D2211" s="41" t="s">
        <v>2148</v>
      </c>
      <c r="E2211" s="76">
        <v>45890.625</v>
      </c>
      <c r="F2211" s="52" t="s">
        <v>10891</v>
      </c>
      <c r="G2211" s="4" t="s">
        <v>135</v>
      </c>
      <c r="H2211" s="4" t="s">
        <v>1987</v>
      </c>
      <c r="K2211" s="4"/>
      <c r="L2211" s="4" t="s">
        <v>10897</v>
      </c>
    </row>
    <row r="2212">
      <c r="A2212" s="55" t="s">
        <v>10898</v>
      </c>
      <c r="B2212" s="52" t="s">
        <v>5598</v>
      </c>
      <c r="C2212" s="76">
        <v>45889.666666666664</v>
      </c>
      <c r="D2212" s="41" t="s">
        <v>2148</v>
      </c>
      <c r="E2212" s="76">
        <v>45889.770833333336</v>
      </c>
      <c r="F2212" s="52" t="s">
        <v>10891</v>
      </c>
      <c r="G2212" s="4" t="s">
        <v>135</v>
      </c>
      <c r="H2212" s="4" t="s">
        <v>1987</v>
      </c>
      <c r="K2212" s="4" t="s">
        <v>10899</v>
      </c>
      <c r="L2212" s="4" t="s">
        <v>10900</v>
      </c>
    </row>
    <row r="2213">
      <c r="A2213" s="55" t="s">
        <v>10901</v>
      </c>
      <c r="B2213" s="52" t="s">
        <v>5598</v>
      </c>
      <c r="C2213" s="76">
        <v>45891.552083333336</v>
      </c>
      <c r="D2213" s="41" t="s">
        <v>6052</v>
      </c>
      <c r="E2213" s="76">
        <v>45891.770833333336</v>
      </c>
      <c r="F2213" s="52" t="s">
        <v>10902</v>
      </c>
      <c r="G2213" s="4" t="s">
        <v>135</v>
      </c>
      <c r="H2213" s="4" t="s">
        <v>1987</v>
      </c>
      <c r="K2213" s="4"/>
      <c r="L2213" s="4" t="s">
        <v>10903</v>
      </c>
    </row>
    <row r="2214">
      <c r="A2214" s="55" t="s">
        <v>10904</v>
      </c>
      <c r="B2214" s="52" t="s">
        <v>5598</v>
      </c>
      <c r="C2214" s="76">
        <v>45895.552083333336</v>
      </c>
      <c r="D2214" s="41" t="s">
        <v>6052</v>
      </c>
      <c r="E2214" s="76">
        <v>45895.770833333336</v>
      </c>
      <c r="F2214" s="52" t="s">
        <v>10905</v>
      </c>
      <c r="G2214" s="4" t="s">
        <v>135</v>
      </c>
      <c r="H2214" s="4" t="s">
        <v>1987</v>
      </c>
      <c r="K2214" s="4" t="s">
        <v>10906</v>
      </c>
      <c r="L2214" s="4" t="s">
        <v>10907</v>
      </c>
    </row>
    <row r="2215">
      <c r="A2215" s="55" t="s">
        <v>10908</v>
      </c>
      <c r="B2215" s="52" t="s">
        <v>1611</v>
      </c>
      <c r="C2215" s="76">
        <v>45887.416666666664</v>
      </c>
      <c r="D2215" s="41" t="s">
        <v>2147</v>
      </c>
      <c r="E2215" s="76">
        <v>45887.520833333336</v>
      </c>
      <c r="F2215" s="52" t="s">
        <v>10909</v>
      </c>
      <c r="G2215" s="4" t="s">
        <v>1708</v>
      </c>
      <c r="H2215" s="4" t="s">
        <v>1991</v>
      </c>
      <c r="K2215" s="4" t="s">
        <v>10910</v>
      </c>
      <c r="L2215" s="4" t="s">
        <v>10911</v>
      </c>
    </row>
    <row r="2216">
      <c r="A2216" s="55" t="s">
        <v>10912</v>
      </c>
      <c r="B2216" s="52" t="s">
        <v>1611</v>
      </c>
      <c r="C2216" s="76">
        <v>45887.49375</v>
      </c>
      <c r="D2216" s="41" t="s">
        <v>2147</v>
      </c>
      <c r="E2216" s="76">
        <v>45887.535416666666</v>
      </c>
      <c r="F2216" s="52" t="s">
        <v>10913</v>
      </c>
      <c r="G2216" s="4" t="s">
        <v>27</v>
      </c>
      <c r="H2216" s="4" t="s">
        <v>1987</v>
      </c>
      <c r="K2216" s="4" t="s">
        <v>10914</v>
      </c>
      <c r="L2216" s="4"/>
    </row>
    <row r="2217">
      <c r="A2217" s="55" t="s">
        <v>10915</v>
      </c>
      <c r="B2217" s="52" t="s">
        <v>5596</v>
      </c>
      <c r="C2217" s="76">
        <v>45887.520833333336</v>
      </c>
      <c r="D2217" s="20"/>
      <c r="E2217" s="76">
        <v>45887.541666666664</v>
      </c>
      <c r="F2217" s="52" t="s">
        <v>9724</v>
      </c>
      <c r="G2217" s="4" t="s">
        <v>1708</v>
      </c>
      <c r="H2217" s="4" t="s">
        <v>1987</v>
      </c>
      <c r="K2217" s="4" t="s">
        <v>10916</v>
      </c>
      <c r="L2217" s="4"/>
    </row>
    <row r="2218">
      <c r="A2218" s="55" t="s">
        <v>10917</v>
      </c>
      <c r="B2218" s="52" t="s">
        <v>1611</v>
      </c>
      <c r="C2218" s="76">
        <v>45888.458333333336</v>
      </c>
      <c r="D2218" s="41" t="s">
        <v>2147</v>
      </c>
      <c r="E2218" s="76">
        <v>45888.5</v>
      </c>
      <c r="F2218" s="52" t="s">
        <v>10918</v>
      </c>
      <c r="G2218" s="4" t="s">
        <v>27</v>
      </c>
      <c r="H2218" s="4" t="s">
        <v>1991</v>
      </c>
      <c r="K2218" s="4" t="s">
        <v>10919</v>
      </c>
      <c r="L2218" s="4"/>
    </row>
    <row r="2219">
      <c r="A2219" s="55" t="s">
        <v>10920</v>
      </c>
      <c r="B2219" s="52" t="s">
        <v>5678</v>
      </c>
      <c r="C2219" s="76">
        <v>45887.666666666664</v>
      </c>
      <c r="D2219" s="41" t="s">
        <v>6318</v>
      </c>
      <c r="E2219" s="76">
        <v>45887.6875</v>
      </c>
      <c r="F2219" s="52" t="s">
        <v>7812</v>
      </c>
      <c r="G2219" s="4" t="s">
        <v>135</v>
      </c>
      <c r="H2219" s="4" t="s">
        <v>1991</v>
      </c>
      <c r="K2219" s="4" t="s">
        <v>10921</v>
      </c>
      <c r="L2219" s="4"/>
    </row>
    <row r="2220">
      <c r="A2220" s="55" t="s">
        <v>10922</v>
      </c>
      <c r="B2220" s="52" t="s">
        <v>5598</v>
      </c>
      <c r="C2220" s="76">
        <v>45887.6875</v>
      </c>
      <c r="D2220" s="41" t="s">
        <v>2147</v>
      </c>
      <c r="E2220" s="76">
        <v>45887.729166666664</v>
      </c>
      <c r="F2220" s="52" t="s">
        <v>10891</v>
      </c>
      <c r="G2220" s="4" t="s">
        <v>135</v>
      </c>
      <c r="H2220" s="4" t="s">
        <v>1987</v>
      </c>
      <c r="K2220" s="4" t="s">
        <v>10923</v>
      </c>
      <c r="L2220" s="4"/>
    </row>
    <row r="2221">
      <c r="A2221" s="55" t="s">
        <v>10924</v>
      </c>
      <c r="B2221" s="52" t="s">
        <v>5628</v>
      </c>
      <c r="C2221" s="76">
        <v>45888.333333333336</v>
      </c>
      <c r="D2221" s="41" t="s">
        <v>6052</v>
      </c>
      <c r="E2221" s="76">
        <v>45888.541666666664</v>
      </c>
      <c r="F2221" s="52" t="s">
        <v>10854</v>
      </c>
      <c r="G2221" s="4" t="s">
        <v>110</v>
      </c>
      <c r="H2221" s="4" t="s">
        <v>1987</v>
      </c>
      <c r="K2221" s="4" t="s">
        <v>10925</v>
      </c>
      <c r="L2221" s="4"/>
    </row>
    <row r="2222">
      <c r="A2222" s="55" t="s">
        <v>10926</v>
      </c>
      <c r="B2222" s="52" t="s">
        <v>6057</v>
      </c>
      <c r="C2222" s="76">
        <v>45888.708333333336</v>
      </c>
      <c r="D2222" s="41" t="s">
        <v>2147</v>
      </c>
      <c r="E2222" s="76">
        <v>45888.75</v>
      </c>
      <c r="F2222" s="52" t="s">
        <v>10927</v>
      </c>
      <c r="G2222" s="4" t="s">
        <v>27</v>
      </c>
      <c r="H2222" s="4" t="s">
        <v>1991</v>
      </c>
      <c r="K2222" s="4" t="s">
        <v>10928</v>
      </c>
      <c r="L2222" s="4"/>
    </row>
    <row r="2223">
      <c r="A2223" s="55" t="s">
        <v>10929</v>
      </c>
      <c r="B2223" s="52" t="s">
        <v>5384</v>
      </c>
      <c r="C2223" s="76">
        <v>45896.552083333336</v>
      </c>
      <c r="D2223" s="41" t="s">
        <v>6318</v>
      </c>
      <c r="E2223" s="76">
        <v>45896.583333333336</v>
      </c>
      <c r="F2223" s="52" t="s">
        <v>9227</v>
      </c>
      <c r="G2223" s="4" t="s">
        <v>135</v>
      </c>
      <c r="H2223" s="4" t="s">
        <v>1991</v>
      </c>
      <c r="K2223" s="4" t="s">
        <v>10930</v>
      </c>
      <c r="L2223" s="4" t="s">
        <v>10931</v>
      </c>
    </row>
    <row r="2224">
      <c r="A2224" s="55" t="s">
        <v>10932</v>
      </c>
      <c r="B2224" s="52" t="s">
        <v>5678</v>
      </c>
      <c r="C2224" s="76">
        <v>45889.666666666664</v>
      </c>
      <c r="D2224" s="41" t="s">
        <v>2147</v>
      </c>
      <c r="E2224" s="76">
        <v>45889.708333333336</v>
      </c>
      <c r="F2224" s="52" t="s">
        <v>10933</v>
      </c>
      <c r="G2224" s="4" t="s">
        <v>27</v>
      </c>
      <c r="H2224" s="4" t="s">
        <v>1991</v>
      </c>
      <c r="K2224" s="4" t="s">
        <v>10934</v>
      </c>
      <c r="L2224" s="4"/>
    </row>
    <row r="2225">
      <c r="A2225" s="55" t="s">
        <v>10935</v>
      </c>
      <c r="B2225" s="52" t="s">
        <v>5675</v>
      </c>
      <c r="C2225" s="76">
        <v>45891.666666666664</v>
      </c>
      <c r="D2225" s="41" t="s">
        <v>2147</v>
      </c>
      <c r="E2225" s="76">
        <v>45891.708333333336</v>
      </c>
      <c r="F2225" s="52" t="s">
        <v>10936</v>
      </c>
      <c r="G2225" s="4" t="s">
        <v>27</v>
      </c>
      <c r="H2225" s="4" t="s">
        <v>1991</v>
      </c>
      <c r="K2225" s="4" t="s">
        <v>10937</v>
      </c>
      <c r="L2225" s="4"/>
    </row>
    <row r="2226">
      <c r="A2226" s="55" t="s">
        <v>10938</v>
      </c>
      <c r="B2226" s="52" t="s">
        <v>8165</v>
      </c>
      <c r="C2226" s="76">
        <v>45889.552083333336</v>
      </c>
      <c r="D2226" s="41" t="s">
        <v>2147</v>
      </c>
      <c r="E2226" s="76">
        <v>45889.604166666664</v>
      </c>
      <c r="F2226" s="52" t="s">
        <v>10939</v>
      </c>
      <c r="G2226" s="4" t="s">
        <v>135</v>
      </c>
      <c r="H2226" s="4" t="s">
        <v>1987</v>
      </c>
      <c r="K2226" s="4" t="s">
        <v>10940</v>
      </c>
      <c r="L2226" s="4"/>
    </row>
    <row r="2227">
      <c r="A2227" s="55" t="s">
        <v>10941</v>
      </c>
      <c r="B2227" s="52" t="s">
        <v>5384</v>
      </c>
      <c r="C2227" s="76">
        <v>45889.604166666664</v>
      </c>
      <c r="D2227" s="41" t="s">
        <v>2147</v>
      </c>
      <c r="E2227" s="76">
        <v>45889.666666666664</v>
      </c>
      <c r="F2227" s="52" t="s">
        <v>10942</v>
      </c>
      <c r="G2227" s="4" t="s">
        <v>135</v>
      </c>
      <c r="H2227" s="4" t="s">
        <v>1987</v>
      </c>
      <c r="K2227" s="4" t="s">
        <v>10943</v>
      </c>
      <c r="L2227" s="4"/>
    </row>
    <row r="2228">
      <c r="A2228" s="55" t="s">
        <v>10944</v>
      </c>
      <c r="B2228" s="52" t="s">
        <v>5537</v>
      </c>
      <c r="C2228" s="76">
        <v>45890.333333333336</v>
      </c>
      <c r="D2228" s="41" t="s">
        <v>2200</v>
      </c>
      <c r="E2228" s="76">
        <v>45890.479166666664</v>
      </c>
      <c r="F2228" s="52" t="s">
        <v>6319</v>
      </c>
      <c r="G2228" s="4" t="s">
        <v>110</v>
      </c>
      <c r="H2228" s="4" t="s">
        <v>1987</v>
      </c>
      <c r="K2228" s="4" t="s">
        <v>10945</v>
      </c>
      <c r="L2228" s="4" t="s">
        <v>10946</v>
      </c>
    </row>
    <row r="2229">
      <c r="A2229" s="55" t="s">
        <v>10947</v>
      </c>
      <c r="B2229" s="52" t="s">
        <v>5628</v>
      </c>
      <c r="C2229" s="76">
        <v>45897.458333333336</v>
      </c>
      <c r="D2229" s="41" t="s">
        <v>2147</v>
      </c>
      <c r="E2229" s="76">
        <v>45897.5</v>
      </c>
      <c r="F2229" s="52" t="s">
        <v>9564</v>
      </c>
      <c r="G2229" s="4" t="s">
        <v>110</v>
      </c>
      <c r="H2229" s="4" t="s">
        <v>1991</v>
      </c>
      <c r="K2229" s="4"/>
      <c r="L2229" s="4" t="s">
        <v>10948</v>
      </c>
    </row>
    <row r="2230">
      <c r="A2230" s="55" t="s">
        <v>10949</v>
      </c>
      <c r="B2230" s="52" t="s">
        <v>5628</v>
      </c>
      <c r="C2230" s="76">
        <v>45895.458333333336</v>
      </c>
      <c r="D2230" s="41" t="s">
        <v>2147</v>
      </c>
      <c r="E2230" s="76">
        <v>45895.5</v>
      </c>
      <c r="F2230" s="52" t="s">
        <v>10950</v>
      </c>
      <c r="G2230" s="4" t="s">
        <v>27</v>
      </c>
      <c r="H2230" s="4" t="s">
        <v>1991</v>
      </c>
      <c r="K2230" s="4" t="s">
        <v>10951</v>
      </c>
      <c r="L2230" s="4" t="s">
        <v>10952</v>
      </c>
    </row>
    <row r="2231">
      <c r="A2231" s="55" t="s">
        <v>10953</v>
      </c>
      <c r="B2231" s="52" t="s">
        <v>1597</v>
      </c>
      <c r="C2231" s="76">
        <v>45889.479166666664</v>
      </c>
      <c r="D2231" s="41" t="s">
        <v>2200</v>
      </c>
      <c r="E2231" s="76">
        <v>45889.604166666664</v>
      </c>
      <c r="F2231" s="52" t="s">
        <v>10954</v>
      </c>
      <c r="G2231" s="4" t="s">
        <v>27</v>
      </c>
      <c r="H2231" s="4" t="s">
        <v>1987</v>
      </c>
      <c r="K2231" s="4"/>
      <c r="L2231" s="4" t="s">
        <v>10955</v>
      </c>
    </row>
    <row r="2232">
      <c r="A2232" s="55" t="s">
        <v>10956</v>
      </c>
      <c r="B2232" s="52" t="s">
        <v>5596</v>
      </c>
      <c r="C2232" s="76">
        <v>45891.333333333336</v>
      </c>
      <c r="D2232" s="41" t="s">
        <v>2200</v>
      </c>
      <c r="E2232" s="76">
        <v>45891.479166666664</v>
      </c>
      <c r="F2232" s="52" t="s">
        <v>10957</v>
      </c>
      <c r="G2232" s="4" t="s">
        <v>1708</v>
      </c>
      <c r="H2232" s="4" t="s">
        <v>1987</v>
      </c>
      <c r="K2232" s="4" t="s">
        <v>10958</v>
      </c>
      <c r="L2232" s="4"/>
    </row>
    <row r="2233">
      <c r="A2233" s="55" t="s">
        <v>10959</v>
      </c>
      <c r="B2233" s="52" t="s">
        <v>1597</v>
      </c>
      <c r="C2233" s="76">
        <v>45891.479166666664</v>
      </c>
      <c r="D2233" s="41" t="s">
        <v>6318</v>
      </c>
      <c r="E2233" s="76">
        <v>45891.5</v>
      </c>
      <c r="F2233" s="52" t="s">
        <v>10960</v>
      </c>
      <c r="G2233" s="4" t="s">
        <v>1708</v>
      </c>
      <c r="H2233" s="4" t="s">
        <v>1987</v>
      </c>
      <c r="K2233" s="4" t="s">
        <v>10961</v>
      </c>
      <c r="L2233" s="4" t="s">
        <v>10962</v>
      </c>
    </row>
    <row r="2234">
      <c r="A2234" s="55" t="s">
        <v>10963</v>
      </c>
      <c r="B2234" s="52" t="s">
        <v>5656</v>
      </c>
      <c r="C2234" s="76">
        <v>45891.5</v>
      </c>
      <c r="D2234" s="20"/>
      <c r="E2234" s="76">
        <v>45891.541666666664</v>
      </c>
      <c r="F2234" s="52" t="s">
        <v>10964</v>
      </c>
      <c r="G2234" s="4" t="s">
        <v>1708</v>
      </c>
      <c r="H2234" s="4" t="s">
        <v>1987</v>
      </c>
      <c r="K2234" s="4" t="s">
        <v>10965</v>
      </c>
      <c r="L2234" s="4"/>
    </row>
    <row r="2235">
      <c r="A2235" s="55" t="s">
        <v>10966</v>
      </c>
      <c r="B2235" s="52" t="s">
        <v>5656</v>
      </c>
      <c r="C2235" s="76">
        <v>45894.333333333336</v>
      </c>
      <c r="D2235" s="41" t="s">
        <v>2200</v>
      </c>
      <c r="E2235" s="76">
        <v>45894.458333333336</v>
      </c>
      <c r="F2235" s="52" t="s">
        <v>10967</v>
      </c>
      <c r="G2235" s="4" t="s">
        <v>1708</v>
      </c>
      <c r="H2235" s="4" t="s">
        <v>1987</v>
      </c>
      <c r="K2235" s="4"/>
      <c r="L2235" s="4" t="s">
        <v>10968</v>
      </c>
    </row>
    <row r="2236">
      <c r="A2236" s="55" t="s">
        <v>10969</v>
      </c>
      <c r="B2236" s="52" t="s">
        <v>1597</v>
      </c>
      <c r="C2236" s="76">
        <v>45894.458333333336</v>
      </c>
      <c r="D2236" s="41" t="s">
        <v>2154</v>
      </c>
      <c r="E2236" s="76">
        <v>45894.541666666664</v>
      </c>
      <c r="F2236" s="52" t="s">
        <v>10970</v>
      </c>
      <c r="G2236" s="4" t="s">
        <v>1708</v>
      </c>
      <c r="H2236" s="4" t="s">
        <v>1987</v>
      </c>
      <c r="K2236" s="4" t="s">
        <v>10971</v>
      </c>
      <c r="L2236" s="4"/>
    </row>
    <row r="2237">
      <c r="A2237" s="55" t="s">
        <v>10972</v>
      </c>
      <c r="B2237" s="52" t="s">
        <v>1597</v>
      </c>
      <c r="C2237" s="76">
        <v>45895.333333333336</v>
      </c>
      <c r="D2237" s="20"/>
      <c r="E2237" s="76">
        <v>45895.416666666664</v>
      </c>
      <c r="F2237" s="52" t="s">
        <v>10973</v>
      </c>
      <c r="G2237" s="4" t="s">
        <v>1708</v>
      </c>
      <c r="H2237" s="4" t="s">
        <v>1987</v>
      </c>
      <c r="K2237" s="4" t="s">
        <v>10974</v>
      </c>
      <c r="L2237" s="4" t="s">
        <v>10975</v>
      </c>
    </row>
    <row r="2238">
      <c r="A2238" s="66" t="s">
        <v>10976</v>
      </c>
      <c r="B2238" s="52" t="s">
        <v>5596</v>
      </c>
      <c r="C2238" s="76">
        <v>45896.5625</v>
      </c>
      <c r="D2238" s="20"/>
      <c r="E2238" s="76">
        <v>45896.770833333336</v>
      </c>
      <c r="F2238" s="52" t="s">
        <v>10977</v>
      </c>
      <c r="G2238" s="4" t="s">
        <v>1708</v>
      </c>
      <c r="H2238" s="4" t="s">
        <v>1987</v>
      </c>
      <c r="K2238" s="4" t="s">
        <v>10978</v>
      </c>
      <c r="L2238" s="4" t="s">
        <v>10979</v>
      </c>
    </row>
    <row r="2239">
      <c r="A2239" s="55" t="s">
        <v>10980</v>
      </c>
      <c r="B2239" s="52" t="s">
        <v>5596</v>
      </c>
      <c r="C2239" s="76">
        <v>45897.333333333336</v>
      </c>
      <c r="D2239" s="41" t="s">
        <v>6052</v>
      </c>
      <c r="E2239" s="76">
        <v>45897.5</v>
      </c>
      <c r="F2239" s="52" t="s">
        <v>10977</v>
      </c>
      <c r="G2239" s="4" t="s">
        <v>1708</v>
      </c>
      <c r="H2239" s="4" t="s">
        <v>1987</v>
      </c>
      <c r="K2239" s="4" t="s">
        <v>10981</v>
      </c>
      <c r="L2239" s="4" t="s">
        <v>10982</v>
      </c>
    </row>
    <row r="2240">
      <c r="A2240" s="55" t="s">
        <v>10983</v>
      </c>
      <c r="B2240" s="52" t="s">
        <v>5598</v>
      </c>
      <c r="C2240" s="76">
        <v>45890.625</v>
      </c>
      <c r="D2240" s="41" t="s">
        <v>2148</v>
      </c>
      <c r="E2240" s="76">
        <v>45890.729166666664</v>
      </c>
      <c r="F2240" s="52" t="s">
        <v>10891</v>
      </c>
      <c r="G2240" s="4" t="s">
        <v>135</v>
      </c>
      <c r="H2240" s="4" t="s">
        <v>1991</v>
      </c>
      <c r="K2240" s="4" t="s">
        <v>10984</v>
      </c>
      <c r="L2240" s="4" t="s">
        <v>10985</v>
      </c>
    </row>
    <row r="2241">
      <c r="A2241" s="55" t="s">
        <v>10986</v>
      </c>
      <c r="B2241" s="52" t="s">
        <v>5598</v>
      </c>
      <c r="C2241" s="76">
        <v>45890.729166666664</v>
      </c>
      <c r="D2241" s="41" t="s">
        <v>2148</v>
      </c>
      <c r="E2241" s="76">
        <v>45890.770833333336</v>
      </c>
      <c r="F2241" s="52" t="s">
        <v>10987</v>
      </c>
      <c r="G2241" s="4" t="s">
        <v>135</v>
      </c>
      <c r="H2241" s="4" t="s">
        <v>1987</v>
      </c>
      <c r="K2241" s="4" t="s">
        <v>10988</v>
      </c>
      <c r="L2241" s="4" t="s">
        <v>10985</v>
      </c>
    </row>
    <row r="2242">
      <c r="A2242" s="55" t="s">
        <v>10989</v>
      </c>
      <c r="B2242" s="52" t="s">
        <v>5647</v>
      </c>
      <c r="C2242" s="76">
        <v>45898.4375</v>
      </c>
      <c r="D2242" s="41" t="s">
        <v>6052</v>
      </c>
      <c r="E2242" s="76">
        <v>45898.645833333336</v>
      </c>
      <c r="F2242" s="52" t="s">
        <v>10990</v>
      </c>
      <c r="G2242" s="4" t="s">
        <v>110</v>
      </c>
      <c r="H2242" s="4" t="s">
        <v>1987</v>
      </c>
      <c r="K2242" s="4" t="s">
        <v>10991</v>
      </c>
      <c r="L2242" s="4" t="s">
        <v>10992</v>
      </c>
    </row>
    <row r="2243">
      <c r="A2243" s="55" t="s">
        <v>10993</v>
      </c>
      <c r="B2243" s="52" t="s">
        <v>5675</v>
      </c>
      <c r="C2243" s="76">
        <v>45894.385416666664</v>
      </c>
      <c r="D2243" s="41" t="s">
        <v>2147</v>
      </c>
      <c r="E2243" s="76">
        <v>45894.427083333336</v>
      </c>
      <c r="F2243" s="52" t="s">
        <v>8723</v>
      </c>
      <c r="G2243" s="4" t="s">
        <v>27</v>
      </c>
      <c r="H2243" s="4" t="s">
        <v>1987</v>
      </c>
      <c r="K2243" s="4" t="s">
        <v>10994</v>
      </c>
      <c r="L2243" s="4" t="s">
        <v>10995</v>
      </c>
    </row>
    <row r="2244">
      <c r="A2244" s="55" t="s">
        <v>10996</v>
      </c>
      <c r="B2244" s="52" t="s">
        <v>5537</v>
      </c>
      <c r="C2244" s="76">
        <v>45896.375</v>
      </c>
      <c r="D2244" s="41" t="s">
        <v>2147</v>
      </c>
      <c r="E2244" s="76">
        <v>45896.5</v>
      </c>
      <c r="F2244" s="52" t="s">
        <v>8173</v>
      </c>
      <c r="G2244" s="4" t="s">
        <v>110</v>
      </c>
      <c r="H2244" s="4" t="s">
        <v>1991</v>
      </c>
      <c r="K2244" s="4" t="s">
        <v>10997</v>
      </c>
      <c r="L2244" s="4" t="s">
        <v>10998</v>
      </c>
    </row>
    <row r="2245">
      <c r="A2245" s="55" t="s">
        <v>10999</v>
      </c>
      <c r="B2245" s="52" t="s">
        <v>5656</v>
      </c>
      <c r="C2245" s="76">
        <v>45894.70416666667</v>
      </c>
      <c r="D2245" s="41" t="s">
        <v>2147</v>
      </c>
      <c r="E2245" s="76">
        <v>45894.916666666664</v>
      </c>
      <c r="F2245" s="52" t="s">
        <v>11000</v>
      </c>
      <c r="G2245" s="4" t="s">
        <v>27</v>
      </c>
      <c r="H2245" s="4" t="s">
        <v>1987</v>
      </c>
      <c r="K2245" s="4" t="s">
        <v>11001</v>
      </c>
      <c r="L2245" s="4" t="s">
        <v>11002</v>
      </c>
    </row>
    <row r="2246">
      <c r="A2246" s="55" t="s">
        <v>11003</v>
      </c>
      <c r="B2246" s="52" t="s">
        <v>5675</v>
      </c>
      <c r="C2246" s="76">
        <v>45895.333333333336</v>
      </c>
      <c r="D2246" s="41" t="s">
        <v>2147</v>
      </c>
      <c r="E2246" s="76">
        <v>45895.4375</v>
      </c>
      <c r="F2246" s="52" t="s">
        <v>10865</v>
      </c>
      <c r="G2246" s="4" t="s">
        <v>110</v>
      </c>
      <c r="H2246" s="4" t="s">
        <v>1987</v>
      </c>
      <c r="K2246" s="4" t="s">
        <v>11004</v>
      </c>
      <c r="L2246" s="4" t="s">
        <v>11005</v>
      </c>
    </row>
    <row r="2247">
      <c r="A2247" s="55"/>
      <c r="B2247" s="52"/>
      <c r="C2247" s="76"/>
      <c r="D2247" s="20"/>
      <c r="E2247" s="76"/>
      <c r="F2247" s="52"/>
      <c r="G2247" s="4"/>
      <c r="H2247" s="4"/>
      <c r="K2247" s="4"/>
      <c r="L2247" s="4"/>
    </row>
    <row r="2248">
      <c r="A2248" s="55" t="s">
        <v>11006</v>
      </c>
      <c r="B2248" s="52" t="s">
        <v>5596</v>
      </c>
      <c r="C2248" s="76">
        <v>45895.416666666664</v>
      </c>
      <c r="D2248" s="41" t="s">
        <v>2200</v>
      </c>
      <c r="E2248" s="76">
        <v>45895.541666666664</v>
      </c>
      <c r="F2248" s="52" t="s">
        <v>11007</v>
      </c>
      <c r="G2248" s="4" t="s">
        <v>1708</v>
      </c>
      <c r="H2248" s="4" t="s">
        <v>1987</v>
      </c>
      <c r="K2248" s="4" t="s">
        <v>11008</v>
      </c>
      <c r="L2248" s="4"/>
    </row>
    <row r="2249">
      <c r="A2249" s="55" t="s">
        <v>11009</v>
      </c>
      <c r="B2249" s="52" t="s">
        <v>5598</v>
      </c>
      <c r="C2249" s="76">
        <v>45894.5625</v>
      </c>
      <c r="D2249" s="41" t="s">
        <v>6052</v>
      </c>
      <c r="E2249" s="76">
        <v>45894.729166666664</v>
      </c>
      <c r="F2249" s="52" t="s">
        <v>10905</v>
      </c>
      <c r="G2249" s="4" t="s">
        <v>135</v>
      </c>
      <c r="H2249" s="4" t="s">
        <v>1987</v>
      </c>
      <c r="K2249" s="4" t="s">
        <v>10906</v>
      </c>
      <c r="L2249" s="4" t="s">
        <v>11010</v>
      </c>
    </row>
    <row r="2250">
      <c r="A2250" s="55" t="s">
        <v>11011</v>
      </c>
      <c r="B2250" s="52" t="s">
        <v>5656</v>
      </c>
      <c r="C2250" s="76">
        <v>45895.66180555556</v>
      </c>
      <c r="D2250" s="41" t="s">
        <v>2154</v>
      </c>
      <c r="E2250" s="76">
        <v>45895.74513888889</v>
      </c>
      <c r="F2250" s="52" t="s">
        <v>7424</v>
      </c>
      <c r="G2250" s="4" t="s">
        <v>27</v>
      </c>
      <c r="H2250" s="4" t="s">
        <v>1987</v>
      </c>
      <c r="K2250" s="4" t="s">
        <v>11012</v>
      </c>
      <c r="L2250" s="4" t="s">
        <v>11013</v>
      </c>
    </row>
    <row r="2251">
      <c r="A2251" s="55" t="s">
        <v>11014</v>
      </c>
      <c r="B2251" s="52" t="s">
        <v>1597</v>
      </c>
      <c r="C2251" s="76">
        <v>45895.74513888889</v>
      </c>
      <c r="D2251" s="41" t="s">
        <v>2200</v>
      </c>
      <c r="E2251" s="76">
        <v>45895.87013888889</v>
      </c>
      <c r="F2251" s="52" t="s">
        <v>10199</v>
      </c>
      <c r="G2251" s="4" t="s">
        <v>27</v>
      </c>
      <c r="H2251" s="4" t="s">
        <v>1987</v>
      </c>
      <c r="K2251" s="4" t="s">
        <v>11015</v>
      </c>
      <c r="L2251" s="4"/>
    </row>
    <row r="2252">
      <c r="A2252" s="55" t="s">
        <v>11016</v>
      </c>
      <c r="B2252" s="52" t="s">
        <v>5647</v>
      </c>
      <c r="C2252" s="76">
        <v>45896.5</v>
      </c>
      <c r="D2252" s="41" t="s">
        <v>2147</v>
      </c>
      <c r="E2252" s="76">
        <v>45896.541666666664</v>
      </c>
      <c r="F2252" s="52" t="s">
        <v>10878</v>
      </c>
      <c r="G2252" s="4" t="s">
        <v>110</v>
      </c>
      <c r="H2252" s="4" t="s">
        <v>1987</v>
      </c>
      <c r="K2252" s="4" t="s">
        <v>11017</v>
      </c>
      <c r="L2252" s="4"/>
    </row>
    <row r="2253">
      <c r="A2253" s="66" t="s">
        <v>11018</v>
      </c>
      <c r="B2253" s="52" t="s">
        <v>5384</v>
      </c>
      <c r="C2253" s="76">
        <v>45896.583333333336</v>
      </c>
      <c r="D2253" s="41" t="s">
        <v>2200</v>
      </c>
      <c r="E2253" s="76">
        <v>45896.6875</v>
      </c>
      <c r="F2253" s="52" t="s">
        <v>11019</v>
      </c>
      <c r="G2253" s="4" t="s">
        <v>135</v>
      </c>
      <c r="H2253" s="4" t="s">
        <v>1987</v>
      </c>
      <c r="K2253" s="4"/>
      <c r="L2253" s="4" t="s">
        <v>11020</v>
      </c>
    </row>
    <row r="2254">
      <c r="A2254" s="55" t="s">
        <v>11021</v>
      </c>
      <c r="B2254" s="52" t="s">
        <v>5598</v>
      </c>
      <c r="C2254" s="76">
        <v>45896.6875</v>
      </c>
      <c r="D2254" s="41" t="s">
        <v>6052</v>
      </c>
      <c r="E2254" s="76">
        <v>45896.770833333336</v>
      </c>
      <c r="F2254" s="52" t="s">
        <v>10905</v>
      </c>
      <c r="G2254" s="4" t="s">
        <v>135</v>
      </c>
      <c r="H2254" s="4" t="s">
        <v>1987</v>
      </c>
      <c r="K2254" s="4" t="s">
        <v>11022</v>
      </c>
      <c r="L2254" s="4" t="s">
        <v>10907</v>
      </c>
    </row>
    <row r="2255">
      <c r="A2255" s="55" t="s">
        <v>11023</v>
      </c>
      <c r="B2255" s="52" t="s">
        <v>5384</v>
      </c>
      <c r="C2255" s="76">
        <v>45897.572916666664</v>
      </c>
      <c r="D2255" s="41" t="s">
        <v>6052</v>
      </c>
      <c r="E2255" s="76">
        <v>45897.708333333336</v>
      </c>
      <c r="F2255" s="52" t="s">
        <v>11024</v>
      </c>
      <c r="G2255" s="4" t="s">
        <v>135</v>
      </c>
      <c r="H2255" s="4" t="s">
        <v>1987</v>
      </c>
      <c r="K2255" s="4"/>
      <c r="L2255" s="4" t="s">
        <v>11025</v>
      </c>
    </row>
    <row r="2256">
      <c r="A2256" s="55" t="s">
        <v>11026</v>
      </c>
      <c r="B2256" s="52" t="s">
        <v>6069</v>
      </c>
      <c r="C2256" s="76">
        <v>45898.552083333336</v>
      </c>
      <c r="D2256" s="41" t="s">
        <v>6052</v>
      </c>
      <c r="E2256" s="76">
        <v>45898.59375</v>
      </c>
      <c r="F2256" s="52" t="s">
        <v>7339</v>
      </c>
      <c r="G2256" s="4" t="s">
        <v>135</v>
      </c>
      <c r="H2256" s="4" t="s">
        <v>1987</v>
      </c>
      <c r="K2256" s="4" t="s">
        <v>11027</v>
      </c>
      <c r="L2256" s="4" t="s">
        <v>11028</v>
      </c>
    </row>
    <row r="2257">
      <c r="A2257" s="55" t="s">
        <v>11029</v>
      </c>
      <c r="B2257" s="52" t="s">
        <v>1617</v>
      </c>
      <c r="C2257" s="76">
        <v>45901.5625</v>
      </c>
      <c r="D2257" s="41" t="s">
        <v>6052</v>
      </c>
      <c r="E2257" s="76">
        <v>45901.666666666664</v>
      </c>
      <c r="F2257" s="52" t="s">
        <v>11024</v>
      </c>
      <c r="G2257" s="4" t="s">
        <v>135</v>
      </c>
      <c r="H2257" s="4" t="s">
        <v>1987</v>
      </c>
      <c r="K2257" s="4" t="s">
        <v>11030</v>
      </c>
      <c r="L2257" s="4" t="s">
        <v>11031</v>
      </c>
    </row>
    <row r="2258">
      <c r="A2258" s="55" t="s">
        <v>11032</v>
      </c>
      <c r="B2258" s="52" t="s">
        <v>1617</v>
      </c>
      <c r="C2258" s="76">
        <v>45902.552083333336</v>
      </c>
      <c r="D2258" s="41" t="s">
        <v>6052</v>
      </c>
      <c r="E2258" s="76">
        <v>45902.770833333336</v>
      </c>
      <c r="F2258" s="52" t="s">
        <v>11024</v>
      </c>
      <c r="G2258" s="4" t="s">
        <v>135</v>
      </c>
      <c r="H2258" s="4" t="s">
        <v>1987</v>
      </c>
      <c r="K2258" s="4" t="s">
        <v>11033</v>
      </c>
      <c r="L2258" s="4"/>
    </row>
    <row r="2259">
      <c r="A2259" s="55" t="s">
        <v>11034</v>
      </c>
      <c r="B2259" s="52" t="s">
        <v>1617</v>
      </c>
      <c r="C2259" s="76">
        <v>45903.552083333336</v>
      </c>
      <c r="D2259" s="41" t="s">
        <v>6052</v>
      </c>
      <c r="E2259" s="76">
        <v>45903.59375</v>
      </c>
      <c r="F2259" s="52" t="s">
        <v>11024</v>
      </c>
      <c r="G2259" s="4" t="s">
        <v>135</v>
      </c>
      <c r="H2259" s="4" t="s">
        <v>1987</v>
      </c>
      <c r="K2259" s="4" t="s">
        <v>11035</v>
      </c>
      <c r="L2259" s="4" t="s">
        <v>11036</v>
      </c>
    </row>
    <row r="2260">
      <c r="A2260" s="55" t="s">
        <v>11037</v>
      </c>
      <c r="B2260" s="52" t="s">
        <v>5619</v>
      </c>
      <c r="C2260" s="76">
        <v>45897.552083333336</v>
      </c>
      <c r="D2260" s="41" t="s">
        <v>6318</v>
      </c>
      <c r="E2260" s="76">
        <v>45897.572916666664</v>
      </c>
      <c r="F2260" s="52" t="s">
        <v>11038</v>
      </c>
      <c r="G2260" s="4" t="s">
        <v>135</v>
      </c>
      <c r="H2260" s="4" t="s">
        <v>1987</v>
      </c>
      <c r="K2260" s="4" t="s">
        <v>11039</v>
      </c>
      <c r="L2260" s="4"/>
    </row>
    <row r="2261">
      <c r="A2261" s="55" t="s">
        <v>11040</v>
      </c>
      <c r="B2261" s="52" t="s">
        <v>6057</v>
      </c>
      <c r="C2261" s="76">
        <v>45897.395833333336</v>
      </c>
      <c r="D2261" s="41" t="s">
        <v>2147</v>
      </c>
      <c r="E2261" s="76">
        <v>45897.4375</v>
      </c>
      <c r="F2261" s="52" t="s">
        <v>11041</v>
      </c>
      <c r="G2261" s="4" t="s">
        <v>27</v>
      </c>
      <c r="H2261" s="4" t="s">
        <v>1991</v>
      </c>
      <c r="K2261" s="4" t="s">
        <v>11042</v>
      </c>
      <c r="L2261" s="4"/>
    </row>
    <row r="2262">
      <c r="A2262" s="55" t="s">
        <v>11043</v>
      </c>
      <c r="B2262" s="52" t="s">
        <v>1597</v>
      </c>
      <c r="C2262" s="76">
        <v>45898.458333333336</v>
      </c>
      <c r="D2262" s="41" t="s">
        <v>2147</v>
      </c>
      <c r="E2262" s="76">
        <v>45898.5</v>
      </c>
      <c r="F2262" s="52" t="s">
        <v>11044</v>
      </c>
      <c r="G2262" s="4" t="s">
        <v>27</v>
      </c>
      <c r="H2262" s="4" t="s">
        <v>1991</v>
      </c>
      <c r="K2262" s="4"/>
      <c r="L2262" s="4" t="s">
        <v>11045</v>
      </c>
    </row>
    <row r="2263">
      <c r="A2263" s="55" t="s">
        <v>11046</v>
      </c>
      <c r="B2263" s="52" t="s">
        <v>6057</v>
      </c>
      <c r="C2263" s="76">
        <v>45898.625</v>
      </c>
      <c r="D2263" s="41" t="s">
        <v>2147</v>
      </c>
      <c r="E2263" s="76">
        <v>45898.666666666664</v>
      </c>
      <c r="F2263" s="52" t="s">
        <v>11047</v>
      </c>
      <c r="G2263" s="4" t="s">
        <v>27</v>
      </c>
      <c r="H2263" s="4" t="s">
        <v>1991</v>
      </c>
      <c r="K2263" s="4" t="s">
        <v>11048</v>
      </c>
      <c r="L2263" s="4"/>
    </row>
    <row r="2264">
      <c r="A2264" s="55" t="s">
        <v>11049</v>
      </c>
      <c r="B2264" s="52" t="s">
        <v>5678</v>
      </c>
      <c r="C2264" s="76">
        <v>45901.666666666664</v>
      </c>
      <c r="D2264" s="41" t="s">
        <v>2147</v>
      </c>
      <c r="E2264" s="76">
        <v>45901.708333333336</v>
      </c>
      <c r="F2264" s="52" t="s">
        <v>11050</v>
      </c>
      <c r="G2264" s="4" t="s">
        <v>27</v>
      </c>
      <c r="H2264" s="4" t="s">
        <v>1991</v>
      </c>
      <c r="K2264" s="4" t="s">
        <v>11051</v>
      </c>
      <c r="L2264" s="4"/>
    </row>
    <row r="2265">
      <c r="A2265" s="55" t="s">
        <v>11052</v>
      </c>
      <c r="B2265" s="52" t="s">
        <v>1611</v>
      </c>
      <c r="C2265" s="76">
        <v>45897.5</v>
      </c>
      <c r="D2265" s="41" t="s">
        <v>2147</v>
      </c>
      <c r="E2265" s="76">
        <v>45897.541666666664</v>
      </c>
      <c r="F2265" s="52" t="s">
        <v>11053</v>
      </c>
      <c r="G2265" s="4" t="s">
        <v>1708</v>
      </c>
      <c r="H2265" s="4" t="s">
        <v>1987</v>
      </c>
      <c r="K2265" s="4" t="s">
        <v>11054</v>
      </c>
      <c r="L2265" s="4"/>
    </row>
    <row r="2266">
      <c r="A2266" s="55" t="s">
        <v>11055</v>
      </c>
      <c r="B2266" s="52" t="s">
        <v>6057</v>
      </c>
      <c r="C2266" s="76">
        <v>45897.5</v>
      </c>
      <c r="D2266" s="41" t="s">
        <v>2147</v>
      </c>
      <c r="E2266" s="76">
        <v>45897.541666666664</v>
      </c>
      <c r="F2266" s="52" t="s">
        <v>2113</v>
      </c>
      <c r="G2266" s="4" t="s">
        <v>110</v>
      </c>
      <c r="H2266" s="4" t="s">
        <v>1987</v>
      </c>
      <c r="K2266" s="4" t="s">
        <v>11056</v>
      </c>
      <c r="L2266" s="4"/>
    </row>
    <row r="2267">
      <c r="A2267" s="55" t="s">
        <v>11057</v>
      </c>
      <c r="B2267" s="52" t="s">
        <v>1617</v>
      </c>
      <c r="C2267" s="76">
        <v>45897.708333333336</v>
      </c>
      <c r="D2267" s="41" t="s">
        <v>2147</v>
      </c>
      <c r="E2267" s="76">
        <v>45897.770833333336</v>
      </c>
      <c r="F2267" s="52" t="s">
        <v>11024</v>
      </c>
      <c r="G2267" s="4" t="s">
        <v>135</v>
      </c>
      <c r="H2267" s="4" t="s">
        <v>1987</v>
      </c>
      <c r="K2267" s="4" t="s">
        <v>11058</v>
      </c>
      <c r="L2267" s="4" t="s">
        <v>11059</v>
      </c>
    </row>
    <row r="2268">
      <c r="A2268" s="55" t="s">
        <v>11060</v>
      </c>
      <c r="B2268" s="52" t="s">
        <v>1617</v>
      </c>
      <c r="C2268" s="76">
        <v>45897.73402777778</v>
      </c>
      <c r="D2268" s="41" t="s">
        <v>2147</v>
      </c>
      <c r="E2268" s="76">
        <v>45897.77569444444</v>
      </c>
      <c r="F2268" s="52" t="s">
        <v>11061</v>
      </c>
      <c r="G2268" s="4" t="s">
        <v>27</v>
      </c>
      <c r="H2268" s="4" t="s">
        <v>1987</v>
      </c>
      <c r="K2268" s="4" t="s">
        <v>11062</v>
      </c>
      <c r="L2268" s="4"/>
    </row>
    <row r="2269">
      <c r="A2269" s="55" t="s">
        <v>11063</v>
      </c>
      <c r="B2269" s="52" t="s">
        <v>1611</v>
      </c>
      <c r="C2269" s="76">
        <v>45898.333333333336</v>
      </c>
      <c r="D2269" s="41" t="s">
        <v>6052</v>
      </c>
      <c r="E2269" s="76">
        <v>45898.541666666664</v>
      </c>
      <c r="F2269" s="52" t="s">
        <v>8039</v>
      </c>
      <c r="G2269" s="4" t="s">
        <v>1708</v>
      </c>
      <c r="H2269" s="4" t="s">
        <v>1987</v>
      </c>
      <c r="K2269" s="4" t="s">
        <v>11064</v>
      </c>
      <c r="L2269" s="4"/>
    </row>
    <row r="2270">
      <c r="A2270" s="55" t="s">
        <v>11065</v>
      </c>
      <c r="B2270" s="52" t="s">
        <v>1611</v>
      </c>
      <c r="C2270" s="76">
        <v>45901.333333333336</v>
      </c>
      <c r="D2270" s="41" t="s">
        <v>6052</v>
      </c>
      <c r="E2270" s="76">
        <v>45901.541666666664</v>
      </c>
      <c r="F2270" s="52" t="s">
        <v>11066</v>
      </c>
      <c r="G2270" s="4" t="s">
        <v>1708</v>
      </c>
      <c r="H2270" s="4" t="s">
        <v>1987</v>
      </c>
      <c r="K2270" s="4" t="s">
        <v>11067</v>
      </c>
      <c r="L2270" s="4"/>
    </row>
    <row r="2271">
      <c r="A2271" s="55" t="s">
        <v>11068</v>
      </c>
      <c r="B2271" s="52" t="s">
        <v>5647</v>
      </c>
      <c r="C2271" s="76">
        <v>45901.333333333336</v>
      </c>
      <c r="D2271" s="41" t="s">
        <v>6052</v>
      </c>
      <c r="E2271" s="76">
        <v>45901.541666666664</v>
      </c>
      <c r="F2271" s="52" t="s">
        <v>9803</v>
      </c>
      <c r="G2271" s="4" t="s">
        <v>110</v>
      </c>
      <c r="H2271" s="4" t="s">
        <v>1987</v>
      </c>
      <c r="K2271" s="4" t="s">
        <v>11069</v>
      </c>
      <c r="L2271" s="4"/>
    </row>
    <row r="2272">
      <c r="A2272" s="55" t="s">
        <v>11070</v>
      </c>
      <c r="B2272" s="52" t="s">
        <v>5729</v>
      </c>
      <c r="C2272" s="76">
        <v>45902.416666666664</v>
      </c>
      <c r="D2272" s="41" t="s">
        <v>2154</v>
      </c>
      <c r="E2272" s="76">
        <v>45902.541666666664</v>
      </c>
      <c r="F2272" s="52" t="s">
        <v>11071</v>
      </c>
      <c r="G2272" s="4" t="s">
        <v>27</v>
      </c>
      <c r="H2272" s="4" t="s">
        <v>1991</v>
      </c>
      <c r="K2272" s="4" t="s">
        <v>11072</v>
      </c>
      <c r="L2272" s="4" t="s">
        <v>11073</v>
      </c>
    </row>
    <row r="2273">
      <c r="A2273" s="55" t="s">
        <v>11074</v>
      </c>
      <c r="B2273" s="52" t="s">
        <v>5656</v>
      </c>
      <c r="C2273" s="76">
        <v>45901.47361111111</v>
      </c>
      <c r="D2273" s="41" t="s">
        <v>2200</v>
      </c>
      <c r="E2273" s="76">
        <v>45901.583333333336</v>
      </c>
      <c r="F2273" s="52" t="s">
        <v>11075</v>
      </c>
      <c r="G2273" s="4" t="s">
        <v>27</v>
      </c>
      <c r="H2273" s="4" t="s">
        <v>1987</v>
      </c>
      <c r="K2273" s="4" t="s">
        <v>11076</v>
      </c>
      <c r="L2273" s="4" t="s">
        <v>11077</v>
      </c>
    </row>
    <row r="2274">
      <c r="A2274" s="55" t="s">
        <v>11078</v>
      </c>
      <c r="B2274" s="52" t="s">
        <v>5656</v>
      </c>
      <c r="C2274" s="76">
        <v>45901.729166666664</v>
      </c>
      <c r="D2274" s="41" t="s">
        <v>2200</v>
      </c>
      <c r="E2274" s="76">
        <v>45901.8125</v>
      </c>
      <c r="F2274" s="52" t="s">
        <v>11075</v>
      </c>
      <c r="G2274" s="4" t="s">
        <v>27</v>
      </c>
      <c r="H2274" s="4" t="s">
        <v>1987</v>
      </c>
      <c r="K2274" s="4" t="s">
        <v>11079</v>
      </c>
      <c r="L2274" s="4" t="s">
        <v>11080</v>
      </c>
    </row>
    <row r="2275">
      <c r="A2275" s="55" t="s">
        <v>11081</v>
      </c>
      <c r="B2275" s="52" t="s">
        <v>5647</v>
      </c>
      <c r="C2275" s="76">
        <v>45902.333333333336</v>
      </c>
      <c r="D2275" s="41" t="s">
        <v>2154</v>
      </c>
      <c r="E2275" s="76">
        <v>45902.416666666664</v>
      </c>
      <c r="F2275" s="52" t="s">
        <v>9803</v>
      </c>
      <c r="G2275" s="4" t="s">
        <v>110</v>
      </c>
      <c r="H2275" s="4" t="s">
        <v>1987</v>
      </c>
      <c r="K2275" s="4" t="s">
        <v>11082</v>
      </c>
      <c r="L2275" s="4"/>
    </row>
    <row r="2276">
      <c r="A2276" s="55" t="s">
        <v>11083</v>
      </c>
      <c r="B2276" s="52" t="s">
        <v>5729</v>
      </c>
      <c r="C2276" s="76">
        <v>45902.416666666664</v>
      </c>
      <c r="D2276" s="41" t="s">
        <v>2154</v>
      </c>
      <c r="E2276" s="76">
        <v>45902.541666666664</v>
      </c>
      <c r="F2276" s="52" t="s">
        <v>11084</v>
      </c>
      <c r="G2276" s="4" t="s">
        <v>110</v>
      </c>
      <c r="H2276" s="4" t="s">
        <v>1991</v>
      </c>
      <c r="K2276" s="4"/>
      <c r="L2276" s="4" t="s">
        <v>11085</v>
      </c>
    </row>
    <row r="2277">
      <c r="A2277" s="55" t="s">
        <v>11086</v>
      </c>
      <c r="B2277" s="52" t="s">
        <v>5596</v>
      </c>
      <c r="C2277" s="76">
        <v>45902.333333333336</v>
      </c>
      <c r="D2277" s="41" t="s">
        <v>6052</v>
      </c>
      <c r="E2277" s="76">
        <v>45902.541666666664</v>
      </c>
      <c r="F2277" s="52" t="s">
        <v>11066</v>
      </c>
      <c r="G2277" s="4" t="s">
        <v>1708</v>
      </c>
      <c r="H2277" s="4" t="s">
        <v>1987</v>
      </c>
      <c r="K2277" s="4" t="s">
        <v>11087</v>
      </c>
      <c r="L2277" s="4" t="s">
        <v>11088</v>
      </c>
    </row>
    <row r="2278">
      <c r="A2278" s="55" t="s">
        <v>11089</v>
      </c>
      <c r="B2278" s="52" t="s">
        <v>5647</v>
      </c>
      <c r="C2278" s="76">
        <v>45904.333333333336</v>
      </c>
      <c r="D2278" s="41" t="s">
        <v>2147</v>
      </c>
      <c r="E2278" s="76">
        <v>45904.479166666664</v>
      </c>
      <c r="F2278" s="52" t="s">
        <v>10723</v>
      </c>
      <c r="G2278" s="4" t="s">
        <v>110</v>
      </c>
      <c r="H2278" s="4" t="s">
        <v>1991</v>
      </c>
      <c r="K2278" s="4" t="s">
        <v>11090</v>
      </c>
      <c r="L2278" s="4" t="s">
        <v>11091</v>
      </c>
    </row>
    <row r="2279">
      <c r="A2279" s="55" t="s">
        <v>11092</v>
      </c>
      <c r="B2279" s="52" t="s">
        <v>5678</v>
      </c>
      <c r="C2279" s="76">
        <v>45901.666666666664</v>
      </c>
      <c r="D2279" s="41" t="s">
        <v>2147</v>
      </c>
      <c r="E2279" s="76">
        <v>45901.729166666664</v>
      </c>
      <c r="F2279" s="52" t="s">
        <v>11050</v>
      </c>
      <c r="G2279" s="4" t="s">
        <v>135</v>
      </c>
      <c r="H2279" s="4" t="s">
        <v>1987</v>
      </c>
      <c r="K2279" s="4" t="s">
        <v>11093</v>
      </c>
      <c r="L2279" s="4"/>
    </row>
    <row r="2280">
      <c r="A2280" s="55" t="s">
        <v>11094</v>
      </c>
      <c r="B2280" s="52" t="s">
        <v>5656</v>
      </c>
      <c r="C2280" s="76">
        <v>45902.583333333336</v>
      </c>
      <c r="D2280" s="41" t="s">
        <v>2154</v>
      </c>
      <c r="E2280" s="76">
        <v>45902.6875</v>
      </c>
      <c r="F2280" s="52" t="s">
        <v>7424</v>
      </c>
      <c r="G2280" s="4" t="s">
        <v>27</v>
      </c>
      <c r="H2280" s="4" t="s">
        <v>1987</v>
      </c>
      <c r="K2280" s="4" t="s">
        <v>11095</v>
      </c>
      <c r="L2280" s="4"/>
    </row>
    <row r="2281">
      <c r="A2281" s="55" t="s">
        <v>11096</v>
      </c>
      <c r="B2281" s="52" t="s">
        <v>5647</v>
      </c>
      <c r="C2281" s="76">
        <v>45903.333333333336</v>
      </c>
      <c r="D2281" s="41" t="s">
        <v>6052</v>
      </c>
      <c r="E2281" s="76">
        <v>45903.541666666664</v>
      </c>
      <c r="F2281" s="52" t="s">
        <v>9803</v>
      </c>
      <c r="G2281" s="4" t="s">
        <v>110</v>
      </c>
      <c r="H2281" s="4" t="s">
        <v>1987</v>
      </c>
      <c r="K2281" s="4" t="s">
        <v>11097</v>
      </c>
      <c r="L2281" s="4" t="s">
        <v>11098</v>
      </c>
    </row>
    <row r="2282">
      <c r="A2282" s="55" t="s">
        <v>11099</v>
      </c>
      <c r="B2282" s="52" t="s">
        <v>1636</v>
      </c>
      <c r="C2282" s="76">
        <v>45903.645833333336</v>
      </c>
      <c r="D2282" s="41" t="s">
        <v>2147</v>
      </c>
      <c r="E2282" s="76">
        <v>45903.6875</v>
      </c>
      <c r="F2282" s="52" t="s">
        <v>11100</v>
      </c>
      <c r="G2282" s="4" t="s">
        <v>27</v>
      </c>
      <c r="H2282" s="4" t="s">
        <v>1991</v>
      </c>
      <c r="K2282" s="4" t="s">
        <v>11101</v>
      </c>
      <c r="L2282" s="4"/>
    </row>
    <row r="2283">
      <c r="A2283" s="55" t="s">
        <v>11102</v>
      </c>
      <c r="B2283" s="52" t="s">
        <v>5656</v>
      </c>
      <c r="C2283" s="76">
        <v>45909.5</v>
      </c>
      <c r="D2283" s="41" t="s">
        <v>2147</v>
      </c>
      <c r="E2283" s="76">
        <v>45909.6875</v>
      </c>
      <c r="F2283" s="52" t="s">
        <v>11103</v>
      </c>
      <c r="G2283" s="4" t="s">
        <v>27</v>
      </c>
      <c r="H2283" s="4" t="s">
        <v>1991</v>
      </c>
      <c r="K2283" s="4" t="s">
        <v>11104</v>
      </c>
      <c r="L2283" s="4" t="s">
        <v>11105</v>
      </c>
    </row>
    <row r="2284">
      <c r="A2284" s="55" t="s">
        <v>11106</v>
      </c>
      <c r="B2284" s="52" t="s">
        <v>1611</v>
      </c>
      <c r="C2284" s="76">
        <v>45908.416666666664</v>
      </c>
      <c r="D2284" s="41" t="s">
        <v>2147</v>
      </c>
      <c r="E2284" s="76">
        <v>45908.458333333336</v>
      </c>
      <c r="F2284" s="52" t="s">
        <v>11107</v>
      </c>
      <c r="G2284" s="4" t="s">
        <v>27</v>
      </c>
      <c r="H2284" s="4" t="s">
        <v>1991</v>
      </c>
      <c r="K2284" s="4"/>
      <c r="L2284" s="4" t="s">
        <v>11108</v>
      </c>
    </row>
    <row r="2285">
      <c r="A2285" s="55" t="s">
        <v>11109</v>
      </c>
      <c r="B2285" s="52" t="s">
        <v>5384</v>
      </c>
      <c r="C2285" s="76">
        <v>45903.59375</v>
      </c>
      <c r="D2285" s="41" t="s">
        <v>6318</v>
      </c>
      <c r="E2285" s="76">
        <v>45903.604166666664</v>
      </c>
      <c r="F2285" s="52" t="s">
        <v>11110</v>
      </c>
      <c r="G2285" s="4" t="s">
        <v>135</v>
      </c>
      <c r="H2285" s="4" t="s">
        <v>1991</v>
      </c>
      <c r="K2285" s="4" t="s">
        <v>11111</v>
      </c>
      <c r="L2285" s="4"/>
    </row>
    <row r="2286">
      <c r="A2286" s="55" t="s">
        <v>11112</v>
      </c>
      <c r="B2286" s="52" t="s">
        <v>1617</v>
      </c>
      <c r="C2286" s="76">
        <v>45903.614583333336</v>
      </c>
      <c r="D2286" s="41" t="s">
        <v>6052</v>
      </c>
      <c r="E2286" s="76">
        <v>45903.770833333336</v>
      </c>
      <c r="F2286" s="52" t="s">
        <v>11024</v>
      </c>
      <c r="G2286" s="4" t="s">
        <v>135</v>
      </c>
      <c r="H2286" s="4" t="s">
        <v>1987</v>
      </c>
      <c r="K2286" s="4" t="s">
        <v>11113</v>
      </c>
      <c r="L2286" s="4" t="s">
        <v>11114</v>
      </c>
    </row>
    <row r="2287">
      <c r="A2287" s="55" t="s">
        <v>11115</v>
      </c>
      <c r="B2287" s="52" t="s">
        <v>1611</v>
      </c>
      <c r="C2287" s="76">
        <v>45903.5625</v>
      </c>
      <c r="D2287" s="41" t="s">
        <v>6052</v>
      </c>
      <c r="E2287" s="76">
        <v>45903.770833333336</v>
      </c>
      <c r="F2287" s="52" t="s">
        <v>11116</v>
      </c>
      <c r="G2287" s="4" t="s">
        <v>1708</v>
      </c>
      <c r="H2287" s="4" t="s">
        <v>1987</v>
      </c>
      <c r="K2287" s="4" t="s">
        <v>11117</v>
      </c>
      <c r="L2287" s="4"/>
    </row>
    <row r="2288">
      <c r="A2288" s="55" t="s">
        <v>11118</v>
      </c>
      <c r="B2288" s="52" t="s">
        <v>5596</v>
      </c>
      <c r="C2288" s="76">
        <v>45904.333333333336</v>
      </c>
      <c r="D2288" s="41" t="s">
        <v>6052</v>
      </c>
      <c r="E2288" s="76">
        <v>45904.541666666664</v>
      </c>
      <c r="F2288" s="52" t="s">
        <v>11119</v>
      </c>
      <c r="G2288" s="4" t="s">
        <v>1708</v>
      </c>
      <c r="H2288" s="4" t="s">
        <v>1987</v>
      </c>
      <c r="K2288" s="4" t="s">
        <v>11120</v>
      </c>
      <c r="L2288" s="4" t="s">
        <v>11121</v>
      </c>
    </row>
    <row r="2289">
      <c r="A2289" s="55" t="s">
        <v>11122</v>
      </c>
      <c r="B2289" s="52" t="s">
        <v>1617</v>
      </c>
      <c r="C2289" s="76">
        <v>45904.552083333336</v>
      </c>
      <c r="D2289" s="41" t="s">
        <v>2147</v>
      </c>
      <c r="E2289" s="76">
        <v>45904.666666666664</v>
      </c>
      <c r="F2289" s="52" t="s">
        <v>11123</v>
      </c>
      <c r="G2289" s="4" t="s">
        <v>135</v>
      </c>
      <c r="H2289" s="4" t="s">
        <v>1987</v>
      </c>
      <c r="K2289" s="4"/>
      <c r="L2289" s="4" t="s">
        <v>11124</v>
      </c>
    </row>
    <row r="2290">
      <c r="A2290" s="55" t="s">
        <v>11125</v>
      </c>
      <c r="B2290" s="52" t="s">
        <v>5598</v>
      </c>
      <c r="C2290" s="76">
        <v>45904.666666666664</v>
      </c>
      <c r="D2290" s="41" t="s">
        <v>2148</v>
      </c>
      <c r="E2290" s="76">
        <v>45904.770833333336</v>
      </c>
      <c r="F2290" s="52" t="s">
        <v>11126</v>
      </c>
      <c r="G2290" s="4" t="s">
        <v>135</v>
      </c>
      <c r="H2290" s="4" t="s">
        <v>1987</v>
      </c>
      <c r="K2290" s="4"/>
      <c r="L2290" s="4" t="s">
        <v>11127</v>
      </c>
    </row>
    <row r="2291">
      <c r="A2291" s="55" t="s">
        <v>11128</v>
      </c>
      <c r="B2291" s="52" t="s">
        <v>5598</v>
      </c>
      <c r="C2291" s="76">
        <v>45905.552083333336</v>
      </c>
      <c r="D2291" s="41" t="s">
        <v>2148</v>
      </c>
      <c r="E2291" s="76">
        <v>45905.770833333336</v>
      </c>
      <c r="F2291" s="52" t="s">
        <v>11126</v>
      </c>
      <c r="G2291" s="4" t="s">
        <v>135</v>
      </c>
      <c r="H2291" s="4" t="s">
        <v>1987</v>
      </c>
      <c r="K2291" s="4" t="s">
        <v>11129</v>
      </c>
      <c r="L2291" s="4"/>
    </row>
    <row r="2292">
      <c r="A2292" s="55" t="s">
        <v>11130</v>
      </c>
      <c r="B2292" s="52" t="s">
        <v>5598</v>
      </c>
      <c r="C2292" s="76">
        <v>45908.5625</v>
      </c>
      <c r="D2292" s="41" t="s">
        <v>2148</v>
      </c>
      <c r="E2292" s="76">
        <v>45908.729166666664</v>
      </c>
      <c r="F2292" s="52" t="s">
        <v>11131</v>
      </c>
      <c r="G2292" s="4" t="s">
        <v>135</v>
      </c>
      <c r="H2292" s="4" t="s">
        <v>1987</v>
      </c>
      <c r="K2292" s="4" t="s">
        <v>11132</v>
      </c>
      <c r="L2292" s="4"/>
    </row>
    <row r="2293">
      <c r="A2293" s="55" t="s">
        <v>11133</v>
      </c>
      <c r="B2293" s="52" t="s">
        <v>5678</v>
      </c>
      <c r="C2293" s="76">
        <v>45909.552083333336</v>
      </c>
      <c r="D2293" s="41" t="s">
        <v>6052</v>
      </c>
      <c r="E2293" s="76">
        <v>45909.770833333336</v>
      </c>
      <c r="F2293" s="52" t="s">
        <v>11134</v>
      </c>
      <c r="G2293" s="4" t="s">
        <v>135</v>
      </c>
      <c r="H2293" s="4" t="s">
        <v>1987</v>
      </c>
      <c r="K2293" s="4" t="s">
        <v>11135</v>
      </c>
      <c r="L2293" s="4" t="s">
        <v>11136</v>
      </c>
    </row>
    <row r="2294">
      <c r="A2294" s="55" t="s">
        <v>11137</v>
      </c>
      <c r="B2294" s="52" t="s">
        <v>5678</v>
      </c>
      <c r="C2294" s="76">
        <v>45910.552083333336</v>
      </c>
      <c r="D2294" s="41" t="s">
        <v>6052</v>
      </c>
      <c r="E2294" s="76">
        <v>45910.770833333336</v>
      </c>
      <c r="F2294" s="52" t="s">
        <v>11134</v>
      </c>
      <c r="G2294" s="4" t="s">
        <v>135</v>
      </c>
      <c r="H2294" s="4" t="s">
        <v>1987</v>
      </c>
      <c r="K2294" s="4" t="s">
        <v>11138</v>
      </c>
      <c r="L2294" s="4" t="s">
        <v>11139</v>
      </c>
    </row>
    <row r="2295">
      <c r="A2295" s="55" t="s">
        <v>11140</v>
      </c>
      <c r="B2295" s="52" t="s">
        <v>5678</v>
      </c>
      <c r="C2295" s="76">
        <v>45911.552083333336</v>
      </c>
      <c r="D2295" s="41" t="s">
        <v>2148</v>
      </c>
      <c r="E2295" s="76">
        <v>45911.770833333336</v>
      </c>
      <c r="F2295" s="52" t="s">
        <v>11141</v>
      </c>
      <c r="G2295" s="4" t="s">
        <v>135</v>
      </c>
      <c r="H2295" s="4" t="s">
        <v>1987</v>
      </c>
      <c r="K2295" s="4"/>
      <c r="L2295" s="4" t="s">
        <v>11142</v>
      </c>
    </row>
    <row r="2296">
      <c r="A2296" s="55" t="s">
        <v>11143</v>
      </c>
      <c r="B2296" s="52" t="s">
        <v>5598</v>
      </c>
      <c r="C2296" s="76">
        <v>45912.552083333336</v>
      </c>
      <c r="D2296" s="41" t="s">
        <v>2148</v>
      </c>
      <c r="E2296" s="76">
        <v>45912.770833333336</v>
      </c>
      <c r="F2296" s="52" t="s">
        <v>7579</v>
      </c>
      <c r="G2296" s="4" t="s">
        <v>135</v>
      </c>
      <c r="H2296" s="4" t="s">
        <v>1987</v>
      </c>
      <c r="K2296" s="4" t="s">
        <v>11144</v>
      </c>
      <c r="L2296" s="4" t="s">
        <v>11145</v>
      </c>
    </row>
    <row r="2297">
      <c r="A2297" s="55" t="s">
        <v>11146</v>
      </c>
      <c r="B2297" s="52" t="s">
        <v>5598</v>
      </c>
      <c r="C2297" s="76">
        <v>45915.5625</v>
      </c>
      <c r="D2297" s="41" t="s">
        <v>2148</v>
      </c>
      <c r="E2297" s="76">
        <v>45915.729166666664</v>
      </c>
      <c r="F2297" s="52" t="s">
        <v>11147</v>
      </c>
      <c r="G2297" s="4" t="s">
        <v>135</v>
      </c>
      <c r="H2297" s="4" t="s">
        <v>1987</v>
      </c>
      <c r="K2297" s="4" t="s">
        <v>11148</v>
      </c>
      <c r="L2297" s="4" t="s">
        <v>11149</v>
      </c>
    </row>
    <row r="2298">
      <c r="A2298" s="55" t="s">
        <v>11150</v>
      </c>
      <c r="B2298" s="52" t="s">
        <v>1617</v>
      </c>
      <c r="C2298" s="76">
        <v>45916.552083333336</v>
      </c>
      <c r="D2298" s="41" t="s">
        <v>2148</v>
      </c>
      <c r="E2298" s="76">
        <v>45916.625</v>
      </c>
      <c r="F2298" s="52" t="s">
        <v>11151</v>
      </c>
      <c r="G2298" s="4" t="s">
        <v>135</v>
      </c>
      <c r="H2298" s="4" t="s">
        <v>1987</v>
      </c>
      <c r="K2298" s="4" t="s">
        <v>11148</v>
      </c>
      <c r="L2298" s="4" t="s">
        <v>11152</v>
      </c>
    </row>
    <row r="2299">
      <c r="A2299" s="55"/>
      <c r="B2299" s="52"/>
      <c r="C2299" s="76"/>
      <c r="D2299" s="20"/>
      <c r="E2299" s="76"/>
      <c r="F2299" s="52"/>
      <c r="G2299" s="4"/>
      <c r="H2299" s="4"/>
      <c r="K2299" s="4"/>
      <c r="L2299" s="4"/>
    </row>
    <row r="2300">
      <c r="A2300" s="55"/>
      <c r="B2300" s="52"/>
      <c r="C2300" s="76"/>
      <c r="D2300" s="20"/>
      <c r="E2300" s="76"/>
      <c r="F2300" s="52"/>
      <c r="G2300" s="4"/>
      <c r="H2300" s="4"/>
      <c r="K2300" s="4"/>
      <c r="L2300" s="4"/>
    </row>
    <row r="2301">
      <c r="A2301" s="55"/>
      <c r="B2301" s="52"/>
      <c r="C2301" s="76"/>
      <c r="D2301" s="20"/>
      <c r="E2301" s="76"/>
      <c r="F2301" s="52"/>
      <c r="G2301" s="4"/>
      <c r="H2301" s="4"/>
      <c r="K2301" s="4"/>
      <c r="L2301" s="4"/>
    </row>
    <row r="2302">
      <c r="A2302" s="66" t="s">
        <v>11153</v>
      </c>
      <c r="B2302" s="52" t="s">
        <v>5598</v>
      </c>
      <c r="C2302" s="76">
        <v>45903.770833333336</v>
      </c>
      <c r="D2302" s="41" t="s">
        <v>2147</v>
      </c>
      <c r="E2302" s="76">
        <v>45903.8125</v>
      </c>
      <c r="F2302" s="52" t="s">
        <v>5795</v>
      </c>
      <c r="G2302" s="4" t="s">
        <v>27</v>
      </c>
      <c r="H2302" s="4" t="s">
        <v>1987</v>
      </c>
      <c r="K2302" s="4" t="s">
        <v>11154</v>
      </c>
      <c r="L2302" s="4"/>
    </row>
    <row r="2303">
      <c r="A2303" s="55" t="s">
        <v>11155</v>
      </c>
      <c r="B2303" s="52" t="s">
        <v>5729</v>
      </c>
      <c r="C2303" s="76">
        <v>45905.416666666664</v>
      </c>
      <c r="D2303" s="41" t="s">
        <v>6052</v>
      </c>
      <c r="E2303" s="76">
        <v>45905.541666666664</v>
      </c>
      <c r="F2303" s="52" t="s">
        <v>11156</v>
      </c>
      <c r="G2303" s="4" t="s">
        <v>110</v>
      </c>
      <c r="H2303" s="4" t="s">
        <v>1987</v>
      </c>
      <c r="K2303" s="4" t="s">
        <v>11157</v>
      </c>
      <c r="L2303" s="4" t="s">
        <v>11158</v>
      </c>
    </row>
    <row r="2304">
      <c r="A2304" s="55"/>
      <c r="B2304" s="52"/>
      <c r="C2304" s="76"/>
      <c r="D2304" s="20"/>
      <c r="E2304" s="76"/>
      <c r="F2304" s="52"/>
      <c r="G2304" s="4"/>
      <c r="H2304" s="4"/>
      <c r="K2304" s="4"/>
      <c r="L2304" s="4"/>
    </row>
    <row r="2305">
      <c r="A2305" s="55" t="s">
        <v>11159</v>
      </c>
      <c r="B2305" s="52" t="s">
        <v>5656</v>
      </c>
      <c r="C2305" s="76">
        <v>45904.479166666664</v>
      </c>
      <c r="D2305" s="41" t="s">
        <v>2147</v>
      </c>
      <c r="E2305" s="76">
        <v>45904.541666666664</v>
      </c>
      <c r="F2305" s="52" t="s">
        <v>11160</v>
      </c>
      <c r="G2305" s="4" t="s">
        <v>110</v>
      </c>
      <c r="H2305" s="4" t="s">
        <v>1987</v>
      </c>
      <c r="K2305" s="4" t="s">
        <v>11161</v>
      </c>
      <c r="L2305" s="4"/>
    </row>
    <row r="2306">
      <c r="A2306" s="55" t="s">
        <v>11162</v>
      </c>
      <c r="B2306" s="52" t="s">
        <v>5656</v>
      </c>
      <c r="C2306" s="76">
        <v>45905.333333333336</v>
      </c>
      <c r="D2306" s="41" t="s">
        <v>2147</v>
      </c>
      <c r="E2306" s="76">
        <v>45905.416666666664</v>
      </c>
      <c r="F2306" s="52" t="s">
        <v>11160</v>
      </c>
      <c r="G2306" s="4" t="s">
        <v>110</v>
      </c>
      <c r="H2306" s="4" t="s">
        <v>1987</v>
      </c>
      <c r="K2306" s="4" t="s">
        <v>11163</v>
      </c>
      <c r="L2306" s="4" t="s">
        <v>11164</v>
      </c>
    </row>
    <row r="2307">
      <c r="A2307" s="55" t="s">
        <v>11165</v>
      </c>
      <c r="B2307" s="52" t="s">
        <v>5628</v>
      </c>
      <c r="C2307" s="76">
        <v>45908.4375</v>
      </c>
      <c r="D2307" s="41" t="s">
        <v>2154</v>
      </c>
      <c r="E2307" s="76">
        <v>45908.541666666664</v>
      </c>
      <c r="F2307" s="52" t="s">
        <v>11166</v>
      </c>
      <c r="G2307" s="4" t="s">
        <v>110</v>
      </c>
      <c r="H2307" s="4" t="s">
        <v>1987</v>
      </c>
      <c r="K2307" s="4"/>
      <c r="L2307" s="4" t="s">
        <v>11167</v>
      </c>
    </row>
    <row r="2308">
      <c r="A2308" s="55" t="s">
        <v>11168</v>
      </c>
      <c r="B2308" s="52" t="s">
        <v>5628</v>
      </c>
      <c r="C2308" s="76">
        <v>45909.333333333336</v>
      </c>
      <c r="D2308" s="41" t="s">
        <v>6052</v>
      </c>
      <c r="E2308" s="76">
        <v>45909.520833333336</v>
      </c>
      <c r="F2308" s="52" t="s">
        <v>11166</v>
      </c>
      <c r="G2308" s="4" t="s">
        <v>110</v>
      </c>
      <c r="H2308" s="4" t="s">
        <v>1987</v>
      </c>
      <c r="K2308" s="4" t="s">
        <v>11169</v>
      </c>
      <c r="L2308" s="4" t="s">
        <v>11170</v>
      </c>
    </row>
    <row r="2309">
      <c r="A2309" s="55" t="s">
        <v>11171</v>
      </c>
      <c r="B2309" s="52" t="s">
        <v>5628</v>
      </c>
      <c r="C2309" s="76">
        <v>45910.333333333336</v>
      </c>
      <c r="D2309" s="41" t="s">
        <v>6052</v>
      </c>
      <c r="E2309" s="76">
        <v>45910.541666666664</v>
      </c>
      <c r="F2309" s="52" t="s">
        <v>6370</v>
      </c>
      <c r="G2309" s="4" t="s">
        <v>110</v>
      </c>
      <c r="H2309" s="4" t="s">
        <v>1987</v>
      </c>
      <c r="K2309" s="4" t="s">
        <v>11172</v>
      </c>
      <c r="L2309" s="4" t="s">
        <v>11173</v>
      </c>
    </row>
    <row r="2310">
      <c r="A2310" s="55"/>
      <c r="B2310" s="52"/>
      <c r="C2310" s="76"/>
      <c r="D2310" s="20"/>
      <c r="E2310" s="76"/>
      <c r="F2310" s="52"/>
      <c r="G2310" s="4"/>
      <c r="H2310" s="4"/>
      <c r="K2310" s="4"/>
      <c r="L2310" s="4"/>
    </row>
    <row r="2311">
      <c r="A2311" s="55" t="s">
        <v>11174</v>
      </c>
      <c r="B2311" s="52" t="s">
        <v>5675</v>
      </c>
      <c r="C2311" s="76">
        <v>45912.333333333336</v>
      </c>
      <c r="D2311" s="41" t="s">
        <v>6052</v>
      </c>
      <c r="E2311" s="76">
        <v>45912.541666666664</v>
      </c>
      <c r="F2311" s="52" t="s">
        <v>8090</v>
      </c>
      <c r="G2311" s="4" t="s">
        <v>27</v>
      </c>
      <c r="H2311" s="4" t="s">
        <v>1987</v>
      </c>
      <c r="K2311" s="4" t="s">
        <v>11175</v>
      </c>
      <c r="L2311" s="4"/>
    </row>
    <row r="2312">
      <c r="A2312" s="55"/>
      <c r="B2312" s="52"/>
      <c r="C2312" s="76"/>
      <c r="D2312" s="20"/>
      <c r="E2312" s="76"/>
      <c r="F2312" s="52"/>
      <c r="G2312" s="4"/>
      <c r="H2312" s="4"/>
      <c r="K2312" s="4"/>
      <c r="L2312" s="4"/>
    </row>
    <row r="2313">
      <c r="A2313" s="55" t="s">
        <v>11176</v>
      </c>
      <c r="B2313" s="52" t="s">
        <v>5686</v>
      </c>
      <c r="C2313" s="76">
        <v>45910.416666666664</v>
      </c>
      <c r="D2313" s="41" t="s">
        <v>2147</v>
      </c>
      <c r="E2313" s="76">
        <v>45910.458333333336</v>
      </c>
      <c r="F2313" s="52" t="s">
        <v>6189</v>
      </c>
      <c r="G2313" s="4" t="s">
        <v>110</v>
      </c>
      <c r="H2313" s="4" t="s">
        <v>1991</v>
      </c>
      <c r="K2313" s="4" t="s">
        <v>11177</v>
      </c>
      <c r="L2313" s="4" t="s">
        <v>11178</v>
      </c>
    </row>
    <row r="2314">
      <c r="A2314" s="55" t="s">
        <v>11179</v>
      </c>
      <c r="B2314" s="52" t="s">
        <v>5596</v>
      </c>
      <c r="C2314" s="76">
        <v>45908.333333333336</v>
      </c>
      <c r="D2314" s="41" t="s">
        <v>6052</v>
      </c>
      <c r="E2314" s="76">
        <v>45908.541666666664</v>
      </c>
      <c r="F2314" s="52" t="s">
        <v>11180</v>
      </c>
      <c r="G2314" s="4" t="s">
        <v>1708</v>
      </c>
      <c r="H2314" s="4" t="s">
        <v>1987</v>
      </c>
      <c r="K2314" s="4" t="s">
        <v>11181</v>
      </c>
      <c r="L2314" s="4"/>
    </row>
    <row r="2315">
      <c r="A2315" s="55" t="s">
        <v>11182</v>
      </c>
      <c r="B2315" s="52" t="s">
        <v>5729</v>
      </c>
      <c r="C2315" s="76">
        <v>45908.333333333336</v>
      </c>
      <c r="D2315" s="41" t="s">
        <v>2154</v>
      </c>
      <c r="E2315" s="76">
        <v>45908.4375</v>
      </c>
      <c r="F2315" s="52" t="s">
        <v>11183</v>
      </c>
      <c r="G2315" s="4" t="s">
        <v>110</v>
      </c>
      <c r="H2315" s="4" t="s">
        <v>1987</v>
      </c>
      <c r="K2315" s="4" t="s">
        <v>11184</v>
      </c>
      <c r="L2315" s="4"/>
    </row>
    <row r="2316">
      <c r="A2316" s="55" t="s">
        <v>11185</v>
      </c>
      <c r="B2316" s="52" t="s">
        <v>1611</v>
      </c>
      <c r="C2316" s="76">
        <v>45906.45416666667</v>
      </c>
      <c r="D2316" s="41" t="s">
        <v>2148</v>
      </c>
      <c r="E2316" s="76">
        <v>45906.620833333334</v>
      </c>
      <c r="F2316" s="52" t="s">
        <v>11186</v>
      </c>
      <c r="G2316" s="4" t="s">
        <v>27</v>
      </c>
      <c r="H2316" s="4" t="s">
        <v>1987</v>
      </c>
      <c r="K2316" s="4" t="s">
        <v>11187</v>
      </c>
      <c r="L2316" s="4"/>
    </row>
    <row r="2317">
      <c r="A2317" s="55"/>
      <c r="B2317" s="52"/>
      <c r="C2317" s="76"/>
      <c r="D2317" s="20"/>
      <c r="E2317" s="76"/>
      <c r="F2317" s="52"/>
      <c r="G2317" s="4"/>
      <c r="H2317" s="4"/>
      <c r="K2317" s="4"/>
      <c r="L2317" s="4"/>
    </row>
    <row r="2318">
      <c r="A2318" s="55" t="s">
        <v>11188</v>
      </c>
      <c r="B2318" s="52" t="s">
        <v>5598</v>
      </c>
      <c r="C2318" s="76">
        <v>45910.6875</v>
      </c>
      <c r="D2318" s="41" t="s">
        <v>2147</v>
      </c>
      <c r="E2318" s="76">
        <v>45910.729166666664</v>
      </c>
      <c r="F2318" s="52" t="s">
        <v>5377</v>
      </c>
      <c r="G2318" s="4" t="s">
        <v>27</v>
      </c>
      <c r="H2318" s="4" t="s">
        <v>1991</v>
      </c>
      <c r="K2318" s="4" t="s">
        <v>11189</v>
      </c>
      <c r="L2318" s="4"/>
    </row>
    <row r="2319">
      <c r="A2319" s="68" t="s">
        <v>10726</v>
      </c>
      <c r="B2319" s="69" t="s">
        <v>5675</v>
      </c>
      <c r="C2319" s="70">
        <v>45901.0</v>
      </c>
      <c r="D2319" s="71"/>
      <c r="E2319" s="70">
        <v>45901.083333333336</v>
      </c>
      <c r="F2319" s="69" t="s">
        <v>10321</v>
      </c>
      <c r="G2319" s="72" t="s">
        <v>5795</v>
      </c>
      <c r="H2319" s="4"/>
      <c r="K2319" s="4"/>
      <c r="L2319" s="4"/>
    </row>
    <row r="2320">
      <c r="A2320" s="68" t="s">
        <v>10727</v>
      </c>
      <c r="B2320" s="69" t="s">
        <v>5384</v>
      </c>
      <c r="C2320" s="70">
        <v>45901.0</v>
      </c>
      <c r="D2320" s="71"/>
      <c r="E2320" s="70">
        <v>45901.166666666664</v>
      </c>
      <c r="F2320" s="69" t="s">
        <v>10321</v>
      </c>
      <c r="G2320" s="72" t="s">
        <v>5795</v>
      </c>
      <c r="H2320" s="4"/>
      <c r="K2320" s="4"/>
      <c r="L2320" s="4"/>
    </row>
    <row r="2321">
      <c r="A2321" s="68" t="s">
        <v>10728</v>
      </c>
      <c r="B2321" s="69" t="s">
        <v>5598</v>
      </c>
      <c r="C2321" s="70">
        <v>45901.0</v>
      </c>
      <c r="D2321" s="71"/>
      <c r="E2321" s="70">
        <v>45901.333333333336</v>
      </c>
      <c r="F2321" s="69" t="s">
        <v>10321</v>
      </c>
      <c r="G2321" s="72" t="s">
        <v>5795</v>
      </c>
      <c r="H2321" s="4"/>
      <c r="K2321" s="4"/>
      <c r="L2321" s="4"/>
    </row>
    <row r="2322">
      <c r="A2322" s="68" t="s">
        <v>10730</v>
      </c>
      <c r="B2322" s="69" t="s">
        <v>5619</v>
      </c>
      <c r="C2322" s="70">
        <v>45901.0</v>
      </c>
      <c r="D2322" s="71"/>
      <c r="E2322" s="70">
        <v>45901.083333333336</v>
      </c>
      <c r="F2322" s="69" t="s">
        <v>10321</v>
      </c>
      <c r="G2322" s="72" t="s">
        <v>5795</v>
      </c>
      <c r="H2322" s="4"/>
      <c r="K2322" s="4"/>
      <c r="L2322" s="4"/>
    </row>
    <row r="2323">
      <c r="A2323" s="68" t="s">
        <v>10731</v>
      </c>
      <c r="B2323" s="69" t="s">
        <v>5656</v>
      </c>
      <c r="C2323" s="75">
        <v>45901.0</v>
      </c>
      <c r="D2323" s="74"/>
      <c r="E2323" s="75">
        <v>45901.333333333336</v>
      </c>
      <c r="F2323" s="69" t="s">
        <v>10321</v>
      </c>
      <c r="G2323" s="72" t="s">
        <v>5795</v>
      </c>
      <c r="H2323" s="4"/>
      <c r="K2323" s="4"/>
      <c r="L2323" s="4"/>
    </row>
    <row r="2324">
      <c r="A2324" s="68" t="s">
        <v>10732</v>
      </c>
      <c r="B2324" s="69" t="s">
        <v>1540</v>
      </c>
      <c r="C2324" s="75">
        <v>45901.0</v>
      </c>
      <c r="D2324" s="74"/>
      <c r="E2324" s="75">
        <v>45901.041666666664</v>
      </c>
      <c r="F2324" s="69" t="s">
        <v>10321</v>
      </c>
      <c r="G2324" s="72" t="s">
        <v>5795</v>
      </c>
      <c r="H2324" s="4"/>
      <c r="K2324" s="4"/>
      <c r="L2324" s="4"/>
    </row>
    <row r="2325">
      <c r="A2325" s="55" t="s">
        <v>11190</v>
      </c>
      <c r="B2325" s="52" t="s">
        <v>5596</v>
      </c>
      <c r="C2325" s="76">
        <v>45909.333333333336</v>
      </c>
      <c r="D2325" s="7" t="s">
        <v>6052</v>
      </c>
      <c r="E2325" s="76">
        <v>45909.541666666664</v>
      </c>
      <c r="F2325" s="52" t="s">
        <v>11180</v>
      </c>
      <c r="G2325" s="4" t="s">
        <v>1708</v>
      </c>
      <c r="H2325" s="4" t="s">
        <v>1987</v>
      </c>
      <c r="K2325" s="4" t="s">
        <v>11191</v>
      </c>
      <c r="L2325" s="4"/>
    </row>
    <row r="2326">
      <c r="A2326" s="55" t="s">
        <v>11192</v>
      </c>
      <c r="B2326" s="52" t="s">
        <v>1597</v>
      </c>
      <c r="C2326" s="76">
        <v>45910.5625</v>
      </c>
      <c r="D2326" s="7" t="s">
        <v>6052</v>
      </c>
      <c r="E2326" s="76">
        <v>45910.770833333336</v>
      </c>
      <c r="F2326" s="52" t="s">
        <v>11193</v>
      </c>
      <c r="G2326" s="4" t="s">
        <v>1708</v>
      </c>
      <c r="H2326" s="4" t="s">
        <v>1987</v>
      </c>
      <c r="K2326" s="4" t="s">
        <v>11194</v>
      </c>
      <c r="L2326" s="4" t="s">
        <v>11195</v>
      </c>
    </row>
    <row r="2327">
      <c r="A2327" s="55" t="s">
        <v>11196</v>
      </c>
      <c r="B2327" s="52" t="s">
        <v>1611</v>
      </c>
      <c r="C2327" s="76">
        <v>45911.333333333336</v>
      </c>
      <c r="D2327" s="7" t="s">
        <v>6052</v>
      </c>
      <c r="E2327" s="76">
        <v>45911.416666666664</v>
      </c>
      <c r="F2327" s="52" t="s">
        <v>10708</v>
      </c>
      <c r="G2327" s="4" t="s">
        <v>1708</v>
      </c>
      <c r="H2327" s="4" t="s">
        <v>1987</v>
      </c>
      <c r="K2327" s="4" t="s">
        <v>11197</v>
      </c>
      <c r="L2327" s="4" t="s">
        <v>11198</v>
      </c>
    </row>
    <row r="2328">
      <c r="A2328" s="55"/>
      <c r="B2328" s="52"/>
      <c r="C2328" s="76"/>
      <c r="D2328" s="4"/>
      <c r="E2328" s="76"/>
      <c r="F2328" s="52"/>
      <c r="G2328" s="4"/>
      <c r="H2328" s="4"/>
      <c r="K2328" s="4"/>
      <c r="L2328" s="4"/>
    </row>
    <row r="2329">
      <c r="A2329" s="55" t="s">
        <v>11199</v>
      </c>
      <c r="B2329" s="52" t="s">
        <v>1611</v>
      </c>
      <c r="C2329" s="76">
        <v>45909.395833333336</v>
      </c>
      <c r="D2329" s="7" t="s">
        <v>2147</v>
      </c>
      <c r="E2329" s="76">
        <v>45909.5</v>
      </c>
      <c r="F2329" s="52" t="s">
        <v>11200</v>
      </c>
      <c r="G2329" s="4" t="s">
        <v>27</v>
      </c>
      <c r="H2329" s="4" t="s">
        <v>1987</v>
      </c>
      <c r="K2329" s="4" t="s">
        <v>11201</v>
      </c>
      <c r="L2329" s="4" t="s">
        <v>11202</v>
      </c>
    </row>
    <row r="2330">
      <c r="A2330" s="55" t="s">
        <v>11203</v>
      </c>
      <c r="B2330" s="52" t="s">
        <v>5686</v>
      </c>
      <c r="C2330" s="76">
        <v>45909.520833333336</v>
      </c>
      <c r="D2330" s="7" t="s">
        <v>6318</v>
      </c>
      <c r="E2330" s="76">
        <v>45909.541666666664</v>
      </c>
      <c r="F2330" s="52" t="s">
        <v>10242</v>
      </c>
      <c r="G2330" s="4" t="s">
        <v>110</v>
      </c>
      <c r="H2330" s="4" t="s">
        <v>1987</v>
      </c>
      <c r="K2330" s="4" t="s">
        <v>11204</v>
      </c>
      <c r="L2330" s="4"/>
    </row>
    <row r="2331">
      <c r="A2331" s="55" t="s">
        <v>11205</v>
      </c>
      <c r="B2331" s="52" t="s">
        <v>1597</v>
      </c>
      <c r="C2331" s="76">
        <v>45909.75</v>
      </c>
      <c r="D2331" s="7" t="s">
        <v>2154</v>
      </c>
      <c r="E2331" s="76">
        <v>45909.8125</v>
      </c>
      <c r="F2331" s="52" t="s">
        <v>10199</v>
      </c>
      <c r="G2331" s="4" t="s">
        <v>27</v>
      </c>
      <c r="H2331" s="4" t="s">
        <v>1987</v>
      </c>
      <c r="K2331" s="4"/>
      <c r="L2331" s="4" t="s">
        <v>11206</v>
      </c>
    </row>
    <row r="2332">
      <c r="A2332" s="55" t="s">
        <v>11207</v>
      </c>
      <c r="B2332" s="52" t="s">
        <v>5686</v>
      </c>
      <c r="C2332" s="76">
        <v>45917.333333333336</v>
      </c>
      <c r="D2332" s="7" t="s">
        <v>2200</v>
      </c>
      <c r="E2332" s="76">
        <v>45917.458333333336</v>
      </c>
      <c r="F2332" s="67" t="s">
        <v>1592</v>
      </c>
      <c r="G2332" s="4" t="s">
        <v>110</v>
      </c>
      <c r="H2332" s="4" t="s">
        <v>1987</v>
      </c>
      <c r="K2332" s="4" t="s">
        <v>11208</v>
      </c>
      <c r="L2332" s="4" t="s">
        <v>11209</v>
      </c>
    </row>
    <row r="2333">
      <c r="A2333" s="55" t="s">
        <v>11210</v>
      </c>
      <c r="B2333" s="52" t="s">
        <v>5686</v>
      </c>
      <c r="C2333" s="76">
        <v>45912.333333333336</v>
      </c>
      <c r="D2333" s="7" t="s">
        <v>6052</v>
      </c>
      <c r="E2333" s="76">
        <v>45912.541666666664</v>
      </c>
      <c r="F2333" s="52" t="s">
        <v>11211</v>
      </c>
      <c r="G2333" s="4" t="s">
        <v>110</v>
      </c>
      <c r="H2333" s="4" t="s">
        <v>1987</v>
      </c>
      <c r="K2333" s="4" t="s">
        <v>11212</v>
      </c>
      <c r="L2333" s="4"/>
    </row>
    <row r="2334">
      <c r="A2334" s="55" t="s">
        <v>11213</v>
      </c>
      <c r="B2334" s="52" t="s">
        <v>5686</v>
      </c>
      <c r="C2334" s="76">
        <v>45915.333333333336</v>
      </c>
      <c r="D2334" s="7" t="s">
        <v>2200</v>
      </c>
      <c r="E2334" s="76">
        <v>45915.427083333336</v>
      </c>
      <c r="F2334" s="52" t="s">
        <v>11211</v>
      </c>
      <c r="G2334" s="4" t="s">
        <v>110</v>
      </c>
      <c r="H2334" s="4" t="s">
        <v>1987</v>
      </c>
      <c r="K2334" s="4" t="s">
        <v>11214</v>
      </c>
      <c r="L2334" s="4" t="s">
        <v>11215</v>
      </c>
    </row>
    <row r="2335">
      <c r="A2335" s="55" t="s">
        <v>11216</v>
      </c>
      <c r="B2335" s="52" t="s">
        <v>1597</v>
      </c>
      <c r="C2335" s="76">
        <v>45910.459027777775</v>
      </c>
      <c r="D2335" s="7" t="s">
        <v>2147</v>
      </c>
      <c r="E2335" s="76">
        <v>45910.541666666664</v>
      </c>
      <c r="F2335" s="52" t="s">
        <v>10199</v>
      </c>
      <c r="G2335" s="4" t="s">
        <v>27</v>
      </c>
      <c r="H2335" s="4" t="s">
        <v>1987</v>
      </c>
      <c r="K2335" s="4" t="s">
        <v>11217</v>
      </c>
      <c r="L2335" s="4" t="s">
        <v>11218</v>
      </c>
    </row>
    <row r="2336">
      <c r="A2336" s="55" t="s">
        <v>11219</v>
      </c>
      <c r="B2336" s="52" t="s">
        <v>1611</v>
      </c>
      <c r="C2336" s="76">
        <v>45910.541666666664</v>
      </c>
      <c r="D2336" s="7" t="s">
        <v>2147</v>
      </c>
      <c r="E2336" s="76">
        <v>45910.5625</v>
      </c>
      <c r="F2336" s="52" t="s">
        <v>11220</v>
      </c>
      <c r="G2336" s="4" t="s">
        <v>27</v>
      </c>
      <c r="H2336" s="4" t="s">
        <v>1987</v>
      </c>
      <c r="K2336" s="4" t="s">
        <v>11221</v>
      </c>
      <c r="L2336" s="4"/>
    </row>
    <row r="2337">
      <c r="A2337" s="55" t="s">
        <v>11222</v>
      </c>
      <c r="B2337" s="52" t="s">
        <v>1611</v>
      </c>
      <c r="C2337" s="76">
        <v>45910.791666666664</v>
      </c>
      <c r="D2337" s="7" t="s">
        <v>2147</v>
      </c>
      <c r="E2337" s="76">
        <v>45910.875</v>
      </c>
      <c r="F2337" s="52" t="s">
        <v>10708</v>
      </c>
      <c r="G2337" s="4" t="s">
        <v>27</v>
      </c>
      <c r="H2337" s="4" t="s">
        <v>1987</v>
      </c>
      <c r="K2337" s="4" t="s">
        <v>11223</v>
      </c>
      <c r="L2337" s="4" t="s">
        <v>11224</v>
      </c>
    </row>
    <row r="2338">
      <c r="A2338" s="55" t="s">
        <v>11225</v>
      </c>
      <c r="B2338" s="52" t="s">
        <v>5628</v>
      </c>
      <c r="C2338" s="76">
        <v>45911.333333333336</v>
      </c>
      <c r="D2338" s="7" t="s">
        <v>6052</v>
      </c>
      <c r="E2338" s="76">
        <v>45911.541666666664</v>
      </c>
      <c r="F2338" s="52" t="s">
        <v>6370</v>
      </c>
      <c r="G2338" s="4" t="s">
        <v>110</v>
      </c>
      <c r="H2338" s="4" t="s">
        <v>1987</v>
      </c>
      <c r="K2338" s="4" t="s">
        <v>11226</v>
      </c>
      <c r="L2338" s="4" t="s">
        <v>11227</v>
      </c>
    </row>
    <row r="2339">
      <c r="A2339" s="55" t="s">
        <v>11228</v>
      </c>
      <c r="B2339" s="52" t="s">
        <v>5675</v>
      </c>
      <c r="C2339" s="76">
        <v>45915.427083333336</v>
      </c>
      <c r="D2339" s="7" t="s">
        <v>6318</v>
      </c>
      <c r="E2339" s="76">
        <v>45915.447916666664</v>
      </c>
      <c r="F2339" s="52" t="s">
        <v>11229</v>
      </c>
      <c r="G2339" s="4" t="s">
        <v>110</v>
      </c>
      <c r="H2339" s="4" t="s">
        <v>1991</v>
      </c>
      <c r="K2339" s="4" t="s">
        <v>11230</v>
      </c>
      <c r="L2339" s="4" t="s">
        <v>11231</v>
      </c>
    </row>
    <row r="2340">
      <c r="A2340" s="55" t="s">
        <v>11232</v>
      </c>
      <c r="B2340" s="52" t="s">
        <v>1611</v>
      </c>
      <c r="C2340" s="76">
        <v>45911.45694444444</v>
      </c>
      <c r="D2340" s="7" t="s">
        <v>2147</v>
      </c>
      <c r="E2340" s="76">
        <v>45911.561111111114</v>
      </c>
      <c r="F2340" s="52" t="s">
        <v>10818</v>
      </c>
      <c r="G2340" s="4" t="s">
        <v>27</v>
      </c>
      <c r="H2340" s="4" t="s">
        <v>1987</v>
      </c>
      <c r="K2340" s="4" t="s">
        <v>11233</v>
      </c>
      <c r="L2340" s="4" t="s">
        <v>11234</v>
      </c>
    </row>
    <row r="2341">
      <c r="A2341" s="55" t="s">
        <v>11235</v>
      </c>
      <c r="B2341" s="52" t="s">
        <v>5596</v>
      </c>
      <c r="C2341" s="76">
        <v>45911.416666666664</v>
      </c>
      <c r="D2341" s="4"/>
      <c r="E2341" s="76">
        <v>45911.770833333336</v>
      </c>
      <c r="F2341" s="52" t="s">
        <v>11236</v>
      </c>
      <c r="G2341" s="4" t="s">
        <v>1708</v>
      </c>
      <c r="H2341" s="4" t="s">
        <v>1987</v>
      </c>
      <c r="K2341" s="4" t="s">
        <v>11237</v>
      </c>
      <c r="L2341" s="4" t="s">
        <v>11238</v>
      </c>
    </row>
    <row r="2342">
      <c r="A2342" s="55" t="s">
        <v>11239</v>
      </c>
      <c r="B2342" s="52" t="s">
        <v>1617</v>
      </c>
      <c r="C2342" s="76">
        <v>45916.625</v>
      </c>
      <c r="D2342" s="7" t="s">
        <v>2148</v>
      </c>
      <c r="E2342" s="76">
        <v>45916.770833333336</v>
      </c>
      <c r="F2342" s="52" t="s">
        <v>11240</v>
      </c>
      <c r="G2342" s="4" t="s">
        <v>135</v>
      </c>
      <c r="H2342" s="4" t="s">
        <v>1991</v>
      </c>
      <c r="K2342" s="4" t="s">
        <v>11241</v>
      </c>
      <c r="L2342" s="4" t="s">
        <v>11242</v>
      </c>
    </row>
    <row r="2343">
      <c r="A2343" s="55" t="s">
        <v>11243</v>
      </c>
      <c r="B2343" s="52" t="s">
        <v>5686</v>
      </c>
      <c r="C2343" s="76">
        <v>45916.333333333336</v>
      </c>
      <c r="D2343" s="7" t="s">
        <v>2200</v>
      </c>
      <c r="E2343" s="76">
        <v>45916.458333333336</v>
      </c>
      <c r="F2343" s="52" t="s">
        <v>11211</v>
      </c>
      <c r="G2343" s="4" t="s">
        <v>110</v>
      </c>
      <c r="H2343" s="4" t="s">
        <v>1987</v>
      </c>
      <c r="K2343" s="4" t="s">
        <v>11244</v>
      </c>
      <c r="L2343" s="4" t="s">
        <v>11245</v>
      </c>
    </row>
    <row r="2344">
      <c r="A2344" s="55" t="s">
        <v>11246</v>
      </c>
      <c r="B2344" s="52" t="s">
        <v>5598</v>
      </c>
      <c r="C2344" s="76">
        <v>45912.759722222225</v>
      </c>
      <c r="D2344" s="7" t="s">
        <v>2147</v>
      </c>
      <c r="E2344" s="76">
        <v>45912.80138888889</v>
      </c>
      <c r="F2344" s="52" t="s">
        <v>7279</v>
      </c>
      <c r="G2344" s="4" t="s">
        <v>27</v>
      </c>
      <c r="H2344" s="4" t="s">
        <v>1987</v>
      </c>
      <c r="K2344" s="4" t="s">
        <v>11247</v>
      </c>
      <c r="L2344" s="4"/>
    </row>
    <row r="2345">
      <c r="A2345" s="55" t="s">
        <v>11248</v>
      </c>
      <c r="B2345" s="52" t="s">
        <v>5598</v>
      </c>
      <c r="C2345" s="76">
        <v>45917.5625</v>
      </c>
      <c r="D2345" s="7" t="s">
        <v>2148</v>
      </c>
      <c r="E2345" s="76">
        <v>45917.729166666664</v>
      </c>
      <c r="F2345" s="52" t="s">
        <v>5377</v>
      </c>
      <c r="G2345" s="4" t="s">
        <v>135</v>
      </c>
      <c r="H2345" s="4" t="s">
        <v>1987</v>
      </c>
      <c r="K2345" s="4" t="s">
        <v>11241</v>
      </c>
      <c r="L2345" s="4" t="s">
        <v>11249</v>
      </c>
    </row>
    <row r="2346">
      <c r="A2346" s="55" t="s">
        <v>11250</v>
      </c>
      <c r="B2346" s="52" t="s">
        <v>5596</v>
      </c>
      <c r="C2346" s="76">
        <v>45912.333333333336</v>
      </c>
      <c r="D2346" s="4"/>
      <c r="E2346" s="76">
        <v>45912.541666666664</v>
      </c>
      <c r="F2346" s="52" t="s">
        <v>11236</v>
      </c>
      <c r="G2346" s="4" t="s">
        <v>1708</v>
      </c>
      <c r="H2346" s="4" t="s">
        <v>1987</v>
      </c>
      <c r="K2346" s="4" t="s">
        <v>11237</v>
      </c>
      <c r="L2346" s="4" t="s">
        <v>11251</v>
      </c>
    </row>
    <row r="2347">
      <c r="A2347" s="55" t="s">
        <v>11252</v>
      </c>
      <c r="B2347" s="52" t="s">
        <v>5686</v>
      </c>
      <c r="C2347" s="76">
        <v>45915.447916666664</v>
      </c>
      <c r="D2347" s="7" t="s">
        <v>2154</v>
      </c>
      <c r="E2347" s="76">
        <v>45915.541666666664</v>
      </c>
      <c r="F2347" s="52" t="s">
        <v>11211</v>
      </c>
      <c r="G2347" s="4" t="s">
        <v>110</v>
      </c>
      <c r="H2347" s="4" t="s">
        <v>1987</v>
      </c>
      <c r="K2347" s="4" t="s">
        <v>11253</v>
      </c>
      <c r="L2347" s="4" t="s">
        <v>11254</v>
      </c>
    </row>
    <row r="2348">
      <c r="A2348" s="55"/>
      <c r="B2348" s="52"/>
      <c r="C2348" s="76"/>
      <c r="D2348" s="4"/>
      <c r="E2348" s="76"/>
      <c r="F2348" s="52"/>
      <c r="G2348" s="4"/>
      <c r="H2348" s="4"/>
      <c r="K2348" s="4"/>
      <c r="L2348" s="4"/>
    </row>
    <row r="2349">
      <c r="A2349" s="55" t="s">
        <v>11255</v>
      </c>
      <c r="B2349" s="52" t="s">
        <v>5729</v>
      </c>
      <c r="C2349" s="76">
        <v>45916.458333333336</v>
      </c>
      <c r="D2349" s="7" t="s">
        <v>2147</v>
      </c>
      <c r="E2349" s="76">
        <v>45916.5</v>
      </c>
      <c r="F2349" s="52" t="s">
        <v>7355</v>
      </c>
      <c r="G2349" s="4" t="s">
        <v>110</v>
      </c>
      <c r="H2349" s="4" t="s">
        <v>1991</v>
      </c>
      <c r="K2349" s="4" t="s">
        <v>11256</v>
      </c>
      <c r="L2349" s="4" t="s">
        <v>11257</v>
      </c>
    </row>
    <row r="2350">
      <c r="A2350" s="55" t="s">
        <v>11258</v>
      </c>
      <c r="B2350" s="52" t="s">
        <v>5625</v>
      </c>
      <c r="C2350" s="76">
        <v>45915.51597222222</v>
      </c>
      <c r="D2350" s="4">
        <v>1.0</v>
      </c>
      <c r="E2350" s="76">
        <v>45915.14097222222</v>
      </c>
      <c r="F2350" s="52" t="s">
        <v>11259</v>
      </c>
      <c r="G2350" s="4" t="s">
        <v>135</v>
      </c>
      <c r="H2350" s="4" t="s">
        <v>1987</v>
      </c>
      <c r="K2350" s="4"/>
      <c r="L2350" s="4"/>
    </row>
    <row r="2351">
      <c r="A2351" s="55" t="s">
        <v>11260</v>
      </c>
      <c r="B2351" s="52" t="s">
        <v>5656</v>
      </c>
      <c r="C2351" s="76">
        <v>45915.333333333336</v>
      </c>
      <c r="D2351" s="7" t="s">
        <v>6052</v>
      </c>
      <c r="E2351" s="76">
        <v>45915.541666666664</v>
      </c>
      <c r="F2351" s="52" t="s">
        <v>11261</v>
      </c>
      <c r="G2351" s="4" t="s">
        <v>1708</v>
      </c>
      <c r="H2351" s="4" t="s">
        <v>1987</v>
      </c>
      <c r="K2351" s="4" t="s">
        <v>11262</v>
      </c>
      <c r="L2351" s="4"/>
    </row>
    <row r="2352">
      <c r="A2352" s="55" t="s">
        <v>11263</v>
      </c>
      <c r="B2352" s="52" t="s">
        <v>5656</v>
      </c>
      <c r="C2352" s="76">
        <v>45916.333333333336</v>
      </c>
      <c r="D2352" s="7" t="s">
        <v>2147</v>
      </c>
      <c r="E2352" s="76">
        <v>45916.375</v>
      </c>
      <c r="F2352" s="52" t="s">
        <v>11264</v>
      </c>
      <c r="G2352" s="4" t="s">
        <v>1708</v>
      </c>
      <c r="H2352" s="4" t="s">
        <v>1987</v>
      </c>
      <c r="K2352" s="4" t="s">
        <v>11265</v>
      </c>
      <c r="L2352" s="4"/>
    </row>
    <row r="2353">
      <c r="A2353" s="55" t="s">
        <v>11266</v>
      </c>
      <c r="B2353" s="52" t="s">
        <v>1597</v>
      </c>
      <c r="C2353" s="76">
        <v>45916.375</v>
      </c>
      <c r="D2353" s="7" t="s">
        <v>2148</v>
      </c>
      <c r="E2353" s="76">
        <v>45916.458333333336</v>
      </c>
      <c r="F2353" s="52" t="s">
        <v>6370</v>
      </c>
      <c r="G2353" s="4" t="s">
        <v>1708</v>
      </c>
      <c r="H2353" s="4" t="s">
        <v>1987</v>
      </c>
      <c r="K2353" s="4" t="s">
        <v>11267</v>
      </c>
      <c r="L2353" s="4" t="s">
        <v>11268</v>
      </c>
    </row>
    <row r="2354">
      <c r="A2354" s="55" t="s">
        <v>11269</v>
      </c>
      <c r="B2354" s="52" t="s">
        <v>1597</v>
      </c>
      <c r="C2354" s="76">
        <v>45917.333333333336</v>
      </c>
      <c r="D2354" s="7" t="s">
        <v>6052</v>
      </c>
      <c r="E2354" s="76">
        <v>45917.541666666664</v>
      </c>
      <c r="F2354" s="52" t="s">
        <v>11270</v>
      </c>
      <c r="G2354" s="4" t="s">
        <v>1708</v>
      </c>
      <c r="H2354" s="4" t="s">
        <v>1987</v>
      </c>
      <c r="K2354" s="4"/>
      <c r="L2354" s="4" t="s">
        <v>11271</v>
      </c>
    </row>
    <row r="2355">
      <c r="A2355" s="55" t="s">
        <v>11272</v>
      </c>
      <c r="B2355" s="52" t="s">
        <v>1597</v>
      </c>
      <c r="C2355" s="76">
        <v>45918.333333333336</v>
      </c>
      <c r="D2355" s="7" t="s">
        <v>6052</v>
      </c>
      <c r="E2355" s="76">
        <v>45918.416666666664</v>
      </c>
      <c r="F2355" s="52" t="s">
        <v>11273</v>
      </c>
      <c r="G2355" s="4" t="s">
        <v>1708</v>
      </c>
      <c r="H2355" s="4" t="s">
        <v>1987</v>
      </c>
      <c r="K2355" s="4" t="s">
        <v>11274</v>
      </c>
      <c r="L2355" s="4" t="s">
        <v>11275</v>
      </c>
    </row>
    <row r="2356">
      <c r="A2356" s="55" t="s">
        <v>11276</v>
      </c>
      <c r="B2356" s="52" t="s">
        <v>5596</v>
      </c>
      <c r="C2356" s="76">
        <v>45919.333333333336</v>
      </c>
      <c r="D2356" s="7" t="s">
        <v>6052</v>
      </c>
      <c r="E2356" s="76">
        <v>45919.541666666664</v>
      </c>
      <c r="F2356" s="52" t="s">
        <v>9105</v>
      </c>
      <c r="G2356" s="4" t="s">
        <v>1708</v>
      </c>
      <c r="H2356" s="4" t="s">
        <v>1987</v>
      </c>
      <c r="K2356" s="4" t="s">
        <v>11277</v>
      </c>
      <c r="L2356" s="4" t="s">
        <v>11278</v>
      </c>
    </row>
    <row r="2357">
      <c r="A2357" s="55" t="s">
        <v>11279</v>
      </c>
      <c r="B2357" s="52" t="s">
        <v>1617</v>
      </c>
      <c r="C2357" s="76">
        <v>45922.5</v>
      </c>
      <c r="D2357" s="7" t="s">
        <v>6052</v>
      </c>
      <c r="E2357" s="76">
        <v>45922.541666666664</v>
      </c>
      <c r="F2357" s="52" t="s">
        <v>11280</v>
      </c>
      <c r="G2357" s="4" t="s">
        <v>1708</v>
      </c>
      <c r="H2357" s="4" t="s">
        <v>1987</v>
      </c>
      <c r="K2357" s="4" t="s">
        <v>11281</v>
      </c>
      <c r="L2357" s="4" t="s">
        <v>11282</v>
      </c>
    </row>
    <row r="2358">
      <c r="A2358" s="55" t="s">
        <v>11283</v>
      </c>
      <c r="B2358" s="52" t="s">
        <v>1617</v>
      </c>
      <c r="C2358" s="76">
        <v>45923.333333333336</v>
      </c>
      <c r="D2358" s="7" t="s">
        <v>6052</v>
      </c>
      <c r="E2358" s="76">
        <v>45923.458333333336</v>
      </c>
      <c r="F2358" s="52" t="s">
        <v>11284</v>
      </c>
      <c r="G2358" s="4" t="s">
        <v>1708</v>
      </c>
      <c r="H2358" s="4" t="s">
        <v>1987</v>
      </c>
      <c r="K2358" s="4" t="s">
        <v>11285</v>
      </c>
      <c r="L2358" s="4" t="s">
        <v>11286</v>
      </c>
    </row>
    <row r="2359">
      <c r="A2359" s="55"/>
      <c r="B2359" s="52"/>
      <c r="C2359" s="76"/>
      <c r="D2359" s="4"/>
      <c r="E2359" s="76"/>
      <c r="F2359" s="52"/>
      <c r="G2359" s="4"/>
      <c r="H2359" s="4"/>
      <c r="K2359" s="4"/>
      <c r="L2359" s="4"/>
    </row>
    <row r="2360">
      <c r="A2360" s="55"/>
      <c r="B2360" s="52"/>
      <c r="C2360" s="76"/>
      <c r="D2360" s="4"/>
      <c r="E2360" s="76"/>
      <c r="F2360" s="52"/>
      <c r="G2360" s="4"/>
      <c r="H2360" s="4"/>
      <c r="K2360" s="4"/>
      <c r="L2360" s="4"/>
    </row>
    <row r="2361">
      <c r="A2361" s="55"/>
      <c r="B2361" s="52"/>
      <c r="C2361" s="76"/>
      <c r="D2361" s="4"/>
      <c r="E2361" s="76"/>
      <c r="F2361" s="52"/>
      <c r="G2361" s="4"/>
      <c r="H2361" s="4"/>
      <c r="K2361" s="4"/>
      <c r="L2361" s="4"/>
    </row>
    <row r="2362">
      <c r="A2362" s="55" t="s">
        <v>11287</v>
      </c>
      <c r="B2362" s="52" t="s">
        <v>5686</v>
      </c>
      <c r="C2362" s="76">
        <v>45916.5</v>
      </c>
      <c r="D2362" s="7" t="s">
        <v>2147</v>
      </c>
      <c r="E2362" s="76">
        <v>45916.541666666664</v>
      </c>
      <c r="F2362" s="52" t="s">
        <v>11211</v>
      </c>
      <c r="G2362" s="4" t="s">
        <v>110</v>
      </c>
      <c r="H2362" s="4" t="s">
        <v>1987</v>
      </c>
      <c r="K2362" s="4" t="s">
        <v>11288</v>
      </c>
      <c r="L2362" s="4" t="s">
        <v>11289</v>
      </c>
    </row>
    <row r="2363">
      <c r="A2363" s="55" t="s">
        <v>11290</v>
      </c>
      <c r="B2363" s="52" t="s">
        <v>5596</v>
      </c>
      <c r="C2363" s="76">
        <v>45916.458333333336</v>
      </c>
      <c r="D2363" s="7" t="s">
        <v>2154</v>
      </c>
      <c r="E2363" s="76">
        <v>45916.541666666664</v>
      </c>
      <c r="F2363" s="52" t="s">
        <v>11291</v>
      </c>
      <c r="G2363" s="4" t="s">
        <v>1708</v>
      </c>
      <c r="H2363" s="4" t="s">
        <v>1987</v>
      </c>
      <c r="K2363" s="4" t="s">
        <v>11292</v>
      </c>
      <c r="L2363" s="4"/>
    </row>
    <row r="2364">
      <c r="A2364" s="55" t="s">
        <v>11293</v>
      </c>
      <c r="B2364" s="52" t="s">
        <v>6057</v>
      </c>
      <c r="C2364" s="76">
        <v>45917.35</v>
      </c>
      <c r="D2364" s="7" t="s">
        <v>2147</v>
      </c>
      <c r="E2364" s="76">
        <v>45917.39166666667</v>
      </c>
      <c r="F2364" s="52" t="s">
        <v>6057</v>
      </c>
      <c r="G2364" s="4" t="s">
        <v>27</v>
      </c>
      <c r="H2364" s="4" t="s">
        <v>1987</v>
      </c>
      <c r="K2364" s="4" t="s">
        <v>11294</v>
      </c>
      <c r="L2364" s="4"/>
    </row>
    <row r="2365">
      <c r="A2365" s="55" t="s">
        <v>11295</v>
      </c>
      <c r="B2365" s="52" t="s">
        <v>1597</v>
      </c>
      <c r="C2365" s="76">
        <v>45917.39166666667</v>
      </c>
      <c r="D2365" s="7" t="s">
        <v>6318</v>
      </c>
      <c r="E2365" s="76">
        <v>45917.45138888889</v>
      </c>
      <c r="F2365" s="52" t="s">
        <v>11296</v>
      </c>
      <c r="G2365" s="4" t="s">
        <v>27</v>
      </c>
      <c r="H2365" s="4" t="s">
        <v>1987</v>
      </c>
      <c r="K2365" s="4"/>
      <c r="L2365" s="4" t="s">
        <v>11297</v>
      </c>
    </row>
    <row r="2366">
      <c r="A2366" s="55"/>
      <c r="B2366" s="52"/>
      <c r="C2366" s="76"/>
      <c r="D2366" s="4"/>
      <c r="E2366" s="76"/>
      <c r="F2366" s="52"/>
      <c r="G2366" s="4"/>
      <c r="H2366" s="4"/>
      <c r="K2366" s="4"/>
      <c r="L2366" s="4"/>
    </row>
    <row r="2367">
      <c r="A2367" s="55"/>
      <c r="B2367" s="52"/>
      <c r="C2367" s="76"/>
      <c r="D2367" s="4"/>
      <c r="E2367" s="76"/>
      <c r="F2367" s="52"/>
      <c r="G2367" s="4"/>
      <c r="H2367" s="4"/>
      <c r="K2367" s="4"/>
      <c r="L2367" s="4"/>
    </row>
    <row r="2368">
      <c r="A2368" s="55" t="s">
        <v>11298</v>
      </c>
      <c r="B2368" s="52" t="s">
        <v>6057</v>
      </c>
      <c r="C2368" s="76">
        <v>45917.458333333336</v>
      </c>
      <c r="D2368" s="7" t="s">
        <v>6318</v>
      </c>
      <c r="E2368" s="76">
        <v>45917.791666666664</v>
      </c>
      <c r="F2368" s="52" t="s">
        <v>11299</v>
      </c>
      <c r="G2368" s="4" t="s">
        <v>27</v>
      </c>
      <c r="H2368" s="4" t="s">
        <v>1987</v>
      </c>
      <c r="K2368" s="4" t="s">
        <v>11300</v>
      </c>
      <c r="L2368" s="4"/>
    </row>
    <row r="2369">
      <c r="A2369" s="55" t="s">
        <v>11301</v>
      </c>
      <c r="B2369" s="52" t="s">
        <v>5625</v>
      </c>
      <c r="C2369" s="76">
        <v>45919.625</v>
      </c>
      <c r="D2369" s="7" t="s">
        <v>2147</v>
      </c>
      <c r="E2369" s="76">
        <v>45919.666666666664</v>
      </c>
      <c r="F2369" s="52" t="s">
        <v>11302</v>
      </c>
      <c r="G2369" s="4" t="s">
        <v>27</v>
      </c>
      <c r="H2369" s="4" t="s">
        <v>1991</v>
      </c>
      <c r="K2369" s="4" t="s">
        <v>11303</v>
      </c>
      <c r="L2369" s="4" t="s">
        <v>11304</v>
      </c>
    </row>
    <row r="2370">
      <c r="A2370" s="55" t="s">
        <v>11305</v>
      </c>
      <c r="B2370" s="52" t="s">
        <v>5628</v>
      </c>
      <c r="C2370" s="76">
        <v>45917.458333333336</v>
      </c>
      <c r="D2370" s="7" t="s">
        <v>2154</v>
      </c>
      <c r="E2370" s="76">
        <v>45917.541666666664</v>
      </c>
      <c r="F2370" s="52" t="s">
        <v>6189</v>
      </c>
      <c r="G2370" s="4" t="s">
        <v>110</v>
      </c>
      <c r="H2370" s="4" t="s">
        <v>1991</v>
      </c>
      <c r="K2370" s="4" t="s">
        <v>11306</v>
      </c>
      <c r="L2370" s="4" t="s">
        <v>11307</v>
      </c>
    </row>
    <row r="2371">
      <c r="A2371" s="55" t="s">
        <v>11308</v>
      </c>
      <c r="B2371" s="52" t="s">
        <v>5598</v>
      </c>
      <c r="C2371" s="76">
        <v>45918.5625</v>
      </c>
      <c r="D2371" s="7" t="s">
        <v>2148</v>
      </c>
      <c r="E2371" s="76">
        <v>45918.770833333336</v>
      </c>
      <c r="F2371" s="52" t="s">
        <v>5377</v>
      </c>
      <c r="G2371" s="4" t="s">
        <v>135</v>
      </c>
      <c r="H2371" s="4" t="s">
        <v>1987</v>
      </c>
      <c r="K2371" s="4" t="s">
        <v>11309</v>
      </c>
      <c r="L2371" s="4" t="s">
        <v>11310</v>
      </c>
    </row>
    <row r="2372">
      <c r="A2372" s="55" t="s">
        <v>11311</v>
      </c>
      <c r="B2372" s="52" t="s">
        <v>5686</v>
      </c>
      <c r="C2372" s="76">
        <v>45918.333333333336</v>
      </c>
      <c r="D2372" s="7" t="s">
        <v>2200</v>
      </c>
      <c r="E2372" s="76">
        <v>45918.541666666664</v>
      </c>
      <c r="F2372" s="67" t="s">
        <v>1592</v>
      </c>
      <c r="G2372" s="4" t="s">
        <v>110</v>
      </c>
      <c r="H2372" s="4" t="s">
        <v>1987</v>
      </c>
      <c r="K2372" s="4" t="s">
        <v>11312</v>
      </c>
      <c r="L2372" s="4" t="s">
        <v>11313</v>
      </c>
    </row>
    <row r="2373">
      <c r="A2373" s="55" t="s">
        <v>11314</v>
      </c>
      <c r="B2373" s="52" t="s">
        <v>5656</v>
      </c>
      <c r="C2373" s="76">
        <v>45918.416666666664</v>
      </c>
      <c r="D2373" s="7" t="s">
        <v>2200</v>
      </c>
      <c r="E2373" s="76">
        <v>45918.479166666664</v>
      </c>
      <c r="F2373" s="52" t="s">
        <v>11315</v>
      </c>
      <c r="G2373" s="4" t="s">
        <v>1708</v>
      </c>
      <c r="H2373" s="4" t="s">
        <v>1987</v>
      </c>
      <c r="K2373" s="4" t="s">
        <v>11316</v>
      </c>
      <c r="L2373" s="4" t="s">
        <v>11317</v>
      </c>
    </row>
    <row r="2374">
      <c r="A2374" s="55" t="s">
        <v>11318</v>
      </c>
      <c r="B2374" s="52" t="s">
        <v>5675</v>
      </c>
      <c r="C2374" s="76">
        <v>45919.5</v>
      </c>
      <c r="D2374" s="7" t="s">
        <v>2147</v>
      </c>
      <c r="E2374" s="76">
        <v>45919.541666666664</v>
      </c>
      <c r="F2374" s="52" t="s">
        <v>11319</v>
      </c>
      <c r="G2374" s="4" t="s">
        <v>110</v>
      </c>
      <c r="H2374" s="4" t="s">
        <v>1987</v>
      </c>
      <c r="K2374" s="4"/>
      <c r="L2374" s="4" t="s">
        <v>11320</v>
      </c>
    </row>
    <row r="2375">
      <c r="A2375" s="55"/>
      <c r="B2375" s="52"/>
      <c r="C2375" s="76"/>
      <c r="D2375" s="4"/>
      <c r="E2375" s="76"/>
      <c r="F2375" s="52"/>
      <c r="G2375" s="4"/>
      <c r="H2375" s="4"/>
      <c r="K2375" s="4"/>
      <c r="L2375" s="4"/>
    </row>
    <row r="2376">
      <c r="A2376" s="55"/>
      <c r="B2376" s="52"/>
      <c r="C2376" s="76"/>
      <c r="D2376" s="4"/>
      <c r="E2376" s="76"/>
      <c r="F2376" s="52"/>
      <c r="G2376" s="4"/>
      <c r="H2376" s="4"/>
      <c r="K2376" s="4"/>
      <c r="L2376" s="4"/>
    </row>
    <row r="2377">
      <c r="A2377" s="55" t="s">
        <v>11321</v>
      </c>
      <c r="B2377" s="52" t="s">
        <v>5729</v>
      </c>
      <c r="C2377" s="76">
        <v>45922.333333333336</v>
      </c>
      <c r="D2377" s="7" t="s">
        <v>6052</v>
      </c>
      <c r="E2377" s="76">
        <v>45922.5</v>
      </c>
      <c r="F2377" s="52" t="s">
        <v>6120</v>
      </c>
      <c r="G2377" s="4" t="s">
        <v>110</v>
      </c>
      <c r="H2377" s="4" t="s">
        <v>1987</v>
      </c>
      <c r="K2377" s="4" t="s">
        <v>11322</v>
      </c>
      <c r="L2377" s="4" t="s">
        <v>11323</v>
      </c>
    </row>
    <row r="2378">
      <c r="A2378" s="55"/>
      <c r="B2378" s="52"/>
      <c r="C2378" s="76"/>
      <c r="D2378" s="4"/>
      <c r="E2378" s="76"/>
      <c r="F2378" s="52"/>
      <c r="G2378" s="4"/>
      <c r="H2378" s="4"/>
      <c r="K2378" s="4"/>
      <c r="L2378" s="4"/>
    </row>
    <row r="2379">
      <c r="A2379" s="55"/>
      <c r="B2379" s="52"/>
      <c r="C2379" s="76"/>
      <c r="D2379" s="4"/>
      <c r="E2379" s="76"/>
      <c r="F2379" s="52"/>
      <c r="G2379" s="4"/>
      <c r="H2379" s="4"/>
      <c r="K2379" s="4"/>
      <c r="L2379" s="4"/>
    </row>
    <row r="2380">
      <c r="A2380" s="55"/>
      <c r="B2380" s="52"/>
      <c r="C2380" s="76"/>
      <c r="D2380" s="4"/>
      <c r="E2380" s="76"/>
      <c r="F2380" s="52"/>
      <c r="G2380" s="4"/>
      <c r="H2380" s="4"/>
      <c r="K2380" s="4"/>
      <c r="L2380" s="4"/>
    </row>
    <row r="2381">
      <c r="A2381" s="55" t="s">
        <v>11324</v>
      </c>
      <c r="B2381" s="52" t="s">
        <v>6069</v>
      </c>
      <c r="C2381" s="76">
        <v>45932.5375</v>
      </c>
      <c r="D2381" s="7" t="s">
        <v>2147</v>
      </c>
      <c r="E2381" s="76">
        <v>45932.57916666667</v>
      </c>
      <c r="F2381" s="52" t="s">
        <v>7051</v>
      </c>
      <c r="G2381" s="4" t="s">
        <v>110</v>
      </c>
      <c r="H2381" s="4" t="s">
        <v>1987</v>
      </c>
      <c r="K2381" s="4" t="s">
        <v>11325</v>
      </c>
      <c r="L2381" s="4"/>
    </row>
    <row r="2382">
      <c r="A2382" s="55" t="s">
        <v>11326</v>
      </c>
      <c r="B2382" s="52" t="s">
        <v>6069</v>
      </c>
      <c r="C2382" s="76">
        <v>45933.5375</v>
      </c>
      <c r="D2382" s="7" t="s">
        <v>2147</v>
      </c>
      <c r="E2382" s="76">
        <v>45933.57916666667</v>
      </c>
      <c r="F2382" s="52" t="s">
        <v>7051</v>
      </c>
      <c r="G2382" s="4" t="s">
        <v>110</v>
      </c>
      <c r="H2382" s="4" t="s">
        <v>1987</v>
      </c>
      <c r="K2382" s="4" t="s">
        <v>11327</v>
      </c>
      <c r="L2382" s="4"/>
    </row>
    <row r="2383">
      <c r="A2383" s="55" t="s">
        <v>11328</v>
      </c>
      <c r="B2383" s="52" t="s">
        <v>6069</v>
      </c>
      <c r="C2383" s="76">
        <v>45936.5375</v>
      </c>
      <c r="D2383" s="7" t="s">
        <v>2147</v>
      </c>
      <c r="E2383" s="76">
        <v>45936.57916666667</v>
      </c>
      <c r="F2383" s="52" t="s">
        <v>7051</v>
      </c>
      <c r="G2383" s="4" t="s">
        <v>110</v>
      </c>
      <c r="H2383" s="4" t="s">
        <v>1987</v>
      </c>
      <c r="K2383" s="4" t="s">
        <v>11329</v>
      </c>
      <c r="L2383" s="4"/>
    </row>
    <row r="2384">
      <c r="A2384" s="55" t="s">
        <v>11330</v>
      </c>
      <c r="B2384" s="52" t="s">
        <v>5729</v>
      </c>
      <c r="C2384" s="76">
        <v>45925.333333333336</v>
      </c>
      <c r="D2384" s="7" t="s">
        <v>6052</v>
      </c>
      <c r="E2384" s="76">
        <v>45925.541666666664</v>
      </c>
      <c r="F2384" s="52" t="s">
        <v>1608</v>
      </c>
      <c r="G2384" s="4" t="s">
        <v>110</v>
      </c>
      <c r="H2384" s="4" t="s">
        <v>1987</v>
      </c>
      <c r="K2384" s="4" t="s">
        <v>11331</v>
      </c>
      <c r="L2384" s="4" t="s">
        <v>11332</v>
      </c>
    </row>
    <row r="2385">
      <c r="A2385" s="55" t="s">
        <v>11333</v>
      </c>
      <c r="B2385" s="52" t="s">
        <v>5647</v>
      </c>
      <c r="C2385" s="76">
        <v>45926.395833333336</v>
      </c>
      <c r="D2385" s="7" t="s">
        <v>6052</v>
      </c>
      <c r="E2385" s="76">
        <v>45926.447916666664</v>
      </c>
      <c r="F2385" s="52" t="s">
        <v>1608</v>
      </c>
      <c r="G2385" s="4" t="s">
        <v>110</v>
      </c>
      <c r="H2385" s="4" t="s">
        <v>1987</v>
      </c>
      <c r="K2385" s="4" t="s">
        <v>11334</v>
      </c>
      <c r="L2385" s="4" t="s">
        <v>11335</v>
      </c>
    </row>
    <row r="2386">
      <c r="A2386" s="55" t="s">
        <v>11336</v>
      </c>
      <c r="B2386" s="52" t="s">
        <v>5647</v>
      </c>
      <c r="C2386" s="76">
        <v>45929.333333333336</v>
      </c>
      <c r="D2386" s="7" t="s">
        <v>2154</v>
      </c>
      <c r="E2386" s="76">
        <v>45929.447916666664</v>
      </c>
      <c r="F2386" s="52" t="s">
        <v>1608</v>
      </c>
      <c r="G2386" s="4" t="s">
        <v>110</v>
      </c>
      <c r="H2386" s="4" t="s">
        <v>1987</v>
      </c>
      <c r="K2386" s="4" t="s">
        <v>11337</v>
      </c>
      <c r="L2386" s="4" t="s">
        <v>11338</v>
      </c>
    </row>
    <row r="2387">
      <c r="A2387" s="55" t="s">
        <v>11339</v>
      </c>
      <c r="B2387" s="52" t="s">
        <v>1617</v>
      </c>
      <c r="C2387" s="76">
        <v>45930.333333333336</v>
      </c>
      <c r="D2387" s="7" t="s">
        <v>6052</v>
      </c>
      <c r="E2387" s="76">
        <v>45930.541666666664</v>
      </c>
      <c r="F2387" s="52" t="s">
        <v>1617</v>
      </c>
      <c r="G2387" s="4" t="s">
        <v>110</v>
      </c>
      <c r="H2387" s="4" t="s">
        <v>1987</v>
      </c>
      <c r="K2387" s="4" t="s">
        <v>11340</v>
      </c>
      <c r="L2387" s="4" t="s">
        <v>11341</v>
      </c>
    </row>
    <row r="2388">
      <c r="A2388" s="55" t="s">
        <v>11342</v>
      </c>
      <c r="B2388" s="52" t="s">
        <v>5596</v>
      </c>
      <c r="C2388" s="76">
        <v>45918.479166666664</v>
      </c>
      <c r="D2388" s="7" t="s">
        <v>6318</v>
      </c>
      <c r="E2388" s="76">
        <v>45918.5</v>
      </c>
      <c r="F2388" s="52" t="s">
        <v>11343</v>
      </c>
      <c r="G2388" s="4" t="s">
        <v>1708</v>
      </c>
      <c r="H2388" s="4" t="s">
        <v>1987</v>
      </c>
      <c r="K2388" s="4" t="s">
        <v>11344</v>
      </c>
      <c r="L2388" s="4"/>
    </row>
    <row r="2389">
      <c r="A2389" s="55" t="s">
        <v>11345</v>
      </c>
      <c r="B2389" s="52" t="s">
        <v>5656</v>
      </c>
      <c r="C2389" s="76">
        <v>45918.5</v>
      </c>
      <c r="D2389" s="7" t="s">
        <v>2147</v>
      </c>
      <c r="E2389" s="76">
        <v>45918.541666666664</v>
      </c>
      <c r="F2389" s="52" t="s">
        <v>11315</v>
      </c>
      <c r="G2389" s="4" t="s">
        <v>1708</v>
      </c>
      <c r="H2389" s="4" t="s">
        <v>1987</v>
      </c>
      <c r="K2389" s="4" t="s">
        <v>11346</v>
      </c>
      <c r="L2389" s="4"/>
    </row>
    <row r="2390">
      <c r="A2390" s="55" t="s">
        <v>11347</v>
      </c>
      <c r="B2390" s="52" t="s">
        <v>5656</v>
      </c>
      <c r="C2390" s="76">
        <v>45918.57847222222</v>
      </c>
      <c r="D2390" s="7" t="s">
        <v>2154</v>
      </c>
      <c r="E2390" s="76">
        <v>45918.66180555556</v>
      </c>
      <c r="F2390" s="52" t="s">
        <v>11348</v>
      </c>
      <c r="G2390" s="4" t="s">
        <v>27</v>
      </c>
      <c r="H2390" s="4" t="s">
        <v>1987</v>
      </c>
      <c r="K2390" s="4" t="s">
        <v>11349</v>
      </c>
      <c r="L2390" s="4"/>
    </row>
    <row r="2391">
      <c r="A2391" s="55" t="s">
        <v>11350</v>
      </c>
      <c r="B2391" s="52" t="s">
        <v>1597</v>
      </c>
      <c r="C2391" s="76">
        <v>45918.59930555556</v>
      </c>
      <c r="D2391" s="7" t="s">
        <v>2147</v>
      </c>
      <c r="E2391" s="76">
        <v>45918.64097222222</v>
      </c>
      <c r="F2391" s="52" t="s">
        <v>10199</v>
      </c>
      <c r="G2391" s="4" t="s">
        <v>27</v>
      </c>
      <c r="H2391" s="4" t="s">
        <v>1987</v>
      </c>
      <c r="K2391" s="4" t="s">
        <v>11351</v>
      </c>
      <c r="L2391" s="4"/>
    </row>
    <row r="2392">
      <c r="A2392" s="55" t="s">
        <v>11352</v>
      </c>
      <c r="B2392" s="52" t="s">
        <v>1611</v>
      </c>
      <c r="C2392" s="76">
        <v>45918.65833333333</v>
      </c>
      <c r="D2392" s="7" t="s">
        <v>2147</v>
      </c>
      <c r="E2392" s="76">
        <v>45918.7</v>
      </c>
      <c r="F2392" s="52" t="s">
        <v>11353</v>
      </c>
      <c r="G2392" s="4" t="s">
        <v>27</v>
      </c>
      <c r="H2392" s="4" t="s">
        <v>1987</v>
      </c>
      <c r="K2392" s="4" t="s">
        <v>11354</v>
      </c>
      <c r="L2392" s="4"/>
    </row>
    <row r="2393">
      <c r="A2393" s="55" t="s">
        <v>11355</v>
      </c>
      <c r="B2393" s="52" t="s">
        <v>5719</v>
      </c>
      <c r="C2393" s="76">
        <v>45919.416666666664</v>
      </c>
      <c r="D2393" s="7" t="s">
        <v>2147</v>
      </c>
      <c r="E2393" s="76">
        <v>45919.458333333336</v>
      </c>
      <c r="F2393" s="52" t="s">
        <v>6189</v>
      </c>
      <c r="G2393" s="4" t="s">
        <v>27</v>
      </c>
      <c r="H2393" s="4" t="s">
        <v>1991</v>
      </c>
      <c r="K2393" s="4" t="s">
        <v>11356</v>
      </c>
      <c r="L2393" s="4"/>
    </row>
    <row r="2394">
      <c r="A2394" s="55" t="s">
        <v>11357</v>
      </c>
      <c r="B2394" s="52" t="s">
        <v>1611</v>
      </c>
      <c r="C2394" s="76">
        <v>45922.666666666664</v>
      </c>
      <c r="D2394" s="7" t="s">
        <v>2147</v>
      </c>
      <c r="E2394" s="76">
        <v>45922.708333333336</v>
      </c>
      <c r="F2394" s="52" t="s">
        <v>11358</v>
      </c>
      <c r="G2394" s="4" t="s">
        <v>27</v>
      </c>
      <c r="H2394" s="4" t="s">
        <v>1991</v>
      </c>
      <c r="K2394" s="4" t="s">
        <v>11359</v>
      </c>
      <c r="L2394" s="4" t="s">
        <v>11360</v>
      </c>
    </row>
    <row r="2395">
      <c r="A2395" s="55" t="s">
        <v>11361</v>
      </c>
      <c r="B2395" s="52" t="s">
        <v>5598</v>
      </c>
      <c r="C2395" s="76">
        <v>45919.5625</v>
      </c>
      <c r="D2395" s="7" t="s">
        <v>2148</v>
      </c>
      <c r="E2395" s="76">
        <v>45919.729166666664</v>
      </c>
      <c r="F2395" s="52" t="s">
        <v>5377</v>
      </c>
      <c r="G2395" s="4" t="s">
        <v>135</v>
      </c>
      <c r="H2395" s="4" t="s">
        <v>1987</v>
      </c>
      <c r="K2395" s="4" t="s">
        <v>11362</v>
      </c>
      <c r="L2395" s="4" t="s">
        <v>11249</v>
      </c>
    </row>
    <row r="2396">
      <c r="A2396" s="55" t="s">
        <v>11363</v>
      </c>
      <c r="B2396" s="52" t="s">
        <v>5686</v>
      </c>
      <c r="C2396" s="76">
        <v>45919.447916666664</v>
      </c>
      <c r="D2396" s="7" t="s">
        <v>2154</v>
      </c>
      <c r="E2396" s="76">
        <v>45919.5</v>
      </c>
      <c r="F2396" s="52" t="s">
        <v>11364</v>
      </c>
      <c r="G2396" s="4" t="s">
        <v>110</v>
      </c>
      <c r="H2396" s="4" t="s">
        <v>1987</v>
      </c>
      <c r="K2396" s="4" t="s">
        <v>11312</v>
      </c>
      <c r="L2396" s="4" t="s">
        <v>11365</v>
      </c>
    </row>
    <row r="2397">
      <c r="A2397" s="55" t="s">
        <v>11366</v>
      </c>
      <c r="B2397" s="52" t="s">
        <v>5628</v>
      </c>
      <c r="C2397" s="76">
        <v>45919.333333333336</v>
      </c>
      <c r="D2397" s="7" t="s">
        <v>2200</v>
      </c>
      <c r="E2397" s="76">
        <v>45919.427083333336</v>
      </c>
      <c r="F2397" s="52" t="s">
        <v>11367</v>
      </c>
      <c r="G2397" s="4" t="s">
        <v>110</v>
      </c>
      <c r="H2397" s="4" t="s">
        <v>1987</v>
      </c>
      <c r="K2397" s="4" t="s">
        <v>11368</v>
      </c>
      <c r="L2397" s="4" t="s">
        <v>11369</v>
      </c>
    </row>
    <row r="2398">
      <c r="A2398" s="55" t="s">
        <v>11370</v>
      </c>
      <c r="B2398" s="52" t="s">
        <v>5656</v>
      </c>
      <c r="C2398" s="76">
        <v>45919.427083333336</v>
      </c>
      <c r="D2398" s="7" t="s">
        <v>6318</v>
      </c>
      <c r="E2398" s="76">
        <v>45919.4375</v>
      </c>
      <c r="F2398" s="52" t="s">
        <v>11371</v>
      </c>
      <c r="G2398" s="4" t="s">
        <v>110</v>
      </c>
      <c r="H2398" s="4" t="s">
        <v>1987</v>
      </c>
      <c r="K2398" s="4" t="s">
        <v>11372</v>
      </c>
      <c r="L2398" s="4" t="s">
        <v>11373</v>
      </c>
    </row>
    <row r="2399">
      <c r="A2399" s="55" t="s">
        <v>11374</v>
      </c>
      <c r="B2399" s="52" t="s">
        <v>1617</v>
      </c>
      <c r="C2399" s="76">
        <v>45922.5</v>
      </c>
      <c r="D2399" s="7" t="s">
        <v>2147</v>
      </c>
      <c r="E2399" s="76">
        <v>45922.541666666664</v>
      </c>
      <c r="F2399" s="52" t="s">
        <v>11375</v>
      </c>
      <c r="G2399" s="4" t="s">
        <v>110</v>
      </c>
      <c r="H2399" s="4" t="s">
        <v>1987</v>
      </c>
      <c r="K2399" s="4" t="s">
        <v>11376</v>
      </c>
      <c r="L2399" s="4"/>
    </row>
    <row r="2400">
      <c r="A2400" s="66" t="s">
        <v>11377</v>
      </c>
      <c r="B2400" s="52" t="s">
        <v>5598</v>
      </c>
      <c r="C2400" s="76">
        <v>45922.5625</v>
      </c>
      <c r="D2400" s="7" t="s">
        <v>2148</v>
      </c>
      <c r="E2400" s="76">
        <v>45922.729166666664</v>
      </c>
      <c r="F2400" s="52" t="s">
        <v>5377</v>
      </c>
      <c r="G2400" s="4" t="s">
        <v>135</v>
      </c>
      <c r="H2400" s="4" t="s">
        <v>1987</v>
      </c>
      <c r="K2400" s="4" t="s">
        <v>11378</v>
      </c>
      <c r="L2400" s="4"/>
    </row>
    <row r="2401">
      <c r="A2401" s="55" t="s">
        <v>11379</v>
      </c>
      <c r="B2401" s="52" t="s">
        <v>1611</v>
      </c>
      <c r="C2401" s="76">
        <v>45922.72222222222</v>
      </c>
      <c r="D2401" s="7" t="s">
        <v>2147</v>
      </c>
      <c r="E2401" s="76">
        <v>45922.76388888889</v>
      </c>
      <c r="F2401" s="52" t="s">
        <v>11380</v>
      </c>
      <c r="G2401" s="4" t="s">
        <v>27</v>
      </c>
      <c r="H2401" s="4" t="s">
        <v>1987</v>
      </c>
      <c r="K2401" s="4" t="s">
        <v>11381</v>
      </c>
      <c r="L2401" s="4"/>
    </row>
    <row r="2402">
      <c r="A2402" s="55" t="s">
        <v>11382</v>
      </c>
      <c r="B2402" s="52" t="s">
        <v>5729</v>
      </c>
      <c r="C2402" s="76">
        <v>45923.427083333336</v>
      </c>
      <c r="D2402" s="7" t="s">
        <v>6052</v>
      </c>
      <c r="E2402" s="76">
        <v>45923.541666666664</v>
      </c>
      <c r="F2402" s="52" t="s">
        <v>6120</v>
      </c>
      <c r="G2402" s="4" t="s">
        <v>110</v>
      </c>
      <c r="H2402" s="4" t="s">
        <v>1987</v>
      </c>
      <c r="K2402" s="4" t="s">
        <v>11322</v>
      </c>
      <c r="L2402" s="4" t="s">
        <v>11383</v>
      </c>
    </row>
    <row r="2403">
      <c r="A2403" s="55" t="s">
        <v>11384</v>
      </c>
      <c r="B2403" s="52" t="s">
        <v>5729</v>
      </c>
      <c r="C2403" s="76">
        <v>45924.333333333336</v>
      </c>
      <c r="D2403" s="7" t="s">
        <v>6052</v>
      </c>
      <c r="E2403" s="76">
        <v>45924.541666666664</v>
      </c>
      <c r="F2403" s="52" t="s">
        <v>6120</v>
      </c>
      <c r="G2403" s="4" t="s">
        <v>110</v>
      </c>
      <c r="H2403" s="4" t="s">
        <v>1987</v>
      </c>
      <c r="K2403" s="4" t="s">
        <v>11385</v>
      </c>
      <c r="L2403" s="4" t="s">
        <v>11323</v>
      </c>
    </row>
    <row r="2404">
      <c r="A2404" s="55" t="s">
        <v>11386</v>
      </c>
      <c r="B2404" s="52" t="s">
        <v>5596</v>
      </c>
      <c r="C2404" s="76">
        <v>45922.333333333336</v>
      </c>
      <c r="D2404" s="7" t="s">
        <v>2148</v>
      </c>
      <c r="E2404" s="76">
        <v>45922.5</v>
      </c>
      <c r="F2404" s="52" t="s">
        <v>11387</v>
      </c>
      <c r="G2404" s="4" t="s">
        <v>1708</v>
      </c>
      <c r="H2404" s="4" t="s">
        <v>1987</v>
      </c>
      <c r="K2404" s="4" t="s">
        <v>11388</v>
      </c>
      <c r="L2404" s="4"/>
    </row>
    <row r="2405">
      <c r="A2405" s="55" t="s">
        <v>11389</v>
      </c>
      <c r="B2405" s="52" t="s">
        <v>1617</v>
      </c>
      <c r="C2405" s="76">
        <v>45923.375</v>
      </c>
      <c r="D2405" s="7" t="s">
        <v>2147</v>
      </c>
      <c r="E2405" s="76">
        <v>45923.427083333336</v>
      </c>
      <c r="F2405" s="52" t="s">
        <v>11375</v>
      </c>
      <c r="G2405" s="4" t="s">
        <v>110</v>
      </c>
      <c r="H2405" s="4" t="s">
        <v>1987</v>
      </c>
      <c r="K2405" s="4" t="s">
        <v>11376</v>
      </c>
      <c r="L2405" s="4" t="s">
        <v>11390</v>
      </c>
    </row>
    <row r="2406">
      <c r="A2406" s="55" t="s">
        <v>11391</v>
      </c>
      <c r="B2406" s="52" t="s">
        <v>5675</v>
      </c>
      <c r="C2406" s="76">
        <v>45923.333333333336</v>
      </c>
      <c r="D2406" s="7" t="s">
        <v>2147</v>
      </c>
      <c r="E2406" s="76">
        <v>45923.375</v>
      </c>
      <c r="F2406" s="52" t="s">
        <v>11392</v>
      </c>
      <c r="G2406" s="4" t="s">
        <v>110</v>
      </c>
      <c r="H2406" s="4" t="s">
        <v>1987</v>
      </c>
      <c r="K2406" s="4" t="s">
        <v>11393</v>
      </c>
      <c r="L2406" s="4"/>
    </row>
    <row r="2407">
      <c r="A2407" s="55" t="s">
        <v>11394</v>
      </c>
      <c r="B2407" s="52" t="s">
        <v>1617</v>
      </c>
      <c r="C2407" s="76">
        <v>45924.333333333336</v>
      </c>
      <c r="D2407" s="7" t="s">
        <v>6052</v>
      </c>
      <c r="E2407" s="76">
        <v>45924.541666666664</v>
      </c>
      <c r="F2407" s="52" t="s">
        <v>11284</v>
      </c>
      <c r="G2407" s="4" t="s">
        <v>1708</v>
      </c>
      <c r="H2407" s="4" t="s">
        <v>1987</v>
      </c>
      <c r="K2407" s="4" t="s">
        <v>11395</v>
      </c>
      <c r="L2407" s="4"/>
    </row>
    <row r="2408">
      <c r="A2408" s="55" t="s">
        <v>11396</v>
      </c>
      <c r="B2408" s="52" t="s">
        <v>1617</v>
      </c>
      <c r="C2408" s="76">
        <v>45926.333333333336</v>
      </c>
      <c r="D2408" s="7" t="s">
        <v>6052</v>
      </c>
      <c r="E2408" s="76">
        <v>45926.541666666664</v>
      </c>
      <c r="F2408" s="52" t="s">
        <v>11284</v>
      </c>
      <c r="G2408" s="4" t="s">
        <v>1708</v>
      </c>
      <c r="H2408" s="4" t="s">
        <v>1987</v>
      </c>
      <c r="K2408" s="4" t="s">
        <v>11285</v>
      </c>
      <c r="L2408" s="4" t="s">
        <v>11397</v>
      </c>
    </row>
    <row r="2409">
      <c r="A2409" s="55" t="s">
        <v>11398</v>
      </c>
      <c r="B2409" s="52" t="s">
        <v>1617</v>
      </c>
      <c r="C2409" s="76">
        <v>45925.333333333336</v>
      </c>
      <c r="D2409" s="7" t="s">
        <v>6052</v>
      </c>
      <c r="E2409" s="76">
        <v>45925.541666666664</v>
      </c>
      <c r="F2409" s="52" t="s">
        <v>11284</v>
      </c>
      <c r="G2409" s="4" t="s">
        <v>1708</v>
      </c>
      <c r="H2409" s="4" t="s">
        <v>1987</v>
      </c>
      <c r="K2409" s="4" t="s">
        <v>11399</v>
      </c>
      <c r="L2409" s="4"/>
    </row>
    <row r="2410">
      <c r="A2410" s="55" t="s">
        <v>11400</v>
      </c>
      <c r="B2410" s="52" t="s">
        <v>1597</v>
      </c>
      <c r="C2410" s="76">
        <v>45923.43194444444</v>
      </c>
      <c r="D2410" s="7" t="s">
        <v>6318</v>
      </c>
      <c r="E2410" s="76">
        <v>45923.45277777778</v>
      </c>
      <c r="F2410" s="52" t="s">
        <v>11401</v>
      </c>
      <c r="G2410" s="4" t="s">
        <v>27</v>
      </c>
      <c r="H2410" s="4" t="s">
        <v>1987</v>
      </c>
      <c r="K2410" s="4" t="s">
        <v>11402</v>
      </c>
      <c r="L2410" s="4"/>
    </row>
    <row r="2411">
      <c r="A2411" s="55" t="s">
        <v>11403</v>
      </c>
      <c r="B2411" s="52" t="s">
        <v>1597</v>
      </c>
      <c r="C2411" s="76">
        <v>45923.458333333336</v>
      </c>
      <c r="D2411" s="7" t="s">
        <v>2147</v>
      </c>
      <c r="E2411" s="76">
        <v>45923.520833333336</v>
      </c>
      <c r="F2411" s="52" t="s">
        <v>11404</v>
      </c>
      <c r="G2411" s="4" t="s">
        <v>1708</v>
      </c>
      <c r="H2411" s="4" t="s">
        <v>1987</v>
      </c>
      <c r="K2411" s="4" t="s">
        <v>11405</v>
      </c>
      <c r="L2411" s="4"/>
    </row>
    <row r="2412">
      <c r="A2412" s="55" t="s">
        <v>11406</v>
      </c>
      <c r="B2412" s="52" t="s">
        <v>1617</v>
      </c>
      <c r="C2412" s="76">
        <v>45923.520833333336</v>
      </c>
      <c r="D2412" s="7" t="s">
        <v>6318</v>
      </c>
      <c r="E2412" s="76">
        <v>45923.541666666664</v>
      </c>
      <c r="F2412" s="52" t="s">
        <v>11407</v>
      </c>
      <c r="G2412" s="4" t="s">
        <v>1708</v>
      </c>
      <c r="H2412" s="4" t="s">
        <v>1987</v>
      </c>
      <c r="K2412" s="4" t="s">
        <v>11408</v>
      </c>
      <c r="L2412" s="4"/>
    </row>
    <row r="2413">
      <c r="A2413" s="55" t="s">
        <v>11409</v>
      </c>
      <c r="B2413" s="52" t="s">
        <v>5598</v>
      </c>
      <c r="C2413" s="76">
        <v>45923.5625</v>
      </c>
      <c r="D2413" s="7" t="s">
        <v>2148</v>
      </c>
      <c r="E2413" s="76">
        <v>45923.770833333336</v>
      </c>
      <c r="F2413" s="52" t="s">
        <v>5377</v>
      </c>
      <c r="G2413" s="4" t="s">
        <v>135</v>
      </c>
      <c r="H2413" s="4" t="s">
        <v>1987</v>
      </c>
      <c r="K2413" s="4" t="s">
        <v>11410</v>
      </c>
      <c r="L2413" s="4"/>
    </row>
    <row r="2414">
      <c r="A2414" s="55" t="s">
        <v>11411</v>
      </c>
      <c r="B2414" s="52" t="s">
        <v>5625</v>
      </c>
      <c r="C2414" s="76">
        <v>45926.5625</v>
      </c>
      <c r="D2414" s="7" t="s">
        <v>2147</v>
      </c>
      <c r="E2414" s="76">
        <v>45926.729166666664</v>
      </c>
      <c r="F2414" s="52" t="s">
        <v>8579</v>
      </c>
      <c r="G2414" s="4" t="s">
        <v>135</v>
      </c>
      <c r="H2414" s="4" t="s">
        <v>1991</v>
      </c>
      <c r="K2414" s="4" t="s">
        <v>11412</v>
      </c>
      <c r="L2414" s="4" t="s">
        <v>11413</v>
      </c>
    </row>
    <row r="2415">
      <c r="A2415" s="55" t="s">
        <v>11414</v>
      </c>
      <c r="B2415" s="52" t="s">
        <v>5656</v>
      </c>
      <c r="C2415" s="76">
        <v>45923.5625</v>
      </c>
      <c r="D2415" s="7" t="s">
        <v>2147</v>
      </c>
      <c r="E2415" s="76">
        <v>45923.729166666664</v>
      </c>
      <c r="F2415" s="52" t="s">
        <v>7400</v>
      </c>
      <c r="G2415" s="4" t="s">
        <v>27</v>
      </c>
      <c r="H2415" s="4" t="s">
        <v>1987</v>
      </c>
      <c r="K2415" s="4" t="s">
        <v>11415</v>
      </c>
      <c r="L2415" s="4"/>
    </row>
    <row r="2416">
      <c r="A2416" s="55" t="s">
        <v>11416</v>
      </c>
      <c r="B2416" s="52" t="s">
        <v>1617</v>
      </c>
      <c r="C2416" s="76">
        <v>45924.40833333333</v>
      </c>
      <c r="D2416" s="7" t="s">
        <v>2147</v>
      </c>
      <c r="E2416" s="76">
        <v>45924.447916666664</v>
      </c>
      <c r="F2416" s="52" t="s">
        <v>11417</v>
      </c>
      <c r="G2416" s="4" t="s">
        <v>27</v>
      </c>
      <c r="H2416" s="4" t="s">
        <v>1987</v>
      </c>
      <c r="K2416" s="4" t="s">
        <v>11418</v>
      </c>
      <c r="L2416" s="4" t="s">
        <v>11419</v>
      </c>
    </row>
    <row r="2417">
      <c r="A2417" s="55" t="s">
        <v>11420</v>
      </c>
      <c r="B2417" s="52" t="s">
        <v>1611</v>
      </c>
      <c r="C2417" s="76">
        <v>45924.50277777778</v>
      </c>
      <c r="D2417" s="7" t="s">
        <v>6052</v>
      </c>
      <c r="E2417" s="76">
        <v>45924.541666666664</v>
      </c>
      <c r="F2417" s="52" t="s">
        <v>11421</v>
      </c>
      <c r="G2417" s="4" t="s">
        <v>27</v>
      </c>
      <c r="H2417" s="4" t="s">
        <v>1987</v>
      </c>
      <c r="K2417" s="4" t="s">
        <v>11422</v>
      </c>
      <c r="L2417" s="4" t="s">
        <v>11423</v>
      </c>
    </row>
    <row r="2418">
      <c r="A2418" s="55" t="s">
        <v>11424</v>
      </c>
      <c r="B2418" s="52" t="s">
        <v>1611</v>
      </c>
      <c r="C2418" s="76">
        <v>45924.666666666664</v>
      </c>
      <c r="D2418" s="7" t="s">
        <v>6052</v>
      </c>
      <c r="E2418" s="76">
        <v>45924.791666666664</v>
      </c>
      <c r="F2418" s="52" t="s">
        <v>11421</v>
      </c>
      <c r="G2418" s="4" t="s">
        <v>27</v>
      </c>
      <c r="H2418" s="4" t="s">
        <v>1987</v>
      </c>
      <c r="K2418" s="4" t="s">
        <v>11425</v>
      </c>
      <c r="L2418" s="4" t="s">
        <v>11426</v>
      </c>
    </row>
    <row r="2419">
      <c r="A2419" s="55" t="s">
        <v>11427</v>
      </c>
      <c r="B2419" s="52" t="s">
        <v>5598</v>
      </c>
      <c r="C2419" s="76">
        <v>45924.57430555556</v>
      </c>
      <c r="D2419" s="7" t="s">
        <v>2147</v>
      </c>
      <c r="E2419" s="76">
        <v>45924.645833333336</v>
      </c>
      <c r="F2419" s="52" t="s">
        <v>6370</v>
      </c>
      <c r="G2419" s="4" t="s">
        <v>27</v>
      </c>
      <c r="H2419" s="4" t="s">
        <v>1987</v>
      </c>
      <c r="K2419" s="4" t="s">
        <v>11428</v>
      </c>
      <c r="L2419" s="4" t="s">
        <v>11429</v>
      </c>
    </row>
    <row r="2420">
      <c r="A2420" s="55" t="s">
        <v>11430</v>
      </c>
      <c r="B2420" s="52" t="s">
        <v>5598</v>
      </c>
      <c r="C2420" s="76">
        <v>45924.5625</v>
      </c>
      <c r="D2420" s="7" t="s">
        <v>2148</v>
      </c>
      <c r="E2420" s="76">
        <v>45924.770833333336</v>
      </c>
      <c r="F2420" s="52" t="s">
        <v>5377</v>
      </c>
      <c r="G2420" s="4" t="s">
        <v>135</v>
      </c>
      <c r="H2420" s="4" t="s">
        <v>1987</v>
      </c>
      <c r="K2420" s="4" t="s">
        <v>11431</v>
      </c>
      <c r="L2420" s="4"/>
    </row>
    <row r="2421">
      <c r="A2421" s="55" t="s">
        <v>11432</v>
      </c>
      <c r="B2421" s="52" t="s">
        <v>1597</v>
      </c>
      <c r="C2421" s="76">
        <v>45926.416666666664</v>
      </c>
      <c r="D2421" s="7" t="s">
        <v>2147</v>
      </c>
      <c r="E2421" s="76">
        <v>45926.458333333336</v>
      </c>
      <c r="F2421" s="52" t="s">
        <v>11433</v>
      </c>
      <c r="G2421" s="4" t="s">
        <v>27</v>
      </c>
      <c r="H2421" s="4" t="s">
        <v>1991</v>
      </c>
      <c r="K2421" s="4" t="s">
        <v>11434</v>
      </c>
      <c r="L2421" s="4"/>
    </row>
    <row r="2422">
      <c r="A2422" s="55" t="s">
        <v>11435</v>
      </c>
      <c r="B2422" s="52" t="s">
        <v>5598</v>
      </c>
      <c r="C2422" s="76">
        <v>45925.5625</v>
      </c>
      <c r="D2422" s="7" t="s">
        <v>2148</v>
      </c>
      <c r="E2422" s="76">
        <v>45925.625</v>
      </c>
      <c r="F2422" s="52" t="s">
        <v>5377</v>
      </c>
      <c r="G2422" s="4" t="s">
        <v>135</v>
      </c>
      <c r="H2422" s="4" t="s">
        <v>1987</v>
      </c>
      <c r="K2422" s="4" t="s">
        <v>11436</v>
      </c>
      <c r="L2422" s="4"/>
    </row>
    <row r="2423">
      <c r="A2423" s="55" t="s">
        <v>11437</v>
      </c>
      <c r="B2423" s="52" t="s">
        <v>5598</v>
      </c>
      <c r="C2423" s="76">
        <v>45925.625</v>
      </c>
      <c r="D2423" s="7" t="s">
        <v>2148</v>
      </c>
      <c r="E2423" s="76">
        <v>45925.729166666664</v>
      </c>
      <c r="F2423" s="52" t="s">
        <v>5377</v>
      </c>
      <c r="G2423" s="4" t="s">
        <v>135</v>
      </c>
      <c r="H2423" s="4" t="s">
        <v>1991</v>
      </c>
      <c r="K2423" s="4" t="s">
        <v>11438</v>
      </c>
      <c r="L2423" s="4"/>
    </row>
    <row r="2424">
      <c r="A2424" s="55" t="s">
        <v>11439</v>
      </c>
      <c r="B2424" s="52" t="s">
        <v>5729</v>
      </c>
      <c r="C2424" s="76">
        <v>45926.333333333336</v>
      </c>
      <c r="D2424" s="7" t="s">
        <v>2147</v>
      </c>
      <c r="E2424" s="76">
        <v>45926.395833333336</v>
      </c>
      <c r="F2424" s="52" t="s">
        <v>1608</v>
      </c>
      <c r="G2424" s="4" t="s">
        <v>110</v>
      </c>
      <c r="H2424" s="4" t="s">
        <v>1987</v>
      </c>
      <c r="K2424" s="4" t="s">
        <v>11440</v>
      </c>
      <c r="L2424" s="4" t="s">
        <v>11332</v>
      </c>
    </row>
    <row r="2425">
      <c r="A2425" s="55" t="s">
        <v>11441</v>
      </c>
      <c r="B2425" s="52" t="s">
        <v>1617</v>
      </c>
      <c r="C2425" s="76">
        <v>45929.333333333336</v>
      </c>
      <c r="D2425" s="7" t="s">
        <v>6052</v>
      </c>
      <c r="E2425" s="76">
        <v>45929.416666666664</v>
      </c>
      <c r="F2425" s="52" t="s">
        <v>9860</v>
      </c>
      <c r="G2425" s="4" t="s">
        <v>1708</v>
      </c>
      <c r="H2425" s="4" t="s">
        <v>1987</v>
      </c>
      <c r="K2425" s="4" t="s">
        <v>11442</v>
      </c>
      <c r="L2425" s="4" t="s">
        <v>11443</v>
      </c>
    </row>
    <row r="2426">
      <c r="A2426" s="55" t="s">
        <v>11444</v>
      </c>
      <c r="B2426" s="52" t="s">
        <v>1617</v>
      </c>
      <c r="C2426" s="76">
        <v>45926.447916666664</v>
      </c>
      <c r="D2426" s="7" t="s">
        <v>2154</v>
      </c>
      <c r="E2426" s="76">
        <v>45926.541666666664</v>
      </c>
      <c r="F2426" s="52" t="s">
        <v>11445</v>
      </c>
      <c r="G2426" s="4" t="s">
        <v>110</v>
      </c>
      <c r="H2426" s="4" t="s">
        <v>1987</v>
      </c>
      <c r="K2426" s="4" t="s">
        <v>11446</v>
      </c>
      <c r="L2426" s="4"/>
    </row>
    <row r="2427">
      <c r="A2427" s="55" t="s">
        <v>11447</v>
      </c>
      <c r="B2427" s="52" t="s">
        <v>6069</v>
      </c>
      <c r="C2427" s="76">
        <v>45929.5625</v>
      </c>
      <c r="D2427" s="7" t="s">
        <v>2147</v>
      </c>
      <c r="E2427" s="76">
        <v>45929.604166666664</v>
      </c>
      <c r="F2427" s="52" t="s">
        <v>7051</v>
      </c>
      <c r="G2427" s="4" t="s">
        <v>135</v>
      </c>
      <c r="H2427" s="4" t="s">
        <v>1987</v>
      </c>
      <c r="K2427" s="4" t="s">
        <v>11448</v>
      </c>
      <c r="L2427" s="4"/>
    </row>
    <row r="2428">
      <c r="A2428" s="55" t="s">
        <v>11449</v>
      </c>
      <c r="B2428" s="52" t="s">
        <v>5625</v>
      </c>
      <c r="C2428" s="76">
        <v>45930.5625</v>
      </c>
      <c r="D2428" s="7" t="s">
        <v>2147</v>
      </c>
      <c r="E2428" s="76">
        <v>45930.770833333336</v>
      </c>
      <c r="F2428" s="52" t="s">
        <v>1420</v>
      </c>
      <c r="G2428" s="4" t="s">
        <v>135</v>
      </c>
      <c r="H2428" s="4" t="s">
        <v>1987</v>
      </c>
      <c r="K2428" s="4" t="s">
        <v>11450</v>
      </c>
      <c r="L2428" s="4"/>
    </row>
    <row r="2429">
      <c r="A2429" s="55" t="s">
        <v>11451</v>
      </c>
      <c r="B2429" s="52" t="s">
        <v>5625</v>
      </c>
      <c r="C2429" s="76">
        <v>45931.5625</v>
      </c>
      <c r="D2429" s="7" t="s">
        <v>2147</v>
      </c>
      <c r="E2429" s="76">
        <v>45931.770833333336</v>
      </c>
      <c r="F2429" s="52" t="s">
        <v>11452</v>
      </c>
      <c r="G2429" s="4" t="s">
        <v>135</v>
      </c>
      <c r="H2429" s="4" t="s">
        <v>1987</v>
      </c>
      <c r="K2429" s="4" t="s">
        <v>11453</v>
      </c>
      <c r="L2429" s="4" t="s">
        <v>11454</v>
      </c>
    </row>
    <row r="2430">
      <c r="A2430" s="55" t="s">
        <v>11455</v>
      </c>
      <c r="B2430" s="52" t="s">
        <v>5625</v>
      </c>
      <c r="C2430" s="76">
        <v>45932.5625</v>
      </c>
      <c r="D2430" s="7" t="s">
        <v>2147</v>
      </c>
      <c r="E2430" s="76">
        <v>45932.729166666664</v>
      </c>
      <c r="F2430" s="52" t="s">
        <v>11456</v>
      </c>
      <c r="G2430" s="4" t="s">
        <v>135</v>
      </c>
      <c r="H2430" s="4" t="s">
        <v>1987</v>
      </c>
      <c r="K2430" s="4" t="s">
        <v>11453</v>
      </c>
      <c r="L2430" s="4" t="s">
        <v>11457</v>
      </c>
    </row>
    <row r="2431">
      <c r="A2431" s="55" t="s">
        <v>11458</v>
      </c>
      <c r="B2431" s="52" t="s">
        <v>5625</v>
      </c>
      <c r="C2431" s="76">
        <v>45933.5625</v>
      </c>
      <c r="D2431" s="7" t="s">
        <v>2147</v>
      </c>
      <c r="E2431" s="76">
        <v>45933.729166666664</v>
      </c>
      <c r="F2431" s="52" t="s">
        <v>11456</v>
      </c>
      <c r="G2431" s="4" t="s">
        <v>135</v>
      </c>
      <c r="H2431" s="4" t="s">
        <v>1987</v>
      </c>
      <c r="K2431" s="4" t="s">
        <v>11453</v>
      </c>
      <c r="L2431" s="4" t="s">
        <v>11459</v>
      </c>
    </row>
    <row r="2432">
      <c r="A2432" s="55" t="s">
        <v>11460</v>
      </c>
      <c r="B2432" s="52" t="s">
        <v>5625</v>
      </c>
      <c r="C2432" s="76">
        <v>45936.5625</v>
      </c>
      <c r="D2432" s="7" t="s">
        <v>2147</v>
      </c>
      <c r="E2432" s="76">
        <v>45936.583333333336</v>
      </c>
      <c r="F2432" s="52" t="s">
        <v>11456</v>
      </c>
      <c r="G2432" s="4" t="s">
        <v>135</v>
      </c>
      <c r="H2432" s="4" t="s">
        <v>1987</v>
      </c>
      <c r="K2432" s="4" t="s">
        <v>11461</v>
      </c>
      <c r="L2432" s="4" t="s">
        <v>11462</v>
      </c>
    </row>
    <row r="2433">
      <c r="A2433" s="55" t="s">
        <v>11463</v>
      </c>
      <c r="B2433" s="52" t="s">
        <v>5625</v>
      </c>
      <c r="C2433" s="76">
        <v>45937.5625</v>
      </c>
      <c r="D2433" s="7" t="s">
        <v>2147</v>
      </c>
      <c r="E2433" s="76">
        <v>45937.770833333336</v>
      </c>
      <c r="F2433" s="52" t="s">
        <v>11456</v>
      </c>
      <c r="G2433" s="4" t="s">
        <v>135</v>
      </c>
      <c r="H2433" s="4" t="s">
        <v>1987</v>
      </c>
      <c r="K2433" s="4" t="s">
        <v>11464</v>
      </c>
      <c r="L2433" s="4" t="s">
        <v>11459</v>
      </c>
    </row>
    <row r="2434">
      <c r="A2434" s="55" t="s">
        <v>11465</v>
      </c>
      <c r="B2434" s="52" t="s">
        <v>1617</v>
      </c>
      <c r="C2434" s="76">
        <v>45929.447916666664</v>
      </c>
      <c r="D2434" s="7" t="s">
        <v>2147</v>
      </c>
      <c r="E2434" s="76">
        <v>45929.5</v>
      </c>
      <c r="F2434" s="52" t="s">
        <v>10011</v>
      </c>
      <c r="G2434" s="4" t="s">
        <v>110</v>
      </c>
      <c r="H2434" s="4" t="s">
        <v>1991</v>
      </c>
      <c r="K2434" s="4" t="s">
        <v>11466</v>
      </c>
      <c r="L2434" s="4" t="s">
        <v>11467</v>
      </c>
    </row>
    <row r="2435">
      <c r="A2435" s="55" t="s">
        <v>11468</v>
      </c>
      <c r="B2435" s="52" t="s">
        <v>1617</v>
      </c>
      <c r="C2435" s="76">
        <v>45929.458333333336</v>
      </c>
      <c r="D2435" s="7" t="s">
        <v>2147</v>
      </c>
      <c r="E2435" s="76">
        <v>45929.5</v>
      </c>
      <c r="F2435" s="52" t="s">
        <v>10011</v>
      </c>
      <c r="G2435" s="4" t="s">
        <v>27</v>
      </c>
      <c r="H2435" s="4" t="s">
        <v>1991</v>
      </c>
      <c r="K2435" s="4" t="s">
        <v>11469</v>
      </c>
      <c r="L2435" s="4"/>
    </row>
    <row r="2436">
      <c r="A2436" s="55" t="s">
        <v>11470</v>
      </c>
      <c r="B2436" s="52" t="s">
        <v>1617</v>
      </c>
      <c r="C2436" s="76">
        <v>45930.333333333336</v>
      </c>
      <c r="D2436" s="7" t="s">
        <v>6052</v>
      </c>
      <c r="E2436" s="76">
        <v>45930.541666666664</v>
      </c>
      <c r="F2436" s="52" t="s">
        <v>9860</v>
      </c>
      <c r="G2436" s="4" t="s">
        <v>1708</v>
      </c>
      <c r="H2436" s="4" t="s">
        <v>1987</v>
      </c>
      <c r="K2436" s="4" t="s">
        <v>11471</v>
      </c>
      <c r="L2436" s="4"/>
    </row>
    <row r="2437">
      <c r="A2437" s="55" t="s">
        <v>11472</v>
      </c>
      <c r="B2437" s="52" t="s">
        <v>1617</v>
      </c>
      <c r="C2437" s="76">
        <v>45931.333333333336</v>
      </c>
      <c r="D2437" s="7" t="s">
        <v>6052</v>
      </c>
      <c r="E2437" s="76">
        <v>45931.416666666664</v>
      </c>
      <c r="F2437" s="52" t="s">
        <v>9860</v>
      </c>
      <c r="G2437" s="4" t="s">
        <v>1708</v>
      </c>
      <c r="H2437" s="4" t="s">
        <v>1987</v>
      </c>
      <c r="K2437" s="4" t="s">
        <v>11473</v>
      </c>
      <c r="L2437" s="4" t="s">
        <v>11474</v>
      </c>
    </row>
    <row r="2438">
      <c r="A2438" s="55" t="s">
        <v>11475</v>
      </c>
      <c r="B2438" s="52" t="s">
        <v>1597</v>
      </c>
      <c r="C2438" s="76">
        <v>45932.333333333336</v>
      </c>
      <c r="D2438" s="7" t="s">
        <v>6052</v>
      </c>
      <c r="E2438" s="76">
        <v>45932.541666666664</v>
      </c>
      <c r="F2438" s="52" t="s">
        <v>10199</v>
      </c>
      <c r="G2438" s="4" t="s">
        <v>1708</v>
      </c>
      <c r="H2438" s="4" t="s">
        <v>1987</v>
      </c>
      <c r="K2438" s="4" t="s">
        <v>11476</v>
      </c>
      <c r="L2438" s="4"/>
    </row>
    <row r="2439">
      <c r="A2439" s="55" t="s">
        <v>11477</v>
      </c>
      <c r="B2439" s="52" t="s">
        <v>1597</v>
      </c>
      <c r="C2439" s="76">
        <v>45933.333333333336</v>
      </c>
      <c r="D2439" s="7" t="s">
        <v>6052</v>
      </c>
      <c r="E2439" s="76">
        <v>45933.541666666664</v>
      </c>
      <c r="F2439" s="52" t="s">
        <v>10199</v>
      </c>
      <c r="G2439" s="4" t="s">
        <v>1708</v>
      </c>
      <c r="H2439" s="4" t="s">
        <v>1987</v>
      </c>
      <c r="K2439" s="4" t="s">
        <v>11478</v>
      </c>
      <c r="L2439" s="4"/>
    </row>
    <row r="2440">
      <c r="A2440" s="55" t="s">
        <v>11479</v>
      </c>
      <c r="B2440" s="52" t="s">
        <v>1617</v>
      </c>
      <c r="C2440" s="76">
        <v>45929.5</v>
      </c>
      <c r="D2440" s="7" t="s">
        <v>2147</v>
      </c>
      <c r="E2440" s="76">
        <v>45929.52777777778</v>
      </c>
      <c r="F2440" s="52" t="s">
        <v>10011</v>
      </c>
      <c r="G2440" s="4" t="s">
        <v>110</v>
      </c>
      <c r="H2440" s="4" t="s">
        <v>1987</v>
      </c>
      <c r="K2440" s="4" t="s">
        <v>11480</v>
      </c>
      <c r="L2440" s="4" t="s">
        <v>11481</v>
      </c>
    </row>
    <row r="2441">
      <c r="A2441" s="55" t="s">
        <v>11482</v>
      </c>
      <c r="B2441" s="52" t="s">
        <v>1611</v>
      </c>
      <c r="C2441" s="76">
        <v>45929.510416666664</v>
      </c>
      <c r="D2441" s="7" t="s">
        <v>6052</v>
      </c>
      <c r="E2441" s="76">
        <v>45929.99930555555</v>
      </c>
      <c r="F2441" s="52" t="s">
        <v>11483</v>
      </c>
      <c r="G2441" s="4" t="s">
        <v>27</v>
      </c>
      <c r="H2441" s="4" t="s">
        <v>1987</v>
      </c>
      <c r="K2441" s="4" t="s">
        <v>11484</v>
      </c>
      <c r="L2441" s="4" t="s">
        <v>11485</v>
      </c>
    </row>
    <row r="2442">
      <c r="A2442" s="55"/>
      <c r="B2442" s="52"/>
      <c r="C2442" s="76"/>
      <c r="D2442" s="4"/>
      <c r="E2442" s="76"/>
      <c r="F2442" s="52"/>
      <c r="G2442" s="4"/>
      <c r="H2442" s="4"/>
      <c r="K2442" s="4"/>
      <c r="L2442" s="4"/>
    </row>
    <row r="2443">
      <c r="A2443" s="55" t="s">
        <v>11486</v>
      </c>
      <c r="B2443" s="52" t="s">
        <v>5647</v>
      </c>
      <c r="C2443" s="76">
        <v>45929.52777777778</v>
      </c>
      <c r="D2443" s="7" t="s">
        <v>6318</v>
      </c>
      <c r="E2443" s="76">
        <v>45929.541666666664</v>
      </c>
      <c r="F2443" s="52" t="s">
        <v>11487</v>
      </c>
      <c r="G2443" s="4" t="s">
        <v>110</v>
      </c>
      <c r="H2443" s="4" t="s">
        <v>1987</v>
      </c>
      <c r="K2443" s="4" t="s">
        <v>11488</v>
      </c>
      <c r="L2443" s="4" t="s">
        <v>11489</v>
      </c>
    </row>
    <row r="2444">
      <c r="A2444" s="55" t="s">
        <v>11490</v>
      </c>
      <c r="B2444" s="52" t="s">
        <v>1597</v>
      </c>
      <c r="C2444" s="76">
        <v>45929.416666666664</v>
      </c>
      <c r="D2444" s="7" t="s">
        <v>2147</v>
      </c>
      <c r="E2444" s="76">
        <v>45929.458333333336</v>
      </c>
      <c r="F2444" s="52" t="s">
        <v>11491</v>
      </c>
      <c r="G2444" s="4" t="s">
        <v>1708</v>
      </c>
      <c r="H2444" s="4" t="s">
        <v>1987</v>
      </c>
      <c r="K2444" s="4" t="s">
        <v>11492</v>
      </c>
      <c r="L2444" s="4"/>
    </row>
    <row r="2445">
      <c r="A2445" s="55" t="s">
        <v>11493</v>
      </c>
      <c r="B2445" s="52" t="s">
        <v>1617</v>
      </c>
      <c r="C2445" s="76">
        <v>45929.458333333336</v>
      </c>
      <c r="D2445" s="7" t="s">
        <v>2154</v>
      </c>
      <c r="E2445" s="76">
        <v>45929.541666666664</v>
      </c>
      <c r="F2445" s="52" t="s">
        <v>9860</v>
      </c>
      <c r="G2445" s="4" t="s">
        <v>1708</v>
      </c>
      <c r="H2445" s="4" t="s">
        <v>1987</v>
      </c>
      <c r="K2445" s="4" t="s">
        <v>11494</v>
      </c>
      <c r="L2445" s="4"/>
    </row>
    <row r="2446">
      <c r="A2446" s="55" t="s">
        <v>11495</v>
      </c>
      <c r="B2446" s="52" t="s">
        <v>1611</v>
      </c>
      <c r="C2446" s="76">
        <v>45930.375</v>
      </c>
      <c r="D2446" s="7" t="s">
        <v>2200</v>
      </c>
      <c r="E2446" s="76">
        <v>45930.5</v>
      </c>
      <c r="F2446" s="52" t="s">
        <v>1611</v>
      </c>
      <c r="G2446" s="4" t="s">
        <v>27</v>
      </c>
      <c r="H2446" s="4" t="s">
        <v>1987</v>
      </c>
      <c r="K2446" s="4" t="s">
        <v>11496</v>
      </c>
      <c r="L2446" s="4"/>
    </row>
    <row r="2447">
      <c r="A2447" s="55" t="s">
        <v>11497</v>
      </c>
      <c r="B2447" s="52" t="s">
        <v>5656</v>
      </c>
      <c r="C2447" s="76">
        <v>45930.54513888889</v>
      </c>
      <c r="D2447" s="7" t="s">
        <v>2148</v>
      </c>
      <c r="E2447" s="76">
        <v>45930.604166666664</v>
      </c>
      <c r="F2447" s="52" t="s">
        <v>7424</v>
      </c>
      <c r="G2447" s="4" t="s">
        <v>27</v>
      </c>
      <c r="H2447" s="4" t="s">
        <v>1987</v>
      </c>
      <c r="K2447" s="4" t="s">
        <v>11498</v>
      </c>
      <c r="L2447" s="4" t="s">
        <v>11499</v>
      </c>
    </row>
    <row r="2448">
      <c r="A2448" s="66" t="s">
        <v>11500</v>
      </c>
      <c r="B2448" s="52" t="s">
        <v>1597</v>
      </c>
      <c r="C2448" s="76">
        <v>45931.416666666664</v>
      </c>
      <c r="D2448" s="7" t="s">
        <v>2147</v>
      </c>
      <c r="E2448" s="76">
        <v>45931.458333333336</v>
      </c>
      <c r="F2448" s="52" t="s">
        <v>11501</v>
      </c>
      <c r="G2448" s="4" t="s">
        <v>27</v>
      </c>
      <c r="H2448" s="4" t="s">
        <v>1991</v>
      </c>
      <c r="K2448" s="4" t="s">
        <v>11502</v>
      </c>
      <c r="L2448" s="4"/>
    </row>
    <row r="2449">
      <c r="A2449" s="55" t="s">
        <v>11503</v>
      </c>
      <c r="B2449" s="52" t="s">
        <v>6057</v>
      </c>
      <c r="C2449" s="76">
        <v>45931.666666666664</v>
      </c>
      <c r="D2449" s="7" t="s">
        <v>2147</v>
      </c>
      <c r="E2449" s="76">
        <v>45931.708333333336</v>
      </c>
      <c r="F2449" s="52" t="s">
        <v>11504</v>
      </c>
      <c r="G2449" s="4" t="s">
        <v>27</v>
      </c>
      <c r="H2449" s="4" t="s">
        <v>1991</v>
      </c>
      <c r="K2449" s="4" t="s">
        <v>11505</v>
      </c>
      <c r="L2449" s="4"/>
    </row>
    <row r="2450">
      <c r="A2450" s="55" t="s">
        <v>11506</v>
      </c>
      <c r="B2450" s="52" t="s">
        <v>1611</v>
      </c>
      <c r="C2450" s="76">
        <v>45930.666666666664</v>
      </c>
      <c r="D2450" s="7" t="s">
        <v>2147</v>
      </c>
      <c r="E2450" s="76">
        <v>45930.75</v>
      </c>
      <c r="F2450" s="52" t="s">
        <v>11507</v>
      </c>
      <c r="G2450" s="4" t="s">
        <v>27</v>
      </c>
      <c r="H2450" s="4" t="s">
        <v>1991</v>
      </c>
      <c r="K2450" s="4" t="s">
        <v>11508</v>
      </c>
      <c r="L2450" s="4" t="s">
        <v>11509</v>
      </c>
    </row>
    <row r="2451">
      <c r="A2451" s="55" t="s">
        <v>11510</v>
      </c>
      <c r="B2451" s="52" t="s">
        <v>5678</v>
      </c>
      <c r="C2451" s="76">
        <v>45945.645833333336</v>
      </c>
      <c r="D2451" s="7" t="s">
        <v>2147</v>
      </c>
      <c r="E2451" s="76">
        <v>45945.6875</v>
      </c>
      <c r="F2451" s="52" t="s">
        <v>11511</v>
      </c>
      <c r="G2451" s="4" t="s">
        <v>27</v>
      </c>
      <c r="H2451" s="4" t="s">
        <v>1991</v>
      </c>
      <c r="K2451" s="4" t="s">
        <v>11512</v>
      </c>
      <c r="L2451" s="4"/>
    </row>
    <row r="2452">
      <c r="A2452" s="66" t="s">
        <v>11513</v>
      </c>
      <c r="B2452" s="52" t="s">
        <v>1597</v>
      </c>
      <c r="C2452" s="76">
        <v>45931.416666666664</v>
      </c>
      <c r="D2452" s="7" t="s">
        <v>2147</v>
      </c>
      <c r="E2452" s="76">
        <v>45931.458333333336</v>
      </c>
      <c r="F2452" s="52" t="s">
        <v>11514</v>
      </c>
      <c r="G2452" s="4" t="s">
        <v>1708</v>
      </c>
      <c r="H2452" s="4" t="s">
        <v>1987</v>
      </c>
      <c r="K2452" s="4" t="s">
        <v>11515</v>
      </c>
      <c r="L2452" s="4"/>
    </row>
    <row r="2453">
      <c r="A2453" s="55" t="s">
        <v>11516</v>
      </c>
      <c r="B2453" s="52" t="s">
        <v>1617</v>
      </c>
      <c r="C2453" s="76">
        <v>45931.458333333336</v>
      </c>
      <c r="D2453" s="7" t="s">
        <v>2154</v>
      </c>
      <c r="E2453" s="76">
        <v>45931.541666666664</v>
      </c>
      <c r="F2453" s="52" t="s">
        <v>9860</v>
      </c>
      <c r="G2453" s="4" t="s">
        <v>1708</v>
      </c>
      <c r="H2453" s="4" t="s">
        <v>1987</v>
      </c>
      <c r="K2453" s="4" t="s">
        <v>11517</v>
      </c>
      <c r="L2453" s="4"/>
    </row>
    <row r="2454">
      <c r="A2454" s="55" t="s">
        <v>11518</v>
      </c>
      <c r="B2454" s="52" t="s">
        <v>1611</v>
      </c>
      <c r="C2454" s="76">
        <v>45931.458333333336</v>
      </c>
      <c r="D2454" s="7" t="s">
        <v>2147</v>
      </c>
      <c r="E2454" s="76">
        <v>45931.520833333336</v>
      </c>
      <c r="F2454" s="52" t="s">
        <v>11519</v>
      </c>
      <c r="G2454" s="4" t="s">
        <v>27</v>
      </c>
      <c r="H2454" s="4" t="s">
        <v>1987</v>
      </c>
      <c r="K2454" s="4" t="s">
        <v>11520</v>
      </c>
      <c r="L2454" s="4"/>
    </row>
    <row r="2455">
      <c r="A2455" s="55" t="s">
        <v>11521</v>
      </c>
      <c r="B2455" s="52" t="s">
        <v>1597</v>
      </c>
      <c r="C2455" s="76">
        <v>45932.416666666664</v>
      </c>
      <c r="D2455" s="7" t="s">
        <v>2147</v>
      </c>
      <c r="E2455" s="76">
        <v>45932.458333333336</v>
      </c>
      <c r="F2455" s="52" t="s">
        <v>11501</v>
      </c>
      <c r="G2455" s="4" t="s">
        <v>27</v>
      </c>
      <c r="H2455" s="4" t="s">
        <v>1987</v>
      </c>
      <c r="K2455" s="4" t="s">
        <v>11522</v>
      </c>
      <c r="L2455" s="4"/>
    </row>
    <row r="2456">
      <c r="A2456" s="55" t="s">
        <v>11523</v>
      </c>
      <c r="B2456" s="52" t="s">
        <v>1611</v>
      </c>
      <c r="C2456" s="76">
        <v>45932.5</v>
      </c>
      <c r="D2456" s="7" t="s">
        <v>2200</v>
      </c>
      <c r="E2456" s="76">
        <v>45932.666666666664</v>
      </c>
      <c r="F2456" s="52" t="s">
        <v>11524</v>
      </c>
      <c r="G2456" s="4" t="s">
        <v>27</v>
      </c>
      <c r="H2456" s="4" t="s">
        <v>1987</v>
      </c>
      <c r="K2456" s="4" t="s">
        <v>11525</v>
      </c>
      <c r="L2456" s="4" t="s">
        <v>11526</v>
      </c>
    </row>
    <row r="2457">
      <c r="A2457" s="55" t="s">
        <v>11527</v>
      </c>
      <c r="B2457" s="52" t="s">
        <v>5625</v>
      </c>
      <c r="C2457" s="76">
        <v>45936.583333333336</v>
      </c>
      <c r="D2457" s="7" t="s">
        <v>2147</v>
      </c>
      <c r="E2457" s="76">
        <v>45936.625</v>
      </c>
      <c r="F2457" s="52" t="s">
        <v>11528</v>
      </c>
      <c r="G2457" s="4" t="s">
        <v>135</v>
      </c>
      <c r="H2457" s="4" t="s">
        <v>1991</v>
      </c>
      <c r="K2457" s="4" t="s">
        <v>11529</v>
      </c>
      <c r="L2457" s="4"/>
    </row>
    <row r="2458">
      <c r="A2458" s="55" t="s">
        <v>11530</v>
      </c>
      <c r="B2458" s="52" t="s">
        <v>5625</v>
      </c>
      <c r="C2458" s="76">
        <v>45936.625</v>
      </c>
      <c r="D2458" s="7" t="s">
        <v>2147</v>
      </c>
      <c r="E2458" s="76">
        <v>45936.729166666664</v>
      </c>
      <c r="F2458" s="52" t="s">
        <v>11456</v>
      </c>
      <c r="G2458" s="4" t="s">
        <v>135</v>
      </c>
      <c r="H2458" s="4" t="s">
        <v>1987</v>
      </c>
      <c r="K2458" s="4" t="s">
        <v>11531</v>
      </c>
      <c r="L2458" s="4" t="s">
        <v>11459</v>
      </c>
    </row>
    <row r="2459">
      <c r="A2459" s="55" t="s">
        <v>11532</v>
      </c>
      <c r="B2459" s="52" t="s">
        <v>1516</v>
      </c>
      <c r="C2459" s="76">
        <v>45936.708333333336</v>
      </c>
      <c r="D2459" s="7" t="s">
        <v>2147</v>
      </c>
      <c r="E2459" s="76">
        <v>45936.75</v>
      </c>
      <c r="F2459" s="52" t="s">
        <v>11533</v>
      </c>
      <c r="G2459" s="4" t="s">
        <v>27</v>
      </c>
      <c r="H2459" s="4" t="s">
        <v>1991</v>
      </c>
      <c r="K2459" s="4" t="s">
        <v>11534</v>
      </c>
      <c r="L2459" s="4" t="s">
        <v>11535</v>
      </c>
    </row>
    <row r="2460">
      <c r="A2460" s="55" t="s">
        <v>11536</v>
      </c>
      <c r="B2460" s="52" t="s">
        <v>1597</v>
      </c>
      <c r="C2460" s="76">
        <v>45936.333333333336</v>
      </c>
      <c r="D2460" s="7" t="s">
        <v>6052</v>
      </c>
      <c r="E2460" s="76">
        <v>45936.541666666664</v>
      </c>
      <c r="F2460" s="52" t="s">
        <v>11537</v>
      </c>
      <c r="G2460" s="4" t="s">
        <v>1708</v>
      </c>
      <c r="H2460" s="4" t="s">
        <v>1987</v>
      </c>
      <c r="K2460" s="4" t="s">
        <v>11538</v>
      </c>
      <c r="L2460" s="4"/>
    </row>
    <row r="2461">
      <c r="A2461" s="55" t="s">
        <v>11539</v>
      </c>
      <c r="B2461" s="52" t="s">
        <v>5625</v>
      </c>
      <c r="C2461" s="76">
        <v>45936.626388888886</v>
      </c>
      <c r="D2461" s="7" t="s">
        <v>2147</v>
      </c>
      <c r="E2461" s="76">
        <v>45936.66805555556</v>
      </c>
      <c r="F2461" s="52" t="s">
        <v>1420</v>
      </c>
      <c r="G2461" s="4" t="s">
        <v>27</v>
      </c>
      <c r="H2461" s="4" t="s">
        <v>1987</v>
      </c>
      <c r="K2461" s="4" t="s">
        <v>11540</v>
      </c>
      <c r="L2461" s="4"/>
    </row>
    <row r="2462">
      <c r="A2462" s="55" t="s">
        <v>11541</v>
      </c>
      <c r="B2462" s="52" t="s">
        <v>5598</v>
      </c>
      <c r="C2462" s="76">
        <v>45938.604166666664</v>
      </c>
      <c r="D2462" s="7" t="s">
        <v>6052</v>
      </c>
      <c r="E2462" s="76">
        <v>45938.770833333336</v>
      </c>
      <c r="F2462" s="52" t="s">
        <v>5377</v>
      </c>
      <c r="G2462" s="4" t="s">
        <v>135</v>
      </c>
      <c r="H2462" s="4" t="s">
        <v>1987</v>
      </c>
      <c r="K2462" s="4" t="s">
        <v>11542</v>
      </c>
      <c r="L2462" s="4" t="s">
        <v>11543</v>
      </c>
    </row>
    <row r="2463">
      <c r="A2463" s="55" t="s">
        <v>11544</v>
      </c>
      <c r="B2463" s="52" t="s">
        <v>5598</v>
      </c>
      <c r="C2463" s="76">
        <v>45939.5625</v>
      </c>
      <c r="D2463" s="7" t="s">
        <v>6052</v>
      </c>
      <c r="E2463" s="76">
        <v>45939.729166666664</v>
      </c>
      <c r="F2463" s="52" t="s">
        <v>5377</v>
      </c>
      <c r="G2463" s="4" t="s">
        <v>135</v>
      </c>
      <c r="H2463" s="4" t="s">
        <v>1987</v>
      </c>
      <c r="K2463" s="4" t="s">
        <v>11545</v>
      </c>
      <c r="L2463" s="4" t="s">
        <v>11546</v>
      </c>
    </row>
    <row r="2464">
      <c r="A2464" s="55" t="s">
        <v>11547</v>
      </c>
      <c r="B2464" s="52" t="s">
        <v>5625</v>
      </c>
      <c r="C2464" s="76">
        <v>45938.5625</v>
      </c>
      <c r="D2464" s="7" t="s">
        <v>6052</v>
      </c>
      <c r="E2464" s="76">
        <v>45938.604166666664</v>
      </c>
      <c r="F2464" s="52" t="s">
        <v>6517</v>
      </c>
      <c r="G2464" s="4" t="s">
        <v>135</v>
      </c>
      <c r="H2464" s="4" t="s">
        <v>1991</v>
      </c>
      <c r="K2464" s="4" t="s">
        <v>11548</v>
      </c>
      <c r="L2464" s="4"/>
    </row>
    <row r="2465">
      <c r="A2465" s="55" t="s">
        <v>11549</v>
      </c>
      <c r="B2465" s="52" t="s">
        <v>1597</v>
      </c>
      <c r="C2465" s="76">
        <v>45937.333333333336</v>
      </c>
      <c r="D2465" s="7" t="s">
        <v>2200</v>
      </c>
      <c r="E2465" s="76">
        <v>45937.458333333336</v>
      </c>
      <c r="F2465" s="52" t="s">
        <v>11550</v>
      </c>
      <c r="G2465" s="4" t="s">
        <v>1708</v>
      </c>
      <c r="H2465" s="4" t="s">
        <v>1987</v>
      </c>
      <c r="K2465" s="4" t="s">
        <v>11551</v>
      </c>
      <c r="L2465" s="4"/>
    </row>
    <row r="2466">
      <c r="A2466" s="55" t="s">
        <v>11552</v>
      </c>
      <c r="B2466" s="52" t="s">
        <v>5675</v>
      </c>
      <c r="C2466" s="76">
        <v>45937.458333333336</v>
      </c>
      <c r="D2466" s="7" t="s">
        <v>2154</v>
      </c>
      <c r="E2466" s="76">
        <v>45937.541666666664</v>
      </c>
      <c r="F2466" s="52" t="s">
        <v>8090</v>
      </c>
      <c r="G2466" s="4" t="s">
        <v>1708</v>
      </c>
      <c r="H2466" s="4" t="s">
        <v>1987</v>
      </c>
      <c r="K2466" s="4" t="s">
        <v>11553</v>
      </c>
      <c r="L2466" s="4"/>
    </row>
    <row r="2467">
      <c r="A2467" s="55" t="s">
        <v>11554</v>
      </c>
      <c r="B2467" s="52" t="s">
        <v>5675</v>
      </c>
      <c r="C2467" s="76">
        <v>45938.416666666664</v>
      </c>
      <c r="D2467" s="7" t="s">
        <v>2154</v>
      </c>
      <c r="E2467" s="76">
        <v>45938.541666666664</v>
      </c>
      <c r="F2467" s="52" t="s">
        <v>8090</v>
      </c>
      <c r="G2467" s="4" t="s">
        <v>1708</v>
      </c>
      <c r="H2467" s="4" t="s">
        <v>1987</v>
      </c>
      <c r="K2467" s="4" t="s">
        <v>11555</v>
      </c>
      <c r="L2467" s="4" t="s">
        <v>11556</v>
      </c>
    </row>
    <row r="2468">
      <c r="A2468" s="55" t="s">
        <v>11557</v>
      </c>
      <c r="B2468" s="52" t="s">
        <v>5675</v>
      </c>
      <c r="C2468" s="76">
        <v>45939.333333333336</v>
      </c>
      <c r="D2468" s="7" t="s">
        <v>2154</v>
      </c>
      <c r="E2468" s="76">
        <v>45939.541666666664</v>
      </c>
      <c r="F2468" s="52" t="s">
        <v>8090</v>
      </c>
      <c r="G2468" s="4" t="s">
        <v>1708</v>
      </c>
      <c r="H2468" s="4" t="s">
        <v>1987</v>
      </c>
      <c r="K2468" s="4" t="s">
        <v>11558</v>
      </c>
      <c r="L2468" s="4"/>
    </row>
    <row r="2469">
      <c r="A2469" s="55" t="s">
        <v>11559</v>
      </c>
      <c r="B2469" s="52" t="s">
        <v>5675</v>
      </c>
      <c r="C2469" s="76">
        <v>45943.333333333336</v>
      </c>
      <c r="D2469" s="7" t="s">
        <v>6052</v>
      </c>
      <c r="E2469" s="76">
        <v>45943.541666666664</v>
      </c>
      <c r="F2469" s="52" t="s">
        <v>8090</v>
      </c>
      <c r="G2469" s="4" t="s">
        <v>1708</v>
      </c>
      <c r="H2469" s="4" t="s">
        <v>1987</v>
      </c>
      <c r="K2469" s="4" t="s">
        <v>11560</v>
      </c>
      <c r="L2469" s="4"/>
    </row>
    <row r="2470">
      <c r="A2470" s="55" t="s">
        <v>11561</v>
      </c>
      <c r="B2470" s="52" t="s">
        <v>5675</v>
      </c>
      <c r="C2470" s="76">
        <v>45944.333333333336</v>
      </c>
      <c r="D2470" s="7" t="s">
        <v>6052</v>
      </c>
      <c r="E2470" s="76">
        <v>45944.541666666664</v>
      </c>
      <c r="F2470" s="52" t="s">
        <v>1617</v>
      </c>
      <c r="G2470" s="4" t="s">
        <v>1708</v>
      </c>
      <c r="H2470" s="4" t="s">
        <v>1987</v>
      </c>
      <c r="K2470" s="4" t="s">
        <v>11562</v>
      </c>
      <c r="L2470" s="4" t="s">
        <v>11563</v>
      </c>
    </row>
    <row r="2471">
      <c r="A2471" s="55" t="s">
        <v>11564</v>
      </c>
      <c r="B2471" s="52" t="s">
        <v>1617</v>
      </c>
      <c r="C2471" s="76">
        <v>45945.458333333336</v>
      </c>
      <c r="D2471" s="7" t="s">
        <v>6052</v>
      </c>
      <c r="E2471" s="76">
        <v>45945.541666666664</v>
      </c>
      <c r="F2471" s="52" t="s">
        <v>1617</v>
      </c>
      <c r="G2471" s="4" t="s">
        <v>1708</v>
      </c>
      <c r="H2471" s="4" t="s">
        <v>1987</v>
      </c>
      <c r="K2471" s="4" t="s">
        <v>11565</v>
      </c>
      <c r="L2471" s="4" t="s">
        <v>11566</v>
      </c>
    </row>
    <row r="2472">
      <c r="A2472" s="55" t="s">
        <v>11567</v>
      </c>
      <c r="B2472" s="52" t="s">
        <v>1617</v>
      </c>
      <c r="C2472" s="76">
        <v>45951.333333333336</v>
      </c>
      <c r="D2472" s="7" t="s">
        <v>6052</v>
      </c>
      <c r="E2472" s="76">
        <v>45951.541666666664</v>
      </c>
      <c r="F2472" s="52" t="s">
        <v>1617</v>
      </c>
      <c r="G2472" s="4" t="s">
        <v>1708</v>
      </c>
      <c r="H2472" s="4" t="s">
        <v>1987</v>
      </c>
      <c r="K2472" s="4" t="s">
        <v>11568</v>
      </c>
      <c r="L2472" s="4" t="s">
        <v>11569</v>
      </c>
    </row>
    <row r="2473">
      <c r="A2473" s="66" t="s">
        <v>11570</v>
      </c>
      <c r="B2473" s="52" t="s">
        <v>6057</v>
      </c>
      <c r="C2473" s="76">
        <v>45937.333333333336</v>
      </c>
      <c r="D2473" s="7" t="s">
        <v>6052</v>
      </c>
      <c r="E2473" s="76">
        <v>45937.541666666664</v>
      </c>
      <c r="F2473" s="52" t="s">
        <v>11571</v>
      </c>
      <c r="G2473" s="4" t="s">
        <v>110</v>
      </c>
      <c r="H2473" s="4" t="s">
        <v>1987</v>
      </c>
      <c r="K2473" s="4" t="s">
        <v>11572</v>
      </c>
      <c r="L2473" s="4"/>
    </row>
    <row r="2474">
      <c r="A2474" s="55" t="s">
        <v>11573</v>
      </c>
      <c r="B2474" s="52" t="s">
        <v>5675</v>
      </c>
      <c r="C2474" s="76">
        <v>45938.520833333336</v>
      </c>
      <c r="D2474" s="7" t="s">
        <v>6318</v>
      </c>
      <c r="E2474" s="76">
        <v>45938.541666666664</v>
      </c>
      <c r="F2474" s="52" t="s">
        <v>11574</v>
      </c>
      <c r="G2474" s="4" t="s">
        <v>110</v>
      </c>
      <c r="H2474" s="4" t="s">
        <v>1987</v>
      </c>
      <c r="K2474" s="4" t="s">
        <v>11575</v>
      </c>
      <c r="L2474" s="4" t="s">
        <v>11576</v>
      </c>
    </row>
    <row r="2475">
      <c r="A2475" s="55" t="s">
        <v>11577</v>
      </c>
      <c r="B2475" s="52" t="s">
        <v>5647</v>
      </c>
      <c r="C2475" s="76">
        <v>45939.333333333336</v>
      </c>
      <c r="D2475" s="7" t="s">
        <v>6052</v>
      </c>
      <c r="E2475" s="76">
        <v>45939.489583333336</v>
      </c>
      <c r="F2475" s="52" t="s">
        <v>11578</v>
      </c>
      <c r="G2475" s="4" t="s">
        <v>110</v>
      </c>
      <c r="H2475" s="4" t="s">
        <v>1987</v>
      </c>
      <c r="K2475" s="4" t="s">
        <v>11579</v>
      </c>
      <c r="L2475" s="4" t="s">
        <v>11580</v>
      </c>
    </row>
    <row r="2476">
      <c r="A2476" s="55" t="s">
        <v>11581</v>
      </c>
      <c r="B2476" s="52" t="s">
        <v>5675</v>
      </c>
      <c r="C2476" s="76">
        <v>45943.520833333336</v>
      </c>
      <c r="D2476" s="7" t="s">
        <v>6318</v>
      </c>
      <c r="E2476" s="76">
        <v>45943.541666666664</v>
      </c>
      <c r="F2476" s="52" t="s">
        <v>1536</v>
      </c>
      <c r="G2476" s="4" t="s">
        <v>110</v>
      </c>
      <c r="H2476" s="4" t="s">
        <v>1987</v>
      </c>
      <c r="K2476" s="4" t="s">
        <v>11582</v>
      </c>
      <c r="L2476" s="4" t="s">
        <v>11583</v>
      </c>
    </row>
    <row r="2477">
      <c r="A2477" s="55" t="s">
        <v>11584</v>
      </c>
      <c r="B2477" s="52" t="s">
        <v>5647</v>
      </c>
      <c r="C2477" s="76">
        <v>45938.333333333336</v>
      </c>
      <c r="D2477" s="7" t="s">
        <v>2148</v>
      </c>
      <c r="E2477" s="76">
        <v>45938.520833333336</v>
      </c>
      <c r="F2477" s="52" t="s">
        <v>11585</v>
      </c>
      <c r="G2477" s="4" t="s">
        <v>110</v>
      </c>
      <c r="H2477" s="4" t="s">
        <v>1987</v>
      </c>
      <c r="K2477" s="4" t="s">
        <v>11586</v>
      </c>
      <c r="L2477" s="4" t="s">
        <v>11587</v>
      </c>
    </row>
    <row r="2478">
      <c r="A2478" s="55" t="s">
        <v>11588</v>
      </c>
      <c r="B2478" s="52" t="s">
        <v>5729</v>
      </c>
      <c r="C2478" s="76">
        <v>45947.333333333336</v>
      </c>
      <c r="D2478" s="7" t="s">
        <v>6052</v>
      </c>
      <c r="E2478" s="76">
        <v>45947.5</v>
      </c>
      <c r="F2478" s="52" t="s">
        <v>6120</v>
      </c>
      <c r="G2478" s="4" t="s">
        <v>110</v>
      </c>
      <c r="H2478" s="4" t="s">
        <v>1987</v>
      </c>
      <c r="K2478" s="4" t="s">
        <v>11589</v>
      </c>
      <c r="L2478" s="4" t="s">
        <v>11590</v>
      </c>
    </row>
    <row r="2479">
      <c r="A2479" s="55"/>
      <c r="B2479" s="52"/>
      <c r="C2479" s="76"/>
      <c r="D2479" s="4"/>
      <c r="E2479" s="76"/>
      <c r="F2479" s="52"/>
      <c r="G2479" s="4"/>
      <c r="H2479" s="4"/>
      <c r="K2479" s="4"/>
      <c r="L2479" s="4"/>
    </row>
    <row r="2480">
      <c r="A2480" s="55"/>
      <c r="B2480" s="52"/>
      <c r="C2480" s="76"/>
      <c r="D2480" s="4"/>
      <c r="E2480" s="76"/>
      <c r="F2480" s="52"/>
      <c r="G2480" s="4"/>
      <c r="H2480" s="4"/>
      <c r="K2480" s="4"/>
      <c r="L2480" s="4"/>
    </row>
    <row r="2481">
      <c r="A2481" s="68" t="s">
        <v>10726</v>
      </c>
      <c r="B2481" s="69" t="s">
        <v>5675</v>
      </c>
      <c r="C2481" s="70">
        <v>45931.0</v>
      </c>
      <c r="D2481" s="71"/>
      <c r="E2481" s="70">
        <v>45931.083333333336</v>
      </c>
      <c r="F2481" s="69" t="s">
        <v>10321</v>
      </c>
      <c r="G2481" s="72" t="s">
        <v>5795</v>
      </c>
      <c r="H2481" s="4"/>
      <c r="K2481" s="4"/>
      <c r="L2481" s="4"/>
    </row>
    <row r="2482">
      <c r="A2482" s="68" t="s">
        <v>10727</v>
      </c>
      <c r="B2482" s="52" t="s">
        <v>5625</v>
      </c>
      <c r="C2482" s="70">
        <v>45931.0</v>
      </c>
      <c r="D2482" s="71"/>
      <c r="E2482" s="70">
        <v>45931.166666666664</v>
      </c>
      <c r="F2482" s="69" t="s">
        <v>10321</v>
      </c>
      <c r="G2482" s="72" t="s">
        <v>5795</v>
      </c>
      <c r="H2482" s="4"/>
      <c r="K2482" s="4"/>
      <c r="L2482" s="4"/>
    </row>
    <row r="2483">
      <c r="A2483" s="68" t="s">
        <v>10728</v>
      </c>
      <c r="B2483" s="69" t="s">
        <v>5598</v>
      </c>
      <c r="C2483" s="70">
        <v>45931.0</v>
      </c>
      <c r="D2483" s="71"/>
      <c r="E2483" s="70">
        <v>45931.333333333336</v>
      </c>
      <c r="F2483" s="69" t="s">
        <v>10321</v>
      </c>
      <c r="G2483" s="72" t="s">
        <v>5795</v>
      </c>
      <c r="H2483" s="4"/>
      <c r="K2483" s="4"/>
      <c r="L2483" s="4"/>
    </row>
    <row r="2484">
      <c r="A2484" s="68" t="s">
        <v>10730</v>
      </c>
      <c r="B2484" s="69" t="s">
        <v>5619</v>
      </c>
      <c r="C2484" s="70">
        <v>45931.0</v>
      </c>
      <c r="D2484" s="71"/>
      <c r="E2484" s="70">
        <v>45931.083333333336</v>
      </c>
      <c r="F2484" s="69" t="s">
        <v>10321</v>
      </c>
      <c r="G2484" s="72" t="s">
        <v>5795</v>
      </c>
      <c r="H2484" s="4"/>
      <c r="K2484" s="4"/>
      <c r="L2484" s="4"/>
    </row>
    <row r="2485">
      <c r="A2485" s="68" t="s">
        <v>10732</v>
      </c>
      <c r="B2485" s="69" t="s">
        <v>1540</v>
      </c>
      <c r="C2485" s="75">
        <v>45931.0</v>
      </c>
      <c r="D2485" s="74"/>
      <c r="E2485" s="75">
        <v>45931.041666666664</v>
      </c>
      <c r="F2485" s="69" t="s">
        <v>10321</v>
      </c>
      <c r="G2485" s="72" t="s">
        <v>5795</v>
      </c>
      <c r="H2485" s="4"/>
      <c r="K2485" s="4"/>
      <c r="L2485" s="4"/>
    </row>
    <row r="2486">
      <c r="A2486" s="55" t="s">
        <v>11591</v>
      </c>
      <c r="B2486" s="52" t="s">
        <v>5596</v>
      </c>
      <c r="C2486" s="76">
        <v>45922.0</v>
      </c>
      <c r="D2486" s="7" t="s">
        <v>2148</v>
      </c>
      <c r="E2486" s="76">
        <v>45923.5</v>
      </c>
      <c r="F2486" s="52" t="s">
        <v>11387</v>
      </c>
      <c r="G2486" s="4" t="s">
        <v>1708</v>
      </c>
      <c r="H2486" s="4"/>
      <c r="K2486" s="4"/>
      <c r="L2486" s="4"/>
    </row>
    <row r="2487">
      <c r="A2487" s="55" t="s">
        <v>11592</v>
      </c>
      <c r="B2487" s="52" t="s">
        <v>1597</v>
      </c>
      <c r="C2487" s="76">
        <v>45938.333333333336</v>
      </c>
      <c r="D2487" s="7" t="s">
        <v>2154</v>
      </c>
      <c r="E2487" s="76">
        <v>45938.416666666664</v>
      </c>
      <c r="F2487" s="52" t="s">
        <v>11273</v>
      </c>
      <c r="G2487" s="4" t="s">
        <v>1708</v>
      </c>
      <c r="H2487" s="4" t="s">
        <v>1987</v>
      </c>
      <c r="K2487" s="4" t="s">
        <v>11593</v>
      </c>
      <c r="L2487" s="4"/>
    </row>
    <row r="2488">
      <c r="A2488" s="55" t="s">
        <v>11594</v>
      </c>
      <c r="B2488" s="52" t="s">
        <v>1611</v>
      </c>
      <c r="C2488" s="76">
        <v>45938.37291666667</v>
      </c>
      <c r="D2488" s="7" t="s">
        <v>2154</v>
      </c>
      <c r="E2488" s="76">
        <v>45938.45625</v>
      </c>
      <c r="F2488" s="52" t="s">
        <v>1611</v>
      </c>
      <c r="G2488" s="4" t="s">
        <v>27</v>
      </c>
      <c r="H2488" s="4" t="s">
        <v>1987</v>
      </c>
      <c r="K2488" s="4" t="s">
        <v>11595</v>
      </c>
      <c r="L2488" s="4"/>
    </row>
    <row r="2489">
      <c r="A2489" s="55" t="s">
        <v>11596</v>
      </c>
      <c r="B2489" s="52" t="s">
        <v>1516</v>
      </c>
      <c r="C2489" s="76">
        <v>45938.54583333333</v>
      </c>
      <c r="D2489" s="7" t="s">
        <v>6318</v>
      </c>
      <c r="E2489" s="76">
        <v>45938.566666666666</v>
      </c>
      <c r="F2489" s="52" t="s">
        <v>11597</v>
      </c>
      <c r="G2489" s="4" t="s">
        <v>27</v>
      </c>
      <c r="H2489" s="4" t="s">
        <v>1987</v>
      </c>
      <c r="K2489" s="4" t="s">
        <v>11598</v>
      </c>
      <c r="L2489" s="4"/>
    </row>
    <row r="2490">
      <c r="A2490" s="55" t="s">
        <v>11599</v>
      </c>
      <c r="B2490" s="52" t="s">
        <v>5729</v>
      </c>
      <c r="C2490" s="76">
        <v>45939.5</v>
      </c>
      <c r="D2490" s="7" t="s">
        <v>2147</v>
      </c>
      <c r="E2490" s="76">
        <v>45939.541666666664</v>
      </c>
      <c r="F2490" s="52" t="s">
        <v>11600</v>
      </c>
      <c r="G2490" s="4" t="s">
        <v>110</v>
      </c>
      <c r="H2490" s="4" t="s">
        <v>1987</v>
      </c>
      <c r="K2490" s="4" t="s">
        <v>11601</v>
      </c>
      <c r="L2490" s="4"/>
    </row>
    <row r="2491">
      <c r="A2491" s="55" t="s">
        <v>11602</v>
      </c>
      <c r="B2491" s="52" t="s">
        <v>5675</v>
      </c>
      <c r="C2491" s="76">
        <v>45939.489583333336</v>
      </c>
      <c r="D2491" s="7" t="s">
        <v>6318</v>
      </c>
      <c r="E2491" s="76">
        <v>45939.5</v>
      </c>
      <c r="F2491" s="52" t="s">
        <v>11603</v>
      </c>
      <c r="G2491" s="4" t="s">
        <v>110</v>
      </c>
      <c r="H2491" s="4" t="s">
        <v>1987</v>
      </c>
      <c r="K2491" s="4" t="s">
        <v>11604</v>
      </c>
      <c r="L2491" s="4"/>
    </row>
    <row r="2492">
      <c r="A2492" s="55" t="s">
        <v>11605</v>
      </c>
      <c r="B2492" s="52" t="s">
        <v>5647</v>
      </c>
      <c r="C2492" s="76">
        <v>45943.333333333336</v>
      </c>
      <c r="D2492" s="7" t="s">
        <v>2200</v>
      </c>
      <c r="E2492" s="76">
        <v>45943.520833333336</v>
      </c>
      <c r="F2492" s="52" t="s">
        <v>9803</v>
      </c>
      <c r="G2492" s="4" t="s">
        <v>110</v>
      </c>
      <c r="H2492" s="4" t="s">
        <v>1987</v>
      </c>
      <c r="K2492" s="4" t="s">
        <v>11606</v>
      </c>
      <c r="L2492" s="4" t="s">
        <v>11607</v>
      </c>
    </row>
    <row r="2493">
      <c r="A2493" s="55" t="s">
        <v>11608</v>
      </c>
      <c r="B2493" s="52" t="s">
        <v>5729</v>
      </c>
      <c r="C2493" s="76">
        <v>45944.416666666664</v>
      </c>
      <c r="D2493" s="7" t="s">
        <v>2200</v>
      </c>
      <c r="E2493" s="76">
        <v>45944.541666666664</v>
      </c>
      <c r="F2493" s="52" t="s">
        <v>1536</v>
      </c>
      <c r="G2493" s="4" t="s">
        <v>110</v>
      </c>
      <c r="H2493" s="4" t="s">
        <v>1987</v>
      </c>
      <c r="K2493" s="4" t="s">
        <v>11582</v>
      </c>
      <c r="L2493" s="4" t="s">
        <v>11609</v>
      </c>
    </row>
    <row r="2494">
      <c r="A2494" s="55" t="s">
        <v>11610</v>
      </c>
      <c r="B2494" s="52" t="s">
        <v>5598</v>
      </c>
      <c r="C2494" s="76">
        <v>45943.5625</v>
      </c>
      <c r="D2494" s="7" t="s">
        <v>2154</v>
      </c>
      <c r="E2494" s="76">
        <v>45943.645833333336</v>
      </c>
      <c r="F2494" s="52" t="s">
        <v>11611</v>
      </c>
      <c r="G2494" s="4" t="s">
        <v>135</v>
      </c>
      <c r="H2494" s="4" t="s">
        <v>1987</v>
      </c>
      <c r="K2494" s="4" t="s">
        <v>11612</v>
      </c>
      <c r="L2494" s="4" t="s">
        <v>11613</v>
      </c>
    </row>
    <row r="2495">
      <c r="A2495" s="55" t="s">
        <v>11614</v>
      </c>
      <c r="B2495" s="52" t="s">
        <v>5625</v>
      </c>
      <c r="C2495" s="76">
        <v>45943.6875</v>
      </c>
      <c r="D2495" s="7" t="s">
        <v>2147</v>
      </c>
      <c r="E2495" s="76">
        <v>45943.729166666664</v>
      </c>
      <c r="F2495" s="52" t="s">
        <v>1420</v>
      </c>
      <c r="G2495" s="4" t="s">
        <v>135</v>
      </c>
      <c r="H2495" s="4" t="s">
        <v>1987</v>
      </c>
      <c r="K2495" s="4" t="s">
        <v>11615</v>
      </c>
      <c r="L2495" s="4"/>
    </row>
    <row r="2496">
      <c r="A2496" s="55" t="s">
        <v>11616</v>
      </c>
      <c r="B2496" s="52" t="s">
        <v>5598</v>
      </c>
      <c r="C2496" s="76">
        <v>45943.645833333336</v>
      </c>
      <c r="D2496" s="7" t="s">
        <v>2147</v>
      </c>
      <c r="E2496" s="76">
        <v>45943.6875</v>
      </c>
      <c r="F2496" s="52" t="s">
        <v>11617</v>
      </c>
      <c r="G2496" s="4" t="s">
        <v>135</v>
      </c>
      <c r="H2496" s="4" t="s">
        <v>1991</v>
      </c>
      <c r="K2496" s="4" t="s">
        <v>11618</v>
      </c>
      <c r="L2496" s="4" t="s">
        <v>11619</v>
      </c>
    </row>
    <row r="2497">
      <c r="A2497" s="55" t="s">
        <v>11620</v>
      </c>
      <c r="B2497" s="52" t="s">
        <v>5625</v>
      </c>
      <c r="C2497" s="76">
        <v>45944.5625</v>
      </c>
      <c r="D2497" s="7" t="s">
        <v>6052</v>
      </c>
      <c r="E2497" s="76">
        <v>45944.770833333336</v>
      </c>
      <c r="F2497" s="52" t="s">
        <v>1420</v>
      </c>
      <c r="G2497" s="4" t="s">
        <v>135</v>
      </c>
      <c r="H2497" s="4" t="s">
        <v>1987</v>
      </c>
      <c r="K2497" s="4" t="s">
        <v>11621</v>
      </c>
      <c r="L2497" s="4"/>
    </row>
    <row r="2498">
      <c r="A2498" s="55" t="s">
        <v>11622</v>
      </c>
      <c r="B2498" s="52" t="s">
        <v>6069</v>
      </c>
      <c r="C2498" s="76">
        <v>45940.40902777778</v>
      </c>
      <c r="D2498" s="7" t="s">
        <v>2147</v>
      </c>
      <c r="E2498" s="76">
        <v>45940.450694444444</v>
      </c>
      <c r="F2498" s="52" t="s">
        <v>6069</v>
      </c>
      <c r="G2498" s="4" t="s">
        <v>27</v>
      </c>
      <c r="H2498" s="4" t="s">
        <v>1987</v>
      </c>
      <c r="K2498" s="4"/>
      <c r="L2498" s="4" t="s">
        <v>11623</v>
      </c>
    </row>
    <row r="2499">
      <c r="A2499" s="55" t="s">
        <v>11624</v>
      </c>
      <c r="B2499" s="52" t="s">
        <v>6069</v>
      </c>
      <c r="C2499" s="76">
        <v>45943.333333333336</v>
      </c>
      <c r="D2499" s="7" t="s">
        <v>2147</v>
      </c>
      <c r="E2499" s="76">
        <v>45943.375</v>
      </c>
      <c r="F2499" s="52" t="s">
        <v>7051</v>
      </c>
      <c r="G2499" s="4" t="s">
        <v>27</v>
      </c>
      <c r="H2499" s="4" t="s">
        <v>1987</v>
      </c>
      <c r="K2499" s="4" t="s">
        <v>11625</v>
      </c>
      <c r="L2499" s="4"/>
    </row>
    <row r="2500">
      <c r="A2500" s="55" t="s">
        <v>11626</v>
      </c>
      <c r="B2500" s="52" t="s">
        <v>5647</v>
      </c>
      <c r="C2500" s="76">
        <v>45944.333333333336</v>
      </c>
      <c r="D2500" s="7" t="s">
        <v>2200</v>
      </c>
      <c r="E2500" s="76">
        <v>45944.416666666664</v>
      </c>
      <c r="F2500" s="52" t="s">
        <v>9803</v>
      </c>
      <c r="G2500" s="4" t="s">
        <v>110</v>
      </c>
      <c r="H2500" s="4" t="s">
        <v>1987</v>
      </c>
      <c r="K2500" s="4" t="s">
        <v>11627</v>
      </c>
      <c r="L2500" s="4" t="s">
        <v>11607</v>
      </c>
    </row>
    <row r="2501">
      <c r="A2501" s="55" t="s">
        <v>11628</v>
      </c>
      <c r="B2501" s="52" t="s">
        <v>1611</v>
      </c>
      <c r="C2501" s="76">
        <v>45944.416666666664</v>
      </c>
      <c r="D2501" s="7" t="s">
        <v>2154</v>
      </c>
      <c r="E2501" s="76">
        <v>45944.5</v>
      </c>
      <c r="F2501" s="52" t="s">
        <v>11629</v>
      </c>
      <c r="G2501" s="4" t="s">
        <v>27</v>
      </c>
      <c r="H2501" s="4" t="s">
        <v>1987</v>
      </c>
      <c r="K2501" s="4" t="s">
        <v>11630</v>
      </c>
      <c r="L2501" s="4"/>
    </row>
    <row r="2502">
      <c r="A2502" s="55" t="s">
        <v>11631</v>
      </c>
      <c r="B2502" s="52" t="s">
        <v>5729</v>
      </c>
      <c r="C2502" s="76">
        <v>45945.333333333336</v>
      </c>
      <c r="D2502" s="7" t="s">
        <v>2200</v>
      </c>
      <c r="E2502" s="76">
        <v>45945.458333333336</v>
      </c>
      <c r="F2502" s="52" t="s">
        <v>1536</v>
      </c>
      <c r="G2502" s="4" t="s">
        <v>110</v>
      </c>
      <c r="H2502" s="4" t="s">
        <v>1987</v>
      </c>
      <c r="K2502" s="4" t="s">
        <v>11582</v>
      </c>
      <c r="L2502" s="4" t="s">
        <v>11632</v>
      </c>
    </row>
    <row r="2503">
      <c r="A2503" s="55" t="s">
        <v>11633</v>
      </c>
      <c r="B2503" s="52" t="s">
        <v>5729</v>
      </c>
      <c r="C2503" s="76">
        <v>45946.375</v>
      </c>
      <c r="D2503" s="7" t="s">
        <v>2200</v>
      </c>
      <c r="E2503" s="76">
        <v>45946.541666666664</v>
      </c>
      <c r="F2503" s="52" t="s">
        <v>1536</v>
      </c>
      <c r="G2503" s="4" t="s">
        <v>110</v>
      </c>
      <c r="H2503" s="4" t="s">
        <v>1987</v>
      </c>
      <c r="K2503" s="4" t="s">
        <v>11634</v>
      </c>
      <c r="L2503" s="4" t="s">
        <v>11635</v>
      </c>
    </row>
    <row r="2504">
      <c r="A2504" s="55" t="s">
        <v>11636</v>
      </c>
      <c r="B2504" s="52" t="s">
        <v>5729</v>
      </c>
      <c r="C2504" s="76">
        <v>45945.458333333336</v>
      </c>
      <c r="D2504" s="7" t="s">
        <v>2147</v>
      </c>
      <c r="E2504" s="76">
        <v>45945.5</v>
      </c>
      <c r="F2504" s="52" t="s">
        <v>8173</v>
      </c>
      <c r="G2504" s="4" t="s">
        <v>110</v>
      </c>
      <c r="H2504" s="4" t="s">
        <v>1991</v>
      </c>
      <c r="K2504" s="4"/>
      <c r="L2504" s="4" t="s">
        <v>11637</v>
      </c>
    </row>
    <row r="2505">
      <c r="A2505" s="55" t="s">
        <v>11638</v>
      </c>
      <c r="B2505" s="52" t="s">
        <v>1611</v>
      </c>
      <c r="C2505" s="76">
        <v>45945.416666666664</v>
      </c>
      <c r="D2505" s="7" t="s">
        <v>2154</v>
      </c>
      <c r="E2505" s="76">
        <v>45945.645833333336</v>
      </c>
      <c r="F2505" s="52" t="s">
        <v>11639</v>
      </c>
      <c r="G2505" s="4" t="s">
        <v>27</v>
      </c>
      <c r="H2505" s="4" t="s">
        <v>1987</v>
      </c>
      <c r="K2505" s="4" t="s">
        <v>11640</v>
      </c>
      <c r="L2505" s="4" t="s">
        <v>11641</v>
      </c>
    </row>
    <row r="2506">
      <c r="A2506" s="55" t="s">
        <v>11642</v>
      </c>
      <c r="B2506" s="52" t="s">
        <v>5675</v>
      </c>
      <c r="C2506" s="76">
        <v>45945.5</v>
      </c>
      <c r="D2506" s="7" t="s">
        <v>2147</v>
      </c>
      <c r="E2506" s="76">
        <v>45945.541666666664</v>
      </c>
      <c r="F2506" s="52" t="s">
        <v>9465</v>
      </c>
      <c r="G2506" s="4" t="s">
        <v>110</v>
      </c>
      <c r="H2506" s="4" t="s">
        <v>1987</v>
      </c>
      <c r="K2506" s="4" t="s">
        <v>11643</v>
      </c>
      <c r="L2506" s="4"/>
    </row>
    <row r="2507">
      <c r="A2507" s="55" t="s">
        <v>11644</v>
      </c>
      <c r="B2507" s="52" t="s">
        <v>1617</v>
      </c>
      <c r="C2507" s="76">
        <v>45947.333333333336</v>
      </c>
      <c r="D2507" s="7" t="s">
        <v>6052</v>
      </c>
      <c r="E2507" s="76">
        <v>45947.541666666664</v>
      </c>
      <c r="F2507" s="52" t="s">
        <v>1617</v>
      </c>
      <c r="G2507" s="4" t="s">
        <v>1708</v>
      </c>
      <c r="H2507" s="4" t="s">
        <v>1987</v>
      </c>
      <c r="K2507" s="4" t="s">
        <v>11645</v>
      </c>
      <c r="L2507" s="4"/>
    </row>
    <row r="2508">
      <c r="A2508" s="55" t="s">
        <v>11646</v>
      </c>
      <c r="B2508" s="52" t="s">
        <v>1617</v>
      </c>
      <c r="C2508" s="76">
        <v>45950.333333333336</v>
      </c>
      <c r="D2508" s="7" t="s">
        <v>6052</v>
      </c>
      <c r="E2508" s="76">
        <v>45950.541666666664</v>
      </c>
      <c r="F2508" s="52" t="s">
        <v>1617</v>
      </c>
      <c r="G2508" s="4" t="s">
        <v>1708</v>
      </c>
      <c r="H2508" s="4" t="s">
        <v>1987</v>
      </c>
      <c r="K2508" s="4" t="s">
        <v>11647</v>
      </c>
      <c r="L2508" s="4"/>
    </row>
    <row r="2509">
      <c r="A2509" s="55" t="s">
        <v>11648</v>
      </c>
      <c r="B2509" s="52" t="s">
        <v>5675</v>
      </c>
      <c r="C2509" s="76">
        <v>45945.333333333336</v>
      </c>
      <c r="D2509" s="7" t="s">
        <v>2200</v>
      </c>
      <c r="E2509" s="76">
        <v>45945.458333333336</v>
      </c>
      <c r="F2509" s="52" t="s">
        <v>11387</v>
      </c>
      <c r="G2509" s="4" t="s">
        <v>1708</v>
      </c>
      <c r="H2509" s="4" t="s">
        <v>1987</v>
      </c>
      <c r="K2509" s="4" t="s">
        <v>11649</v>
      </c>
      <c r="L2509" s="4"/>
    </row>
    <row r="2510">
      <c r="A2510" s="55" t="s">
        <v>11650</v>
      </c>
      <c r="B2510" s="52" t="s">
        <v>5675</v>
      </c>
      <c r="C2510" s="76">
        <v>45946.333333333336</v>
      </c>
      <c r="D2510" s="7" t="s">
        <v>6052</v>
      </c>
      <c r="E2510" s="76">
        <v>45946.541666666664</v>
      </c>
      <c r="F2510" s="52" t="s">
        <v>8090</v>
      </c>
      <c r="G2510" s="4" t="s">
        <v>1708</v>
      </c>
      <c r="H2510" s="4" t="s">
        <v>1987</v>
      </c>
      <c r="K2510" s="4" t="s">
        <v>11651</v>
      </c>
      <c r="L2510" s="4" t="s">
        <v>11652</v>
      </c>
    </row>
    <row r="2511">
      <c r="A2511" s="55" t="s">
        <v>11653</v>
      </c>
      <c r="B2511" s="52" t="s">
        <v>1617</v>
      </c>
      <c r="C2511" s="76">
        <v>45952.333333333336</v>
      </c>
      <c r="D2511" s="7" t="s">
        <v>6052</v>
      </c>
      <c r="E2511" s="76">
        <v>45952.4375</v>
      </c>
      <c r="F2511" s="52" t="s">
        <v>1617</v>
      </c>
      <c r="G2511" s="4" t="s">
        <v>1708</v>
      </c>
      <c r="H2511" s="4" t="s">
        <v>1987</v>
      </c>
      <c r="K2511" s="4" t="s">
        <v>11654</v>
      </c>
      <c r="L2511" s="4" t="s">
        <v>11655</v>
      </c>
    </row>
    <row r="2512">
      <c r="A2512" s="55" t="s">
        <v>11656</v>
      </c>
      <c r="B2512" s="52" t="s">
        <v>5625</v>
      </c>
      <c r="C2512" s="76">
        <v>45950.5625</v>
      </c>
      <c r="D2512" s="7" t="s">
        <v>2147</v>
      </c>
      <c r="E2512" s="76">
        <v>45950.729166666664</v>
      </c>
      <c r="F2512" s="52" t="s">
        <v>11657</v>
      </c>
      <c r="G2512" s="4" t="s">
        <v>135</v>
      </c>
      <c r="H2512" s="4" t="s">
        <v>1991</v>
      </c>
      <c r="K2512" s="4" t="s">
        <v>11658</v>
      </c>
      <c r="L2512" s="4" t="s">
        <v>11659</v>
      </c>
    </row>
    <row r="2513">
      <c r="A2513" s="55" t="s">
        <v>11660</v>
      </c>
      <c r="B2513" s="52" t="s">
        <v>5598</v>
      </c>
      <c r="C2513" s="76">
        <v>45945.5625</v>
      </c>
      <c r="D2513" s="7" t="s">
        <v>2154</v>
      </c>
      <c r="E2513" s="76">
        <v>45945.645833333336</v>
      </c>
      <c r="F2513" s="52" t="s">
        <v>11661</v>
      </c>
      <c r="G2513" s="4" t="s">
        <v>135</v>
      </c>
      <c r="H2513" s="4" t="s">
        <v>1987</v>
      </c>
      <c r="K2513" s="4" t="s">
        <v>11612</v>
      </c>
      <c r="L2513" s="4" t="s">
        <v>11662</v>
      </c>
    </row>
    <row r="2514">
      <c r="A2514" s="55" t="s">
        <v>11663</v>
      </c>
      <c r="B2514" s="52" t="s">
        <v>5678</v>
      </c>
      <c r="C2514" s="76">
        <v>45945.645833333336</v>
      </c>
      <c r="D2514" s="7" t="s">
        <v>2147</v>
      </c>
      <c r="E2514" s="76">
        <v>45945.6875</v>
      </c>
      <c r="F2514" s="52" t="s">
        <v>7812</v>
      </c>
      <c r="G2514" s="4" t="s">
        <v>135</v>
      </c>
      <c r="H2514" s="4" t="s">
        <v>1987</v>
      </c>
      <c r="K2514" s="4" t="s">
        <v>11664</v>
      </c>
      <c r="L2514" s="4"/>
    </row>
    <row r="2515">
      <c r="A2515" s="55" t="s">
        <v>11665</v>
      </c>
      <c r="B2515" s="52" t="s">
        <v>5598</v>
      </c>
      <c r="C2515" s="76">
        <v>45945.6875</v>
      </c>
      <c r="D2515" s="7" t="s">
        <v>2154</v>
      </c>
      <c r="E2515" s="76">
        <v>45945.770833333336</v>
      </c>
      <c r="F2515" s="52" t="s">
        <v>11661</v>
      </c>
      <c r="G2515" s="4" t="s">
        <v>135</v>
      </c>
      <c r="H2515" s="4" t="s">
        <v>1987</v>
      </c>
      <c r="K2515" s="4" t="s">
        <v>11666</v>
      </c>
      <c r="L2515" s="4" t="s">
        <v>11613</v>
      </c>
    </row>
    <row r="2516">
      <c r="A2516" s="55" t="s">
        <v>11667</v>
      </c>
      <c r="B2516" s="52" t="s">
        <v>1516</v>
      </c>
      <c r="C2516" s="76">
        <v>45945.708333333336</v>
      </c>
      <c r="D2516" s="7" t="s">
        <v>2147</v>
      </c>
      <c r="E2516" s="76">
        <v>45945.75</v>
      </c>
      <c r="F2516" s="52" t="s">
        <v>11668</v>
      </c>
      <c r="G2516" s="4" t="s">
        <v>27</v>
      </c>
      <c r="H2516" s="4" t="s">
        <v>1991</v>
      </c>
      <c r="K2516" s="4"/>
      <c r="L2516" s="4" t="s">
        <v>11669</v>
      </c>
    </row>
    <row r="2517">
      <c r="A2517" s="55" t="s">
        <v>11670</v>
      </c>
      <c r="B2517" s="52" t="s">
        <v>5675</v>
      </c>
      <c r="C2517" s="76">
        <v>45946.34375</v>
      </c>
      <c r="D2517" s="7" t="s">
        <v>6318</v>
      </c>
      <c r="E2517" s="76">
        <v>45946.375</v>
      </c>
      <c r="F2517" s="52" t="s">
        <v>11671</v>
      </c>
      <c r="G2517" s="4" t="s">
        <v>110</v>
      </c>
      <c r="H2517" s="4" t="s">
        <v>1987</v>
      </c>
      <c r="K2517" s="4" t="s">
        <v>11672</v>
      </c>
      <c r="L2517" s="4"/>
    </row>
    <row r="2518">
      <c r="A2518" s="55" t="s">
        <v>11673</v>
      </c>
      <c r="B2518" s="52" t="s">
        <v>1617</v>
      </c>
      <c r="C2518" s="76">
        <v>45946.333333333336</v>
      </c>
      <c r="D2518" s="7" t="s">
        <v>6318</v>
      </c>
      <c r="E2518" s="76">
        <v>45946.34375</v>
      </c>
      <c r="F2518" s="52" t="s">
        <v>11674</v>
      </c>
      <c r="G2518" s="4" t="s">
        <v>110</v>
      </c>
      <c r="H2518" s="4" t="s">
        <v>1987</v>
      </c>
      <c r="K2518" s="4" t="s">
        <v>11675</v>
      </c>
      <c r="L2518" s="4"/>
    </row>
    <row r="2519">
      <c r="A2519" s="55" t="s">
        <v>11676</v>
      </c>
      <c r="B2519" s="52" t="s">
        <v>1611</v>
      </c>
      <c r="C2519" s="76">
        <v>45946.40972222222</v>
      </c>
      <c r="D2519" s="7" t="s">
        <v>2147</v>
      </c>
      <c r="E2519" s="76">
        <v>45946.45138888889</v>
      </c>
      <c r="F2519" s="52" t="s">
        <v>11677</v>
      </c>
      <c r="G2519" s="4" t="s">
        <v>27</v>
      </c>
      <c r="H2519" s="4" t="s">
        <v>1987</v>
      </c>
      <c r="K2519" s="4" t="s">
        <v>11678</v>
      </c>
      <c r="L2519" s="4"/>
    </row>
    <row r="2520">
      <c r="A2520" s="55" t="s">
        <v>11679</v>
      </c>
      <c r="B2520" s="52" t="s">
        <v>5598</v>
      </c>
      <c r="C2520" s="76">
        <v>45946.5625</v>
      </c>
      <c r="D2520" s="7" t="s">
        <v>6052</v>
      </c>
      <c r="E2520" s="76">
        <v>45946.770833333336</v>
      </c>
      <c r="F2520" s="52" t="s">
        <v>11680</v>
      </c>
      <c r="G2520" s="4" t="s">
        <v>135</v>
      </c>
      <c r="H2520" s="4" t="s">
        <v>1987</v>
      </c>
      <c r="K2520" s="4" t="s">
        <v>11681</v>
      </c>
      <c r="L2520" s="4" t="s">
        <v>11662</v>
      </c>
    </row>
    <row r="2521">
      <c r="A2521" s="55" t="s">
        <v>11682</v>
      </c>
      <c r="B2521" s="52" t="s">
        <v>5598</v>
      </c>
      <c r="C2521" s="76">
        <v>45947.375</v>
      </c>
      <c r="D2521" s="7" t="s">
        <v>6052</v>
      </c>
      <c r="E2521" s="76">
        <v>45947.458333333336</v>
      </c>
      <c r="F2521" s="52" t="s">
        <v>11680</v>
      </c>
      <c r="G2521" s="4" t="s">
        <v>135</v>
      </c>
      <c r="H2521" s="4" t="s">
        <v>1987</v>
      </c>
      <c r="K2521" s="4" t="s">
        <v>11683</v>
      </c>
      <c r="L2521" s="4" t="s">
        <v>11684</v>
      </c>
    </row>
    <row r="2522">
      <c r="A2522" s="55" t="s">
        <v>11685</v>
      </c>
      <c r="B2522" s="52" t="s">
        <v>1617</v>
      </c>
      <c r="C2522" s="76">
        <v>45947.5</v>
      </c>
      <c r="D2522" s="7" t="s">
        <v>2147</v>
      </c>
      <c r="E2522" s="76">
        <v>45947.541666666664</v>
      </c>
      <c r="F2522" s="52" t="s">
        <v>11686</v>
      </c>
      <c r="G2522" s="4" t="s">
        <v>110</v>
      </c>
      <c r="H2522" s="4" t="s">
        <v>1987</v>
      </c>
      <c r="K2522" s="4" t="s">
        <v>11687</v>
      </c>
      <c r="L2522" s="4"/>
    </row>
    <row r="2523">
      <c r="A2523" s="55" t="s">
        <v>11688</v>
      </c>
      <c r="B2523" s="52" t="s">
        <v>5625</v>
      </c>
      <c r="C2523" s="76">
        <v>45947.458333333336</v>
      </c>
      <c r="D2523" s="7" t="s">
        <v>6052</v>
      </c>
      <c r="E2523" s="76">
        <v>45947.5</v>
      </c>
      <c r="F2523" s="52" t="s">
        <v>11689</v>
      </c>
      <c r="G2523" s="4" t="s">
        <v>135</v>
      </c>
      <c r="H2523" s="4" t="s">
        <v>1987</v>
      </c>
      <c r="K2523" s="4" t="s">
        <v>11690</v>
      </c>
      <c r="L2523" s="4" t="s">
        <v>11662</v>
      </c>
    </row>
    <row r="2524">
      <c r="A2524" s="55" t="s">
        <v>11691</v>
      </c>
      <c r="B2524" s="52" t="s">
        <v>5729</v>
      </c>
      <c r="C2524" s="76">
        <v>45950.333333333336</v>
      </c>
      <c r="D2524" s="7" t="s">
        <v>6052</v>
      </c>
      <c r="E2524" s="76">
        <v>45950.5</v>
      </c>
      <c r="F2524" s="52" t="s">
        <v>6120</v>
      </c>
      <c r="G2524" s="4" t="s">
        <v>110</v>
      </c>
      <c r="H2524" s="4" t="s">
        <v>1987</v>
      </c>
      <c r="K2524" s="4" t="s">
        <v>11692</v>
      </c>
      <c r="L2524" s="4" t="s">
        <v>11693</v>
      </c>
    </row>
    <row r="2525">
      <c r="A2525" s="55" t="s">
        <v>11694</v>
      </c>
      <c r="B2525" s="52" t="s">
        <v>5729</v>
      </c>
      <c r="C2525" s="76">
        <v>45951.333333333336</v>
      </c>
      <c r="D2525" s="7" t="s">
        <v>2147</v>
      </c>
      <c r="E2525" s="76">
        <v>45951.395833333336</v>
      </c>
      <c r="F2525" s="52" t="s">
        <v>6120</v>
      </c>
      <c r="G2525" s="4" t="s">
        <v>110</v>
      </c>
      <c r="H2525" s="4" t="s">
        <v>1987</v>
      </c>
      <c r="K2525" s="4" t="s">
        <v>11695</v>
      </c>
      <c r="L2525" s="4" t="s">
        <v>11696</v>
      </c>
    </row>
    <row r="2526">
      <c r="A2526" s="55" t="s">
        <v>11697</v>
      </c>
      <c r="B2526" s="52" t="s">
        <v>5628</v>
      </c>
      <c r="C2526" s="76">
        <v>45953.333333333336</v>
      </c>
      <c r="D2526" s="7" t="s">
        <v>2154</v>
      </c>
      <c r="E2526" s="76">
        <v>45953.416666666664</v>
      </c>
      <c r="F2526" s="52" t="s">
        <v>11698</v>
      </c>
      <c r="G2526" s="4" t="s">
        <v>110</v>
      </c>
      <c r="H2526" s="4" t="s">
        <v>1987</v>
      </c>
      <c r="K2526" s="4" t="s">
        <v>11699</v>
      </c>
      <c r="L2526" s="4" t="s">
        <v>11700</v>
      </c>
    </row>
    <row r="2527">
      <c r="A2527" s="55"/>
      <c r="B2527" s="52"/>
      <c r="C2527" s="76"/>
      <c r="D2527" s="4"/>
      <c r="E2527" s="76"/>
      <c r="F2527" s="52"/>
      <c r="G2527" s="4"/>
      <c r="H2527" s="4"/>
      <c r="K2527" s="4"/>
      <c r="L2527" s="4"/>
    </row>
    <row r="2528">
      <c r="A2528" s="55"/>
      <c r="B2528" s="52"/>
      <c r="C2528" s="76"/>
      <c r="D2528" s="4"/>
      <c r="E2528" s="76"/>
      <c r="F2528" s="52"/>
      <c r="G2528" s="4"/>
      <c r="H2528" s="4"/>
      <c r="K2528" s="4"/>
      <c r="L2528" s="4"/>
    </row>
    <row r="2529">
      <c r="A2529" s="55"/>
      <c r="B2529" s="52"/>
      <c r="C2529" s="76"/>
      <c r="D2529" s="4"/>
      <c r="E2529" s="76"/>
      <c r="F2529" s="52"/>
      <c r="G2529" s="4"/>
      <c r="H2529" s="4"/>
      <c r="K2529" s="4"/>
      <c r="L2529" s="4"/>
    </row>
    <row r="2530">
      <c r="A2530" s="55" t="s">
        <v>11701</v>
      </c>
      <c r="B2530" s="52" t="s">
        <v>5675</v>
      </c>
      <c r="C2530" s="76">
        <v>45959.333333333336</v>
      </c>
      <c r="D2530" s="7" t="s">
        <v>6052</v>
      </c>
      <c r="E2530" s="76">
        <v>45959.583333333336</v>
      </c>
      <c r="F2530" s="52" t="s">
        <v>11702</v>
      </c>
      <c r="G2530" s="4" t="s">
        <v>110</v>
      </c>
      <c r="H2530" s="4" t="s">
        <v>1987</v>
      </c>
      <c r="K2530" s="4" t="s">
        <v>11703</v>
      </c>
      <c r="L2530" s="4" t="s">
        <v>11704</v>
      </c>
    </row>
    <row r="2531">
      <c r="A2531" s="55" t="s">
        <v>11705</v>
      </c>
      <c r="B2531" s="52" t="s">
        <v>1617</v>
      </c>
      <c r="C2531" s="76">
        <v>45953.333333333336</v>
      </c>
      <c r="D2531" s="7" t="s">
        <v>6052</v>
      </c>
      <c r="E2531" s="76">
        <v>45953.541666666664</v>
      </c>
      <c r="F2531" s="52" t="s">
        <v>1617</v>
      </c>
      <c r="G2531" s="4" t="s">
        <v>1708</v>
      </c>
      <c r="H2531" s="4" t="s">
        <v>1987</v>
      </c>
      <c r="K2531" s="4" t="s">
        <v>11706</v>
      </c>
      <c r="L2531" s="4" t="s">
        <v>11569</v>
      </c>
    </row>
    <row r="2532">
      <c r="A2532" s="55" t="s">
        <v>11707</v>
      </c>
      <c r="B2532" s="52" t="s">
        <v>1617</v>
      </c>
      <c r="C2532" s="76">
        <v>45954.333333333336</v>
      </c>
      <c r="D2532" s="7" t="s">
        <v>6052</v>
      </c>
      <c r="E2532" s="76">
        <v>45954.541666666664</v>
      </c>
      <c r="F2532" s="52" t="s">
        <v>1617</v>
      </c>
      <c r="G2532" s="4" t="s">
        <v>1708</v>
      </c>
      <c r="H2532" s="4" t="s">
        <v>1987</v>
      </c>
      <c r="K2532" s="4" t="s">
        <v>11708</v>
      </c>
      <c r="L2532" s="4" t="s">
        <v>11569</v>
      </c>
    </row>
    <row r="2533">
      <c r="A2533" s="55" t="s">
        <v>11709</v>
      </c>
      <c r="B2533" s="52" t="s">
        <v>5628</v>
      </c>
      <c r="C2533" s="76">
        <v>45951.4375</v>
      </c>
      <c r="D2533" s="7" t="s">
        <v>2147</v>
      </c>
      <c r="E2533" s="76">
        <v>45951.5</v>
      </c>
      <c r="F2533" s="52" t="s">
        <v>9564</v>
      </c>
      <c r="G2533" s="4" t="s">
        <v>110</v>
      </c>
      <c r="H2533" s="4" t="s">
        <v>1991</v>
      </c>
      <c r="K2533" s="4" t="s">
        <v>11710</v>
      </c>
      <c r="L2533" s="4" t="s">
        <v>11711</v>
      </c>
    </row>
    <row r="2534">
      <c r="A2534" s="55" t="s">
        <v>11712</v>
      </c>
      <c r="B2534" s="52" t="s">
        <v>6057</v>
      </c>
      <c r="C2534" s="76">
        <v>45950.520833333336</v>
      </c>
      <c r="D2534" s="7" t="s">
        <v>6318</v>
      </c>
      <c r="E2534" s="76">
        <v>45950.541666666664</v>
      </c>
      <c r="F2534" s="52" t="s">
        <v>11713</v>
      </c>
      <c r="G2534" s="4" t="s">
        <v>110</v>
      </c>
      <c r="H2534" s="4" t="s">
        <v>1987</v>
      </c>
      <c r="K2534" s="4" t="s">
        <v>11714</v>
      </c>
      <c r="L2534" s="4"/>
    </row>
    <row r="2535">
      <c r="A2535" s="55" t="s">
        <v>11715</v>
      </c>
      <c r="B2535" s="52" t="s">
        <v>1617</v>
      </c>
      <c r="C2535" s="76">
        <v>45950.5</v>
      </c>
      <c r="D2535" s="7" t="s">
        <v>6318</v>
      </c>
      <c r="E2535" s="76">
        <v>45950.520833333336</v>
      </c>
      <c r="F2535" s="52" t="s">
        <v>11716</v>
      </c>
      <c r="G2535" s="4" t="s">
        <v>110</v>
      </c>
      <c r="H2535" s="4" t="s">
        <v>1987</v>
      </c>
      <c r="K2535" s="4" t="s">
        <v>11717</v>
      </c>
      <c r="L2535" s="4"/>
    </row>
    <row r="2536">
      <c r="A2536" s="55" t="s">
        <v>11718</v>
      </c>
      <c r="B2536" s="52" t="s">
        <v>6057</v>
      </c>
      <c r="C2536" s="76">
        <v>45953.458333333336</v>
      </c>
      <c r="D2536" s="7" t="s">
        <v>6318</v>
      </c>
      <c r="E2536" s="76">
        <v>45953.489583333336</v>
      </c>
      <c r="F2536" s="52" t="s">
        <v>6189</v>
      </c>
      <c r="G2536" s="4" t="s">
        <v>110</v>
      </c>
      <c r="H2536" s="4" t="s">
        <v>1987</v>
      </c>
      <c r="K2536" s="4" t="s">
        <v>11719</v>
      </c>
      <c r="L2536" s="4" t="s">
        <v>11720</v>
      </c>
    </row>
    <row r="2537">
      <c r="A2537" s="55" t="s">
        <v>11721</v>
      </c>
      <c r="B2537" s="52" t="s">
        <v>1649</v>
      </c>
      <c r="C2537" s="76">
        <v>45950.666666666664</v>
      </c>
      <c r="D2537" s="7" t="s">
        <v>2147</v>
      </c>
      <c r="E2537" s="76">
        <v>45950.708333333336</v>
      </c>
      <c r="F2537" s="52" t="s">
        <v>11722</v>
      </c>
      <c r="G2537" s="4" t="s">
        <v>27</v>
      </c>
      <c r="H2537" s="4" t="s">
        <v>1991</v>
      </c>
      <c r="K2537" s="4" t="s">
        <v>11723</v>
      </c>
      <c r="L2537" s="4"/>
    </row>
    <row r="2538">
      <c r="A2538" s="55" t="s">
        <v>11724</v>
      </c>
      <c r="B2538" s="52" t="s">
        <v>1617</v>
      </c>
      <c r="C2538" s="76">
        <v>45951.395833333336</v>
      </c>
      <c r="D2538" s="7" t="s">
        <v>2147</v>
      </c>
      <c r="E2538" s="76">
        <v>45951.4375</v>
      </c>
      <c r="F2538" s="52" t="s">
        <v>11725</v>
      </c>
      <c r="G2538" s="4" t="s">
        <v>110</v>
      </c>
      <c r="H2538" s="4" t="s">
        <v>1987</v>
      </c>
      <c r="K2538" s="4" t="s">
        <v>11726</v>
      </c>
      <c r="L2538" s="4"/>
    </row>
    <row r="2539">
      <c r="A2539" s="55" t="s">
        <v>11727</v>
      </c>
      <c r="B2539" s="52" t="s">
        <v>5628</v>
      </c>
      <c r="C2539" s="76">
        <v>45952.5625</v>
      </c>
      <c r="D2539" s="7" t="s">
        <v>2147</v>
      </c>
      <c r="E2539" s="76">
        <v>45952.604166666664</v>
      </c>
      <c r="F2539" s="52" t="s">
        <v>11728</v>
      </c>
      <c r="G2539" s="4" t="s">
        <v>27</v>
      </c>
      <c r="H2539" s="4" t="s">
        <v>1991</v>
      </c>
      <c r="K2539" s="4" t="s">
        <v>11729</v>
      </c>
      <c r="L2539" s="4"/>
    </row>
    <row r="2540">
      <c r="A2540" s="55" t="s">
        <v>11730</v>
      </c>
      <c r="B2540" s="52" t="s">
        <v>5686</v>
      </c>
      <c r="C2540" s="76">
        <v>45952.40625</v>
      </c>
      <c r="D2540" s="7" t="s">
        <v>2147</v>
      </c>
      <c r="E2540" s="76">
        <v>45952.430555555555</v>
      </c>
      <c r="F2540" s="52" t="s">
        <v>8719</v>
      </c>
      <c r="G2540" s="4" t="s">
        <v>110</v>
      </c>
      <c r="H2540" s="4" t="s">
        <v>1991</v>
      </c>
      <c r="K2540" s="4"/>
      <c r="L2540" s="4" t="s">
        <v>11731</v>
      </c>
    </row>
    <row r="2541">
      <c r="A2541" s="55" t="s">
        <v>11732</v>
      </c>
      <c r="B2541" s="52" t="s">
        <v>5656</v>
      </c>
      <c r="C2541" s="76">
        <v>45951.5</v>
      </c>
      <c r="D2541" s="7" t="s">
        <v>6052</v>
      </c>
      <c r="E2541" s="76">
        <v>45951.708333333336</v>
      </c>
      <c r="F2541" s="52" t="s">
        <v>7424</v>
      </c>
      <c r="G2541" s="4" t="s">
        <v>27</v>
      </c>
      <c r="H2541" s="4" t="s">
        <v>1987</v>
      </c>
      <c r="K2541" s="4" t="s">
        <v>11733</v>
      </c>
      <c r="L2541" s="4"/>
    </row>
    <row r="2542">
      <c r="A2542" s="55"/>
      <c r="B2542" s="52"/>
      <c r="C2542" s="76"/>
      <c r="D2542" s="4"/>
      <c r="E2542" s="76"/>
      <c r="F2542" s="52"/>
      <c r="G2542" s="4"/>
      <c r="H2542" s="4"/>
      <c r="K2542" s="4"/>
      <c r="L2542" s="4"/>
    </row>
    <row r="2543">
      <c r="A2543" s="55" t="s">
        <v>11734</v>
      </c>
      <c r="B2543" s="52" t="s">
        <v>1617</v>
      </c>
      <c r="C2543" s="76">
        <v>45951.5</v>
      </c>
      <c r="D2543" s="7" t="s">
        <v>6318</v>
      </c>
      <c r="E2543" s="76">
        <v>45951.520833333336</v>
      </c>
      <c r="F2543" s="52" t="s">
        <v>11735</v>
      </c>
      <c r="G2543" s="4" t="s">
        <v>110</v>
      </c>
      <c r="H2543" s="4" t="s">
        <v>1987</v>
      </c>
      <c r="K2543" s="4" t="s">
        <v>11736</v>
      </c>
      <c r="L2543" s="4"/>
    </row>
    <row r="2544">
      <c r="A2544" s="55" t="s">
        <v>11737</v>
      </c>
      <c r="B2544" s="52" t="s">
        <v>6057</v>
      </c>
      <c r="C2544" s="76">
        <v>45951.53125</v>
      </c>
      <c r="D2544" s="7" t="s">
        <v>6318</v>
      </c>
      <c r="E2544" s="76">
        <v>45951.541666666664</v>
      </c>
      <c r="F2544" s="52" t="s">
        <v>11738</v>
      </c>
      <c r="G2544" s="4" t="s">
        <v>110</v>
      </c>
      <c r="H2544" s="4" t="s">
        <v>1987</v>
      </c>
      <c r="K2544" s="4" t="s">
        <v>11739</v>
      </c>
      <c r="L2544" s="4"/>
    </row>
    <row r="2545">
      <c r="A2545" s="55" t="s">
        <v>11740</v>
      </c>
      <c r="B2545" s="52" t="s">
        <v>5729</v>
      </c>
      <c r="C2545" s="76">
        <v>45951.520833333336</v>
      </c>
      <c r="D2545" s="7" t="s">
        <v>6318</v>
      </c>
      <c r="E2545" s="76">
        <v>45951.53125</v>
      </c>
      <c r="F2545" s="52" t="s">
        <v>11741</v>
      </c>
      <c r="G2545" s="4" t="s">
        <v>110</v>
      </c>
      <c r="H2545" s="4" t="s">
        <v>1987</v>
      </c>
      <c r="K2545" s="4" t="s">
        <v>11742</v>
      </c>
      <c r="L2545" s="4"/>
    </row>
    <row r="2546">
      <c r="A2546" s="55" t="s">
        <v>11743</v>
      </c>
      <c r="B2546" s="52" t="s">
        <v>1597</v>
      </c>
      <c r="C2546" s="76">
        <v>45953.416666666664</v>
      </c>
      <c r="D2546" s="7" t="s">
        <v>2147</v>
      </c>
      <c r="E2546" s="76">
        <v>45953.458333333336</v>
      </c>
      <c r="F2546" s="52" t="s">
        <v>11744</v>
      </c>
      <c r="G2546" s="4" t="s">
        <v>27</v>
      </c>
      <c r="H2546" s="4" t="s">
        <v>1991</v>
      </c>
      <c r="K2546" s="4" t="s">
        <v>11745</v>
      </c>
      <c r="L2546" s="4"/>
    </row>
    <row r="2547">
      <c r="A2547" s="55" t="s">
        <v>11746</v>
      </c>
      <c r="B2547" s="52" t="s">
        <v>5625</v>
      </c>
      <c r="C2547" s="76">
        <v>45951.5625</v>
      </c>
      <c r="D2547" s="7" t="s">
        <v>2154</v>
      </c>
      <c r="E2547" s="76">
        <v>45951.645833333336</v>
      </c>
      <c r="F2547" s="52" t="s">
        <v>1420</v>
      </c>
      <c r="G2547" s="4" t="s">
        <v>135</v>
      </c>
      <c r="H2547" s="4" t="s">
        <v>1987</v>
      </c>
      <c r="K2547" s="4" t="s">
        <v>11747</v>
      </c>
      <c r="L2547" s="4"/>
    </row>
    <row r="2548">
      <c r="A2548" s="55" t="s">
        <v>11748</v>
      </c>
      <c r="B2548" s="52" t="s">
        <v>5598</v>
      </c>
      <c r="C2548" s="76">
        <v>45951.645833333336</v>
      </c>
      <c r="D2548" s="7" t="s">
        <v>2147</v>
      </c>
      <c r="E2548" s="76">
        <v>45951.6875</v>
      </c>
      <c r="F2548" s="52" t="s">
        <v>11617</v>
      </c>
      <c r="G2548" s="4" t="s">
        <v>135</v>
      </c>
      <c r="H2548" s="4" t="s">
        <v>1991</v>
      </c>
      <c r="K2548" s="4" t="s">
        <v>11749</v>
      </c>
      <c r="L2548" s="4"/>
    </row>
    <row r="2549">
      <c r="A2549" s="55" t="s">
        <v>11750</v>
      </c>
      <c r="B2549" s="52" t="s">
        <v>5625</v>
      </c>
      <c r="C2549" s="76">
        <v>45951.6875</v>
      </c>
      <c r="D2549" s="7" t="s">
        <v>2154</v>
      </c>
      <c r="E2549" s="76">
        <v>45951.770833333336</v>
      </c>
      <c r="F2549" s="52" t="s">
        <v>1420</v>
      </c>
      <c r="G2549" s="4" t="s">
        <v>135</v>
      </c>
      <c r="H2549" s="4" t="s">
        <v>1987</v>
      </c>
      <c r="K2549" s="4" t="s">
        <v>11751</v>
      </c>
      <c r="L2549" s="4"/>
    </row>
    <row r="2550">
      <c r="A2550" s="55"/>
      <c r="B2550" s="52"/>
      <c r="C2550" s="76"/>
      <c r="D2550" s="4"/>
      <c r="E2550" s="76"/>
      <c r="F2550" s="52"/>
      <c r="G2550" s="4"/>
      <c r="H2550" s="4"/>
      <c r="K2550" s="4"/>
      <c r="L2550" s="4"/>
    </row>
    <row r="2551">
      <c r="A2551" s="55" t="s">
        <v>11752</v>
      </c>
      <c r="B2551" s="52" t="s">
        <v>6057</v>
      </c>
      <c r="C2551" s="76">
        <v>45953.5625</v>
      </c>
      <c r="D2551" s="7" t="s">
        <v>2154</v>
      </c>
      <c r="E2551" s="76">
        <v>45953.645833333336</v>
      </c>
      <c r="F2551" s="52" t="s">
        <v>11753</v>
      </c>
      <c r="G2551" s="4" t="s">
        <v>135</v>
      </c>
      <c r="H2551" s="4" t="s">
        <v>1987</v>
      </c>
      <c r="K2551" s="4" t="s">
        <v>11754</v>
      </c>
      <c r="L2551" s="4" t="s">
        <v>11755</v>
      </c>
    </row>
    <row r="2552">
      <c r="A2552" s="55" t="s">
        <v>11756</v>
      </c>
      <c r="B2552" s="52" t="s">
        <v>6057</v>
      </c>
      <c r="C2552" s="76">
        <v>45952.5625</v>
      </c>
      <c r="D2552" s="7" t="s">
        <v>6052</v>
      </c>
      <c r="E2552" s="76">
        <v>45952.770833333336</v>
      </c>
      <c r="F2552" s="52" t="s">
        <v>11757</v>
      </c>
      <c r="G2552" s="4" t="s">
        <v>135</v>
      </c>
      <c r="H2552" s="4" t="s">
        <v>1987</v>
      </c>
      <c r="K2552" s="4"/>
      <c r="L2552" s="4" t="s">
        <v>11758</v>
      </c>
    </row>
    <row r="2553">
      <c r="A2553" s="55" t="s">
        <v>11759</v>
      </c>
      <c r="B2553" s="52" t="s">
        <v>5598</v>
      </c>
      <c r="C2553" s="76">
        <v>45953.645833333336</v>
      </c>
      <c r="D2553" s="7" t="s">
        <v>2154</v>
      </c>
      <c r="E2553" s="76">
        <v>45953.729166666664</v>
      </c>
      <c r="F2553" s="52" t="s">
        <v>5377</v>
      </c>
      <c r="G2553" s="4" t="s">
        <v>135</v>
      </c>
      <c r="H2553" s="4" t="s">
        <v>1987</v>
      </c>
      <c r="K2553" s="4"/>
      <c r="L2553" s="4" t="s">
        <v>11760</v>
      </c>
    </row>
    <row r="2554">
      <c r="A2554" s="55" t="s">
        <v>11761</v>
      </c>
      <c r="B2554" s="52" t="s">
        <v>5598</v>
      </c>
      <c r="C2554" s="76">
        <v>45954.5625</v>
      </c>
      <c r="D2554" s="7" t="s">
        <v>2154</v>
      </c>
      <c r="E2554" s="76">
        <v>45954.729166666664</v>
      </c>
      <c r="F2554" s="52" t="s">
        <v>5377</v>
      </c>
      <c r="G2554" s="4" t="s">
        <v>135</v>
      </c>
      <c r="H2554" s="4" t="s">
        <v>1987</v>
      </c>
      <c r="K2554" s="4"/>
      <c r="L2554" s="4" t="s">
        <v>11762</v>
      </c>
    </row>
    <row r="2555">
      <c r="A2555" s="55" t="s">
        <v>11763</v>
      </c>
      <c r="B2555" s="52" t="s">
        <v>5729</v>
      </c>
      <c r="C2555" s="76">
        <v>45952.333333333336</v>
      </c>
      <c r="D2555" s="7" t="s">
        <v>2154</v>
      </c>
      <c r="E2555" s="76">
        <v>45952.40625</v>
      </c>
      <c r="F2555" s="52" t="s">
        <v>11764</v>
      </c>
      <c r="G2555" s="4" t="s">
        <v>110</v>
      </c>
      <c r="H2555" s="4" t="s">
        <v>1987</v>
      </c>
      <c r="K2555" s="4" t="s">
        <v>11765</v>
      </c>
      <c r="L2555" s="4"/>
    </row>
    <row r="2556">
      <c r="A2556" s="55" t="s">
        <v>11766</v>
      </c>
      <c r="B2556" s="52" t="s">
        <v>6057</v>
      </c>
      <c r="C2556" s="76">
        <v>45952.4375</v>
      </c>
      <c r="D2556" s="7" t="s">
        <v>2147</v>
      </c>
      <c r="E2556" s="76">
        <v>45952.479166666664</v>
      </c>
      <c r="F2556" s="52" t="s">
        <v>11767</v>
      </c>
      <c r="G2556" s="4" t="s">
        <v>1708</v>
      </c>
      <c r="H2556" s="4" t="s">
        <v>1987</v>
      </c>
      <c r="K2556" s="4" t="s">
        <v>11768</v>
      </c>
      <c r="L2556" s="4"/>
    </row>
    <row r="2557">
      <c r="A2557" s="55" t="s">
        <v>11769</v>
      </c>
      <c r="B2557" s="52" t="s">
        <v>1617</v>
      </c>
      <c r="C2557" s="76">
        <v>45952.479166666664</v>
      </c>
      <c r="D2557" s="7" t="s">
        <v>2147</v>
      </c>
      <c r="E2557" s="76">
        <v>45952.541666666664</v>
      </c>
      <c r="F2557" s="52" t="s">
        <v>1617</v>
      </c>
      <c r="G2557" s="4" t="s">
        <v>1708</v>
      </c>
      <c r="H2557" s="4" t="s">
        <v>1987</v>
      </c>
      <c r="K2557" s="4" t="s">
        <v>11770</v>
      </c>
      <c r="L2557" s="4"/>
    </row>
    <row r="2558">
      <c r="A2558" s="55" t="s">
        <v>11771</v>
      </c>
      <c r="B2558" s="52" t="s">
        <v>6057</v>
      </c>
      <c r="C2558" s="76">
        <v>45952.430555555555</v>
      </c>
      <c r="D2558" s="7" t="s">
        <v>2147</v>
      </c>
      <c r="E2558" s="76">
        <v>45952.479166666664</v>
      </c>
      <c r="F2558" s="52" t="s">
        <v>11772</v>
      </c>
      <c r="G2558" s="4" t="s">
        <v>110</v>
      </c>
      <c r="H2558" s="4" t="s">
        <v>1987</v>
      </c>
      <c r="K2558" s="4"/>
      <c r="L2558" s="4" t="s">
        <v>11773</v>
      </c>
    </row>
    <row r="2559">
      <c r="A2559" s="55" t="s">
        <v>11774</v>
      </c>
      <c r="B2559" s="52" t="s">
        <v>5729</v>
      </c>
      <c r="C2559" s="76">
        <v>45952.479166666664</v>
      </c>
      <c r="D2559" s="7" t="s">
        <v>2154</v>
      </c>
      <c r="E2559" s="76">
        <v>45952.5625</v>
      </c>
      <c r="F2559" s="52" t="s">
        <v>1536</v>
      </c>
      <c r="G2559" s="4" t="s">
        <v>110</v>
      </c>
      <c r="H2559" s="4" t="s">
        <v>1987</v>
      </c>
      <c r="K2559" s="4"/>
      <c r="L2559" s="4" t="s">
        <v>11775</v>
      </c>
    </row>
    <row r="2560">
      <c r="A2560" s="55" t="s">
        <v>11776</v>
      </c>
      <c r="B2560" s="52" t="s">
        <v>5628</v>
      </c>
      <c r="C2560" s="76">
        <v>45952.5625</v>
      </c>
      <c r="D2560" s="7" t="s">
        <v>2147</v>
      </c>
      <c r="E2560" s="76">
        <v>45952.583333333336</v>
      </c>
      <c r="F2560" s="52" t="s">
        <v>11728</v>
      </c>
      <c r="G2560" s="4" t="s">
        <v>110</v>
      </c>
      <c r="H2560" s="4" t="s">
        <v>1991</v>
      </c>
      <c r="K2560" s="4" t="s">
        <v>11777</v>
      </c>
      <c r="L2560" s="4" t="s">
        <v>11778</v>
      </c>
    </row>
    <row r="2561">
      <c r="A2561" s="55" t="s">
        <v>11779</v>
      </c>
      <c r="B2561" s="52" t="s">
        <v>1617</v>
      </c>
      <c r="C2561" s="76">
        <v>45954.625</v>
      </c>
      <c r="D2561" s="7" t="s">
        <v>2147</v>
      </c>
      <c r="E2561" s="76">
        <v>45954.666666666664</v>
      </c>
      <c r="F2561" s="52" t="s">
        <v>10011</v>
      </c>
      <c r="G2561" s="4" t="s">
        <v>110</v>
      </c>
      <c r="H2561" s="4" t="s">
        <v>1991</v>
      </c>
      <c r="K2561" s="4"/>
      <c r="L2561" s="4" t="s">
        <v>11780</v>
      </c>
    </row>
    <row r="2562">
      <c r="A2562" s="66" t="s">
        <v>11781</v>
      </c>
      <c r="B2562" s="52" t="s">
        <v>1649</v>
      </c>
      <c r="C2562" s="76">
        <v>45957.666666666664</v>
      </c>
      <c r="D2562" s="7" t="s">
        <v>2147</v>
      </c>
      <c r="E2562" s="76">
        <v>45957.708333333336</v>
      </c>
      <c r="F2562" s="52" t="s">
        <v>1649</v>
      </c>
      <c r="G2562" s="4" t="s">
        <v>27</v>
      </c>
      <c r="H2562" s="4" t="s">
        <v>1991</v>
      </c>
      <c r="K2562" s="4" t="s">
        <v>11782</v>
      </c>
      <c r="L2562" s="4"/>
    </row>
    <row r="2563">
      <c r="A2563" s="55" t="s">
        <v>11783</v>
      </c>
      <c r="B2563" s="52" t="s">
        <v>1611</v>
      </c>
      <c r="C2563" s="76">
        <v>45952.333333333336</v>
      </c>
      <c r="D2563" s="7" t="s">
        <v>2154</v>
      </c>
      <c r="E2563" s="76">
        <v>45952.416666666664</v>
      </c>
      <c r="F2563" s="52" t="s">
        <v>10818</v>
      </c>
      <c r="G2563" s="4" t="s">
        <v>27</v>
      </c>
      <c r="H2563" s="4" t="s">
        <v>1987</v>
      </c>
      <c r="K2563" s="4" t="s">
        <v>11784</v>
      </c>
      <c r="L2563" s="4"/>
    </row>
    <row r="2564">
      <c r="A2564" s="55" t="s">
        <v>11785</v>
      </c>
      <c r="B2564" s="52" t="s">
        <v>1611</v>
      </c>
      <c r="C2564" s="76">
        <v>45953.354166666664</v>
      </c>
      <c r="D2564" s="7" t="s">
        <v>2147</v>
      </c>
      <c r="E2564" s="76">
        <v>45953.395833333336</v>
      </c>
      <c r="F2564" s="52" t="s">
        <v>11786</v>
      </c>
      <c r="G2564" s="4" t="s">
        <v>27</v>
      </c>
      <c r="H2564" s="4" t="s">
        <v>1987</v>
      </c>
      <c r="K2564" s="4" t="s">
        <v>11787</v>
      </c>
      <c r="L2564" s="4"/>
    </row>
    <row r="2565">
      <c r="A2565" s="55" t="s">
        <v>11788</v>
      </c>
      <c r="B2565" s="52" t="s">
        <v>5647</v>
      </c>
      <c r="C2565" s="76">
        <v>45953.416666666664</v>
      </c>
      <c r="D2565" s="7" t="s">
        <v>2147</v>
      </c>
      <c r="E2565" s="76">
        <v>45953.458333333336</v>
      </c>
      <c r="F2565" s="52" t="s">
        <v>11789</v>
      </c>
      <c r="G2565" s="4" t="s">
        <v>110</v>
      </c>
      <c r="H2565" s="4" t="s">
        <v>1987</v>
      </c>
      <c r="K2565" s="4" t="s">
        <v>11790</v>
      </c>
      <c r="L2565" s="4"/>
    </row>
    <row r="2566">
      <c r="A2566" s="55" t="s">
        <v>11791</v>
      </c>
      <c r="B2566" s="52" t="s">
        <v>5628</v>
      </c>
      <c r="C2566" s="76">
        <v>45953.489583333336</v>
      </c>
      <c r="D2566" s="7" t="s">
        <v>6318</v>
      </c>
      <c r="E2566" s="76">
        <v>45953.510416666664</v>
      </c>
      <c r="F2566" s="52" t="s">
        <v>10156</v>
      </c>
      <c r="G2566" s="4" t="s">
        <v>110</v>
      </c>
      <c r="H2566" s="4" t="s">
        <v>1987</v>
      </c>
      <c r="K2566" s="4" t="s">
        <v>11792</v>
      </c>
      <c r="L2566" s="4"/>
    </row>
    <row r="2567">
      <c r="A2567" s="55" t="s">
        <v>11793</v>
      </c>
      <c r="B2567" s="52" t="s">
        <v>1611</v>
      </c>
      <c r="C2567" s="76">
        <v>45953.5</v>
      </c>
      <c r="D2567" s="7" t="s">
        <v>2147</v>
      </c>
      <c r="E2567" s="76">
        <v>45953.541666666664</v>
      </c>
      <c r="F2567" s="52" t="s">
        <v>11794</v>
      </c>
      <c r="G2567" s="4" t="s">
        <v>27</v>
      </c>
      <c r="H2567" s="4" t="s">
        <v>1987</v>
      </c>
      <c r="K2567" s="4" t="s">
        <v>11795</v>
      </c>
      <c r="L2567" s="4"/>
    </row>
    <row r="2568">
      <c r="A2568" s="55" t="s">
        <v>11796</v>
      </c>
      <c r="B2568" s="52" t="s">
        <v>1617</v>
      </c>
      <c r="C2568" s="76">
        <v>45953.510416666664</v>
      </c>
      <c r="D2568" s="7" t="s">
        <v>6318</v>
      </c>
      <c r="E2568" s="76">
        <v>45953.541666666664</v>
      </c>
      <c r="F2568" s="52" t="s">
        <v>11797</v>
      </c>
      <c r="G2568" s="4" t="s">
        <v>110</v>
      </c>
      <c r="H2568" s="4" t="s">
        <v>1987</v>
      </c>
      <c r="K2568" s="4" t="s">
        <v>11798</v>
      </c>
      <c r="L2568" s="4"/>
    </row>
    <row r="2569">
      <c r="A2569" s="55" t="s">
        <v>11799</v>
      </c>
      <c r="B2569" s="52" t="s">
        <v>1516</v>
      </c>
      <c r="C2569" s="76">
        <v>45953.75</v>
      </c>
      <c r="D2569" s="7" t="s">
        <v>2154</v>
      </c>
      <c r="E2569" s="76">
        <v>45953.833333333336</v>
      </c>
      <c r="F2569" s="52" t="s">
        <v>11800</v>
      </c>
      <c r="G2569" s="4" t="s">
        <v>27</v>
      </c>
      <c r="H2569" s="4" t="s">
        <v>1987</v>
      </c>
      <c r="K2569" s="4" t="s">
        <v>11801</v>
      </c>
      <c r="L2569" s="4"/>
    </row>
    <row r="2570">
      <c r="A2570" s="55" t="s">
        <v>11802</v>
      </c>
      <c r="B2570" s="52" t="s">
        <v>6069</v>
      </c>
      <c r="C2570" s="76">
        <v>45959.333333333336</v>
      </c>
      <c r="D2570" s="7" t="s">
        <v>6052</v>
      </c>
      <c r="E2570" s="76">
        <v>45959.541666666664</v>
      </c>
      <c r="F2570" s="52" t="s">
        <v>11803</v>
      </c>
      <c r="G2570" s="4" t="s">
        <v>1708</v>
      </c>
      <c r="H2570" s="4" t="s">
        <v>1987</v>
      </c>
      <c r="K2570" s="4" t="s">
        <v>11804</v>
      </c>
      <c r="L2570" s="4"/>
    </row>
    <row r="2571">
      <c r="A2571" s="55" t="s">
        <v>11805</v>
      </c>
      <c r="B2571" s="52" t="s">
        <v>5628</v>
      </c>
      <c r="C2571" s="76">
        <v>45954.333333333336</v>
      </c>
      <c r="D2571" s="7" t="s">
        <v>2200</v>
      </c>
      <c r="E2571" s="76">
        <v>45954.458333333336</v>
      </c>
      <c r="F2571" s="52" t="s">
        <v>10156</v>
      </c>
      <c r="G2571" s="4" t="s">
        <v>110</v>
      </c>
      <c r="H2571" s="4" t="s">
        <v>1987</v>
      </c>
      <c r="K2571" s="4" t="s">
        <v>11806</v>
      </c>
      <c r="L2571" s="4" t="s">
        <v>11807</v>
      </c>
    </row>
    <row r="2572">
      <c r="A2572" s="55" t="s">
        <v>11808</v>
      </c>
      <c r="B2572" s="52" t="s">
        <v>5628</v>
      </c>
      <c r="C2572" s="76">
        <v>45954.541666666664</v>
      </c>
      <c r="D2572" s="7" t="s">
        <v>2154</v>
      </c>
      <c r="E2572" s="76">
        <v>45954.5625</v>
      </c>
      <c r="F2572" s="52" t="s">
        <v>6189</v>
      </c>
      <c r="G2572" s="4" t="s">
        <v>110</v>
      </c>
      <c r="H2572" s="4" t="s">
        <v>1991</v>
      </c>
      <c r="K2572" s="4" t="s">
        <v>11809</v>
      </c>
      <c r="L2572" s="4" t="s">
        <v>11700</v>
      </c>
    </row>
    <row r="2573">
      <c r="A2573" s="55" t="s">
        <v>11810</v>
      </c>
      <c r="B2573" s="52" t="s">
        <v>1617</v>
      </c>
      <c r="C2573" s="76">
        <v>45954.520833333336</v>
      </c>
      <c r="D2573" s="7" t="s">
        <v>6318</v>
      </c>
      <c r="E2573" s="76">
        <v>45954.541666666664</v>
      </c>
      <c r="F2573" s="52" t="s">
        <v>11811</v>
      </c>
      <c r="G2573" s="4" t="s">
        <v>110</v>
      </c>
      <c r="H2573" s="4" t="s">
        <v>1987</v>
      </c>
      <c r="K2573" s="4" t="s">
        <v>11812</v>
      </c>
      <c r="L2573" s="4" t="s">
        <v>11813</v>
      </c>
    </row>
    <row r="2574">
      <c r="A2574" s="55" t="s">
        <v>11814</v>
      </c>
      <c r="B2574" s="52" t="s">
        <v>5647</v>
      </c>
      <c r="C2574" s="76">
        <v>45954.458333333336</v>
      </c>
      <c r="D2574" s="7" t="s">
        <v>2147</v>
      </c>
      <c r="E2574" s="76">
        <v>45954.520833333336</v>
      </c>
      <c r="F2574" s="52" t="s">
        <v>11815</v>
      </c>
      <c r="G2574" s="4" t="s">
        <v>110</v>
      </c>
      <c r="H2574" s="4" t="s">
        <v>1987</v>
      </c>
      <c r="K2574" s="4" t="s">
        <v>11816</v>
      </c>
      <c r="L2574" s="4" t="s">
        <v>11817</v>
      </c>
    </row>
    <row r="2575">
      <c r="A2575" s="55" t="s">
        <v>11818</v>
      </c>
      <c r="B2575" s="52" t="s">
        <v>5686</v>
      </c>
      <c r="C2575" s="76">
        <v>45954.5625</v>
      </c>
      <c r="D2575" s="7" t="s">
        <v>6318</v>
      </c>
      <c r="E2575" s="76">
        <v>45954.59375</v>
      </c>
      <c r="F2575" s="52" t="s">
        <v>11819</v>
      </c>
      <c r="G2575" s="4" t="s">
        <v>110</v>
      </c>
      <c r="H2575" s="4" t="s">
        <v>1987</v>
      </c>
      <c r="K2575" s="4" t="s">
        <v>11820</v>
      </c>
      <c r="L2575" s="4" t="s">
        <v>11821</v>
      </c>
    </row>
    <row r="2576">
      <c r="A2576" s="55" t="s">
        <v>11822</v>
      </c>
      <c r="B2576" s="52" t="s">
        <v>1617</v>
      </c>
      <c r="C2576" s="76">
        <v>45954.59375</v>
      </c>
      <c r="D2576" s="7" t="s">
        <v>6318</v>
      </c>
      <c r="E2576" s="76">
        <v>45954.625</v>
      </c>
      <c r="F2576" s="52" t="s">
        <v>11823</v>
      </c>
      <c r="G2576" s="4" t="s">
        <v>110</v>
      </c>
      <c r="H2576" s="4" t="s">
        <v>1987</v>
      </c>
      <c r="K2576" s="4"/>
      <c r="L2576" s="4" t="s">
        <v>11824</v>
      </c>
    </row>
    <row r="2577">
      <c r="A2577" s="55" t="s">
        <v>11825</v>
      </c>
      <c r="B2577" s="52" t="s">
        <v>1649</v>
      </c>
      <c r="C2577" s="76">
        <v>45954.791666666664</v>
      </c>
      <c r="D2577" s="7" t="s">
        <v>2147</v>
      </c>
      <c r="E2577" s="76">
        <v>45954.833333333336</v>
      </c>
      <c r="F2577" s="52" t="s">
        <v>1649</v>
      </c>
      <c r="G2577" s="4" t="s">
        <v>27</v>
      </c>
      <c r="H2577" s="4" t="s">
        <v>1987</v>
      </c>
      <c r="K2577" s="4" t="s">
        <v>11826</v>
      </c>
      <c r="L2577" s="4"/>
    </row>
    <row r="2578">
      <c r="A2578" s="55" t="s">
        <v>11827</v>
      </c>
      <c r="B2578" s="52" t="s">
        <v>5598</v>
      </c>
      <c r="C2578" s="76">
        <v>45957.5625</v>
      </c>
      <c r="D2578" s="7" t="s">
        <v>2148</v>
      </c>
      <c r="E2578" s="76">
        <v>45957.729166666664</v>
      </c>
      <c r="F2578" s="52" t="s">
        <v>11828</v>
      </c>
      <c r="G2578" s="4" t="s">
        <v>135</v>
      </c>
      <c r="H2578" s="4" t="s">
        <v>1987</v>
      </c>
      <c r="K2578" s="4" t="s">
        <v>11829</v>
      </c>
      <c r="L2578" s="4"/>
    </row>
    <row r="2579">
      <c r="A2579" s="55" t="s">
        <v>11830</v>
      </c>
      <c r="B2579" s="52" t="s">
        <v>5625</v>
      </c>
      <c r="C2579" s="76">
        <v>45960.5625</v>
      </c>
      <c r="D2579" s="7" t="s">
        <v>2147</v>
      </c>
      <c r="E2579" s="76">
        <v>45960.625</v>
      </c>
      <c r="F2579" s="52" t="s">
        <v>11831</v>
      </c>
      <c r="G2579" s="4" t="s">
        <v>135</v>
      </c>
      <c r="H2579" s="4" t="s">
        <v>1991</v>
      </c>
      <c r="K2579" s="4" t="s">
        <v>11832</v>
      </c>
      <c r="L2579" s="4" t="s">
        <v>11833</v>
      </c>
    </row>
    <row r="2580">
      <c r="A2580" s="55" t="s">
        <v>11834</v>
      </c>
      <c r="B2580" s="52" t="s">
        <v>5647</v>
      </c>
      <c r="C2580" s="76">
        <v>45957.375</v>
      </c>
      <c r="D2580" s="7" t="s">
        <v>6052</v>
      </c>
      <c r="E2580" s="76">
        <v>45957.604166666664</v>
      </c>
      <c r="F2580" s="52" t="s">
        <v>11835</v>
      </c>
      <c r="G2580" s="4" t="s">
        <v>27</v>
      </c>
      <c r="H2580" s="4" t="s">
        <v>1987</v>
      </c>
      <c r="K2580" s="4" t="s">
        <v>11836</v>
      </c>
      <c r="L2580" s="4"/>
    </row>
    <row r="2581">
      <c r="A2581" s="55" t="s">
        <v>11837</v>
      </c>
      <c r="B2581" s="52" t="s">
        <v>1617</v>
      </c>
      <c r="C2581" s="76">
        <v>45957.333333333336</v>
      </c>
      <c r="D2581" s="7" t="s">
        <v>2148</v>
      </c>
      <c r="E2581" s="76">
        <v>45957.479166666664</v>
      </c>
      <c r="F2581" s="52" t="s">
        <v>11838</v>
      </c>
      <c r="G2581" s="4" t="s">
        <v>110</v>
      </c>
      <c r="H2581" s="4" t="s">
        <v>1987</v>
      </c>
      <c r="K2581" s="4" t="s">
        <v>11839</v>
      </c>
      <c r="L2581" s="4" t="s">
        <v>11840</v>
      </c>
    </row>
    <row r="2582">
      <c r="A2582" s="55" t="s">
        <v>11841</v>
      </c>
      <c r="B2582" s="52" t="s">
        <v>5675</v>
      </c>
      <c r="C2582" s="76">
        <v>45957.5</v>
      </c>
      <c r="D2582" s="7" t="s">
        <v>2200</v>
      </c>
      <c r="E2582" s="76">
        <v>45957.625</v>
      </c>
      <c r="F2582" s="52" t="s">
        <v>11842</v>
      </c>
      <c r="G2582" s="4" t="s">
        <v>110</v>
      </c>
      <c r="H2582" s="4" t="s">
        <v>1987</v>
      </c>
      <c r="K2582" s="4" t="s">
        <v>11843</v>
      </c>
      <c r="L2582" s="4"/>
    </row>
    <row r="2583">
      <c r="A2583" s="55" t="s">
        <v>11844</v>
      </c>
      <c r="B2583" s="52" t="s">
        <v>1617</v>
      </c>
      <c r="C2583" s="76">
        <v>45958.625</v>
      </c>
      <c r="D2583" s="7" t="s">
        <v>2147</v>
      </c>
      <c r="E2583" s="76">
        <v>45958.770833333336</v>
      </c>
      <c r="F2583" s="52" t="s">
        <v>11845</v>
      </c>
      <c r="G2583" s="4" t="s">
        <v>135</v>
      </c>
      <c r="H2583" s="4" t="s">
        <v>1987</v>
      </c>
      <c r="K2583" s="4" t="s">
        <v>11846</v>
      </c>
      <c r="L2583" s="4" t="s">
        <v>11847</v>
      </c>
    </row>
    <row r="2584">
      <c r="A2584" s="55" t="s">
        <v>11848</v>
      </c>
      <c r="B2584" s="52" t="s">
        <v>1617</v>
      </c>
      <c r="C2584" s="76">
        <v>45959.5625</v>
      </c>
      <c r="D2584" s="7" t="s">
        <v>2147</v>
      </c>
      <c r="E2584" s="76">
        <v>45959.770833333336</v>
      </c>
      <c r="F2584" s="52" t="s">
        <v>11845</v>
      </c>
      <c r="G2584" s="4" t="s">
        <v>135</v>
      </c>
      <c r="H2584" s="4" t="s">
        <v>1987</v>
      </c>
      <c r="K2584" s="4" t="s">
        <v>11846</v>
      </c>
      <c r="L2584" s="4" t="s">
        <v>11849</v>
      </c>
    </row>
    <row r="2585">
      <c r="A2585" s="55" t="s">
        <v>11850</v>
      </c>
      <c r="B2585" s="52" t="s">
        <v>5647</v>
      </c>
      <c r="C2585" s="76">
        <v>45957.479166666664</v>
      </c>
      <c r="D2585" s="7" t="s">
        <v>6318</v>
      </c>
      <c r="E2585" s="76">
        <v>45957.5</v>
      </c>
      <c r="F2585" s="52" t="s">
        <v>11815</v>
      </c>
      <c r="G2585" s="4" t="s">
        <v>110</v>
      </c>
      <c r="H2585" s="4" t="s">
        <v>1987</v>
      </c>
      <c r="K2585" s="4"/>
      <c r="L2585" s="4" t="s">
        <v>11851</v>
      </c>
    </row>
    <row r="2586">
      <c r="A2586" s="55" t="s">
        <v>11852</v>
      </c>
      <c r="B2586" s="52" t="s">
        <v>1649</v>
      </c>
      <c r="C2586" s="76">
        <v>45957.645833333336</v>
      </c>
      <c r="D2586" s="7" t="s">
        <v>2147</v>
      </c>
      <c r="E2586" s="76">
        <v>45957.666666666664</v>
      </c>
      <c r="F2586" s="52" t="s">
        <v>11853</v>
      </c>
      <c r="G2586" s="4" t="s">
        <v>27</v>
      </c>
      <c r="H2586" s="4" t="s">
        <v>1987</v>
      </c>
      <c r="K2586" s="4" t="s">
        <v>11854</v>
      </c>
      <c r="L2586" s="4"/>
    </row>
    <row r="2587">
      <c r="A2587" s="55" t="s">
        <v>11855</v>
      </c>
      <c r="B2587" s="52" t="s">
        <v>5647</v>
      </c>
      <c r="C2587" s="76">
        <v>45957.75</v>
      </c>
      <c r="D2587" s="7" t="s">
        <v>2200</v>
      </c>
      <c r="E2587" s="76">
        <v>45957.875</v>
      </c>
      <c r="F2587" s="52" t="s">
        <v>11856</v>
      </c>
      <c r="G2587" s="4" t="s">
        <v>27</v>
      </c>
      <c r="H2587" s="4" t="s">
        <v>1987</v>
      </c>
      <c r="K2587" s="4" t="s">
        <v>11857</v>
      </c>
      <c r="L2587" s="4"/>
    </row>
    <row r="2588">
      <c r="A2588" s="55" t="s">
        <v>11858</v>
      </c>
      <c r="B2588" s="52" t="s">
        <v>5675</v>
      </c>
      <c r="C2588" s="76">
        <v>45958.291666666664</v>
      </c>
      <c r="D2588" s="7" t="s">
        <v>2154</v>
      </c>
      <c r="E2588" s="76">
        <v>45958.375</v>
      </c>
      <c r="F2588" s="52" t="s">
        <v>11859</v>
      </c>
      <c r="G2588" s="4" t="s">
        <v>110</v>
      </c>
      <c r="H2588" s="4" t="s">
        <v>1987</v>
      </c>
      <c r="K2588" s="4" t="s">
        <v>11860</v>
      </c>
      <c r="L2588" s="4" t="s">
        <v>11861</v>
      </c>
    </row>
    <row r="2589">
      <c r="A2589" s="55" t="s">
        <v>11862</v>
      </c>
      <c r="B2589" s="52" t="s">
        <v>5647</v>
      </c>
      <c r="C2589" s="76">
        <v>45958.4375</v>
      </c>
      <c r="D2589" s="7" t="s">
        <v>2147</v>
      </c>
      <c r="E2589" s="76">
        <v>45958.479166666664</v>
      </c>
      <c r="F2589" s="52" t="s">
        <v>11815</v>
      </c>
      <c r="G2589" s="4" t="s">
        <v>110</v>
      </c>
      <c r="H2589" s="4" t="s">
        <v>1987</v>
      </c>
      <c r="K2589" s="4" t="s">
        <v>11863</v>
      </c>
      <c r="L2589" s="4" t="s">
        <v>11864</v>
      </c>
    </row>
    <row r="2590">
      <c r="A2590" s="55" t="s">
        <v>11865</v>
      </c>
      <c r="B2590" s="52" t="s">
        <v>5675</v>
      </c>
      <c r="C2590" s="76">
        <v>45958.375</v>
      </c>
      <c r="D2590" s="7" t="s">
        <v>2147</v>
      </c>
      <c r="E2590" s="76">
        <v>45958.4375</v>
      </c>
      <c r="F2590" s="52" t="s">
        <v>6189</v>
      </c>
      <c r="G2590" s="4" t="s">
        <v>110</v>
      </c>
      <c r="H2590" s="4" t="s">
        <v>1991</v>
      </c>
      <c r="K2590" s="4" t="s">
        <v>11866</v>
      </c>
      <c r="L2590" s="4"/>
    </row>
    <row r="2591">
      <c r="A2591" s="55" t="s">
        <v>11867</v>
      </c>
      <c r="B2591" s="52" t="s">
        <v>5675</v>
      </c>
      <c r="C2591" s="76">
        <v>45958.479166666664</v>
      </c>
      <c r="D2591" s="7" t="s">
        <v>2147</v>
      </c>
      <c r="E2591" s="76">
        <v>45958.53125</v>
      </c>
      <c r="F2591" s="52" t="s">
        <v>11868</v>
      </c>
      <c r="G2591" s="4" t="s">
        <v>110</v>
      </c>
      <c r="H2591" s="4" t="s">
        <v>1987</v>
      </c>
      <c r="K2591" s="4" t="s">
        <v>11869</v>
      </c>
      <c r="L2591" s="4"/>
    </row>
    <row r="2592">
      <c r="A2592" s="55" t="s">
        <v>11870</v>
      </c>
      <c r="B2592" s="52" t="s">
        <v>1617</v>
      </c>
      <c r="C2592" s="76">
        <v>45958.53125</v>
      </c>
      <c r="D2592" s="7" t="s">
        <v>6318</v>
      </c>
      <c r="E2592" s="76">
        <v>45958.541666666664</v>
      </c>
      <c r="F2592" s="52" t="s">
        <v>11871</v>
      </c>
      <c r="G2592" s="4" t="s">
        <v>135</v>
      </c>
      <c r="H2592" s="4" t="s">
        <v>1987</v>
      </c>
      <c r="K2592" s="4" t="s">
        <v>11872</v>
      </c>
      <c r="L2592" s="4"/>
    </row>
    <row r="2593">
      <c r="A2593" s="55" t="s">
        <v>11873</v>
      </c>
      <c r="B2593" s="52" t="s">
        <v>1617</v>
      </c>
      <c r="C2593" s="76">
        <v>45958.53125</v>
      </c>
      <c r="D2593" s="7" t="s">
        <v>6318</v>
      </c>
      <c r="E2593" s="76">
        <v>45958.541666666664</v>
      </c>
      <c r="F2593" s="52" t="s">
        <v>11874</v>
      </c>
      <c r="G2593" s="4" t="s">
        <v>110</v>
      </c>
      <c r="H2593" s="4" t="s">
        <v>1987</v>
      </c>
      <c r="K2593" s="4" t="s">
        <v>11875</v>
      </c>
      <c r="L2593" s="4"/>
    </row>
    <row r="2594">
      <c r="A2594" s="55" t="s">
        <v>11876</v>
      </c>
      <c r="B2594" s="52" t="s">
        <v>5647</v>
      </c>
      <c r="C2594" s="76">
        <v>45958.375</v>
      </c>
      <c r="D2594" s="7" t="s">
        <v>6052</v>
      </c>
      <c r="E2594" s="76">
        <v>45958.458333333336</v>
      </c>
      <c r="F2594" s="52" t="s">
        <v>11835</v>
      </c>
      <c r="G2594" s="4" t="s">
        <v>27</v>
      </c>
      <c r="H2594" s="4" t="s">
        <v>1987</v>
      </c>
      <c r="K2594" s="4" t="s">
        <v>11877</v>
      </c>
      <c r="L2594" s="4"/>
    </row>
    <row r="2595">
      <c r="A2595" s="55" t="s">
        <v>11878</v>
      </c>
      <c r="B2595" s="52" t="s">
        <v>1611</v>
      </c>
      <c r="C2595" s="76">
        <v>45959.541666666664</v>
      </c>
      <c r="D2595" s="7" t="s">
        <v>2147</v>
      </c>
      <c r="E2595" s="76">
        <v>45959.625</v>
      </c>
      <c r="F2595" s="52" t="s">
        <v>11507</v>
      </c>
      <c r="G2595" s="4" t="s">
        <v>27</v>
      </c>
      <c r="H2595" s="4" t="s">
        <v>1991</v>
      </c>
      <c r="K2595" s="4" t="s">
        <v>11879</v>
      </c>
      <c r="L2595" s="4" t="s">
        <v>11880</v>
      </c>
    </row>
    <row r="2596">
      <c r="A2596" s="55" t="s">
        <v>11881</v>
      </c>
      <c r="B2596" s="52" t="s">
        <v>5647</v>
      </c>
      <c r="C2596" s="76">
        <v>45960.375</v>
      </c>
      <c r="D2596" s="7" t="s">
        <v>2147</v>
      </c>
      <c r="E2596" s="76">
        <v>45960.5</v>
      </c>
      <c r="F2596" s="52" t="s">
        <v>11882</v>
      </c>
      <c r="G2596" s="4" t="s">
        <v>27</v>
      </c>
      <c r="H2596" s="4" t="s">
        <v>1991</v>
      </c>
      <c r="K2596" s="4" t="s">
        <v>11883</v>
      </c>
      <c r="L2596" s="4" t="s">
        <v>11884</v>
      </c>
    </row>
    <row r="2597">
      <c r="A2597" s="55" t="s">
        <v>11885</v>
      </c>
      <c r="B2597" s="52" t="s">
        <v>5656</v>
      </c>
      <c r="C2597" s="76">
        <v>45958.520833333336</v>
      </c>
      <c r="D2597" s="7" t="s">
        <v>6052</v>
      </c>
      <c r="E2597" s="76">
        <v>45958.75</v>
      </c>
      <c r="F2597" s="52" t="s">
        <v>7424</v>
      </c>
      <c r="G2597" s="4" t="s">
        <v>27</v>
      </c>
      <c r="H2597" s="4" t="s">
        <v>1987</v>
      </c>
      <c r="K2597" s="4" t="s">
        <v>11886</v>
      </c>
      <c r="L2597" s="4" t="s">
        <v>11887</v>
      </c>
    </row>
    <row r="2598">
      <c r="A2598" s="55" t="s">
        <v>11888</v>
      </c>
      <c r="B2598" s="52" t="s">
        <v>5625</v>
      </c>
      <c r="C2598" s="76">
        <v>45958.5625</v>
      </c>
      <c r="D2598" s="7" t="s">
        <v>2147</v>
      </c>
      <c r="E2598" s="76">
        <v>45958.625</v>
      </c>
      <c r="F2598" s="52" t="s">
        <v>11889</v>
      </c>
      <c r="G2598" s="4" t="s">
        <v>135</v>
      </c>
      <c r="H2598" s="4" t="s">
        <v>1987</v>
      </c>
      <c r="K2598" s="4" t="s">
        <v>11890</v>
      </c>
      <c r="L2598" s="4"/>
    </row>
    <row r="2599">
      <c r="A2599" s="55" t="s">
        <v>11891</v>
      </c>
      <c r="B2599" s="52" t="s">
        <v>5675</v>
      </c>
      <c r="C2599" s="76">
        <v>45960.354166666664</v>
      </c>
      <c r="D2599" s="7" t="s">
        <v>6318</v>
      </c>
      <c r="E2599" s="76">
        <v>45960.395833333336</v>
      </c>
      <c r="F2599" s="52" t="s">
        <v>11892</v>
      </c>
      <c r="G2599" s="4" t="s">
        <v>110</v>
      </c>
      <c r="H2599" s="4" t="s">
        <v>1991</v>
      </c>
      <c r="K2599" s="4" t="s">
        <v>11893</v>
      </c>
      <c r="L2599" s="4" t="s">
        <v>11894</v>
      </c>
    </row>
    <row r="2600">
      <c r="A2600" s="55"/>
      <c r="B2600" s="52"/>
      <c r="C2600" s="76"/>
      <c r="D2600" s="4"/>
      <c r="E2600" s="76"/>
      <c r="F2600" s="52"/>
      <c r="G2600" s="4"/>
      <c r="H2600" s="4"/>
      <c r="K2600" s="4"/>
      <c r="L2600" s="4"/>
    </row>
    <row r="2601">
      <c r="A2601" s="55" t="s">
        <v>11895</v>
      </c>
      <c r="B2601" s="52" t="s">
        <v>5675</v>
      </c>
      <c r="C2601" s="76">
        <v>45960.333333333336</v>
      </c>
      <c r="D2601" s="7" t="s">
        <v>6318</v>
      </c>
      <c r="E2601" s="76">
        <v>45960.354166666664</v>
      </c>
      <c r="F2601" s="52" t="s">
        <v>11702</v>
      </c>
      <c r="G2601" s="4" t="s">
        <v>110</v>
      </c>
      <c r="H2601" s="4" t="s">
        <v>1987</v>
      </c>
      <c r="K2601" s="4" t="s">
        <v>11896</v>
      </c>
      <c r="L2601" s="4" t="s">
        <v>11897</v>
      </c>
    </row>
    <row r="2602">
      <c r="A2602" s="55" t="s">
        <v>11898</v>
      </c>
      <c r="B2602" s="52" t="s">
        <v>5647</v>
      </c>
      <c r="C2602" s="76">
        <v>45959.666666666664</v>
      </c>
      <c r="D2602" s="7" t="s">
        <v>2147</v>
      </c>
      <c r="E2602" s="76">
        <v>45959.833333333336</v>
      </c>
      <c r="F2602" s="52" t="s">
        <v>11899</v>
      </c>
      <c r="G2602" s="4" t="s">
        <v>27</v>
      </c>
      <c r="H2602" s="4" t="s">
        <v>1987</v>
      </c>
      <c r="K2602" s="4" t="s">
        <v>11900</v>
      </c>
      <c r="L2602" s="4"/>
    </row>
    <row r="2603">
      <c r="A2603" s="55" t="s">
        <v>11901</v>
      </c>
      <c r="B2603" s="52" t="s">
        <v>5647</v>
      </c>
      <c r="C2603" s="76">
        <v>45960.458333333336</v>
      </c>
      <c r="D2603" s="7" t="s">
        <v>2147</v>
      </c>
      <c r="E2603" s="76">
        <v>45960.510416666664</v>
      </c>
      <c r="F2603" s="52" t="s">
        <v>11902</v>
      </c>
      <c r="G2603" s="4" t="s">
        <v>110</v>
      </c>
      <c r="H2603" s="4" t="s">
        <v>1991</v>
      </c>
      <c r="K2603" s="4" t="s">
        <v>11903</v>
      </c>
      <c r="L2603" s="4" t="s">
        <v>11904</v>
      </c>
    </row>
    <row r="2604">
      <c r="A2604" s="66" t="s">
        <v>11905</v>
      </c>
      <c r="B2604" s="52" t="s">
        <v>5647</v>
      </c>
      <c r="C2604" s="76">
        <v>45960.395833333336</v>
      </c>
      <c r="D2604" s="7" t="s">
        <v>2154</v>
      </c>
      <c r="E2604" s="76">
        <v>45960.458333333336</v>
      </c>
      <c r="F2604" s="52" t="s">
        <v>11906</v>
      </c>
      <c r="G2604" s="4" t="s">
        <v>110</v>
      </c>
      <c r="H2604" s="4" t="s">
        <v>1987</v>
      </c>
      <c r="K2604" s="4" t="s">
        <v>11907</v>
      </c>
      <c r="L2604" s="4" t="s">
        <v>11908</v>
      </c>
    </row>
    <row r="2605">
      <c r="A2605" s="55" t="s">
        <v>11909</v>
      </c>
      <c r="B2605" s="52" t="s">
        <v>5628</v>
      </c>
      <c r="C2605" s="76">
        <v>45965.375</v>
      </c>
      <c r="D2605" s="7" t="s">
        <v>6052</v>
      </c>
      <c r="E2605" s="76">
        <v>45965.552083333336</v>
      </c>
      <c r="F2605" s="52" t="s">
        <v>11910</v>
      </c>
      <c r="G2605" s="4" t="s">
        <v>110</v>
      </c>
      <c r="H2605" s="4" t="s">
        <v>1987</v>
      </c>
      <c r="K2605" s="4" t="s">
        <v>11911</v>
      </c>
      <c r="L2605" s="4" t="s">
        <v>11912</v>
      </c>
    </row>
    <row r="2606">
      <c r="A2606" s="55" t="s">
        <v>11913</v>
      </c>
      <c r="B2606" s="52" t="s">
        <v>5675</v>
      </c>
      <c r="C2606" s="76">
        <v>45960.510416666664</v>
      </c>
      <c r="D2606" s="7" t="s">
        <v>2154</v>
      </c>
      <c r="E2606" s="76">
        <v>45960.583333333336</v>
      </c>
      <c r="F2606" s="52" t="s">
        <v>11914</v>
      </c>
      <c r="G2606" s="4" t="s">
        <v>110</v>
      </c>
      <c r="H2606" s="4" t="s">
        <v>1987</v>
      </c>
      <c r="K2606" s="4" t="s">
        <v>11915</v>
      </c>
      <c r="L2606" s="4" t="s">
        <v>11916</v>
      </c>
    </row>
    <row r="2607">
      <c r="A2607" s="55" t="s">
        <v>11917</v>
      </c>
      <c r="B2607" s="52" t="s">
        <v>5675</v>
      </c>
      <c r="C2607" s="76">
        <v>45961.333333333336</v>
      </c>
      <c r="D2607" s="7" t="s">
        <v>2154</v>
      </c>
      <c r="E2607" s="76">
        <v>45961.458333333336</v>
      </c>
      <c r="F2607" s="52" t="s">
        <v>11914</v>
      </c>
      <c r="G2607" s="4" t="s">
        <v>110</v>
      </c>
      <c r="H2607" s="4" t="s">
        <v>1987</v>
      </c>
      <c r="K2607" s="4" t="s">
        <v>11896</v>
      </c>
      <c r="L2607" s="4" t="s">
        <v>11918</v>
      </c>
    </row>
    <row r="2608">
      <c r="A2608" s="55" t="s">
        <v>11919</v>
      </c>
      <c r="B2608" s="52" t="s">
        <v>1611</v>
      </c>
      <c r="C2608" s="76">
        <v>45960.52013888889</v>
      </c>
      <c r="D2608" s="7" t="s">
        <v>2147</v>
      </c>
      <c r="E2608" s="76">
        <v>45960.56180555555</v>
      </c>
      <c r="F2608" s="52" t="s">
        <v>11920</v>
      </c>
      <c r="G2608" s="4" t="s">
        <v>27</v>
      </c>
      <c r="H2608" s="4" t="s">
        <v>1987</v>
      </c>
      <c r="K2608" s="4" t="s">
        <v>11921</v>
      </c>
      <c r="L2608" s="4"/>
    </row>
    <row r="2609">
      <c r="A2609" s="55" t="s">
        <v>11922</v>
      </c>
      <c r="B2609" s="52" t="s">
        <v>5598</v>
      </c>
      <c r="C2609" s="76">
        <v>45960.625</v>
      </c>
      <c r="D2609" s="7" t="s">
        <v>2147</v>
      </c>
      <c r="E2609" s="76">
        <v>45960.708333333336</v>
      </c>
      <c r="F2609" s="52" t="s">
        <v>11923</v>
      </c>
      <c r="G2609" s="4" t="s">
        <v>135</v>
      </c>
      <c r="H2609" s="4" t="s">
        <v>1987</v>
      </c>
      <c r="K2609" s="4" t="s">
        <v>11924</v>
      </c>
      <c r="L2609" s="4" t="s">
        <v>11925</v>
      </c>
    </row>
    <row r="2610">
      <c r="A2610" s="55" t="s">
        <v>11926</v>
      </c>
      <c r="B2610" s="52" t="s">
        <v>1516</v>
      </c>
      <c r="C2610" s="76">
        <v>45961.395833333336</v>
      </c>
      <c r="D2610" s="7" t="s">
        <v>2154</v>
      </c>
      <c r="E2610" s="76">
        <v>45961.416666666664</v>
      </c>
      <c r="F2610" s="52" t="s">
        <v>11927</v>
      </c>
      <c r="G2610" s="4" t="s">
        <v>27</v>
      </c>
      <c r="H2610" s="4" t="s">
        <v>1987</v>
      </c>
      <c r="K2610" s="4" t="s">
        <v>11928</v>
      </c>
      <c r="L2610" s="4" t="s">
        <v>11929</v>
      </c>
    </row>
    <row r="2611">
      <c r="A2611" s="55" t="s">
        <v>11930</v>
      </c>
      <c r="B2611" s="52" t="s">
        <v>5678</v>
      </c>
      <c r="C2611" s="76">
        <v>45960.708333333336</v>
      </c>
      <c r="D2611" s="7" t="s">
        <v>6318</v>
      </c>
      <c r="E2611" s="76">
        <v>45960.729166666664</v>
      </c>
      <c r="F2611" s="52" t="s">
        <v>11931</v>
      </c>
      <c r="G2611" s="4" t="s">
        <v>135</v>
      </c>
      <c r="H2611" s="4" t="s">
        <v>1987</v>
      </c>
      <c r="K2611" s="4" t="s">
        <v>11932</v>
      </c>
      <c r="L2611" s="4"/>
    </row>
    <row r="2612">
      <c r="A2612" s="55" t="s">
        <v>11933</v>
      </c>
      <c r="B2612" s="52" t="s">
        <v>1617</v>
      </c>
      <c r="C2612" s="76">
        <v>45961.458333333336</v>
      </c>
      <c r="D2612" s="7" t="s">
        <v>2200</v>
      </c>
      <c r="E2612" s="76">
        <v>45961.583333333336</v>
      </c>
      <c r="F2612" s="52" t="s">
        <v>11934</v>
      </c>
      <c r="G2612" s="4" t="s">
        <v>110</v>
      </c>
      <c r="H2612" s="4" t="s">
        <v>1987</v>
      </c>
      <c r="K2612" s="4"/>
      <c r="L2612" s="4" t="s">
        <v>11935</v>
      </c>
    </row>
    <row r="2613">
      <c r="A2613" s="55" t="s">
        <v>11936</v>
      </c>
      <c r="B2613" s="52" t="s">
        <v>5598</v>
      </c>
      <c r="C2613" s="76">
        <v>45961.645833333336</v>
      </c>
      <c r="D2613" s="7" t="s">
        <v>6318</v>
      </c>
      <c r="E2613" s="76">
        <v>45961.6875</v>
      </c>
      <c r="F2613" s="52" t="s">
        <v>11937</v>
      </c>
      <c r="G2613" s="4" t="s">
        <v>135</v>
      </c>
      <c r="H2613" s="4" t="s">
        <v>1991</v>
      </c>
      <c r="K2613" s="4" t="s">
        <v>11938</v>
      </c>
      <c r="L2613" s="4" t="s">
        <v>11939</v>
      </c>
    </row>
    <row r="2614">
      <c r="A2614" s="55" t="s">
        <v>11940</v>
      </c>
      <c r="B2614" s="52" t="s">
        <v>1617</v>
      </c>
      <c r="C2614" s="76">
        <v>45961.5625</v>
      </c>
      <c r="D2614" s="7" t="s">
        <v>6318</v>
      </c>
      <c r="E2614" s="76">
        <v>45961.645833333336</v>
      </c>
      <c r="F2614" s="52" t="s">
        <v>11941</v>
      </c>
      <c r="G2614" s="4" t="s">
        <v>135</v>
      </c>
      <c r="H2614" s="4" t="s">
        <v>1987</v>
      </c>
      <c r="K2614" s="4" t="s">
        <v>11942</v>
      </c>
      <c r="L2614" s="4" t="s">
        <v>11943</v>
      </c>
    </row>
    <row r="2615">
      <c r="A2615" s="55" t="s">
        <v>11944</v>
      </c>
      <c r="B2615" s="52" t="s">
        <v>5678</v>
      </c>
      <c r="C2615" s="76">
        <v>45961.6875</v>
      </c>
      <c r="D2615" s="7" t="s">
        <v>6318</v>
      </c>
      <c r="E2615" s="76">
        <v>45961.729166666664</v>
      </c>
      <c r="F2615" s="52" t="s">
        <v>11945</v>
      </c>
      <c r="G2615" s="4" t="s">
        <v>135</v>
      </c>
      <c r="H2615" s="4" t="s">
        <v>1987</v>
      </c>
      <c r="K2615" s="4" t="s">
        <v>11946</v>
      </c>
      <c r="L2615" s="4" t="s">
        <v>11947</v>
      </c>
    </row>
    <row r="2616">
      <c r="A2616" s="55" t="s">
        <v>11948</v>
      </c>
      <c r="B2616" s="52" t="s">
        <v>5625</v>
      </c>
      <c r="C2616" s="76">
        <v>45964.6875</v>
      </c>
      <c r="D2616" s="7" t="s">
        <v>2148</v>
      </c>
      <c r="E2616" s="76">
        <v>45964.729166666664</v>
      </c>
      <c r="F2616" s="52" t="s">
        <v>11949</v>
      </c>
      <c r="G2616" s="4" t="s">
        <v>135</v>
      </c>
      <c r="H2616" s="4" t="s">
        <v>1987</v>
      </c>
      <c r="K2616" s="4" t="s">
        <v>11950</v>
      </c>
      <c r="L2616" s="4" t="s">
        <v>11951</v>
      </c>
    </row>
    <row r="2617">
      <c r="A2617" s="55" t="s">
        <v>11952</v>
      </c>
      <c r="B2617" s="52" t="s">
        <v>5675</v>
      </c>
      <c r="C2617" s="76">
        <v>45965.354166666664</v>
      </c>
      <c r="D2617" s="7" t="s">
        <v>6318</v>
      </c>
      <c r="E2617" s="76">
        <v>45965.375</v>
      </c>
      <c r="F2617" s="52" t="s">
        <v>11953</v>
      </c>
      <c r="G2617" s="4" t="s">
        <v>110</v>
      </c>
      <c r="H2617" s="4" t="s">
        <v>1991</v>
      </c>
      <c r="K2617" s="4" t="s">
        <v>11954</v>
      </c>
      <c r="L2617" s="4"/>
    </row>
    <row r="2618">
      <c r="A2618" s="66" t="s">
        <v>11955</v>
      </c>
      <c r="B2618" s="52" t="s">
        <v>5729</v>
      </c>
      <c r="C2618" s="76">
        <v>45964.333333333336</v>
      </c>
      <c r="D2618" s="7" t="s">
        <v>2147</v>
      </c>
      <c r="E2618" s="76">
        <v>45964.375</v>
      </c>
      <c r="F2618" s="52" t="s">
        <v>11956</v>
      </c>
      <c r="G2618" s="4" t="s">
        <v>110</v>
      </c>
      <c r="H2618" s="4" t="s">
        <v>1987</v>
      </c>
      <c r="K2618" s="4" t="s">
        <v>11957</v>
      </c>
      <c r="L2618" s="4"/>
    </row>
    <row r="2619">
      <c r="A2619" s="55" t="s">
        <v>11958</v>
      </c>
      <c r="B2619" s="52" t="s">
        <v>5628</v>
      </c>
      <c r="C2619" s="76">
        <v>45964.375</v>
      </c>
      <c r="D2619" s="7" t="s">
        <v>6052</v>
      </c>
      <c r="E2619" s="76">
        <v>45964.583333333336</v>
      </c>
      <c r="F2619" s="52" t="s">
        <v>11959</v>
      </c>
      <c r="G2619" s="4" t="s">
        <v>110</v>
      </c>
      <c r="H2619" s="4" t="s">
        <v>1987</v>
      </c>
      <c r="K2619" s="4" t="s">
        <v>11960</v>
      </c>
      <c r="L2619" s="4"/>
    </row>
    <row r="2620">
      <c r="A2620" s="55" t="s">
        <v>11961</v>
      </c>
      <c r="B2620" s="52" t="s">
        <v>5675</v>
      </c>
      <c r="C2620" s="76">
        <v>45965.333333333336</v>
      </c>
      <c r="D2620" s="7" t="s">
        <v>6318</v>
      </c>
      <c r="E2620" s="76">
        <v>45965.354166666664</v>
      </c>
      <c r="F2620" s="52" t="s">
        <v>11962</v>
      </c>
      <c r="G2620" s="4" t="s">
        <v>110</v>
      </c>
      <c r="H2620" s="4" t="s">
        <v>1987</v>
      </c>
      <c r="K2620" s="4" t="s">
        <v>11963</v>
      </c>
      <c r="L2620" s="4"/>
    </row>
    <row r="2621">
      <c r="A2621" s="55" t="s">
        <v>11964</v>
      </c>
      <c r="B2621" s="52" t="s">
        <v>5686</v>
      </c>
      <c r="C2621" s="76">
        <v>45966.333333333336</v>
      </c>
      <c r="D2621" s="7" t="s">
        <v>6052</v>
      </c>
      <c r="E2621" s="76">
        <v>45966.541666666664</v>
      </c>
      <c r="F2621" s="52" t="s">
        <v>11965</v>
      </c>
      <c r="G2621" s="4" t="s">
        <v>110</v>
      </c>
      <c r="H2621" s="4" t="s">
        <v>1987</v>
      </c>
      <c r="K2621" s="4" t="s">
        <v>11911</v>
      </c>
      <c r="L2621" s="4" t="s">
        <v>11966</v>
      </c>
    </row>
    <row r="2622">
      <c r="A2622" s="55" t="s">
        <v>11967</v>
      </c>
      <c r="B2622" s="52" t="s">
        <v>5686</v>
      </c>
      <c r="C2622" s="76">
        <v>45967.4375</v>
      </c>
      <c r="D2622" s="7" t="s">
        <v>2154</v>
      </c>
      <c r="E2622" s="76">
        <v>45967.520833333336</v>
      </c>
      <c r="F2622" s="52" t="s">
        <v>11965</v>
      </c>
      <c r="G2622" s="4" t="s">
        <v>110</v>
      </c>
      <c r="H2622" s="4" t="s">
        <v>1987</v>
      </c>
      <c r="K2622" s="4" t="s">
        <v>11968</v>
      </c>
      <c r="L2622" s="4" t="s">
        <v>11969</v>
      </c>
    </row>
    <row r="2623">
      <c r="A2623" s="55" t="s">
        <v>11970</v>
      </c>
      <c r="B2623" s="52" t="s">
        <v>5628</v>
      </c>
      <c r="C2623" s="76">
        <v>45968.5</v>
      </c>
      <c r="D2623" s="7" t="s">
        <v>2154</v>
      </c>
      <c r="E2623" s="76">
        <v>45968.5625</v>
      </c>
      <c r="F2623" s="52" t="s">
        <v>11971</v>
      </c>
      <c r="G2623" s="4" t="s">
        <v>110</v>
      </c>
      <c r="H2623" s="4" t="s">
        <v>1987</v>
      </c>
      <c r="K2623" s="4"/>
      <c r="L2623" s="4" t="s">
        <v>11972</v>
      </c>
    </row>
    <row r="2624">
      <c r="A2624" s="55" t="s">
        <v>11973</v>
      </c>
      <c r="B2624" s="52" t="s">
        <v>5729</v>
      </c>
      <c r="C2624" s="76">
        <v>45971.333333333336</v>
      </c>
      <c r="D2624" s="7" t="s">
        <v>6052</v>
      </c>
      <c r="E2624" s="76">
        <v>45971.5625</v>
      </c>
      <c r="F2624" s="52" t="s">
        <v>11974</v>
      </c>
      <c r="G2624" s="4" t="s">
        <v>110</v>
      </c>
      <c r="H2624" s="4" t="s">
        <v>1987</v>
      </c>
      <c r="K2624" s="4" t="s">
        <v>11975</v>
      </c>
      <c r="L2624" s="4" t="s">
        <v>11976</v>
      </c>
    </row>
    <row r="2625">
      <c r="A2625" s="55" t="s">
        <v>11977</v>
      </c>
      <c r="B2625" s="52" t="s">
        <v>5729</v>
      </c>
      <c r="C2625" s="76">
        <v>45972.333333333336</v>
      </c>
      <c r="D2625" s="7" t="s">
        <v>6052</v>
      </c>
      <c r="E2625" s="76">
        <v>45972.583333333336</v>
      </c>
      <c r="F2625" s="52" t="s">
        <v>11974</v>
      </c>
      <c r="G2625" s="4" t="s">
        <v>110</v>
      </c>
      <c r="H2625" s="4" t="s">
        <v>1987</v>
      </c>
      <c r="K2625" s="4" t="s">
        <v>11978</v>
      </c>
      <c r="L2625" s="4"/>
    </row>
    <row r="2626">
      <c r="A2626" s="55" t="s">
        <v>11961</v>
      </c>
      <c r="B2626" s="52" t="s">
        <v>5675</v>
      </c>
      <c r="C2626" s="76">
        <v>45962.333333333336</v>
      </c>
      <c r="D2626" s="7" t="s">
        <v>6318</v>
      </c>
      <c r="E2626" s="76">
        <v>45963.416666666664</v>
      </c>
      <c r="F2626" s="52" t="s">
        <v>11979</v>
      </c>
      <c r="G2626" s="4" t="s">
        <v>27</v>
      </c>
      <c r="H2626" s="4" t="s">
        <v>1987</v>
      </c>
      <c r="K2626" s="4" t="s">
        <v>11963</v>
      </c>
      <c r="L2626" s="4"/>
    </row>
    <row r="2627">
      <c r="A2627" s="68" t="s">
        <v>10726</v>
      </c>
      <c r="B2627" s="69" t="s">
        <v>5675</v>
      </c>
      <c r="C2627" s="70">
        <v>45962.0</v>
      </c>
      <c r="D2627" s="71"/>
      <c r="E2627" s="70">
        <v>45962.083333333336</v>
      </c>
      <c r="F2627" s="69" t="s">
        <v>10321</v>
      </c>
      <c r="G2627" s="72" t="s">
        <v>5795</v>
      </c>
      <c r="H2627" s="4"/>
      <c r="K2627" s="4"/>
      <c r="L2627" s="4"/>
    </row>
    <row r="2628">
      <c r="A2628" s="68" t="s">
        <v>10727</v>
      </c>
      <c r="B2628" s="52" t="s">
        <v>5625</v>
      </c>
      <c r="C2628" s="70">
        <v>45962.0</v>
      </c>
      <c r="D2628" s="71"/>
      <c r="E2628" s="70">
        <v>45962.166666666664</v>
      </c>
      <c r="F2628" s="69" t="s">
        <v>10321</v>
      </c>
      <c r="G2628" s="72" t="s">
        <v>5795</v>
      </c>
      <c r="H2628" s="4"/>
      <c r="K2628" s="4"/>
      <c r="L2628" s="4"/>
    </row>
    <row r="2629">
      <c r="A2629" s="68" t="s">
        <v>10728</v>
      </c>
      <c r="B2629" s="69" t="s">
        <v>5598</v>
      </c>
      <c r="C2629" s="70">
        <v>45962.0</v>
      </c>
      <c r="D2629" s="71"/>
      <c r="E2629" s="70">
        <v>45962.333333333336</v>
      </c>
      <c r="F2629" s="69" t="s">
        <v>10321</v>
      </c>
      <c r="G2629" s="72" t="s">
        <v>5795</v>
      </c>
      <c r="H2629" s="4"/>
      <c r="K2629" s="4"/>
      <c r="L2629" s="4"/>
    </row>
    <row r="2630">
      <c r="A2630" s="68" t="s">
        <v>10731</v>
      </c>
      <c r="B2630" s="69" t="s">
        <v>5656</v>
      </c>
      <c r="C2630" s="75">
        <v>45962.0</v>
      </c>
      <c r="D2630" s="74"/>
      <c r="E2630" s="75">
        <v>45962.333333333336</v>
      </c>
      <c r="F2630" s="69" t="s">
        <v>10321</v>
      </c>
      <c r="G2630" s="72" t="s">
        <v>5795</v>
      </c>
      <c r="H2630" s="4"/>
      <c r="K2630" s="4"/>
      <c r="L2630" s="4"/>
    </row>
    <row r="2631">
      <c r="A2631" s="68" t="s">
        <v>10732</v>
      </c>
      <c r="B2631" s="69" t="s">
        <v>1540</v>
      </c>
      <c r="C2631" s="75">
        <v>45962.0</v>
      </c>
      <c r="D2631" s="74"/>
      <c r="E2631" s="75">
        <v>45962.041666666664</v>
      </c>
      <c r="F2631" s="69" t="s">
        <v>10321</v>
      </c>
      <c r="G2631" s="72" t="s">
        <v>5795</v>
      </c>
      <c r="H2631" s="4"/>
      <c r="K2631" s="4"/>
      <c r="L2631" s="4"/>
    </row>
    <row r="2632">
      <c r="A2632" s="68" t="s">
        <v>11980</v>
      </c>
      <c r="B2632" s="69" t="s">
        <v>5729</v>
      </c>
      <c r="C2632" s="75">
        <v>45962.0</v>
      </c>
      <c r="D2632" s="74"/>
      <c r="E2632" s="75">
        <v>45962.041666666664</v>
      </c>
      <c r="F2632" s="69" t="s">
        <v>10321</v>
      </c>
      <c r="G2632" s="72" t="s">
        <v>5795</v>
      </c>
      <c r="H2632" s="4"/>
      <c r="K2632" s="4"/>
      <c r="L2632" s="4"/>
    </row>
    <row r="2633">
      <c r="A2633" s="55" t="s">
        <v>11981</v>
      </c>
      <c r="B2633" s="52" t="s">
        <v>1649</v>
      </c>
      <c r="C2633" s="76">
        <v>45964.489583333336</v>
      </c>
      <c r="D2633" s="7" t="s">
        <v>2147</v>
      </c>
      <c r="E2633" s="76">
        <v>45964.53125</v>
      </c>
      <c r="F2633" s="52" t="s">
        <v>11982</v>
      </c>
      <c r="G2633" s="4" t="s">
        <v>27</v>
      </c>
      <c r="H2633" s="4" t="s">
        <v>1987</v>
      </c>
      <c r="K2633" s="4"/>
      <c r="L2633" s="4" t="s">
        <v>11983</v>
      </c>
    </row>
    <row r="2634">
      <c r="A2634" s="55" t="s">
        <v>11984</v>
      </c>
      <c r="B2634" s="52" t="s">
        <v>5678</v>
      </c>
      <c r="C2634" s="76">
        <v>45964.666666666664</v>
      </c>
      <c r="D2634" s="7" t="s">
        <v>2147</v>
      </c>
      <c r="E2634" s="76">
        <v>45964.6875</v>
      </c>
      <c r="F2634" s="52" t="s">
        <v>11985</v>
      </c>
      <c r="G2634" s="4" t="s">
        <v>135</v>
      </c>
      <c r="H2634" s="4" t="s">
        <v>1987</v>
      </c>
      <c r="K2634" s="4" t="s">
        <v>11986</v>
      </c>
      <c r="L2634" s="4" t="s">
        <v>11987</v>
      </c>
    </row>
    <row r="2635">
      <c r="A2635" s="55" t="s">
        <v>11988</v>
      </c>
      <c r="B2635" s="52" t="s">
        <v>1617</v>
      </c>
      <c r="C2635" s="76">
        <v>45964.583333333336</v>
      </c>
      <c r="D2635" s="7" t="s">
        <v>2147</v>
      </c>
      <c r="E2635" s="76">
        <v>45964.666666666664</v>
      </c>
      <c r="F2635" s="52" t="s">
        <v>11989</v>
      </c>
      <c r="G2635" s="4" t="s">
        <v>135</v>
      </c>
      <c r="H2635" s="4" t="s">
        <v>1987</v>
      </c>
      <c r="K2635" s="4" t="s">
        <v>11990</v>
      </c>
      <c r="L2635" s="4" t="s">
        <v>11991</v>
      </c>
    </row>
    <row r="2636">
      <c r="A2636" s="55" t="s">
        <v>11992</v>
      </c>
      <c r="B2636" s="52" t="s">
        <v>5625</v>
      </c>
      <c r="C2636" s="76">
        <v>45965.5625</v>
      </c>
      <c r="D2636" s="7" t="s">
        <v>2147</v>
      </c>
      <c r="E2636" s="76">
        <v>45965.770833333336</v>
      </c>
      <c r="F2636" s="52" t="s">
        <v>11949</v>
      </c>
      <c r="G2636" s="4" t="s">
        <v>135</v>
      </c>
      <c r="H2636" s="4" t="s">
        <v>1987</v>
      </c>
      <c r="K2636" s="4" t="s">
        <v>11993</v>
      </c>
      <c r="L2636" s="4" t="s">
        <v>11994</v>
      </c>
    </row>
    <row r="2637">
      <c r="A2637" s="55" t="s">
        <v>11995</v>
      </c>
      <c r="B2637" s="52" t="s">
        <v>5625</v>
      </c>
      <c r="C2637" s="76">
        <v>45966.5625</v>
      </c>
      <c r="D2637" s="7" t="s">
        <v>2147</v>
      </c>
      <c r="E2637" s="76">
        <v>45966.666666666664</v>
      </c>
      <c r="F2637" s="52" t="s">
        <v>11949</v>
      </c>
      <c r="G2637" s="4" t="s">
        <v>135</v>
      </c>
      <c r="H2637" s="4" t="s">
        <v>1987</v>
      </c>
      <c r="K2637" s="4" t="s">
        <v>11950</v>
      </c>
      <c r="L2637" s="4" t="s">
        <v>11996</v>
      </c>
    </row>
    <row r="2638">
      <c r="A2638" s="55" t="s">
        <v>11997</v>
      </c>
      <c r="B2638" s="52" t="s">
        <v>5625</v>
      </c>
      <c r="C2638" s="76">
        <v>45967.666666666664</v>
      </c>
      <c r="D2638" s="7" t="s">
        <v>2148</v>
      </c>
      <c r="E2638" s="76">
        <v>45967.729166666664</v>
      </c>
      <c r="F2638" s="52" t="s">
        <v>11998</v>
      </c>
      <c r="G2638" s="4" t="s">
        <v>135</v>
      </c>
      <c r="H2638" s="4" t="s">
        <v>1987</v>
      </c>
      <c r="K2638" s="4" t="s">
        <v>11999</v>
      </c>
      <c r="L2638" s="4" t="s">
        <v>12000</v>
      </c>
    </row>
    <row r="2639">
      <c r="A2639" s="55" t="s">
        <v>12001</v>
      </c>
      <c r="B2639" s="52" t="s">
        <v>6069</v>
      </c>
      <c r="C2639" s="76">
        <v>45968.5625</v>
      </c>
      <c r="D2639" s="7" t="s">
        <v>2147</v>
      </c>
      <c r="E2639" s="76">
        <v>45968.604166666664</v>
      </c>
      <c r="F2639" s="52" t="s">
        <v>6069</v>
      </c>
      <c r="G2639" s="4" t="s">
        <v>135</v>
      </c>
      <c r="H2639" s="4" t="s">
        <v>1987</v>
      </c>
      <c r="K2639" s="4" t="s">
        <v>12002</v>
      </c>
      <c r="L2639" s="4"/>
    </row>
    <row r="2640">
      <c r="A2640" s="55" t="s">
        <v>12003</v>
      </c>
      <c r="B2640" s="52" t="s">
        <v>6069</v>
      </c>
      <c r="C2640" s="76">
        <v>45971.5625</v>
      </c>
      <c r="D2640" s="7" t="s">
        <v>2147</v>
      </c>
      <c r="E2640" s="76">
        <v>45971.604166666664</v>
      </c>
      <c r="F2640" s="52" t="s">
        <v>6069</v>
      </c>
      <c r="G2640" s="4" t="s">
        <v>135</v>
      </c>
      <c r="H2640" s="4" t="s">
        <v>1987</v>
      </c>
      <c r="K2640" s="4" t="s">
        <v>12004</v>
      </c>
      <c r="L2640" s="4"/>
    </row>
    <row r="2641">
      <c r="A2641" s="55" t="s">
        <v>12005</v>
      </c>
      <c r="B2641" s="52" t="s">
        <v>1516</v>
      </c>
      <c r="C2641" s="76">
        <v>45972.5625</v>
      </c>
      <c r="D2641" s="7" t="s">
        <v>2148</v>
      </c>
      <c r="E2641" s="76">
        <v>45972.770833333336</v>
      </c>
      <c r="F2641" s="52" t="s">
        <v>12006</v>
      </c>
      <c r="G2641" s="4" t="s">
        <v>135</v>
      </c>
      <c r="H2641" s="4" t="s">
        <v>1987</v>
      </c>
      <c r="K2641" s="4" t="s">
        <v>11999</v>
      </c>
      <c r="L2641" s="4" t="s">
        <v>12007</v>
      </c>
    </row>
    <row r="2642">
      <c r="A2642" s="55"/>
      <c r="B2642" s="52"/>
      <c r="C2642" s="76"/>
      <c r="D2642" s="4"/>
      <c r="E2642" s="76"/>
      <c r="F2642" s="52"/>
      <c r="G2642" s="4"/>
      <c r="H2642" s="4"/>
      <c r="K2642" s="4"/>
      <c r="L2642" s="4"/>
    </row>
    <row r="2643">
      <c r="A2643" s="55" t="s">
        <v>12008</v>
      </c>
      <c r="B2643" s="52" t="s">
        <v>5598</v>
      </c>
      <c r="C2643" s="76">
        <v>45974.625</v>
      </c>
      <c r="D2643" s="7" t="s">
        <v>2148</v>
      </c>
      <c r="E2643" s="76">
        <v>45974.729166666664</v>
      </c>
      <c r="F2643" s="52" t="s">
        <v>12009</v>
      </c>
      <c r="G2643" s="4" t="s">
        <v>135</v>
      </c>
      <c r="H2643" s="4" t="s">
        <v>1987</v>
      </c>
      <c r="K2643" s="4" t="s">
        <v>12010</v>
      </c>
      <c r="L2643" s="4" t="s">
        <v>12011</v>
      </c>
    </row>
    <row r="2644">
      <c r="A2644" s="55" t="s">
        <v>12012</v>
      </c>
      <c r="B2644" s="52" t="s">
        <v>5598</v>
      </c>
      <c r="C2644" s="76">
        <v>45975.5625</v>
      </c>
      <c r="D2644" s="7" t="s">
        <v>2148</v>
      </c>
      <c r="E2644" s="76">
        <v>45975.645833333336</v>
      </c>
      <c r="F2644" s="52" t="s">
        <v>12013</v>
      </c>
      <c r="G2644" s="4" t="s">
        <v>135</v>
      </c>
      <c r="H2644" s="4" t="s">
        <v>1987</v>
      </c>
      <c r="K2644" s="4" t="s">
        <v>12014</v>
      </c>
      <c r="L2644" s="4" t="s">
        <v>12015</v>
      </c>
    </row>
    <row r="2645">
      <c r="A2645" s="55" t="s">
        <v>12016</v>
      </c>
      <c r="B2645" s="52" t="s">
        <v>1649</v>
      </c>
      <c r="C2645" s="76">
        <v>45964.604166666664</v>
      </c>
      <c r="D2645" s="7" t="s">
        <v>2147</v>
      </c>
      <c r="E2645" s="76">
        <v>45964.645833333336</v>
      </c>
      <c r="F2645" s="52" t="s">
        <v>12017</v>
      </c>
      <c r="G2645" s="4" t="s">
        <v>27</v>
      </c>
      <c r="H2645" s="4" t="s">
        <v>1987</v>
      </c>
      <c r="K2645" s="4" t="s">
        <v>12018</v>
      </c>
      <c r="L2645" s="4"/>
    </row>
    <row r="2646">
      <c r="A2646" s="55" t="s">
        <v>12019</v>
      </c>
      <c r="B2646" s="52" t="s">
        <v>1649</v>
      </c>
      <c r="C2646" s="76">
        <v>45964.666666666664</v>
      </c>
      <c r="D2646" s="7" t="s">
        <v>6318</v>
      </c>
      <c r="E2646" s="76">
        <v>45964.6875</v>
      </c>
      <c r="F2646" s="52" t="s">
        <v>12020</v>
      </c>
      <c r="G2646" s="4" t="s">
        <v>27</v>
      </c>
      <c r="H2646" s="4" t="s">
        <v>1991</v>
      </c>
      <c r="K2646" s="4" t="s">
        <v>12021</v>
      </c>
      <c r="L2646" s="4"/>
    </row>
    <row r="2647">
      <c r="A2647" s="55" t="s">
        <v>12022</v>
      </c>
      <c r="B2647" s="52" t="s">
        <v>6057</v>
      </c>
      <c r="C2647" s="76">
        <v>45964.5625</v>
      </c>
      <c r="D2647" s="7" t="s">
        <v>6318</v>
      </c>
      <c r="E2647" s="76">
        <v>45964.583333333336</v>
      </c>
      <c r="F2647" s="52" t="s">
        <v>9016</v>
      </c>
      <c r="G2647" s="4" t="s">
        <v>135</v>
      </c>
      <c r="H2647" s="4" t="s">
        <v>1987</v>
      </c>
      <c r="K2647" s="4" t="s">
        <v>12023</v>
      </c>
      <c r="L2647" s="4"/>
    </row>
    <row r="2648">
      <c r="A2648" s="55" t="s">
        <v>12024</v>
      </c>
      <c r="B2648" s="52" t="s">
        <v>1516</v>
      </c>
      <c r="C2648" s="76">
        <v>45965.375</v>
      </c>
      <c r="D2648" s="7" t="s">
        <v>2147</v>
      </c>
      <c r="E2648" s="76">
        <v>45965.458333333336</v>
      </c>
      <c r="F2648" s="52" t="s">
        <v>12025</v>
      </c>
      <c r="G2648" s="4" t="s">
        <v>27</v>
      </c>
      <c r="H2648" s="4" t="s">
        <v>1991</v>
      </c>
      <c r="K2648" s="4"/>
      <c r="L2648" s="4" t="s">
        <v>12026</v>
      </c>
    </row>
    <row r="2649">
      <c r="A2649" s="55" t="s">
        <v>12027</v>
      </c>
      <c r="B2649" s="52" t="s">
        <v>6057</v>
      </c>
      <c r="C2649" s="76">
        <v>45967.510416666664</v>
      </c>
      <c r="D2649" s="7" t="s">
        <v>2147</v>
      </c>
      <c r="E2649" s="76">
        <v>45967.552083333336</v>
      </c>
      <c r="F2649" s="52" t="s">
        <v>12028</v>
      </c>
      <c r="G2649" s="4" t="s">
        <v>27</v>
      </c>
      <c r="H2649" s="4" t="s">
        <v>1987</v>
      </c>
      <c r="K2649" s="4"/>
      <c r="L2649" s="4" t="s">
        <v>12029</v>
      </c>
    </row>
    <row r="2650">
      <c r="A2650" s="55" t="s">
        <v>12030</v>
      </c>
      <c r="B2650" s="52" t="s">
        <v>5686</v>
      </c>
      <c r="C2650" s="76">
        <v>45965.552083333336</v>
      </c>
      <c r="D2650" s="7" t="s">
        <v>6318</v>
      </c>
      <c r="E2650" s="76">
        <v>45965.583333333336</v>
      </c>
      <c r="F2650" s="52" t="s">
        <v>11965</v>
      </c>
      <c r="G2650" s="4" t="s">
        <v>110</v>
      </c>
      <c r="H2650" s="4" t="s">
        <v>1987</v>
      </c>
      <c r="K2650" s="4" t="s">
        <v>12031</v>
      </c>
      <c r="L2650" s="4" t="s">
        <v>12032</v>
      </c>
    </row>
    <row r="2651">
      <c r="A2651" s="55" t="s">
        <v>12033</v>
      </c>
      <c r="B2651" s="52" t="s">
        <v>5656</v>
      </c>
      <c r="C2651" s="76">
        <v>45965.625</v>
      </c>
      <c r="D2651" s="7" t="s">
        <v>2154</v>
      </c>
      <c r="E2651" s="76">
        <v>45965.708333333336</v>
      </c>
      <c r="F2651" s="52" t="s">
        <v>7424</v>
      </c>
      <c r="G2651" s="4" t="s">
        <v>27</v>
      </c>
      <c r="H2651" s="4" t="s">
        <v>1987</v>
      </c>
      <c r="K2651" s="4" t="s">
        <v>12034</v>
      </c>
      <c r="L2651" s="4"/>
    </row>
    <row r="2652">
      <c r="A2652" s="55" t="s">
        <v>12035</v>
      </c>
      <c r="B2652" s="52" t="s">
        <v>5729</v>
      </c>
      <c r="C2652" s="76">
        <v>45966.416666666664</v>
      </c>
      <c r="D2652" s="7" t="s">
        <v>2147</v>
      </c>
      <c r="E2652" s="76">
        <v>45966.479166666664</v>
      </c>
      <c r="F2652" s="52" t="s">
        <v>12036</v>
      </c>
      <c r="G2652" s="4" t="s">
        <v>27</v>
      </c>
      <c r="H2652" s="4" t="s">
        <v>1987</v>
      </c>
      <c r="K2652" s="4" t="s">
        <v>12037</v>
      </c>
      <c r="L2652" s="4"/>
    </row>
    <row r="2653">
      <c r="A2653" s="55" t="s">
        <v>12038</v>
      </c>
      <c r="B2653" s="52" t="s">
        <v>1516</v>
      </c>
      <c r="C2653" s="76">
        <v>45966.375</v>
      </c>
      <c r="D2653" s="7" t="s">
        <v>2147</v>
      </c>
      <c r="E2653" s="76">
        <v>45966.416666666664</v>
      </c>
      <c r="F2653" s="52" t="s">
        <v>12039</v>
      </c>
      <c r="G2653" s="4" t="s">
        <v>27</v>
      </c>
      <c r="H2653" s="4" t="s">
        <v>1987</v>
      </c>
      <c r="K2653" s="4" t="s">
        <v>12040</v>
      </c>
      <c r="L2653" s="4"/>
    </row>
    <row r="2654">
      <c r="A2654" s="55" t="s">
        <v>12041</v>
      </c>
      <c r="B2654" s="52" t="s">
        <v>1516</v>
      </c>
      <c r="C2654" s="76">
        <v>45966.5</v>
      </c>
      <c r="D2654" s="7" t="s">
        <v>2154</v>
      </c>
      <c r="E2654" s="76">
        <v>45966.583333333336</v>
      </c>
      <c r="F2654" s="52" t="s">
        <v>12042</v>
      </c>
      <c r="G2654" s="4" t="s">
        <v>27</v>
      </c>
      <c r="H2654" s="4" t="s">
        <v>1987</v>
      </c>
      <c r="K2654" s="4" t="s">
        <v>12043</v>
      </c>
      <c r="L2654" s="4"/>
    </row>
    <row r="2655">
      <c r="A2655" s="55" t="s">
        <v>12044</v>
      </c>
      <c r="B2655" s="52" t="s">
        <v>5628</v>
      </c>
      <c r="C2655" s="76">
        <v>45966.541666666664</v>
      </c>
      <c r="D2655" s="7" t="s">
        <v>2147</v>
      </c>
      <c r="E2655" s="76">
        <v>45966.583333333336</v>
      </c>
      <c r="F2655" s="52" t="s">
        <v>12045</v>
      </c>
      <c r="G2655" s="4" t="s">
        <v>110</v>
      </c>
      <c r="H2655" s="4" t="s">
        <v>1987</v>
      </c>
      <c r="K2655" s="4" t="s">
        <v>12046</v>
      </c>
      <c r="L2655" s="4"/>
    </row>
    <row r="2656">
      <c r="A2656" s="55" t="s">
        <v>12047</v>
      </c>
      <c r="B2656" s="52" t="s">
        <v>1611</v>
      </c>
      <c r="C2656" s="76">
        <v>45966.625</v>
      </c>
      <c r="D2656" s="7" t="s">
        <v>2148</v>
      </c>
      <c r="E2656" s="76">
        <v>45966.75</v>
      </c>
      <c r="F2656" s="52" t="s">
        <v>12048</v>
      </c>
      <c r="G2656" s="4" t="s">
        <v>27</v>
      </c>
      <c r="H2656" s="4" t="s">
        <v>1987</v>
      </c>
      <c r="K2656" s="4" t="s">
        <v>12049</v>
      </c>
      <c r="L2656" s="4" t="s">
        <v>12050</v>
      </c>
    </row>
    <row r="2657">
      <c r="A2657" s="55" t="s">
        <v>12051</v>
      </c>
      <c r="B2657" s="52" t="s">
        <v>5675</v>
      </c>
      <c r="C2657" s="76">
        <v>45967.333333333336</v>
      </c>
      <c r="D2657" s="7" t="s">
        <v>2154</v>
      </c>
      <c r="E2657" s="76">
        <v>45967.4375</v>
      </c>
      <c r="F2657" s="52" t="s">
        <v>12052</v>
      </c>
      <c r="G2657" s="4" t="s">
        <v>110</v>
      </c>
      <c r="H2657" s="4" t="s">
        <v>1987</v>
      </c>
      <c r="K2657" s="4" t="s">
        <v>12053</v>
      </c>
      <c r="L2657" s="4" t="s">
        <v>12054</v>
      </c>
    </row>
    <row r="2658">
      <c r="A2658" s="55" t="s">
        <v>12055</v>
      </c>
      <c r="B2658" s="52" t="s">
        <v>1516</v>
      </c>
      <c r="C2658" s="76">
        <v>45967.375</v>
      </c>
      <c r="D2658" s="7" t="s">
        <v>2147</v>
      </c>
      <c r="E2658" s="76">
        <v>45967.489583333336</v>
      </c>
      <c r="F2658" s="52" t="s">
        <v>12056</v>
      </c>
      <c r="G2658" s="4" t="s">
        <v>27</v>
      </c>
      <c r="H2658" s="4" t="s">
        <v>1987</v>
      </c>
      <c r="K2658" s="4" t="s">
        <v>12057</v>
      </c>
      <c r="L2658" s="4"/>
    </row>
    <row r="2659">
      <c r="A2659" s="55" t="s">
        <v>12058</v>
      </c>
      <c r="B2659" s="52" t="s">
        <v>5675</v>
      </c>
      <c r="C2659" s="76">
        <v>45967.520833333336</v>
      </c>
      <c r="D2659" s="7" t="s">
        <v>2154</v>
      </c>
      <c r="E2659" s="76">
        <v>45967.604166666664</v>
      </c>
      <c r="F2659" s="52" t="s">
        <v>12052</v>
      </c>
      <c r="G2659" s="4" t="s">
        <v>110</v>
      </c>
      <c r="H2659" s="4" t="s">
        <v>1987</v>
      </c>
      <c r="K2659" s="4" t="s">
        <v>12059</v>
      </c>
      <c r="L2659" s="4" t="s">
        <v>12060</v>
      </c>
    </row>
    <row r="2660">
      <c r="A2660" s="55" t="s">
        <v>12061</v>
      </c>
      <c r="B2660" s="52" t="s">
        <v>5678</v>
      </c>
      <c r="C2660" s="76">
        <v>45966.666666666664</v>
      </c>
      <c r="D2660" s="7" t="s">
        <v>2147</v>
      </c>
      <c r="E2660" s="76">
        <v>45966.729166666664</v>
      </c>
      <c r="F2660" s="52" t="s">
        <v>12062</v>
      </c>
      <c r="G2660" s="4" t="s">
        <v>135</v>
      </c>
      <c r="H2660" s="4" t="s">
        <v>1987</v>
      </c>
      <c r="K2660" s="4"/>
      <c r="L2660" s="4" t="s">
        <v>12063</v>
      </c>
    </row>
    <row r="2661">
      <c r="A2661" s="55" t="s">
        <v>12064</v>
      </c>
      <c r="B2661" s="52" t="s">
        <v>5625</v>
      </c>
      <c r="C2661" s="76">
        <v>45966.729166666664</v>
      </c>
      <c r="D2661" s="7" t="s">
        <v>2147</v>
      </c>
      <c r="E2661" s="76">
        <v>45966.770833333336</v>
      </c>
      <c r="F2661" s="52" t="s">
        <v>11949</v>
      </c>
      <c r="G2661" s="4" t="s">
        <v>135</v>
      </c>
      <c r="H2661" s="4" t="s">
        <v>1987</v>
      </c>
      <c r="K2661" s="4" t="s">
        <v>12065</v>
      </c>
      <c r="L2661" s="4" t="s">
        <v>12066</v>
      </c>
    </row>
    <row r="2662">
      <c r="A2662" s="55" t="s">
        <v>12067</v>
      </c>
      <c r="B2662" s="52" t="s">
        <v>5625</v>
      </c>
      <c r="C2662" s="76">
        <v>45967.5625</v>
      </c>
      <c r="D2662" s="7" t="s">
        <v>2147</v>
      </c>
      <c r="E2662" s="76">
        <v>45967.614583333336</v>
      </c>
      <c r="F2662" s="52" t="s">
        <v>12068</v>
      </c>
      <c r="G2662" s="4" t="s">
        <v>135</v>
      </c>
      <c r="H2662" s="4" t="s">
        <v>1987</v>
      </c>
      <c r="K2662" s="4" t="s">
        <v>12069</v>
      </c>
      <c r="L2662" s="4" t="s">
        <v>12070</v>
      </c>
    </row>
    <row r="2663">
      <c r="A2663" s="55" t="s">
        <v>12071</v>
      </c>
      <c r="B2663" s="52" t="s">
        <v>1516</v>
      </c>
      <c r="C2663" s="76">
        <v>45967.583333333336</v>
      </c>
      <c r="D2663" s="7" t="s">
        <v>2200</v>
      </c>
      <c r="E2663" s="76">
        <v>45967.6875</v>
      </c>
      <c r="F2663" s="52" t="s">
        <v>12072</v>
      </c>
      <c r="G2663" s="4" t="s">
        <v>27</v>
      </c>
      <c r="H2663" s="4" t="s">
        <v>1987</v>
      </c>
      <c r="K2663" s="4" t="s">
        <v>12073</v>
      </c>
      <c r="L2663" s="4"/>
    </row>
    <row r="2664">
      <c r="A2664" s="55" t="s">
        <v>12074</v>
      </c>
      <c r="B2664" s="52" t="s">
        <v>5598</v>
      </c>
      <c r="C2664" s="76">
        <v>45967.614583333336</v>
      </c>
      <c r="D2664" s="7" t="s">
        <v>2148</v>
      </c>
      <c r="E2664" s="76">
        <v>45967.666666666664</v>
      </c>
      <c r="F2664" s="52" t="s">
        <v>12075</v>
      </c>
      <c r="G2664" s="4" t="s">
        <v>135</v>
      </c>
      <c r="H2664" s="4" t="s">
        <v>1987</v>
      </c>
      <c r="K2664" s="4" t="s">
        <v>12076</v>
      </c>
      <c r="L2664" s="4" t="s">
        <v>12077</v>
      </c>
    </row>
    <row r="2665">
      <c r="A2665" s="66" t="s">
        <v>12078</v>
      </c>
      <c r="B2665" s="52" t="s">
        <v>1611</v>
      </c>
      <c r="C2665" s="76">
        <v>45968.46875</v>
      </c>
      <c r="D2665" s="7" t="s">
        <v>2147</v>
      </c>
      <c r="E2665" s="76">
        <v>45968.541666666664</v>
      </c>
      <c r="F2665" s="52" t="s">
        <v>12079</v>
      </c>
      <c r="G2665" s="4" t="s">
        <v>27</v>
      </c>
      <c r="H2665" s="4" t="s">
        <v>1987</v>
      </c>
      <c r="K2665" s="4" t="s">
        <v>12080</v>
      </c>
      <c r="L2665" s="4"/>
    </row>
    <row r="2666">
      <c r="A2666" s="55" t="s">
        <v>12081</v>
      </c>
      <c r="B2666" s="52" t="s">
        <v>5675</v>
      </c>
      <c r="C2666" s="76">
        <v>45968.333333333336</v>
      </c>
      <c r="D2666" s="7" t="s">
        <v>2147</v>
      </c>
      <c r="E2666" s="76">
        <v>45968.395833333336</v>
      </c>
      <c r="F2666" s="52" t="s">
        <v>12082</v>
      </c>
      <c r="G2666" s="4" t="s">
        <v>110</v>
      </c>
      <c r="H2666" s="4" t="s">
        <v>1987</v>
      </c>
      <c r="K2666" s="4" t="s">
        <v>12053</v>
      </c>
      <c r="L2666" s="4" t="s">
        <v>12083</v>
      </c>
    </row>
    <row r="2667">
      <c r="A2667" s="55" t="s">
        <v>12084</v>
      </c>
      <c r="B2667" s="52" t="s">
        <v>6057</v>
      </c>
      <c r="C2667" s="76">
        <v>45968.395833333336</v>
      </c>
      <c r="D2667" s="7" t="s">
        <v>2147</v>
      </c>
      <c r="E2667" s="76">
        <v>45968.458333333336</v>
      </c>
      <c r="F2667" s="52" t="s">
        <v>11713</v>
      </c>
      <c r="G2667" s="4" t="s">
        <v>110</v>
      </c>
      <c r="H2667" s="4" t="s">
        <v>1987</v>
      </c>
      <c r="K2667" s="4" t="s">
        <v>12085</v>
      </c>
      <c r="L2667" s="4"/>
    </row>
    <row r="2668">
      <c r="A2668" s="55" t="s">
        <v>12086</v>
      </c>
      <c r="B2668" s="52" t="s">
        <v>5675</v>
      </c>
      <c r="C2668" s="76">
        <v>45968.458333333336</v>
      </c>
      <c r="D2668" s="7" t="s">
        <v>2147</v>
      </c>
      <c r="E2668" s="76">
        <v>45968.5</v>
      </c>
      <c r="F2668" s="52" t="s">
        <v>12082</v>
      </c>
      <c r="G2668" s="4" t="s">
        <v>110</v>
      </c>
      <c r="H2668" s="4" t="s">
        <v>1987</v>
      </c>
      <c r="K2668" s="4" t="s">
        <v>12087</v>
      </c>
      <c r="L2668" s="4" t="s">
        <v>12054</v>
      </c>
    </row>
    <row r="2669">
      <c r="A2669" s="55" t="s">
        <v>12088</v>
      </c>
      <c r="B2669" s="52" t="s">
        <v>5729</v>
      </c>
      <c r="C2669" s="76">
        <v>45973.333333333336</v>
      </c>
      <c r="D2669" s="7" t="s">
        <v>2200</v>
      </c>
      <c r="E2669" s="76">
        <v>45973.458333333336</v>
      </c>
      <c r="F2669" s="52" t="s">
        <v>11974</v>
      </c>
      <c r="G2669" s="4" t="s">
        <v>110</v>
      </c>
      <c r="H2669" s="4" t="s">
        <v>1987</v>
      </c>
      <c r="K2669" s="4" t="s">
        <v>11978</v>
      </c>
      <c r="L2669" s="4" t="s">
        <v>12089</v>
      </c>
    </row>
    <row r="2670">
      <c r="A2670" s="55" t="s">
        <v>12090</v>
      </c>
      <c r="B2670" s="52" t="s">
        <v>5729</v>
      </c>
      <c r="C2670" s="76">
        <v>45974.375</v>
      </c>
      <c r="D2670" s="7" t="s">
        <v>2154</v>
      </c>
      <c r="E2670" s="76">
        <v>45974.458333333336</v>
      </c>
      <c r="F2670" s="52" t="s">
        <v>8173</v>
      </c>
      <c r="G2670" s="4" t="s">
        <v>110</v>
      </c>
      <c r="H2670" s="4" t="s">
        <v>1991</v>
      </c>
      <c r="K2670" s="4"/>
      <c r="L2670" s="4" t="s">
        <v>12091</v>
      </c>
    </row>
    <row r="2671">
      <c r="A2671" s="55" t="s">
        <v>12092</v>
      </c>
      <c r="B2671" s="52" t="s">
        <v>5729</v>
      </c>
      <c r="C2671" s="76">
        <v>45974.333333333336</v>
      </c>
      <c r="D2671" s="7" t="s">
        <v>2147</v>
      </c>
      <c r="E2671" s="76">
        <v>45974.375</v>
      </c>
      <c r="F2671" s="52" t="s">
        <v>12093</v>
      </c>
      <c r="G2671" s="4" t="s">
        <v>110</v>
      </c>
      <c r="H2671" s="4" t="s">
        <v>1987</v>
      </c>
      <c r="K2671" s="4" t="s">
        <v>12094</v>
      </c>
      <c r="L2671" s="4"/>
    </row>
    <row r="2672">
      <c r="A2672" s="55" t="s">
        <v>12095</v>
      </c>
      <c r="B2672" s="52" t="s">
        <v>5675</v>
      </c>
      <c r="C2672" s="76">
        <v>45974.458333333336</v>
      </c>
      <c r="D2672" s="7" t="s">
        <v>2200</v>
      </c>
      <c r="E2672" s="76">
        <v>45974.583333333336</v>
      </c>
      <c r="F2672" s="52" t="s">
        <v>12096</v>
      </c>
      <c r="G2672" s="4" t="s">
        <v>110</v>
      </c>
      <c r="H2672" s="4" t="s">
        <v>1987</v>
      </c>
      <c r="K2672" s="4"/>
      <c r="L2672" s="4" t="s">
        <v>12097</v>
      </c>
    </row>
    <row r="2673">
      <c r="A2673" s="55" t="s">
        <v>12098</v>
      </c>
      <c r="B2673" s="52" t="s">
        <v>5628</v>
      </c>
      <c r="C2673" s="76">
        <v>45975.375</v>
      </c>
      <c r="D2673" s="7" t="s">
        <v>6052</v>
      </c>
      <c r="E2673" s="76">
        <v>45975.583333333336</v>
      </c>
      <c r="F2673" s="52" t="s">
        <v>12099</v>
      </c>
      <c r="G2673" s="4" t="s">
        <v>110</v>
      </c>
      <c r="H2673" s="4" t="s">
        <v>1987</v>
      </c>
      <c r="K2673" s="4" t="s">
        <v>12100</v>
      </c>
      <c r="L2673" s="4" t="s">
        <v>12101</v>
      </c>
    </row>
    <row r="2674">
      <c r="A2674" s="55"/>
      <c r="B2674" s="52"/>
      <c r="C2674" s="76"/>
      <c r="D2674" s="4"/>
      <c r="E2674" s="76"/>
      <c r="F2674" s="52"/>
      <c r="G2674" s="4"/>
      <c r="H2674" s="4"/>
      <c r="K2674" s="4"/>
      <c r="L2674" s="4"/>
    </row>
    <row r="2675">
      <c r="A2675" s="55"/>
      <c r="B2675" s="52"/>
      <c r="C2675" s="76"/>
      <c r="D2675" s="4"/>
      <c r="E2675" s="76"/>
      <c r="F2675" s="52"/>
      <c r="G2675" s="4"/>
      <c r="H2675" s="4"/>
      <c r="K2675" s="4"/>
      <c r="L2675" s="4"/>
    </row>
    <row r="2676">
      <c r="A2676" s="55"/>
      <c r="B2676" s="52"/>
      <c r="C2676" s="76"/>
      <c r="D2676" s="4"/>
      <c r="E2676" s="76"/>
      <c r="F2676" s="52"/>
      <c r="G2676" s="4"/>
      <c r="H2676" s="4"/>
      <c r="K2676" s="4"/>
      <c r="L2676" s="4"/>
    </row>
    <row r="2677">
      <c r="A2677" s="55" t="s">
        <v>12102</v>
      </c>
      <c r="B2677" s="52" t="s">
        <v>5628</v>
      </c>
      <c r="C2677" s="76">
        <v>45973.458333333336</v>
      </c>
      <c r="D2677" s="7" t="s">
        <v>2147</v>
      </c>
      <c r="E2677" s="76">
        <v>45973.5</v>
      </c>
      <c r="F2677" s="52" t="s">
        <v>12103</v>
      </c>
      <c r="G2677" s="4" t="s">
        <v>110</v>
      </c>
      <c r="H2677" s="4" t="s">
        <v>1991</v>
      </c>
      <c r="K2677" s="4" t="s">
        <v>12104</v>
      </c>
      <c r="L2677" s="4"/>
    </row>
    <row r="2678">
      <c r="A2678" s="55"/>
      <c r="B2678" s="52"/>
      <c r="C2678" s="76"/>
      <c r="D2678" s="4"/>
      <c r="E2678" s="76"/>
      <c r="F2678" s="52"/>
      <c r="G2678" s="4"/>
      <c r="H2678" s="4"/>
      <c r="K2678" s="4"/>
      <c r="L2678" s="4"/>
    </row>
    <row r="2679">
      <c r="A2679" s="55" t="s">
        <v>12105</v>
      </c>
      <c r="B2679" s="52" t="s">
        <v>5729</v>
      </c>
      <c r="C2679" s="76">
        <v>45971.583333333336</v>
      </c>
      <c r="D2679" s="7" t="s">
        <v>2147</v>
      </c>
      <c r="E2679" s="76">
        <v>45971.625</v>
      </c>
      <c r="F2679" s="52" t="s">
        <v>12106</v>
      </c>
      <c r="G2679" s="4" t="s">
        <v>27</v>
      </c>
      <c r="H2679" s="4" t="s">
        <v>1987</v>
      </c>
      <c r="K2679" s="4" t="s">
        <v>12107</v>
      </c>
      <c r="L2679" s="4"/>
    </row>
    <row r="2680">
      <c r="A2680" s="55" t="s">
        <v>12108</v>
      </c>
      <c r="B2680" s="52" t="s">
        <v>5656</v>
      </c>
      <c r="C2680" s="76">
        <v>45972.541666666664</v>
      </c>
      <c r="D2680" s="7" t="s">
        <v>2148</v>
      </c>
      <c r="E2680" s="76">
        <v>45972.6875</v>
      </c>
      <c r="F2680" s="52" t="s">
        <v>12109</v>
      </c>
      <c r="G2680" s="4" t="s">
        <v>27</v>
      </c>
      <c r="H2680" s="4" t="s">
        <v>1987</v>
      </c>
      <c r="K2680" s="4"/>
      <c r="L2680" s="4" t="s">
        <v>12110</v>
      </c>
    </row>
    <row r="2681">
      <c r="A2681" s="55" t="s">
        <v>12111</v>
      </c>
      <c r="B2681" s="52" t="s">
        <v>5675</v>
      </c>
      <c r="C2681" s="76">
        <v>45971.5625</v>
      </c>
      <c r="D2681" s="7" t="s">
        <v>6318</v>
      </c>
      <c r="E2681" s="76">
        <v>45971.583333333336</v>
      </c>
      <c r="F2681" s="52" t="s">
        <v>12112</v>
      </c>
      <c r="G2681" s="4" t="s">
        <v>110</v>
      </c>
      <c r="H2681" s="4" t="s">
        <v>1987</v>
      </c>
      <c r="K2681" s="4" t="s">
        <v>12113</v>
      </c>
      <c r="L2681" s="4" t="s">
        <v>12114</v>
      </c>
    </row>
    <row r="2682">
      <c r="A2682" s="55" t="s">
        <v>12115</v>
      </c>
      <c r="B2682" s="52" t="s">
        <v>1611</v>
      </c>
      <c r="C2682" s="76">
        <v>45972.395833333336</v>
      </c>
      <c r="D2682" s="7" t="s">
        <v>2147</v>
      </c>
      <c r="E2682" s="76">
        <v>45972.458333333336</v>
      </c>
      <c r="F2682" s="52" t="s">
        <v>12116</v>
      </c>
      <c r="G2682" s="4" t="s">
        <v>27</v>
      </c>
      <c r="H2682" s="4" t="s">
        <v>1991</v>
      </c>
      <c r="K2682" s="4" t="s">
        <v>12117</v>
      </c>
      <c r="L2682" s="4" t="s">
        <v>12118</v>
      </c>
    </row>
    <row r="2683">
      <c r="A2683" s="55" t="s">
        <v>12119</v>
      </c>
      <c r="B2683" s="52" t="s">
        <v>1617</v>
      </c>
      <c r="C2683" s="76">
        <v>45974.625</v>
      </c>
      <c r="D2683" s="7" t="s">
        <v>2147</v>
      </c>
      <c r="E2683" s="76">
        <v>45974.666666666664</v>
      </c>
      <c r="F2683" s="52" t="s">
        <v>12120</v>
      </c>
      <c r="G2683" s="4" t="s">
        <v>110</v>
      </c>
      <c r="H2683" s="4" t="s">
        <v>1991</v>
      </c>
      <c r="K2683" s="4"/>
      <c r="L2683" s="4" t="s">
        <v>12121</v>
      </c>
    </row>
    <row r="2684">
      <c r="A2684" s="55" t="s">
        <v>12122</v>
      </c>
      <c r="B2684" s="52" t="s">
        <v>5625</v>
      </c>
      <c r="C2684" s="76">
        <v>45973.583333333336</v>
      </c>
      <c r="D2684" s="7" t="s">
        <v>2147</v>
      </c>
      <c r="E2684" s="76">
        <v>45973.625</v>
      </c>
      <c r="F2684" s="52" t="s">
        <v>12123</v>
      </c>
      <c r="G2684" s="4" t="s">
        <v>135</v>
      </c>
      <c r="H2684" s="4" t="s">
        <v>1991</v>
      </c>
      <c r="K2684" s="4" t="s">
        <v>12124</v>
      </c>
      <c r="L2684" s="4"/>
    </row>
    <row r="2685">
      <c r="A2685" s="55" t="s">
        <v>12125</v>
      </c>
      <c r="B2685" s="52" t="s">
        <v>1617</v>
      </c>
      <c r="C2685" s="76">
        <v>45973.5625</v>
      </c>
      <c r="D2685" s="7" t="s">
        <v>6318</v>
      </c>
      <c r="E2685" s="76">
        <v>45973.583333333336</v>
      </c>
      <c r="F2685" s="52" t="s">
        <v>12126</v>
      </c>
      <c r="G2685" s="4" t="s">
        <v>135</v>
      </c>
      <c r="H2685" s="4" t="s">
        <v>1987</v>
      </c>
      <c r="K2685" s="4" t="s">
        <v>12127</v>
      </c>
      <c r="L2685" s="4" t="s">
        <v>12128</v>
      </c>
    </row>
    <row r="2686">
      <c r="A2686" s="55" t="s">
        <v>12129</v>
      </c>
      <c r="B2686" s="52" t="s">
        <v>1611</v>
      </c>
      <c r="C2686" s="76">
        <v>45972.791666666664</v>
      </c>
      <c r="D2686" s="7" t="s">
        <v>2147</v>
      </c>
      <c r="E2686" s="76">
        <v>45972.833333333336</v>
      </c>
      <c r="F2686" s="52" t="s">
        <v>12130</v>
      </c>
      <c r="G2686" s="4" t="s">
        <v>27</v>
      </c>
      <c r="H2686" s="4" t="s">
        <v>1987</v>
      </c>
      <c r="K2686" s="4" t="s">
        <v>12131</v>
      </c>
      <c r="L2686" s="4"/>
    </row>
    <row r="2687">
      <c r="A2687" s="55" t="s">
        <v>12132</v>
      </c>
      <c r="B2687" s="52" t="s">
        <v>1611</v>
      </c>
      <c r="C2687" s="76">
        <v>45973.385416666664</v>
      </c>
      <c r="D2687" s="7" t="s">
        <v>2147</v>
      </c>
      <c r="E2687" s="76">
        <v>45973.427083333336</v>
      </c>
      <c r="F2687" s="52" t="s">
        <v>12133</v>
      </c>
      <c r="G2687" s="4" t="s">
        <v>27</v>
      </c>
      <c r="H2687" s="4" t="s">
        <v>1987</v>
      </c>
      <c r="K2687" s="4" t="s">
        <v>12134</v>
      </c>
      <c r="L2687" s="4"/>
    </row>
    <row r="2688">
      <c r="A2688" s="55" t="s">
        <v>12135</v>
      </c>
      <c r="B2688" s="52" t="s">
        <v>5729</v>
      </c>
      <c r="C2688" s="76">
        <v>45973.5</v>
      </c>
      <c r="D2688" s="7" t="s">
        <v>2154</v>
      </c>
      <c r="E2688" s="76">
        <v>45973.583333333336</v>
      </c>
      <c r="F2688" s="52" t="s">
        <v>11974</v>
      </c>
      <c r="G2688" s="4" t="s">
        <v>110</v>
      </c>
      <c r="H2688" s="4" t="s">
        <v>1987</v>
      </c>
      <c r="K2688" s="4" t="s">
        <v>12136</v>
      </c>
      <c r="L2688" s="4" t="s">
        <v>12137</v>
      </c>
    </row>
    <row r="2689">
      <c r="A2689" s="55" t="s">
        <v>12138</v>
      </c>
      <c r="B2689" s="52" t="s">
        <v>1611</v>
      </c>
      <c r="C2689" s="76">
        <v>45973.520833333336</v>
      </c>
      <c r="D2689" s="7" t="s">
        <v>2147</v>
      </c>
      <c r="E2689" s="76">
        <v>45973.59375</v>
      </c>
      <c r="F2689" s="52" t="s">
        <v>12133</v>
      </c>
      <c r="G2689" s="4" t="s">
        <v>27</v>
      </c>
      <c r="H2689" s="4" t="s">
        <v>1987</v>
      </c>
      <c r="K2689" s="4" t="s">
        <v>12139</v>
      </c>
      <c r="L2689" s="4" t="s">
        <v>12140</v>
      </c>
    </row>
    <row r="2690">
      <c r="A2690" s="55" t="s">
        <v>12141</v>
      </c>
      <c r="B2690" s="52" t="s">
        <v>1516</v>
      </c>
      <c r="C2690" s="76">
        <v>45973.625</v>
      </c>
      <c r="D2690" s="7" t="s">
        <v>2148</v>
      </c>
      <c r="E2690" s="76">
        <v>45973.770833333336</v>
      </c>
      <c r="F2690" s="52" t="s">
        <v>12006</v>
      </c>
      <c r="G2690" s="4" t="s">
        <v>135</v>
      </c>
      <c r="H2690" s="4" t="s">
        <v>1987</v>
      </c>
      <c r="K2690" s="4" t="s">
        <v>12142</v>
      </c>
      <c r="L2690" s="4" t="s">
        <v>12143</v>
      </c>
    </row>
    <row r="2691">
      <c r="A2691" s="55" t="s">
        <v>12144</v>
      </c>
      <c r="B2691" s="52" t="s">
        <v>1516</v>
      </c>
      <c r="C2691" s="76">
        <v>45973.666666666664</v>
      </c>
      <c r="D2691" s="7" t="s">
        <v>2147</v>
      </c>
      <c r="E2691" s="76">
        <v>45973.708333333336</v>
      </c>
      <c r="F2691" s="52" t="s">
        <v>12145</v>
      </c>
      <c r="G2691" s="4" t="s">
        <v>27</v>
      </c>
      <c r="H2691" s="4" t="s">
        <v>1987</v>
      </c>
      <c r="K2691" s="4" t="s">
        <v>12146</v>
      </c>
      <c r="L2691" s="4"/>
    </row>
    <row r="2692">
      <c r="A2692" s="55" t="s">
        <v>12147</v>
      </c>
      <c r="B2692" s="52" t="s">
        <v>1611</v>
      </c>
      <c r="C2692" s="76">
        <v>45973.80763888889</v>
      </c>
      <c r="D2692" s="7" t="s">
        <v>2154</v>
      </c>
      <c r="E2692" s="76">
        <v>45973.89097222222</v>
      </c>
      <c r="F2692" s="52" t="s">
        <v>12148</v>
      </c>
      <c r="G2692" s="4" t="s">
        <v>27</v>
      </c>
      <c r="H2692" s="4" t="s">
        <v>1987</v>
      </c>
      <c r="K2692" s="4" t="s">
        <v>12149</v>
      </c>
      <c r="L2692" s="4"/>
    </row>
    <row r="2693">
      <c r="A2693" s="55" t="s">
        <v>12150</v>
      </c>
      <c r="B2693" s="52" t="s">
        <v>1617</v>
      </c>
      <c r="C2693" s="76">
        <v>45974.583333333336</v>
      </c>
      <c r="D2693" s="7" t="s">
        <v>2147</v>
      </c>
      <c r="E2693" s="76">
        <v>45974.625</v>
      </c>
      <c r="F2693" s="52" t="s">
        <v>12151</v>
      </c>
      <c r="G2693" s="4" t="s">
        <v>110</v>
      </c>
      <c r="H2693" s="4" t="s">
        <v>1987</v>
      </c>
      <c r="K2693" s="4" t="s">
        <v>12152</v>
      </c>
      <c r="L2693" s="4" t="s">
        <v>12121</v>
      </c>
    </row>
    <row r="2694">
      <c r="A2694" s="55" t="s">
        <v>12153</v>
      </c>
      <c r="B2694" s="52" t="s">
        <v>5625</v>
      </c>
      <c r="C2694" s="76">
        <v>45974.583333333336</v>
      </c>
      <c r="D2694" s="7" t="s">
        <v>2147</v>
      </c>
      <c r="E2694" s="76">
        <v>45974.625</v>
      </c>
      <c r="F2694" s="52" t="s">
        <v>12154</v>
      </c>
      <c r="G2694" s="4" t="s">
        <v>135</v>
      </c>
      <c r="H2694" s="4" t="s">
        <v>1987</v>
      </c>
      <c r="K2694" s="4" t="s">
        <v>12124</v>
      </c>
      <c r="L2694" s="4" t="s">
        <v>12155</v>
      </c>
    </row>
    <row r="2695">
      <c r="A2695" s="55" t="s">
        <v>12156</v>
      </c>
      <c r="B2695" s="52" t="s">
        <v>6057</v>
      </c>
      <c r="C2695" s="76">
        <v>45974.5625</v>
      </c>
      <c r="D2695" s="7" t="s">
        <v>6318</v>
      </c>
      <c r="E2695" s="76">
        <v>45974.583333333336</v>
      </c>
      <c r="F2695" s="52" t="s">
        <v>12157</v>
      </c>
      <c r="G2695" s="4" t="s">
        <v>135</v>
      </c>
      <c r="H2695" s="4" t="s">
        <v>1987</v>
      </c>
      <c r="K2695" s="4" t="s">
        <v>12158</v>
      </c>
      <c r="L2695" s="4"/>
    </row>
    <row r="2696">
      <c r="A2696" s="55" t="s">
        <v>12159</v>
      </c>
      <c r="B2696" s="52" t="s">
        <v>1611</v>
      </c>
      <c r="C2696" s="76">
        <v>45974.79027777778</v>
      </c>
      <c r="D2696" s="7" t="s">
        <v>2147</v>
      </c>
      <c r="E2696" s="76">
        <v>45974.83194444444</v>
      </c>
      <c r="F2696" s="52" t="s">
        <v>12160</v>
      </c>
      <c r="G2696" s="4" t="s">
        <v>27</v>
      </c>
      <c r="H2696" s="4" t="s">
        <v>1987</v>
      </c>
      <c r="K2696" s="4" t="s">
        <v>12161</v>
      </c>
      <c r="L2696" s="4"/>
    </row>
    <row r="2697">
      <c r="A2697" s="55" t="s">
        <v>12162</v>
      </c>
      <c r="B2697" s="52" t="s">
        <v>5675</v>
      </c>
      <c r="C2697" s="76">
        <v>45975.333333333336</v>
      </c>
      <c r="D2697" s="7" t="s">
        <v>2147</v>
      </c>
      <c r="E2697" s="76">
        <v>45975.375</v>
      </c>
      <c r="F2697" s="52" t="s">
        <v>12096</v>
      </c>
      <c r="G2697" s="4" t="s">
        <v>110</v>
      </c>
      <c r="H2697" s="4" t="s">
        <v>1987</v>
      </c>
      <c r="K2697" s="4" t="s">
        <v>12163</v>
      </c>
      <c r="L2697" s="4" t="s">
        <v>12097</v>
      </c>
    </row>
    <row r="2698">
      <c r="A2698" s="55" t="s">
        <v>12164</v>
      </c>
      <c r="B2698" s="52" t="s">
        <v>5628</v>
      </c>
      <c r="C2698" s="76">
        <v>45978.333333333336</v>
      </c>
      <c r="D2698" s="7" t="s">
        <v>2200</v>
      </c>
      <c r="E2698" s="76">
        <v>45978.416666666664</v>
      </c>
      <c r="F2698" s="52" t="s">
        <v>12165</v>
      </c>
      <c r="G2698" s="4" t="s">
        <v>110</v>
      </c>
      <c r="H2698" s="4" t="s">
        <v>1987</v>
      </c>
      <c r="K2698" s="4" t="s">
        <v>12100</v>
      </c>
      <c r="L2698" s="4" t="s">
        <v>12166</v>
      </c>
    </row>
    <row r="2699">
      <c r="A2699" s="55" t="s">
        <v>12167</v>
      </c>
      <c r="B2699" s="52" t="s">
        <v>5598</v>
      </c>
      <c r="C2699" s="76">
        <v>45975.645833333336</v>
      </c>
      <c r="D2699" s="7" t="s">
        <v>2147</v>
      </c>
      <c r="E2699" s="76">
        <v>45975.6875</v>
      </c>
      <c r="F2699" s="52" t="s">
        <v>11617</v>
      </c>
      <c r="G2699" s="4" t="s">
        <v>135</v>
      </c>
      <c r="H2699" s="4" t="s">
        <v>1991</v>
      </c>
      <c r="K2699" s="4" t="s">
        <v>12168</v>
      </c>
      <c r="L2699" s="4"/>
    </row>
    <row r="2700">
      <c r="A2700" s="55" t="s">
        <v>12169</v>
      </c>
      <c r="B2700" s="52" t="s">
        <v>5598</v>
      </c>
      <c r="C2700" s="76">
        <v>45975.6875</v>
      </c>
      <c r="D2700" s="7" t="s">
        <v>2147</v>
      </c>
      <c r="E2700" s="76">
        <v>45975.729166666664</v>
      </c>
      <c r="F2700" s="52" t="s">
        <v>12013</v>
      </c>
      <c r="G2700" s="4" t="s">
        <v>135</v>
      </c>
      <c r="H2700" s="4" t="s">
        <v>1987</v>
      </c>
      <c r="K2700" s="4" t="s">
        <v>12170</v>
      </c>
      <c r="L2700" s="4"/>
    </row>
    <row r="2701">
      <c r="A2701" s="55" t="s">
        <v>12171</v>
      </c>
      <c r="B2701" s="52" t="s">
        <v>5647</v>
      </c>
      <c r="C2701" s="76">
        <v>45981.583333333336</v>
      </c>
      <c r="D2701" s="7" t="s">
        <v>2147</v>
      </c>
      <c r="E2701" s="76">
        <v>45981.645833333336</v>
      </c>
      <c r="F2701" s="52" t="s">
        <v>12172</v>
      </c>
      <c r="G2701" s="4" t="s">
        <v>27</v>
      </c>
      <c r="H2701" s="4" t="s">
        <v>1991</v>
      </c>
      <c r="K2701" s="4" t="s">
        <v>12173</v>
      </c>
      <c r="L2701" s="4" t="s">
        <v>12174</v>
      </c>
    </row>
    <row r="2702">
      <c r="A2702" s="55" t="s">
        <v>12175</v>
      </c>
      <c r="B2702" s="52" t="s">
        <v>1617</v>
      </c>
      <c r="C2702" s="76">
        <v>45974.625</v>
      </c>
      <c r="D2702" s="7" t="s">
        <v>2147</v>
      </c>
      <c r="E2702" s="76">
        <v>45974.708333333336</v>
      </c>
      <c r="F2702" s="52"/>
      <c r="G2702" s="4" t="s">
        <v>27</v>
      </c>
      <c r="H2702" s="4" t="s">
        <v>1987</v>
      </c>
      <c r="K2702" s="4" t="s">
        <v>12176</v>
      </c>
      <c r="L2702" s="4"/>
    </row>
    <row r="2703">
      <c r="A2703" s="55" t="s">
        <v>12177</v>
      </c>
      <c r="B2703" s="52" t="s">
        <v>5625</v>
      </c>
      <c r="C2703" s="76">
        <v>45978.5625</v>
      </c>
      <c r="D2703" s="7" t="s">
        <v>2148</v>
      </c>
      <c r="E2703" s="76">
        <v>45978.729166666664</v>
      </c>
      <c r="F2703" s="52" t="s">
        <v>1420</v>
      </c>
      <c r="G2703" s="4" t="s">
        <v>135</v>
      </c>
      <c r="H2703" s="4" t="s">
        <v>1987</v>
      </c>
      <c r="K2703" s="4" t="s">
        <v>12178</v>
      </c>
      <c r="L2703" s="4" t="s">
        <v>12179</v>
      </c>
    </row>
    <row r="2704">
      <c r="A2704" s="55"/>
      <c r="B2704" s="52"/>
      <c r="C2704" s="76"/>
      <c r="D2704" s="4"/>
      <c r="E2704" s="76"/>
      <c r="F2704" s="52"/>
      <c r="G2704" s="4"/>
      <c r="H2704" s="4"/>
      <c r="K2704" s="4"/>
      <c r="L2704" s="4"/>
    </row>
    <row r="2705">
      <c r="A2705" s="55"/>
      <c r="B2705" s="52"/>
      <c r="C2705" s="76"/>
      <c r="D2705" s="4"/>
      <c r="E2705" s="76"/>
      <c r="F2705" s="52"/>
      <c r="G2705" s="4"/>
      <c r="H2705" s="4"/>
      <c r="K2705" s="4"/>
      <c r="L2705" s="4"/>
    </row>
    <row r="2706">
      <c r="A2706" s="55" t="s">
        <v>12180</v>
      </c>
      <c r="B2706" s="52" t="s">
        <v>5625</v>
      </c>
      <c r="C2706" s="76">
        <v>45981.5625</v>
      </c>
      <c r="D2706" s="7" t="s">
        <v>2148</v>
      </c>
      <c r="E2706" s="76">
        <v>45981.583333333336</v>
      </c>
      <c r="F2706" s="52" t="s">
        <v>1420</v>
      </c>
      <c r="G2706" s="4" t="s">
        <v>135</v>
      </c>
      <c r="H2706" s="4" t="s">
        <v>1991</v>
      </c>
      <c r="K2706" s="4" t="s">
        <v>12181</v>
      </c>
      <c r="L2706" s="4" t="s">
        <v>12182</v>
      </c>
    </row>
    <row r="2707">
      <c r="A2707" s="55"/>
      <c r="B2707" s="52"/>
      <c r="C2707" s="76"/>
      <c r="D2707" s="4"/>
      <c r="E2707" s="76"/>
      <c r="F2707" s="52"/>
      <c r="G2707" s="4"/>
      <c r="H2707" s="4"/>
      <c r="K2707" s="4"/>
      <c r="L2707" s="4"/>
    </row>
    <row r="2708">
      <c r="A2708" s="55" t="s">
        <v>12183</v>
      </c>
      <c r="B2708" s="52" t="s">
        <v>6057</v>
      </c>
      <c r="C2708" s="76">
        <v>45978.375</v>
      </c>
      <c r="D2708" s="7" t="s">
        <v>2147</v>
      </c>
      <c r="E2708" s="76">
        <v>45978.416666666664</v>
      </c>
      <c r="F2708" s="52" t="s">
        <v>12184</v>
      </c>
      <c r="G2708" s="4" t="s">
        <v>27</v>
      </c>
      <c r="H2708" s="4" t="s">
        <v>1987</v>
      </c>
      <c r="K2708" s="4" t="s">
        <v>12185</v>
      </c>
      <c r="L2708" s="4" t="s">
        <v>12186</v>
      </c>
    </row>
    <row r="2709">
      <c r="A2709" s="55"/>
      <c r="B2709" s="52"/>
      <c r="C2709" s="76"/>
      <c r="D2709" s="4"/>
      <c r="E2709" s="76"/>
      <c r="F2709" s="52"/>
      <c r="G2709" s="4"/>
      <c r="H2709" s="4"/>
      <c r="K2709" s="4"/>
      <c r="L2709" s="4"/>
    </row>
    <row r="2710">
      <c r="A2710" s="55"/>
      <c r="B2710" s="52"/>
      <c r="C2710" s="76"/>
      <c r="D2710" s="4"/>
      <c r="E2710" s="76"/>
      <c r="F2710" s="52"/>
      <c r="G2710" s="4"/>
      <c r="H2710" s="4"/>
      <c r="K2710" s="4"/>
      <c r="L2710" s="4"/>
    </row>
    <row r="2711">
      <c r="A2711" s="55" t="s">
        <v>12187</v>
      </c>
      <c r="B2711" s="52" t="s">
        <v>5656</v>
      </c>
      <c r="C2711" s="76">
        <v>45979.541666666664</v>
      </c>
      <c r="D2711" s="7" t="s">
        <v>6052</v>
      </c>
      <c r="E2711" s="76">
        <v>45979.729166666664</v>
      </c>
      <c r="F2711" s="52" t="s">
        <v>7424</v>
      </c>
      <c r="G2711" s="4" t="s">
        <v>27</v>
      </c>
      <c r="H2711" s="4" t="s">
        <v>1987</v>
      </c>
      <c r="K2711" s="4" t="s">
        <v>12188</v>
      </c>
      <c r="L2711" s="4" t="s">
        <v>12189</v>
      </c>
    </row>
    <row r="2712">
      <c r="A2712" s="55"/>
      <c r="B2712" s="52"/>
      <c r="C2712" s="76"/>
      <c r="D2712" s="4"/>
      <c r="E2712" s="76"/>
      <c r="F2712" s="52"/>
      <c r="G2712" s="4"/>
      <c r="H2712" s="4"/>
      <c r="K2712" s="4"/>
      <c r="L2712" s="4"/>
    </row>
    <row r="2713">
      <c r="A2713" s="55"/>
      <c r="B2713" s="52"/>
      <c r="C2713" s="76"/>
      <c r="D2713" s="4"/>
      <c r="E2713" s="76"/>
      <c r="F2713" s="52"/>
      <c r="G2713" s="4"/>
      <c r="H2713" s="4"/>
      <c r="K2713" s="4"/>
      <c r="L2713" s="4"/>
    </row>
    <row r="2714">
      <c r="A2714" s="55" t="s">
        <v>12190</v>
      </c>
      <c r="B2714" s="52" t="s">
        <v>1649</v>
      </c>
      <c r="C2714" s="76">
        <v>45977.791666666664</v>
      </c>
      <c r="D2714" s="7" t="s">
        <v>2147</v>
      </c>
      <c r="E2714" s="76">
        <v>45977.833333333336</v>
      </c>
      <c r="F2714" s="52" t="s">
        <v>12191</v>
      </c>
      <c r="G2714" s="4" t="s">
        <v>27</v>
      </c>
      <c r="H2714" s="4" t="s">
        <v>1987</v>
      </c>
      <c r="K2714" s="4" t="s">
        <v>12192</v>
      </c>
      <c r="L2714" s="4"/>
    </row>
    <row r="2715">
      <c r="A2715" s="55" t="s">
        <v>12193</v>
      </c>
      <c r="B2715" s="52" t="s">
        <v>1649</v>
      </c>
      <c r="C2715" s="76">
        <v>45975.333333333336</v>
      </c>
      <c r="D2715" s="7" t="s">
        <v>2147</v>
      </c>
      <c r="E2715" s="76">
        <v>45975.75</v>
      </c>
      <c r="F2715" s="52" t="s">
        <v>12194</v>
      </c>
      <c r="G2715" s="4" t="s">
        <v>27</v>
      </c>
      <c r="H2715" s="4" t="s">
        <v>1987</v>
      </c>
      <c r="K2715" s="4" t="s">
        <v>12195</v>
      </c>
      <c r="L2715" s="4"/>
    </row>
    <row r="2716">
      <c r="A2716" s="55" t="s">
        <v>12196</v>
      </c>
      <c r="B2716" s="52" t="s">
        <v>1649</v>
      </c>
      <c r="C2716" s="76">
        <v>45976.333333333336</v>
      </c>
      <c r="D2716" s="7" t="s">
        <v>2147</v>
      </c>
      <c r="E2716" s="76">
        <v>45976.479166666664</v>
      </c>
      <c r="F2716" s="52" t="s">
        <v>12194</v>
      </c>
      <c r="G2716" s="4" t="s">
        <v>27</v>
      </c>
      <c r="H2716" s="4" t="s">
        <v>1987</v>
      </c>
      <c r="K2716" s="4" t="s">
        <v>12197</v>
      </c>
      <c r="L2716" s="4"/>
    </row>
    <row r="2717">
      <c r="A2717" s="55" t="s">
        <v>12198</v>
      </c>
      <c r="B2717" s="52" t="s">
        <v>1611</v>
      </c>
      <c r="C2717" s="76">
        <v>45977.83263888889</v>
      </c>
      <c r="D2717" s="7" t="s">
        <v>2147</v>
      </c>
      <c r="E2717" s="76">
        <v>45977.87430555555</v>
      </c>
      <c r="F2717" s="52" t="s">
        <v>12199</v>
      </c>
      <c r="G2717" s="4" t="s">
        <v>27</v>
      </c>
      <c r="H2717" s="4" t="s">
        <v>1987</v>
      </c>
      <c r="K2717" s="4" t="s">
        <v>12200</v>
      </c>
      <c r="L2717" s="4"/>
    </row>
    <row r="2718">
      <c r="A2718" s="55"/>
      <c r="B2718" s="52"/>
      <c r="C2718" s="76"/>
      <c r="D2718" s="4"/>
      <c r="E2718" s="76"/>
      <c r="F2718" s="52"/>
      <c r="G2718" s="4"/>
      <c r="H2718" s="4"/>
      <c r="K2718" s="4"/>
      <c r="L2718" s="4"/>
    </row>
    <row r="2719">
      <c r="A2719" s="55" t="s">
        <v>12201</v>
      </c>
      <c r="B2719" s="52" t="s">
        <v>1617</v>
      </c>
      <c r="C2719" s="76">
        <v>45978.42013888889</v>
      </c>
      <c r="D2719" s="7" t="s">
        <v>2147</v>
      </c>
      <c r="E2719" s="76">
        <v>45978.461805555555</v>
      </c>
      <c r="F2719" s="52" t="s">
        <v>11061</v>
      </c>
      <c r="G2719" s="4" t="s">
        <v>27</v>
      </c>
      <c r="H2719" s="4" t="s">
        <v>1987</v>
      </c>
      <c r="K2719" s="4" t="s">
        <v>12202</v>
      </c>
      <c r="L2719" s="4"/>
    </row>
    <row r="2720">
      <c r="A2720" s="55" t="s">
        <v>12203</v>
      </c>
      <c r="B2720" s="52" t="s">
        <v>1617</v>
      </c>
      <c r="C2720" s="76">
        <v>45978.416666666664</v>
      </c>
      <c r="D2720" s="7" t="s">
        <v>2147</v>
      </c>
      <c r="E2720" s="76">
        <v>45978.489583333336</v>
      </c>
      <c r="F2720" s="52" t="s">
        <v>12204</v>
      </c>
      <c r="G2720" s="4" t="s">
        <v>110</v>
      </c>
      <c r="H2720" s="4" t="s">
        <v>1987</v>
      </c>
      <c r="K2720" s="4" t="s">
        <v>12205</v>
      </c>
      <c r="L2720" s="4" t="s">
        <v>12206</v>
      </c>
    </row>
    <row r="2721">
      <c r="A2721" s="55" t="s">
        <v>12207</v>
      </c>
      <c r="B2721" s="52" t="s">
        <v>5628</v>
      </c>
      <c r="C2721" s="76">
        <v>45978.53125</v>
      </c>
      <c r="D2721" s="7" t="s">
        <v>2200</v>
      </c>
      <c r="E2721" s="76">
        <v>45978.583333333336</v>
      </c>
      <c r="F2721" s="52" t="s">
        <v>12208</v>
      </c>
      <c r="G2721" s="4" t="s">
        <v>110</v>
      </c>
      <c r="H2721" s="4" t="s">
        <v>1987</v>
      </c>
      <c r="K2721" s="4" t="s">
        <v>12209</v>
      </c>
      <c r="L2721" s="4" t="s">
        <v>12210</v>
      </c>
    </row>
    <row r="2722">
      <c r="A2722" s="55" t="s">
        <v>12211</v>
      </c>
      <c r="B2722" s="52" t="s">
        <v>5628</v>
      </c>
      <c r="C2722" s="76">
        <v>45979.333333333336</v>
      </c>
      <c r="D2722" s="7" t="s">
        <v>2147</v>
      </c>
      <c r="E2722" s="76">
        <v>45979.375</v>
      </c>
      <c r="F2722" s="52" t="s">
        <v>12208</v>
      </c>
      <c r="G2722" s="4" t="s">
        <v>110</v>
      </c>
      <c r="H2722" s="4" t="s">
        <v>1987</v>
      </c>
      <c r="K2722" s="4" t="s">
        <v>12212</v>
      </c>
      <c r="L2722" s="4" t="s">
        <v>12213</v>
      </c>
    </row>
    <row r="2723">
      <c r="A2723" s="55" t="s">
        <v>12214</v>
      </c>
      <c r="B2723" s="52" t="s">
        <v>5675</v>
      </c>
      <c r="C2723" s="76">
        <v>45979.458333333336</v>
      </c>
      <c r="D2723" s="7" t="s">
        <v>2200</v>
      </c>
      <c r="E2723" s="76">
        <v>45979.583333333336</v>
      </c>
      <c r="F2723" s="52" t="s">
        <v>12215</v>
      </c>
      <c r="G2723" s="4" t="s">
        <v>110</v>
      </c>
      <c r="H2723" s="4" t="s">
        <v>1987</v>
      </c>
      <c r="K2723" s="4" t="s">
        <v>12216</v>
      </c>
      <c r="L2723" s="4" t="s">
        <v>12217</v>
      </c>
    </row>
    <row r="2724">
      <c r="A2724" s="55" t="s">
        <v>12218</v>
      </c>
      <c r="B2724" s="52" t="s">
        <v>5686</v>
      </c>
      <c r="C2724" s="76">
        <v>45980.416666666664</v>
      </c>
      <c r="D2724" s="7" t="s">
        <v>2148</v>
      </c>
      <c r="E2724" s="76">
        <v>45980.583333333336</v>
      </c>
      <c r="F2724" s="52" t="s">
        <v>12219</v>
      </c>
      <c r="G2724" s="4" t="s">
        <v>110</v>
      </c>
      <c r="H2724" s="4" t="s">
        <v>1987</v>
      </c>
      <c r="K2724" s="4"/>
      <c r="L2724" s="4" t="s">
        <v>12220</v>
      </c>
    </row>
    <row r="2725">
      <c r="A2725" s="55" t="s">
        <v>12221</v>
      </c>
      <c r="B2725" s="52" t="s">
        <v>5686</v>
      </c>
      <c r="C2725" s="76">
        <v>45981.333333333336</v>
      </c>
      <c r="D2725" s="7" t="s">
        <v>2147</v>
      </c>
      <c r="E2725" s="76">
        <v>45981.395833333336</v>
      </c>
      <c r="F2725" s="52" t="s">
        <v>12222</v>
      </c>
      <c r="G2725" s="4" t="s">
        <v>110</v>
      </c>
      <c r="H2725" s="4" t="s">
        <v>1987</v>
      </c>
      <c r="K2725" s="4" t="s">
        <v>12223</v>
      </c>
      <c r="L2725" s="4" t="s">
        <v>12224</v>
      </c>
    </row>
    <row r="2726">
      <c r="A2726" s="55" t="s">
        <v>12225</v>
      </c>
      <c r="B2726" s="52" t="s">
        <v>5675</v>
      </c>
      <c r="C2726" s="76">
        <v>45978.489583333336</v>
      </c>
      <c r="D2726" s="7" t="s">
        <v>2147</v>
      </c>
      <c r="E2726" s="76">
        <v>45978.53125</v>
      </c>
      <c r="F2726" s="52" t="s">
        <v>12226</v>
      </c>
      <c r="G2726" s="4" t="s">
        <v>110</v>
      </c>
      <c r="H2726" s="4" t="s">
        <v>1987</v>
      </c>
      <c r="K2726" s="4" t="s">
        <v>12227</v>
      </c>
      <c r="L2726" s="4"/>
    </row>
    <row r="2727">
      <c r="A2727" s="55"/>
      <c r="B2727" s="52"/>
      <c r="C2727" s="76"/>
      <c r="D2727" s="4"/>
      <c r="E2727" s="76"/>
      <c r="F2727" s="52"/>
      <c r="G2727" s="4"/>
      <c r="H2727" s="4"/>
      <c r="K2727" s="4"/>
      <c r="L2727" s="4"/>
    </row>
    <row r="2728">
      <c r="A2728" s="55" t="s">
        <v>12228</v>
      </c>
      <c r="B2728" s="52" t="s">
        <v>1617</v>
      </c>
      <c r="C2728" s="76">
        <v>45979.666666666664</v>
      </c>
      <c r="D2728" s="7" t="s">
        <v>2147</v>
      </c>
      <c r="E2728" s="76">
        <v>45979.770833333336</v>
      </c>
      <c r="F2728" s="52" t="s">
        <v>12229</v>
      </c>
      <c r="G2728" s="4" t="s">
        <v>135</v>
      </c>
      <c r="H2728" s="4" t="s">
        <v>1987</v>
      </c>
      <c r="K2728" s="4" t="s">
        <v>12230</v>
      </c>
      <c r="L2728" s="4" t="s">
        <v>12231</v>
      </c>
    </row>
    <row r="2729">
      <c r="A2729" s="55" t="s">
        <v>12232</v>
      </c>
      <c r="B2729" s="52" t="s">
        <v>5625</v>
      </c>
      <c r="C2729" s="76">
        <v>45979.5625</v>
      </c>
      <c r="D2729" s="7" t="s">
        <v>2148</v>
      </c>
      <c r="E2729" s="76">
        <v>45979.625</v>
      </c>
      <c r="F2729" s="52" t="s">
        <v>1420</v>
      </c>
      <c r="G2729" s="4" t="s">
        <v>135</v>
      </c>
      <c r="H2729" s="4" t="s">
        <v>1987</v>
      </c>
      <c r="K2729" s="4" t="s">
        <v>12233</v>
      </c>
      <c r="L2729" s="4" t="s">
        <v>12179</v>
      </c>
    </row>
    <row r="2730">
      <c r="A2730" s="55" t="s">
        <v>12234</v>
      </c>
      <c r="B2730" s="52" t="s">
        <v>1617</v>
      </c>
      <c r="C2730" s="76">
        <v>45980.5625</v>
      </c>
      <c r="D2730" s="7" t="s">
        <v>2147</v>
      </c>
      <c r="E2730" s="76">
        <v>45980.770833333336</v>
      </c>
      <c r="F2730" s="52" t="s">
        <v>12229</v>
      </c>
      <c r="G2730" s="4" t="s">
        <v>135</v>
      </c>
      <c r="H2730" s="4" t="s">
        <v>1987</v>
      </c>
      <c r="K2730" s="4" t="s">
        <v>12230</v>
      </c>
      <c r="L2730" s="4" t="s">
        <v>12235</v>
      </c>
    </row>
    <row r="2731">
      <c r="A2731" s="55" t="s">
        <v>12236</v>
      </c>
      <c r="B2731" s="52" t="s">
        <v>5647</v>
      </c>
      <c r="C2731" s="76">
        <v>45978.70972222222</v>
      </c>
      <c r="D2731" s="7" t="s">
        <v>2147</v>
      </c>
      <c r="E2731" s="76">
        <v>45978.8125</v>
      </c>
      <c r="F2731" s="52" t="s">
        <v>5647</v>
      </c>
      <c r="G2731" s="4" t="s">
        <v>27</v>
      </c>
      <c r="H2731" s="4" t="s">
        <v>1987</v>
      </c>
      <c r="K2731" s="4"/>
      <c r="L2731" s="4" t="s">
        <v>12237</v>
      </c>
    </row>
    <row r="2732">
      <c r="A2732" s="55" t="s">
        <v>12238</v>
      </c>
      <c r="B2732" s="52" t="s">
        <v>5625</v>
      </c>
      <c r="C2732" s="76">
        <v>45979.75</v>
      </c>
      <c r="D2732" s="7" t="s">
        <v>2147</v>
      </c>
      <c r="E2732" s="76">
        <v>45979.833333333336</v>
      </c>
      <c r="F2732" s="52" t="s">
        <v>1420</v>
      </c>
      <c r="G2732" s="4" t="s">
        <v>27</v>
      </c>
      <c r="H2732" s="4" t="s">
        <v>1987</v>
      </c>
      <c r="K2732" s="4" t="s">
        <v>12239</v>
      </c>
      <c r="L2732" s="4" t="s">
        <v>12240</v>
      </c>
    </row>
    <row r="2733">
      <c r="A2733" s="55" t="s">
        <v>12241</v>
      </c>
      <c r="B2733" s="52" t="s">
        <v>5625</v>
      </c>
      <c r="C2733" s="76">
        <v>45980.395833333336</v>
      </c>
      <c r="D2733" s="7" t="s">
        <v>2147</v>
      </c>
      <c r="E2733" s="76">
        <v>45980.4375</v>
      </c>
      <c r="F2733" s="52" t="s">
        <v>12242</v>
      </c>
      <c r="G2733" s="4" t="s">
        <v>27</v>
      </c>
      <c r="H2733" s="4" t="s">
        <v>1991</v>
      </c>
      <c r="K2733" s="4" t="s">
        <v>12243</v>
      </c>
      <c r="L2733" s="4"/>
    </row>
    <row r="2734">
      <c r="A2734" s="55" t="s">
        <v>12244</v>
      </c>
      <c r="B2734" s="52" t="s">
        <v>5675</v>
      </c>
      <c r="C2734" s="76">
        <v>45979.4375</v>
      </c>
      <c r="D2734" s="7" t="s">
        <v>2200</v>
      </c>
      <c r="E2734" s="76">
        <v>45979.458333333336</v>
      </c>
      <c r="F2734" s="52" t="s">
        <v>9183</v>
      </c>
      <c r="G2734" s="4" t="s">
        <v>110</v>
      </c>
      <c r="H2734" s="4" t="s">
        <v>1991</v>
      </c>
      <c r="K2734" s="4" t="s">
        <v>12245</v>
      </c>
      <c r="L2734" s="4" t="s">
        <v>12246</v>
      </c>
    </row>
    <row r="2735">
      <c r="A2735" s="55" t="s">
        <v>12247</v>
      </c>
      <c r="B2735" s="52" t="s">
        <v>5628</v>
      </c>
      <c r="C2735" s="76">
        <v>45979.375</v>
      </c>
      <c r="D2735" s="7" t="s">
        <v>2147</v>
      </c>
      <c r="E2735" s="76">
        <v>45979.4375</v>
      </c>
      <c r="F2735" s="52" t="s">
        <v>12208</v>
      </c>
      <c r="G2735" s="4" t="s">
        <v>110</v>
      </c>
      <c r="H2735" s="4" t="s">
        <v>1987</v>
      </c>
      <c r="K2735" s="4" t="s">
        <v>12248</v>
      </c>
      <c r="L2735" s="4" t="s">
        <v>12249</v>
      </c>
    </row>
    <row r="2736">
      <c r="A2736" s="55" t="s">
        <v>12250</v>
      </c>
      <c r="B2736" s="52" t="s">
        <v>1649</v>
      </c>
      <c r="C2736" s="76">
        <v>45979.854166666664</v>
      </c>
      <c r="D2736" s="7" t="s">
        <v>2147</v>
      </c>
      <c r="E2736" s="76">
        <v>45979.895833333336</v>
      </c>
      <c r="F2736" s="52" t="s">
        <v>12251</v>
      </c>
      <c r="G2736" s="4" t="s">
        <v>27</v>
      </c>
      <c r="H2736" s="4" t="s">
        <v>1987</v>
      </c>
      <c r="K2736" s="4" t="s">
        <v>12252</v>
      </c>
      <c r="L2736" s="4"/>
    </row>
    <row r="2737">
      <c r="A2737" s="55" t="s">
        <v>12253</v>
      </c>
      <c r="B2737" s="52" t="s">
        <v>5675</v>
      </c>
      <c r="C2737" s="76">
        <v>45980.333333333336</v>
      </c>
      <c r="D2737" s="7" t="s">
        <v>2154</v>
      </c>
      <c r="E2737" s="76">
        <v>45980.416666666664</v>
      </c>
      <c r="F2737" s="52" t="s">
        <v>12254</v>
      </c>
      <c r="G2737" s="4" t="s">
        <v>110</v>
      </c>
      <c r="H2737" s="4" t="s">
        <v>1987</v>
      </c>
      <c r="K2737" s="4" t="s">
        <v>12216</v>
      </c>
      <c r="L2737" s="4" t="s">
        <v>12255</v>
      </c>
    </row>
    <row r="2738">
      <c r="A2738" s="55" t="s">
        <v>12256</v>
      </c>
      <c r="B2738" s="52" t="s">
        <v>1611</v>
      </c>
      <c r="C2738" s="76">
        <v>45980.4375</v>
      </c>
      <c r="D2738" s="7" t="s">
        <v>2147</v>
      </c>
      <c r="E2738" s="76">
        <v>45980.458333333336</v>
      </c>
      <c r="F2738" s="52" t="s">
        <v>12257</v>
      </c>
      <c r="G2738" s="4" t="s">
        <v>27</v>
      </c>
      <c r="H2738" s="4" t="s">
        <v>1987</v>
      </c>
      <c r="K2738" s="4"/>
      <c r="L2738" s="4" t="s">
        <v>12258</v>
      </c>
    </row>
    <row r="2739">
      <c r="A2739" s="55" t="s">
        <v>12259</v>
      </c>
      <c r="B2739" s="52" t="s">
        <v>1649</v>
      </c>
      <c r="C2739" s="76">
        <v>45980.46875</v>
      </c>
      <c r="D2739" s="7" t="s">
        <v>2147</v>
      </c>
      <c r="E2739" s="76">
        <v>45980.583333333336</v>
      </c>
      <c r="F2739" s="52" t="s">
        <v>12260</v>
      </c>
      <c r="G2739" s="4" t="s">
        <v>27</v>
      </c>
      <c r="H2739" s="4" t="s">
        <v>1987</v>
      </c>
      <c r="K2739" s="4" t="s">
        <v>12261</v>
      </c>
      <c r="L2739" s="4" t="s">
        <v>12262</v>
      </c>
    </row>
    <row r="2740">
      <c r="A2740" s="55" t="s">
        <v>12263</v>
      </c>
      <c r="B2740" s="52" t="s">
        <v>5578</v>
      </c>
      <c r="C2740" s="76">
        <v>45979.625</v>
      </c>
      <c r="D2740" s="7" t="s">
        <v>2147</v>
      </c>
      <c r="E2740" s="76">
        <v>45979.666666666664</v>
      </c>
      <c r="F2740" s="52" t="s">
        <v>12264</v>
      </c>
      <c r="G2740" s="4" t="s">
        <v>135</v>
      </c>
      <c r="H2740" s="4" t="s">
        <v>1987</v>
      </c>
      <c r="K2740" s="4" t="s">
        <v>12265</v>
      </c>
      <c r="L2740" s="4"/>
    </row>
    <row r="2741">
      <c r="A2741" s="55" t="s">
        <v>12266</v>
      </c>
      <c r="B2741" s="52" t="s">
        <v>5647</v>
      </c>
      <c r="C2741" s="76">
        <v>45980.72361111111</v>
      </c>
      <c r="D2741" s="7" t="s">
        <v>2147</v>
      </c>
      <c r="E2741" s="76">
        <v>45980.791666666664</v>
      </c>
      <c r="F2741" s="52" t="s">
        <v>1608</v>
      </c>
      <c r="G2741" s="4" t="s">
        <v>27</v>
      </c>
      <c r="H2741" s="4" t="s">
        <v>1987</v>
      </c>
      <c r="K2741" s="4" t="s">
        <v>12267</v>
      </c>
      <c r="L2741" s="4"/>
    </row>
    <row r="2742">
      <c r="A2742" s="55" t="s">
        <v>12268</v>
      </c>
      <c r="B2742" s="52" t="s">
        <v>5647</v>
      </c>
      <c r="C2742" s="76">
        <v>45981.395833333336</v>
      </c>
      <c r="D2742" s="7" t="s">
        <v>2147</v>
      </c>
      <c r="E2742" s="76">
        <v>45981.4375</v>
      </c>
      <c r="F2742" s="52" t="s">
        <v>12269</v>
      </c>
      <c r="G2742" s="4" t="s">
        <v>110</v>
      </c>
      <c r="H2742" s="4" t="s">
        <v>1987</v>
      </c>
      <c r="K2742" s="4" t="s">
        <v>12270</v>
      </c>
      <c r="L2742" s="4"/>
    </row>
    <row r="2743">
      <c r="A2743" s="55" t="s">
        <v>12271</v>
      </c>
      <c r="B2743" s="52" t="s">
        <v>5686</v>
      </c>
      <c r="C2743" s="76">
        <v>45981.4375</v>
      </c>
      <c r="D2743" s="7" t="s">
        <v>2147</v>
      </c>
      <c r="E2743" s="76">
        <v>45981.5</v>
      </c>
      <c r="F2743" s="52" t="s">
        <v>12222</v>
      </c>
      <c r="G2743" s="4" t="s">
        <v>110</v>
      </c>
      <c r="H2743" s="4" t="s">
        <v>1987</v>
      </c>
      <c r="K2743" s="4" t="s">
        <v>12272</v>
      </c>
      <c r="L2743" s="4" t="s">
        <v>12273</v>
      </c>
    </row>
    <row r="2744">
      <c r="A2744" s="55" t="s">
        <v>12274</v>
      </c>
      <c r="B2744" s="52" t="s">
        <v>5647</v>
      </c>
      <c r="C2744" s="76">
        <v>45981.333333333336</v>
      </c>
      <c r="D2744" s="7" t="s">
        <v>6052</v>
      </c>
      <c r="E2744" s="76">
        <v>45981.583333333336</v>
      </c>
      <c r="F2744" s="52" t="s">
        <v>12275</v>
      </c>
      <c r="G2744" s="4" t="s">
        <v>27</v>
      </c>
      <c r="H2744" s="4" t="s">
        <v>1987</v>
      </c>
      <c r="K2744" s="4"/>
      <c r="L2744" s="4" t="s">
        <v>12276</v>
      </c>
    </row>
    <row r="2745">
      <c r="A2745" s="55" t="s">
        <v>12277</v>
      </c>
      <c r="B2745" s="52" t="s">
        <v>5729</v>
      </c>
      <c r="C2745" s="76">
        <v>45981.5</v>
      </c>
      <c r="D2745" s="7" t="s">
        <v>2147</v>
      </c>
      <c r="E2745" s="76">
        <v>45981.541666666664</v>
      </c>
      <c r="F2745" s="52" t="s">
        <v>12278</v>
      </c>
      <c r="G2745" s="4" t="s">
        <v>110</v>
      </c>
      <c r="H2745" s="4" t="s">
        <v>1987</v>
      </c>
      <c r="K2745" s="4" t="s">
        <v>12279</v>
      </c>
      <c r="L2745" s="4"/>
    </row>
    <row r="2746">
      <c r="A2746" s="55" t="s">
        <v>12280</v>
      </c>
      <c r="B2746" s="52" t="s">
        <v>5647</v>
      </c>
      <c r="C2746" s="76">
        <v>45981.541666666664</v>
      </c>
      <c r="D2746" s="7" t="s">
        <v>2147</v>
      </c>
      <c r="E2746" s="76">
        <v>45981.583333333336</v>
      </c>
      <c r="F2746" s="52" t="s">
        <v>12269</v>
      </c>
      <c r="G2746" s="4" t="s">
        <v>110</v>
      </c>
      <c r="H2746" s="4" t="s">
        <v>1987</v>
      </c>
      <c r="K2746" s="4" t="s">
        <v>12281</v>
      </c>
      <c r="L2746" s="4"/>
    </row>
    <row r="2747">
      <c r="A2747" s="55" t="s">
        <v>12282</v>
      </c>
      <c r="B2747" s="52" t="s">
        <v>5729</v>
      </c>
      <c r="C2747" s="76">
        <v>45982.333333333336</v>
      </c>
      <c r="D2747" s="7" t="s">
        <v>6318</v>
      </c>
      <c r="E2747" s="76">
        <v>45982.375</v>
      </c>
      <c r="F2747" s="52" t="s">
        <v>12283</v>
      </c>
      <c r="G2747" s="4" t="s">
        <v>110</v>
      </c>
      <c r="H2747" s="4" t="s">
        <v>1987</v>
      </c>
      <c r="K2747" s="4" t="s">
        <v>12284</v>
      </c>
      <c r="L2747" s="4" t="s">
        <v>12285</v>
      </c>
    </row>
    <row r="2748">
      <c r="A2748" s="55" t="s">
        <v>12286</v>
      </c>
      <c r="B2748" s="52" t="s">
        <v>1617</v>
      </c>
      <c r="C2748" s="76">
        <v>45982.041666666664</v>
      </c>
      <c r="D2748" s="7" t="s">
        <v>2154</v>
      </c>
      <c r="E2748" s="76">
        <v>45982.125</v>
      </c>
      <c r="F2748" s="52" t="s">
        <v>12287</v>
      </c>
      <c r="G2748" s="4" t="s">
        <v>110</v>
      </c>
      <c r="H2748" s="4" t="s">
        <v>1987</v>
      </c>
      <c r="K2748" s="4" t="s">
        <v>12288</v>
      </c>
      <c r="L2748" s="4"/>
    </row>
    <row r="2749">
      <c r="A2749" s="55"/>
      <c r="B2749" s="52"/>
      <c r="C2749" s="76"/>
      <c r="D2749" s="4"/>
      <c r="E2749" s="76"/>
      <c r="F2749" s="52"/>
      <c r="G2749" s="4"/>
      <c r="H2749" s="4"/>
      <c r="K2749" s="4"/>
      <c r="L2749" s="4"/>
    </row>
    <row r="2750">
      <c r="A2750" s="55"/>
      <c r="B2750" s="52"/>
      <c r="C2750" s="76"/>
      <c r="D2750" s="4"/>
      <c r="E2750" s="76"/>
      <c r="F2750" s="52"/>
      <c r="G2750" s="4"/>
      <c r="H2750" s="4"/>
      <c r="K2750" s="4"/>
      <c r="L2750" s="4"/>
    </row>
    <row r="2751">
      <c r="A2751" s="55" t="s">
        <v>12289</v>
      </c>
      <c r="B2751" s="52" t="s">
        <v>1617</v>
      </c>
      <c r="C2751" s="76">
        <v>45981.583333333336</v>
      </c>
      <c r="D2751" s="7" t="s">
        <v>2147</v>
      </c>
      <c r="E2751" s="76">
        <v>45981.770833333336</v>
      </c>
      <c r="F2751" s="52" t="s">
        <v>12229</v>
      </c>
      <c r="G2751" s="4" t="s">
        <v>135</v>
      </c>
      <c r="H2751" s="4" t="s">
        <v>1987</v>
      </c>
      <c r="K2751" s="4" t="s">
        <v>12230</v>
      </c>
      <c r="L2751" s="4" t="s">
        <v>12290</v>
      </c>
    </row>
    <row r="2752">
      <c r="A2752" s="55" t="s">
        <v>12291</v>
      </c>
      <c r="B2752" s="52" t="s">
        <v>5628</v>
      </c>
      <c r="C2752" s="76">
        <v>45982.541666666664</v>
      </c>
      <c r="D2752" s="7" t="s">
        <v>6318</v>
      </c>
      <c r="E2752" s="76">
        <v>45982.5625</v>
      </c>
      <c r="F2752" s="52" t="s">
        <v>12292</v>
      </c>
      <c r="G2752" s="4" t="s">
        <v>110</v>
      </c>
      <c r="H2752" s="4" t="s">
        <v>1987</v>
      </c>
      <c r="K2752" s="4" t="s">
        <v>12293</v>
      </c>
      <c r="L2752" s="4" t="s">
        <v>12294</v>
      </c>
    </row>
    <row r="2753">
      <c r="A2753" s="55" t="s">
        <v>12295</v>
      </c>
      <c r="B2753" s="52" t="s">
        <v>5686</v>
      </c>
      <c r="C2753" s="76">
        <v>45982.375</v>
      </c>
      <c r="D2753" s="7" t="s">
        <v>6052</v>
      </c>
      <c r="E2753" s="76">
        <v>45982.541666666664</v>
      </c>
      <c r="F2753" s="52" t="s">
        <v>6319</v>
      </c>
      <c r="G2753" s="4" t="s">
        <v>110</v>
      </c>
      <c r="H2753" s="4" t="s">
        <v>1987</v>
      </c>
      <c r="K2753" s="4" t="s">
        <v>12296</v>
      </c>
      <c r="L2753" s="4" t="s">
        <v>12297</v>
      </c>
    </row>
    <row r="2754">
      <c r="A2754" s="55" t="s">
        <v>12298</v>
      </c>
      <c r="B2754" s="52" t="s">
        <v>5686</v>
      </c>
      <c r="C2754" s="76">
        <v>45986.333333333336</v>
      </c>
      <c r="D2754" s="7" t="s">
        <v>6052</v>
      </c>
      <c r="E2754" s="76">
        <v>45986.479166666664</v>
      </c>
      <c r="F2754" s="52" t="s">
        <v>12299</v>
      </c>
      <c r="G2754" s="4" t="s">
        <v>110</v>
      </c>
      <c r="H2754" s="4" t="s">
        <v>1987</v>
      </c>
      <c r="K2754" s="4" t="s">
        <v>12296</v>
      </c>
      <c r="L2754" s="4" t="s">
        <v>12300</v>
      </c>
    </row>
    <row r="2755">
      <c r="A2755" s="55" t="s">
        <v>12301</v>
      </c>
      <c r="B2755" s="52" t="s">
        <v>1617</v>
      </c>
      <c r="C2755" s="76">
        <v>45986.479166666664</v>
      </c>
      <c r="D2755" s="7" t="s">
        <v>2147</v>
      </c>
      <c r="E2755" s="76">
        <v>45986.59722222222</v>
      </c>
      <c r="F2755" s="52" t="s">
        <v>12302</v>
      </c>
      <c r="G2755" s="4" t="s">
        <v>110</v>
      </c>
      <c r="H2755" s="4" t="s">
        <v>1987</v>
      </c>
      <c r="K2755" s="4" t="s">
        <v>12303</v>
      </c>
      <c r="L2755" s="4" t="s">
        <v>12304</v>
      </c>
    </row>
    <row r="2756">
      <c r="A2756" s="55"/>
      <c r="B2756" s="52"/>
      <c r="C2756" s="76"/>
      <c r="D2756" s="4"/>
      <c r="E2756" s="76"/>
      <c r="F2756" s="52"/>
      <c r="G2756" s="4"/>
      <c r="H2756" s="4"/>
      <c r="K2756" s="4"/>
      <c r="L2756" s="4"/>
    </row>
    <row r="2757">
      <c r="A2757" s="55" t="s">
        <v>12305</v>
      </c>
      <c r="B2757" s="52" t="s">
        <v>5628</v>
      </c>
      <c r="C2757" s="76">
        <v>45987.458333333336</v>
      </c>
      <c r="D2757" s="7" t="s">
        <v>2147</v>
      </c>
      <c r="E2757" s="76">
        <v>45987.5</v>
      </c>
      <c r="F2757" s="52" t="s">
        <v>12306</v>
      </c>
      <c r="G2757" s="4" t="s">
        <v>110</v>
      </c>
      <c r="H2757" s="4" t="s">
        <v>1987</v>
      </c>
      <c r="K2757" s="4" t="s">
        <v>12307</v>
      </c>
      <c r="L2757" s="4" t="s">
        <v>12308</v>
      </c>
    </row>
    <row r="2758">
      <c r="A2758" s="55" t="s">
        <v>12309</v>
      </c>
      <c r="B2758" s="52" t="s">
        <v>5628</v>
      </c>
      <c r="C2758" s="76">
        <v>45988.333333333336</v>
      </c>
      <c r="D2758" s="7" t="s">
        <v>2147</v>
      </c>
      <c r="E2758" s="76">
        <v>45988.569444444445</v>
      </c>
      <c r="F2758" s="52" t="s">
        <v>12310</v>
      </c>
      <c r="G2758" s="4" t="s">
        <v>110</v>
      </c>
      <c r="H2758" s="4" t="s">
        <v>1987</v>
      </c>
      <c r="K2758" s="4" t="s">
        <v>12311</v>
      </c>
      <c r="L2758" s="4" t="s">
        <v>12312</v>
      </c>
    </row>
    <row r="2759">
      <c r="A2759" s="55" t="s">
        <v>12313</v>
      </c>
      <c r="B2759" s="52" t="s">
        <v>5628</v>
      </c>
      <c r="C2759" s="76">
        <v>45989.333333333336</v>
      </c>
      <c r="D2759" s="7" t="s">
        <v>2147</v>
      </c>
      <c r="E2759" s="76">
        <v>45989.541666666664</v>
      </c>
      <c r="F2759" s="52" t="s">
        <v>12314</v>
      </c>
      <c r="G2759" s="4" t="s">
        <v>110</v>
      </c>
      <c r="H2759" s="4" t="s">
        <v>1987</v>
      </c>
      <c r="K2759" s="4" t="s">
        <v>12311</v>
      </c>
      <c r="L2759" s="4" t="s">
        <v>12315</v>
      </c>
    </row>
    <row r="2760">
      <c r="A2760" s="55" t="s">
        <v>12316</v>
      </c>
      <c r="B2760" s="52" t="s">
        <v>5729</v>
      </c>
      <c r="C2760" s="76">
        <v>45989.541666666664</v>
      </c>
      <c r="D2760" s="7" t="s">
        <v>2147</v>
      </c>
      <c r="E2760" s="76">
        <v>45989.583333333336</v>
      </c>
      <c r="F2760" s="52" t="s">
        <v>12317</v>
      </c>
      <c r="G2760" s="4" t="s">
        <v>110</v>
      </c>
      <c r="H2760" s="4" t="s">
        <v>1987</v>
      </c>
      <c r="K2760" s="4" t="s">
        <v>12318</v>
      </c>
      <c r="L2760" s="4" t="s">
        <v>12319</v>
      </c>
    </row>
    <row r="2761">
      <c r="A2761" s="55" t="s">
        <v>12320</v>
      </c>
      <c r="B2761" s="52" t="s">
        <v>1617</v>
      </c>
      <c r="C2761" s="76">
        <v>45982.333333333336</v>
      </c>
      <c r="D2761" s="7" t="s">
        <v>2147</v>
      </c>
      <c r="E2761" s="76">
        <v>45982.5</v>
      </c>
      <c r="F2761" s="52" t="s">
        <v>12321</v>
      </c>
      <c r="G2761" s="4" t="s">
        <v>135</v>
      </c>
      <c r="H2761" s="4" t="s">
        <v>1987</v>
      </c>
      <c r="K2761" s="4" t="s">
        <v>12322</v>
      </c>
      <c r="L2761" s="4" t="s">
        <v>12323</v>
      </c>
    </row>
    <row r="2762">
      <c r="A2762" s="55"/>
      <c r="B2762" s="52"/>
      <c r="C2762" s="76"/>
      <c r="D2762" s="4"/>
      <c r="E2762" s="76"/>
      <c r="F2762" s="52"/>
      <c r="G2762" s="4"/>
      <c r="H2762" s="4"/>
      <c r="K2762" s="4"/>
      <c r="L2762" s="4"/>
    </row>
    <row r="2763">
      <c r="A2763" s="55" t="s">
        <v>12324</v>
      </c>
      <c r="B2763" s="52" t="s">
        <v>5598</v>
      </c>
      <c r="C2763" s="76">
        <v>45982.645833333336</v>
      </c>
      <c r="D2763" s="7" t="s">
        <v>2154</v>
      </c>
      <c r="E2763" s="76">
        <v>45982.770833333336</v>
      </c>
      <c r="F2763" s="52" t="s">
        <v>5377</v>
      </c>
      <c r="G2763" s="4" t="s">
        <v>135</v>
      </c>
      <c r="H2763" s="4" t="s">
        <v>1987</v>
      </c>
      <c r="K2763" s="4" t="s">
        <v>12325</v>
      </c>
      <c r="L2763" s="4" t="s">
        <v>12326</v>
      </c>
    </row>
    <row r="2764">
      <c r="A2764" s="55"/>
      <c r="B2764" s="52"/>
      <c r="C2764" s="76"/>
      <c r="D2764" s="4"/>
      <c r="E2764" s="76"/>
      <c r="F2764" s="52"/>
      <c r="G2764" s="4"/>
      <c r="H2764" s="4"/>
      <c r="K2764" s="4"/>
      <c r="L2764" s="4"/>
    </row>
    <row r="2765">
      <c r="A2765" s="55" t="s">
        <v>12327</v>
      </c>
      <c r="B2765" s="52" t="s">
        <v>5678</v>
      </c>
      <c r="C2765" s="76">
        <v>45983.333333333336</v>
      </c>
      <c r="D2765" s="7" t="s">
        <v>2147</v>
      </c>
      <c r="E2765" s="76">
        <v>45983.520833333336</v>
      </c>
      <c r="F2765" s="52" t="s">
        <v>12328</v>
      </c>
      <c r="G2765" s="4" t="s">
        <v>135</v>
      </c>
      <c r="H2765" s="4" t="s">
        <v>1987</v>
      </c>
      <c r="K2765" s="4" t="s">
        <v>12329</v>
      </c>
      <c r="L2765" s="4" t="s">
        <v>12330</v>
      </c>
    </row>
    <row r="2766">
      <c r="A2766" s="55" t="s">
        <v>12331</v>
      </c>
      <c r="B2766" s="52" t="s">
        <v>5625</v>
      </c>
      <c r="C2766" s="76">
        <v>45987.604166666664</v>
      </c>
      <c r="D2766" s="7" t="s">
        <v>2147</v>
      </c>
      <c r="E2766" s="76">
        <v>45987.770833333336</v>
      </c>
      <c r="F2766" s="52" t="s">
        <v>12332</v>
      </c>
      <c r="G2766" s="4" t="s">
        <v>135</v>
      </c>
      <c r="H2766" s="4" t="s">
        <v>1987</v>
      </c>
      <c r="K2766" s="4" t="s">
        <v>12333</v>
      </c>
      <c r="L2766" s="4" t="s">
        <v>12334</v>
      </c>
    </row>
    <row r="2767">
      <c r="A2767" s="55"/>
      <c r="B2767" s="52"/>
      <c r="C2767" s="76"/>
      <c r="D2767" s="4"/>
      <c r="E2767" s="76"/>
      <c r="F2767" s="52"/>
      <c r="G2767" s="4"/>
      <c r="H2767" s="4"/>
      <c r="K2767" s="4"/>
      <c r="L2767" s="4"/>
    </row>
    <row r="2768">
      <c r="A2768" s="55" t="s">
        <v>12335</v>
      </c>
      <c r="B2768" s="52" t="s">
        <v>1649</v>
      </c>
      <c r="C2768" s="76">
        <v>45982.42916666667</v>
      </c>
      <c r="D2768" s="7" t="s">
        <v>2147</v>
      </c>
      <c r="E2768" s="76">
        <v>45982.5</v>
      </c>
      <c r="F2768" s="52" t="s">
        <v>12336</v>
      </c>
      <c r="G2768" s="4" t="s">
        <v>27</v>
      </c>
      <c r="H2768" s="4" t="s">
        <v>1987</v>
      </c>
      <c r="K2768" s="4" t="s">
        <v>12337</v>
      </c>
      <c r="L2768" s="4" t="s">
        <v>12338</v>
      </c>
    </row>
    <row r="2769">
      <c r="A2769" s="55" t="s">
        <v>12339</v>
      </c>
      <c r="B2769" s="52" t="s">
        <v>1516</v>
      </c>
      <c r="C2769" s="76">
        <v>45982.54722222222</v>
      </c>
      <c r="D2769" s="7" t="s">
        <v>2147</v>
      </c>
      <c r="E2769" s="76">
        <v>45982.58888888889</v>
      </c>
      <c r="F2769" s="52" t="s">
        <v>12340</v>
      </c>
      <c r="G2769" s="4" t="s">
        <v>27</v>
      </c>
      <c r="H2769" s="4" t="s">
        <v>1987</v>
      </c>
      <c r="K2769" s="4" t="s">
        <v>12341</v>
      </c>
      <c r="L2769" s="4"/>
    </row>
    <row r="2770">
      <c r="A2770" s="55" t="s">
        <v>12342</v>
      </c>
      <c r="B2770" s="52" t="s">
        <v>1617</v>
      </c>
      <c r="C2770" s="76">
        <v>45982.5625</v>
      </c>
      <c r="D2770" s="7" t="s">
        <v>2147</v>
      </c>
      <c r="E2770" s="76">
        <v>45982.614583333336</v>
      </c>
      <c r="F2770" s="52" t="s">
        <v>12343</v>
      </c>
      <c r="G2770" s="4" t="s">
        <v>110</v>
      </c>
      <c r="H2770" s="4" t="s">
        <v>1987</v>
      </c>
      <c r="K2770" s="4" t="s">
        <v>12344</v>
      </c>
      <c r="L2770" s="4" t="s">
        <v>12345</v>
      </c>
    </row>
    <row r="2771">
      <c r="A2771" s="55" t="s">
        <v>12346</v>
      </c>
      <c r="B2771" s="52" t="s">
        <v>5686</v>
      </c>
      <c r="C2771" s="76">
        <v>45982.614583333336</v>
      </c>
      <c r="D2771" s="7" t="s">
        <v>6318</v>
      </c>
      <c r="E2771" s="76">
        <v>45982.625</v>
      </c>
      <c r="F2771" s="52" t="s">
        <v>12347</v>
      </c>
      <c r="G2771" s="4" t="s">
        <v>110</v>
      </c>
      <c r="H2771" s="4" t="s">
        <v>1987</v>
      </c>
      <c r="K2771" s="4" t="s">
        <v>12348</v>
      </c>
      <c r="L2771" s="4"/>
    </row>
    <row r="2772">
      <c r="A2772" s="66" t="s">
        <v>12349</v>
      </c>
      <c r="B2772" s="52" t="s">
        <v>5625</v>
      </c>
      <c r="C2772" s="76">
        <v>45986.5625</v>
      </c>
      <c r="D2772" s="7" t="s">
        <v>2147</v>
      </c>
      <c r="E2772" s="76">
        <v>45986.604166666664</v>
      </c>
      <c r="F2772" s="52" t="s">
        <v>9227</v>
      </c>
      <c r="G2772" s="4" t="s">
        <v>135</v>
      </c>
      <c r="H2772" s="4" t="s">
        <v>1991</v>
      </c>
      <c r="K2772" s="4" t="s">
        <v>12350</v>
      </c>
      <c r="L2772" s="4"/>
    </row>
    <row r="2773">
      <c r="A2773" s="55" t="s">
        <v>12351</v>
      </c>
      <c r="B2773" s="52" t="s">
        <v>1516</v>
      </c>
      <c r="C2773" s="76">
        <v>45982.625</v>
      </c>
      <c r="D2773" s="7" t="s">
        <v>2147</v>
      </c>
      <c r="E2773" s="76">
        <v>45982.666666666664</v>
      </c>
      <c r="F2773" s="52" t="s">
        <v>12352</v>
      </c>
      <c r="G2773" s="4" t="s">
        <v>27</v>
      </c>
      <c r="H2773" s="4" t="s">
        <v>1987</v>
      </c>
      <c r="K2773" s="4"/>
      <c r="L2773" s="4" t="s">
        <v>12353</v>
      </c>
    </row>
    <row r="2774">
      <c r="A2774" s="55" t="s">
        <v>12354</v>
      </c>
      <c r="B2774" s="52" t="s">
        <v>5598</v>
      </c>
      <c r="C2774" s="76">
        <v>45982.5625</v>
      </c>
      <c r="D2774" s="7" t="s">
        <v>2154</v>
      </c>
      <c r="E2774" s="76">
        <v>45982.645833333336</v>
      </c>
      <c r="F2774" s="52" t="s">
        <v>5377</v>
      </c>
      <c r="G2774" s="4" t="s">
        <v>135</v>
      </c>
      <c r="H2774" s="4" t="s">
        <v>1987</v>
      </c>
      <c r="K2774" s="4" t="s">
        <v>12355</v>
      </c>
      <c r="L2774" s="4" t="s">
        <v>12356</v>
      </c>
    </row>
    <row r="2775">
      <c r="A2775" s="55" t="s">
        <v>12357</v>
      </c>
      <c r="B2775" s="52" t="s">
        <v>1611</v>
      </c>
      <c r="C2775" s="76">
        <v>45982.760416666664</v>
      </c>
      <c r="D2775" s="7" t="s">
        <v>2147</v>
      </c>
      <c r="E2775" s="76">
        <v>45982.916666666664</v>
      </c>
      <c r="F2775" s="52" t="s">
        <v>12358</v>
      </c>
      <c r="G2775" s="4" t="s">
        <v>27</v>
      </c>
      <c r="H2775" s="4" t="s">
        <v>1987</v>
      </c>
      <c r="K2775" s="4" t="s">
        <v>12359</v>
      </c>
      <c r="L2775" s="4" t="s">
        <v>12360</v>
      </c>
    </row>
    <row r="2776">
      <c r="A2776" s="55" t="s">
        <v>12361</v>
      </c>
      <c r="B2776" s="52" t="s">
        <v>1611</v>
      </c>
      <c r="C2776" s="76">
        <v>45984.416666666664</v>
      </c>
      <c r="D2776" s="7" t="s">
        <v>2154</v>
      </c>
      <c r="E2776" s="76">
        <v>45984.5625</v>
      </c>
      <c r="F2776" s="52" t="s">
        <v>12362</v>
      </c>
      <c r="G2776" s="4" t="s">
        <v>27</v>
      </c>
      <c r="H2776" s="4" t="s">
        <v>1987</v>
      </c>
      <c r="K2776" s="4" t="s">
        <v>12363</v>
      </c>
      <c r="L2776" s="4" t="s">
        <v>12364</v>
      </c>
    </row>
    <row r="2777">
      <c r="A2777" s="55" t="s">
        <v>12365</v>
      </c>
      <c r="B2777" s="52" t="s">
        <v>1611</v>
      </c>
      <c r="C2777" s="76">
        <v>45986.395833333336</v>
      </c>
      <c r="D2777" s="7" t="s">
        <v>6052</v>
      </c>
      <c r="E2777" s="76">
        <v>45986.5625</v>
      </c>
      <c r="F2777" s="52" t="s">
        <v>12366</v>
      </c>
      <c r="G2777" s="4" t="s">
        <v>27</v>
      </c>
      <c r="H2777" s="4" t="s">
        <v>1987</v>
      </c>
      <c r="K2777" s="4" t="s">
        <v>12367</v>
      </c>
      <c r="L2777" s="4" t="s">
        <v>12368</v>
      </c>
    </row>
    <row r="2778">
      <c r="A2778" s="55"/>
      <c r="B2778" s="52"/>
      <c r="C2778" s="76"/>
      <c r="D2778" s="4"/>
      <c r="E2778" s="76"/>
      <c r="F2778" s="52"/>
      <c r="G2778" s="4"/>
      <c r="H2778" s="4"/>
      <c r="K2778" s="4"/>
      <c r="L2778" s="4"/>
    </row>
    <row r="2779">
      <c r="A2779" s="55" t="s">
        <v>12369</v>
      </c>
      <c r="B2779" s="52" t="s">
        <v>6057</v>
      </c>
      <c r="C2779" s="76">
        <v>45986.5625</v>
      </c>
      <c r="D2779" s="7" t="s">
        <v>2147</v>
      </c>
      <c r="E2779" s="76">
        <v>45986.645833333336</v>
      </c>
      <c r="F2779" s="52" t="s">
        <v>12370</v>
      </c>
      <c r="G2779" s="4" t="s">
        <v>27</v>
      </c>
      <c r="H2779" s="4" t="s">
        <v>1987</v>
      </c>
      <c r="K2779" s="4" t="s">
        <v>12371</v>
      </c>
      <c r="L2779" s="4" t="s">
        <v>12372</v>
      </c>
    </row>
    <row r="2780">
      <c r="A2780" s="66" t="s">
        <v>12373</v>
      </c>
      <c r="B2780" s="52" t="s">
        <v>1611</v>
      </c>
      <c r="C2780" s="76">
        <v>45986.645833333336</v>
      </c>
      <c r="D2780" s="7" t="s">
        <v>6052</v>
      </c>
      <c r="E2780" s="76">
        <v>45986.729166666664</v>
      </c>
      <c r="F2780" s="52" t="s">
        <v>12366</v>
      </c>
      <c r="G2780" s="4" t="s">
        <v>27</v>
      </c>
      <c r="H2780" s="4" t="s">
        <v>1987</v>
      </c>
      <c r="K2780" s="4" t="s">
        <v>12374</v>
      </c>
      <c r="L2780" s="4" t="s">
        <v>12375</v>
      </c>
    </row>
    <row r="2781">
      <c r="A2781" s="55" t="s">
        <v>12376</v>
      </c>
      <c r="B2781" s="52" t="s">
        <v>1649</v>
      </c>
      <c r="C2781" s="76">
        <v>45985.708333333336</v>
      </c>
      <c r="D2781" s="7" t="s">
        <v>2147</v>
      </c>
      <c r="E2781" s="76">
        <v>45985.75</v>
      </c>
      <c r="F2781" s="52" t="s">
        <v>12377</v>
      </c>
      <c r="G2781" s="4" t="s">
        <v>27</v>
      </c>
      <c r="H2781" s="4" t="s">
        <v>1987</v>
      </c>
      <c r="K2781" s="4" t="s">
        <v>12378</v>
      </c>
      <c r="L2781" s="4"/>
    </row>
    <row r="2782">
      <c r="A2782" s="55"/>
      <c r="B2782" s="52"/>
      <c r="C2782" s="76"/>
      <c r="D2782" s="4"/>
      <c r="E2782" s="76"/>
      <c r="F2782" s="52"/>
      <c r="G2782" s="4"/>
      <c r="H2782" s="4"/>
      <c r="K2782" s="4"/>
      <c r="L2782" s="4"/>
    </row>
    <row r="2783">
      <c r="A2783" s="55" t="s">
        <v>12379</v>
      </c>
      <c r="B2783" s="52" t="s">
        <v>5625</v>
      </c>
      <c r="C2783" s="76">
        <v>45987.729166666664</v>
      </c>
      <c r="D2783" s="7" t="s">
        <v>2147</v>
      </c>
      <c r="E2783" s="76">
        <v>45987.791666666664</v>
      </c>
      <c r="F2783" s="52" t="s">
        <v>12380</v>
      </c>
      <c r="G2783" s="4" t="s">
        <v>27</v>
      </c>
      <c r="H2783" s="4" t="s">
        <v>1987</v>
      </c>
      <c r="K2783" s="4"/>
      <c r="L2783" s="4" t="s">
        <v>12381</v>
      </c>
    </row>
    <row r="2784">
      <c r="A2784" s="55" t="s">
        <v>12382</v>
      </c>
      <c r="B2784" s="52" t="s">
        <v>1611</v>
      </c>
      <c r="C2784" s="76">
        <v>45986.75</v>
      </c>
      <c r="D2784" s="7" t="s">
        <v>2147</v>
      </c>
      <c r="E2784" s="76">
        <v>45986.854166666664</v>
      </c>
      <c r="F2784" s="52" t="s">
        <v>12383</v>
      </c>
      <c r="G2784" s="4" t="s">
        <v>27</v>
      </c>
      <c r="H2784" s="4" t="s">
        <v>1987</v>
      </c>
      <c r="K2784" s="4" t="s">
        <v>12384</v>
      </c>
      <c r="L2784" s="4" t="s">
        <v>12385</v>
      </c>
    </row>
    <row r="2785">
      <c r="A2785" s="55"/>
      <c r="B2785" s="52"/>
      <c r="C2785" s="76"/>
      <c r="D2785" s="4"/>
      <c r="E2785" s="76"/>
      <c r="F2785" s="52"/>
      <c r="G2785" s="4"/>
      <c r="H2785" s="4"/>
      <c r="K2785" s="4"/>
      <c r="L2785" s="4"/>
    </row>
    <row r="2786">
      <c r="A2786" s="55" t="s">
        <v>12386</v>
      </c>
      <c r="B2786" s="52" t="s">
        <v>1516</v>
      </c>
      <c r="C2786" s="76">
        <v>45988.479166666664</v>
      </c>
      <c r="D2786" s="7" t="s">
        <v>6052</v>
      </c>
      <c r="E2786" s="76">
        <v>45988.541666666664</v>
      </c>
      <c r="F2786" s="52" t="s">
        <v>12387</v>
      </c>
      <c r="G2786" s="4" t="s">
        <v>27</v>
      </c>
      <c r="H2786" s="4" t="s">
        <v>1987</v>
      </c>
      <c r="K2786" s="4"/>
      <c r="L2786" s="4" t="s">
        <v>12388</v>
      </c>
    </row>
    <row r="2787">
      <c r="A2787" s="55" t="s">
        <v>12389</v>
      </c>
      <c r="B2787" s="52" t="s">
        <v>5656</v>
      </c>
      <c r="C2787" s="76">
        <v>45987.6875</v>
      </c>
      <c r="D2787" s="7" t="s">
        <v>2154</v>
      </c>
      <c r="E2787" s="76">
        <v>45987.729166666664</v>
      </c>
      <c r="F2787" s="52" t="s">
        <v>6231</v>
      </c>
      <c r="G2787" s="4" t="s">
        <v>27</v>
      </c>
      <c r="H2787" s="4" t="s">
        <v>1987</v>
      </c>
      <c r="K2787" s="4" t="s">
        <v>12390</v>
      </c>
      <c r="L2787" s="4" t="s">
        <v>12391</v>
      </c>
    </row>
    <row r="2788">
      <c r="A2788" s="55"/>
      <c r="B2788" s="52"/>
      <c r="C2788" s="76"/>
      <c r="D2788" s="4"/>
      <c r="E2788" s="76"/>
      <c r="F2788" s="52"/>
      <c r="G2788" s="4"/>
      <c r="H2788" s="4"/>
      <c r="K2788" s="4"/>
      <c r="L2788" s="4"/>
    </row>
    <row r="2789">
      <c r="A2789" s="55"/>
      <c r="B2789" s="52"/>
      <c r="C2789" s="76"/>
      <c r="D2789" s="4"/>
      <c r="E2789" s="76"/>
      <c r="F2789" s="52"/>
      <c r="G2789" s="4"/>
      <c r="H2789" s="4"/>
      <c r="K2789" s="4"/>
      <c r="L2789" s="4"/>
    </row>
    <row r="2790">
      <c r="A2790" s="55" t="s">
        <v>12392</v>
      </c>
      <c r="B2790" s="52" t="s">
        <v>5628</v>
      </c>
      <c r="C2790" s="76">
        <v>45987.416666666664</v>
      </c>
      <c r="D2790" s="7" t="s">
        <v>2147</v>
      </c>
      <c r="E2790" s="76">
        <v>45987.458333333336</v>
      </c>
      <c r="F2790" s="52" t="s">
        <v>9513</v>
      </c>
      <c r="G2790" s="4" t="s">
        <v>110</v>
      </c>
      <c r="H2790" s="4" t="s">
        <v>1991</v>
      </c>
      <c r="K2790" s="4" t="s">
        <v>12393</v>
      </c>
      <c r="L2790" s="4"/>
    </row>
    <row r="2791">
      <c r="A2791" s="55" t="s">
        <v>12394</v>
      </c>
      <c r="B2791" s="52" t="s">
        <v>1617</v>
      </c>
      <c r="C2791" s="76">
        <v>45986.604166666664</v>
      </c>
      <c r="D2791" s="7" t="s">
        <v>2148</v>
      </c>
      <c r="E2791" s="76">
        <v>45986.770833333336</v>
      </c>
      <c r="F2791" s="52" t="s">
        <v>12395</v>
      </c>
      <c r="G2791" s="4" t="s">
        <v>135</v>
      </c>
      <c r="H2791" s="4" t="s">
        <v>1987</v>
      </c>
      <c r="K2791" s="4" t="s">
        <v>12396</v>
      </c>
      <c r="L2791" s="4"/>
    </row>
    <row r="2792">
      <c r="A2792" s="55" t="s">
        <v>12397</v>
      </c>
      <c r="B2792" s="52" t="s">
        <v>1617</v>
      </c>
      <c r="C2792" s="76">
        <v>45987.5625</v>
      </c>
      <c r="D2792" s="7" t="s">
        <v>2148</v>
      </c>
      <c r="E2792" s="76">
        <v>45987.604166666664</v>
      </c>
      <c r="F2792" s="52" t="s">
        <v>12398</v>
      </c>
      <c r="G2792" s="4" t="s">
        <v>135</v>
      </c>
      <c r="H2792" s="4" t="s">
        <v>1987</v>
      </c>
      <c r="K2792" s="4" t="s">
        <v>12399</v>
      </c>
      <c r="L2792" s="4"/>
    </row>
    <row r="2793">
      <c r="A2793" s="55"/>
      <c r="B2793" s="52"/>
      <c r="C2793" s="76"/>
      <c r="D2793" s="4"/>
      <c r="E2793" s="76"/>
      <c r="F2793" s="52"/>
      <c r="G2793" s="4"/>
      <c r="H2793" s="4"/>
      <c r="K2793" s="4"/>
      <c r="L2793" s="4"/>
    </row>
    <row r="2794">
      <c r="A2794" s="55"/>
      <c r="B2794" s="52"/>
      <c r="C2794" s="76"/>
      <c r="D2794" s="4"/>
      <c r="E2794" s="76"/>
      <c r="F2794" s="52"/>
      <c r="G2794" s="4"/>
      <c r="H2794" s="4"/>
      <c r="K2794" s="4"/>
      <c r="L2794" s="4"/>
    </row>
    <row r="2795">
      <c r="A2795" s="55"/>
      <c r="B2795" s="52"/>
      <c r="C2795" s="76"/>
      <c r="D2795" s="4"/>
      <c r="E2795" s="76"/>
      <c r="F2795" s="52"/>
      <c r="G2795" s="4"/>
      <c r="H2795" s="4"/>
      <c r="K2795" s="4"/>
      <c r="L2795" s="4"/>
    </row>
    <row r="2796">
      <c r="A2796" s="55" t="s">
        <v>12400</v>
      </c>
      <c r="B2796" s="52" t="s">
        <v>5678</v>
      </c>
      <c r="C2796" s="76">
        <v>45988.5625</v>
      </c>
      <c r="D2796" s="7" t="s">
        <v>2200</v>
      </c>
      <c r="E2796" s="76">
        <v>45988.770833333336</v>
      </c>
      <c r="F2796" s="52" t="s">
        <v>12401</v>
      </c>
      <c r="G2796" s="4" t="s">
        <v>135</v>
      </c>
      <c r="H2796" s="4" t="s">
        <v>1987</v>
      </c>
      <c r="K2796" s="4" t="s">
        <v>12402</v>
      </c>
      <c r="L2796" s="4" t="s">
        <v>12403</v>
      </c>
    </row>
    <row r="2797">
      <c r="A2797" s="55" t="s">
        <v>12404</v>
      </c>
      <c r="B2797" s="52" t="s">
        <v>5628</v>
      </c>
      <c r="C2797" s="76">
        <v>45987.333333333336</v>
      </c>
      <c r="D2797" s="7" t="s">
        <v>2147</v>
      </c>
      <c r="E2797" s="76">
        <v>45987.416666666664</v>
      </c>
      <c r="F2797" s="52" t="s">
        <v>12405</v>
      </c>
      <c r="G2797" s="4" t="s">
        <v>110</v>
      </c>
      <c r="H2797" s="4" t="s">
        <v>1987</v>
      </c>
      <c r="K2797" s="4" t="s">
        <v>12307</v>
      </c>
      <c r="L2797" s="4" t="s">
        <v>12406</v>
      </c>
    </row>
    <row r="2798">
      <c r="A2798" s="55" t="s">
        <v>12407</v>
      </c>
      <c r="B2798" s="52" t="s">
        <v>1611</v>
      </c>
      <c r="C2798" s="76">
        <v>45987.375</v>
      </c>
      <c r="D2798" s="7" t="s">
        <v>2147</v>
      </c>
      <c r="E2798" s="76">
        <v>45987.416666666664</v>
      </c>
      <c r="F2798" s="52" t="s">
        <v>12408</v>
      </c>
      <c r="G2798" s="4" t="s">
        <v>27</v>
      </c>
      <c r="H2798" s="4" t="s">
        <v>1987</v>
      </c>
      <c r="K2798" s="4" t="s">
        <v>12409</v>
      </c>
      <c r="L2798" s="4"/>
    </row>
    <row r="2799">
      <c r="A2799" s="55" t="s">
        <v>12410</v>
      </c>
      <c r="B2799" s="52" t="s">
        <v>5628</v>
      </c>
      <c r="C2799" s="76">
        <v>45987.416666666664</v>
      </c>
      <c r="D2799" s="7" t="s">
        <v>2147</v>
      </c>
      <c r="E2799" s="76">
        <v>45987.479166666664</v>
      </c>
      <c r="F2799" s="52" t="s">
        <v>10194</v>
      </c>
      <c r="G2799" s="4" t="s">
        <v>27</v>
      </c>
      <c r="H2799" s="4" t="s">
        <v>1987</v>
      </c>
      <c r="K2799" s="4" t="s">
        <v>12411</v>
      </c>
      <c r="L2799" s="4"/>
    </row>
    <row r="2800">
      <c r="A2800" s="55" t="s">
        <v>12412</v>
      </c>
      <c r="B2800" s="52" t="s">
        <v>6057</v>
      </c>
      <c r="C2800" s="76">
        <v>45987.5</v>
      </c>
      <c r="D2800" s="7" t="s">
        <v>2147</v>
      </c>
      <c r="E2800" s="76">
        <v>45987.6875</v>
      </c>
      <c r="F2800" s="52" t="s">
        <v>12413</v>
      </c>
      <c r="G2800" s="4" t="s">
        <v>27</v>
      </c>
      <c r="H2800" s="4" t="s">
        <v>1987</v>
      </c>
      <c r="K2800" s="4" t="s">
        <v>12414</v>
      </c>
      <c r="L2800" s="4" t="s">
        <v>12415</v>
      </c>
    </row>
    <row r="2801">
      <c r="A2801" s="55" t="s">
        <v>12416</v>
      </c>
      <c r="B2801" s="52" t="s">
        <v>1617</v>
      </c>
      <c r="C2801" s="76">
        <v>45987.51388888889</v>
      </c>
      <c r="D2801" s="7" t="s">
        <v>2154</v>
      </c>
      <c r="E2801" s="76">
        <v>45987.604166666664</v>
      </c>
      <c r="F2801" s="52" t="s">
        <v>12417</v>
      </c>
      <c r="G2801" s="4" t="s">
        <v>110</v>
      </c>
      <c r="H2801" s="4" t="s">
        <v>1987</v>
      </c>
      <c r="K2801" s="4" t="s">
        <v>12418</v>
      </c>
      <c r="L2801" s="4" t="s">
        <v>12419</v>
      </c>
    </row>
    <row r="2802">
      <c r="A2802" s="55" t="s">
        <v>12420</v>
      </c>
      <c r="B2802" s="52" t="s">
        <v>5675</v>
      </c>
      <c r="C2802" s="76">
        <v>45987.5</v>
      </c>
      <c r="D2802" s="7" t="s">
        <v>2147</v>
      </c>
      <c r="E2802" s="76">
        <v>45987.51388888889</v>
      </c>
      <c r="F2802" s="52" t="s">
        <v>12421</v>
      </c>
      <c r="G2802" s="4" t="s">
        <v>110</v>
      </c>
      <c r="H2802" s="4" t="s">
        <v>1987</v>
      </c>
      <c r="K2802" s="4" t="s">
        <v>12422</v>
      </c>
      <c r="L2802" s="4"/>
    </row>
    <row r="2803">
      <c r="A2803" s="55" t="s">
        <v>12423</v>
      </c>
      <c r="B2803" s="52" t="s">
        <v>1649</v>
      </c>
      <c r="C2803" s="76">
        <v>45989.4375</v>
      </c>
      <c r="D2803" s="7" t="s">
        <v>2147</v>
      </c>
      <c r="E2803" s="76">
        <v>45989.489583333336</v>
      </c>
      <c r="F2803" s="52" t="s">
        <v>12424</v>
      </c>
      <c r="G2803" s="4" t="s">
        <v>27</v>
      </c>
      <c r="H2803" s="4" t="s">
        <v>1991</v>
      </c>
      <c r="K2803" s="4" t="s">
        <v>12425</v>
      </c>
      <c r="L2803" s="4" t="s">
        <v>12426</v>
      </c>
    </row>
    <row r="2804">
      <c r="A2804" s="55" t="s">
        <v>12427</v>
      </c>
      <c r="B2804" s="52" t="s">
        <v>6057</v>
      </c>
      <c r="C2804" s="76">
        <v>45988.375</v>
      </c>
      <c r="D2804" s="7" t="s">
        <v>2147</v>
      </c>
      <c r="E2804" s="76">
        <v>45988.479166666664</v>
      </c>
      <c r="F2804" s="52" t="s">
        <v>6057</v>
      </c>
      <c r="G2804" s="4" t="s">
        <v>27</v>
      </c>
      <c r="H2804" s="4" t="s">
        <v>1987</v>
      </c>
      <c r="K2804" s="4" t="s">
        <v>12428</v>
      </c>
      <c r="L2804" s="4" t="s">
        <v>12429</v>
      </c>
    </row>
    <row r="2805">
      <c r="A2805" s="55"/>
      <c r="B2805" s="52"/>
      <c r="C2805" s="76"/>
      <c r="D2805" s="4"/>
      <c r="E2805" s="76"/>
      <c r="F2805" s="52"/>
      <c r="G2805" s="4"/>
      <c r="H2805" s="4"/>
      <c r="K2805" s="4"/>
      <c r="L2805" s="4"/>
    </row>
    <row r="2806">
      <c r="A2806" s="55"/>
      <c r="B2806" s="52"/>
      <c r="C2806" s="76"/>
      <c r="D2806" s="4"/>
      <c r="E2806" s="76"/>
      <c r="F2806" s="52"/>
      <c r="G2806" s="4"/>
      <c r="H2806" s="4"/>
      <c r="K2806" s="4"/>
      <c r="L2806" s="4"/>
    </row>
    <row r="2807">
      <c r="A2807" s="55" t="s">
        <v>12430</v>
      </c>
      <c r="B2807" s="52" t="s">
        <v>5686</v>
      </c>
      <c r="C2807" s="76">
        <v>45988.569444444445</v>
      </c>
      <c r="D2807" s="7" t="s">
        <v>6318</v>
      </c>
      <c r="E2807" s="76">
        <v>45988.583333333336</v>
      </c>
      <c r="F2807" s="52" t="s">
        <v>6319</v>
      </c>
      <c r="G2807" s="4" t="s">
        <v>110</v>
      </c>
      <c r="H2807" s="4" t="s">
        <v>1987</v>
      </c>
      <c r="K2807" s="4" t="s">
        <v>12431</v>
      </c>
      <c r="L2807" s="4"/>
    </row>
    <row r="2808">
      <c r="A2808" s="55" t="s">
        <v>12432</v>
      </c>
      <c r="B2808" s="52" t="s">
        <v>1516</v>
      </c>
      <c r="C2808" s="76">
        <v>45988.625</v>
      </c>
      <c r="D2808" s="7" t="s">
        <v>2147</v>
      </c>
      <c r="E2808" s="76">
        <v>45988.708333333336</v>
      </c>
      <c r="F2808" s="52" t="s">
        <v>12433</v>
      </c>
      <c r="G2808" s="4" t="s">
        <v>27</v>
      </c>
      <c r="H2808" s="4" t="s">
        <v>1987</v>
      </c>
      <c r="K2808" s="4"/>
      <c r="L2808" s="4" t="s">
        <v>12434</v>
      </c>
    </row>
    <row r="2809">
      <c r="A2809" s="55" t="s">
        <v>12435</v>
      </c>
      <c r="B2809" s="52" t="s">
        <v>5656</v>
      </c>
      <c r="C2809" s="76">
        <v>45988.583333333336</v>
      </c>
      <c r="D2809" s="7" t="s">
        <v>2147</v>
      </c>
      <c r="E2809" s="76">
        <v>45988.625</v>
      </c>
      <c r="F2809" s="52" t="s">
        <v>12436</v>
      </c>
      <c r="G2809" s="4" t="s">
        <v>27</v>
      </c>
      <c r="H2809" s="4" t="s">
        <v>1987</v>
      </c>
      <c r="K2809" s="4" t="s">
        <v>12437</v>
      </c>
      <c r="L2809" s="4"/>
    </row>
    <row r="2810">
      <c r="A2810" s="66" t="s">
        <v>12438</v>
      </c>
      <c r="B2810" s="52" t="s">
        <v>5647</v>
      </c>
      <c r="C2810" s="76">
        <v>45988.782638888886</v>
      </c>
      <c r="D2810" s="7" t="s">
        <v>2147</v>
      </c>
      <c r="E2810" s="76">
        <v>45988.833333333336</v>
      </c>
      <c r="F2810" s="52" t="s">
        <v>12439</v>
      </c>
      <c r="G2810" s="4" t="s">
        <v>27</v>
      </c>
      <c r="H2810" s="4" t="s">
        <v>1987</v>
      </c>
      <c r="K2810" s="4" t="s">
        <v>12440</v>
      </c>
      <c r="L2810" s="4"/>
    </row>
    <row r="2811">
      <c r="A2811" s="55" t="s">
        <v>12441</v>
      </c>
      <c r="B2811" s="52" t="s">
        <v>1649</v>
      </c>
      <c r="C2811" s="76">
        <v>45989.416666666664</v>
      </c>
      <c r="D2811" s="7" t="s">
        <v>2147</v>
      </c>
      <c r="E2811" s="76">
        <v>45989.4375</v>
      </c>
      <c r="F2811" s="52" t="s">
        <v>12442</v>
      </c>
      <c r="G2811" s="4" t="s">
        <v>27</v>
      </c>
      <c r="H2811" s="4" t="s">
        <v>1987</v>
      </c>
      <c r="K2811" s="4"/>
      <c r="L2811" s="4" t="s">
        <v>12443</v>
      </c>
    </row>
    <row r="2812">
      <c r="A2812" s="55" t="s">
        <v>12444</v>
      </c>
      <c r="B2812" s="52" t="s">
        <v>6057</v>
      </c>
      <c r="C2812" s="76">
        <v>45989.375</v>
      </c>
      <c r="D2812" s="7" t="s">
        <v>2147</v>
      </c>
      <c r="E2812" s="76">
        <v>45989.416666666664</v>
      </c>
      <c r="F2812" s="52" t="s">
        <v>6053</v>
      </c>
      <c r="G2812" s="4" t="s">
        <v>27</v>
      </c>
      <c r="H2812" s="4" t="s">
        <v>1987</v>
      </c>
      <c r="K2812" s="4" t="s">
        <v>12445</v>
      </c>
      <c r="L2812" s="4"/>
    </row>
    <row r="2813">
      <c r="A2813" s="55" t="s">
        <v>12446</v>
      </c>
      <c r="B2813" s="52" t="s">
        <v>5647</v>
      </c>
      <c r="C2813" s="76">
        <v>45992.604166666664</v>
      </c>
      <c r="D2813" s="7" t="s">
        <v>2147</v>
      </c>
      <c r="E2813" s="76">
        <v>45992.645833333336</v>
      </c>
      <c r="F2813" s="52" t="s">
        <v>12447</v>
      </c>
      <c r="G2813" s="4" t="s">
        <v>27</v>
      </c>
      <c r="H2813" s="4" t="s">
        <v>1991</v>
      </c>
      <c r="K2813" s="4" t="s">
        <v>12448</v>
      </c>
      <c r="L2813" s="4"/>
    </row>
    <row r="2814">
      <c r="A2814" s="55" t="s">
        <v>12449</v>
      </c>
      <c r="B2814" s="52" t="s">
        <v>5686</v>
      </c>
      <c r="C2814" s="76">
        <v>45992.333333333336</v>
      </c>
      <c r="D2814" s="7" t="s">
        <v>6052</v>
      </c>
      <c r="E2814" s="76">
        <v>45992.583333333336</v>
      </c>
      <c r="F2814" s="52" t="s">
        <v>6319</v>
      </c>
      <c r="G2814" s="4" t="s">
        <v>110</v>
      </c>
      <c r="H2814" s="4" t="s">
        <v>1987</v>
      </c>
      <c r="K2814" s="4" t="s">
        <v>12450</v>
      </c>
      <c r="L2814" s="4"/>
    </row>
    <row r="2815">
      <c r="A2815" s="55"/>
      <c r="B2815" s="52"/>
      <c r="C2815" s="76"/>
      <c r="D2815" s="4"/>
      <c r="E2815" s="76"/>
      <c r="F2815" s="52"/>
      <c r="G2815" s="4"/>
      <c r="H2815" s="4"/>
      <c r="K2815" s="4"/>
      <c r="L2815" s="4"/>
    </row>
    <row r="2816">
      <c r="A2816" s="55"/>
      <c r="B2816" s="52"/>
      <c r="C2816" s="76"/>
      <c r="D2816" s="4"/>
      <c r="E2816" s="76"/>
      <c r="F2816" s="52"/>
      <c r="G2816" s="4"/>
      <c r="H2816" s="4"/>
      <c r="K2816" s="4"/>
      <c r="L2816" s="4"/>
    </row>
    <row r="2817">
      <c r="A2817" s="55" t="s">
        <v>12451</v>
      </c>
      <c r="B2817" s="52" t="s">
        <v>5729</v>
      </c>
      <c r="C2817" s="76">
        <v>45995.333333333336</v>
      </c>
      <c r="D2817" s="7" t="s">
        <v>6052</v>
      </c>
      <c r="E2817" s="76">
        <v>45995.583333333336</v>
      </c>
      <c r="F2817" s="52" t="s">
        <v>6120</v>
      </c>
      <c r="G2817" s="4" t="s">
        <v>110</v>
      </c>
      <c r="H2817" s="4" t="s">
        <v>1987</v>
      </c>
      <c r="K2817" s="4" t="s">
        <v>12452</v>
      </c>
      <c r="L2817" s="4"/>
    </row>
    <row r="2818">
      <c r="A2818" s="55"/>
      <c r="B2818" s="52"/>
      <c r="C2818" s="76"/>
      <c r="D2818" s="4"/>
      <c r="E2818" s="76"/>
      <c r="F2818" s="52"/>
      <c r="G2818" s="4"/>
      <c r="H2818" s="4"/>
      <c r="K2818" s="4"/>
      <c r="L2818" s="4"/>
    </row>
    <row r="2819">
      <c r="A2819" s="55"/>
      <c r="B2819" s="52"/>
      <c r="C2819" s="76"/>
      <c r="D2819" s="4"/>
      <c r="E2819" s="76"/>
      <c r="F2819" s="52"/>
      <c r="G2819" s="4"/>
      <c r="H2819" s="4"/>
      <c r="K2819" s="4"/>
      <c r="L2819" s="4"/>
    </row>
    <row r="2820">
      <c r="A2820" s="55" t="s">
        <v>12453</v>
      </c>
      <c r="B2820" s="52" t="s">
        <v>5647</v>
      </c>
      <c r="C2820" s="76">
        <v>45992.520833333336</v>
      </c>
      <c r="D2820" s="7" t="s">
        <v>2154</v>
      </c>
      <c r="E2820" s="76">
        <v>45992.604166666664</v>
      </c>
      <c r="F2820" s="52" t="s">
        <v>12454</v>
      </c>
      <c r="G2820" s="4" t="s">
        <v>27</v>
      </c>
      <c r="H2820" s="4" t="s">
        <v>1987</v>
      </c>
      <c r="K2820" s="4" t="s">
        <v>12455</v>
      </c>
      <c r="L2820" s="4"/>
    </row>
    <row r="2821">
      <c r="A2821" s="55"/>
      <c r="B2821" s="52"/>
      <c r="C2821" s="76"/>
      <c r="D2821" s="4"/>
      <c r="E2821" s="76"/>
      <c r="F2821" s="52"/>
      <c r="G2821" s="4"/>
      <c r="H2821" s="4"/>
      <c r="K2821" s="4"/>
      <c r="L2821" s="4"/>
    </row>
    <row r="2822">
      <c r="A2822" s="55" t="s">
        <v>12456</v>
      </c>
      <c r="B2822" s="52" t="s">
        <v>1516</v>
      </c>
      <c r="C2822" s="76">
        <v>45993.395833333336</v>
      </c>
      <c r="D2822" s="7" t="s">
        <v>2200</v>
      </c>
      <c r="E2822" s="76">
        <v>45993.4375</v>
      </c>
      <c r="F2822" s="52" t="s">
        <v>12457</v>
      </c>
      <c r="G2822" s="4" t="s">
        <v>27</v>
      </c>
      <c r="H2822" s="4" t="s">
        <v>1987</v>
      </c>
      <c r="K2822" s="4"/>
      <c r="L2822" s="4" t="s">
        <v>12458</v>
      </c>
    </row>
    <row r="2823">
      <c r="A2823" s="55"/>
      <c r="B2823" s="52"/>
      <c r="C2823" s="76"/>
      <c r="D2823" s="4"/>
      <c r="E2823" s="76"/>
      <c r="F2823" s="52"/>
      <c r="G2823" s="4"/>
      <c r="H2823" s="4"/>
      <c r="K2823" s="4"/>
      <c r="L2823" s="4"/>
    </row>
    <row r="2824">
      <c r="A2824" s="55" t="s">
        <v>12459</v>
      </c>
      <c r="B2824" s="52" t="s">
        <v>6057</v>
      </c>
      <c r="C2824" s="76">
        <v>45992.416666666664</v>
      </c>
      <c r="D2824" s="7" t="s">
        <v>2147</v>
      </c>
      <c r="E2824" s="76">
        <v>45992.520833333336</v>
      </c>
      <c r="F2824" s="52" t="s">
        <v>6053</v>
      </c>
      <c r="G2824" s="4" t="s">
        <v>27</v>
      </c>
      <c r="H2824" s="4" t="s">
        <v>1987</v>
      </c>
      <c r="K2824" s="4" t="s">
        <v>12460</v>
      </c>
      <c r="L2824" s="4"/>
    </row>
    <row r="2825">
      <c r="A2825" s="55"/>
      <c r="B2825" s="52"/>
      <c r="C2825" s="76"/>
      <c r="D2825" s="4"/>
      <c r="E2825" s="76"/>
      <c r="F2825" s="52"/>
      <c r="G2825" s="4"/>
      <c r="H2825" s="4"/>
      <c r="K2825" s="4"/>
      <c r="L2825" s="4"/>
    </row>
    <row r="2826">
      <c r="A2826" s="55"/>
      <c r="B2826" s="52"/>
      <c r="C2826" s="76"/>
      <c r="D2826" s="4"/>
      <c r="E2826" s="76"/>
      <c r="F2826" s="52"/>
      <c r="G2826" s="4"/>
      <c r="H2826" s="4"/>
      <c r="K2826" s="4"/>
      <c r="L2826" s="4"/>
    </row>
    <row r="2827">
      <c r="A2827" s="55"/>
      <c r="B2827" s="52"/>
      <c r="C2827" s="76"/>
      <c r="D2827" s="4"/>
      <c r="E2827" s="76"/>
      <c r="F2827" s="52"/>
      <c r="G2827" s="4"/>
      <c r="H2827" s="4"/>
      <c r="K2827" s="4"/>
      <c r="L2827" s="4"/>
    </row>
    <row r="2828">
      <c r="A2828" s="55" t="s">
        <v>12461</v>
      </c>
      <c r="B2828" s="52" t="s">
        <v>1611</v>
      </c>
      <c r="C2828" s="76">
        <v>45994.75</v>
      </c>
      <c r="D2828" s="7" t="s">
        <v>2147</v>
      </c>
      <c r="E2828" s="76">
        <v>45994.8125</v>
      </c>
      <c r="F2828" s="52" t="s">
        <v>1611</v>
      </c>
      <c r="G2828" s="4" t="s">
        <v>27</v>
      </c>
      <c r="H2828" s="4" t="s">
        <v>1987</v>
      </c>
      <c r="K2828" s="4"/>
      <c r="L2828" s="4" t="s">
        <v>12462</v>
      </c>
    </row>
    <row r="2829">
      <c r="A2829" s="55"/>
      <c r="B2829" s="52"/>
      <c r="C2829" s="76"/>
      <c r="D2829" s="4"/>
      <c r="E2829" s="76"/>
      <c r="F2829" s="52"/>
      <c r="G2829" s="4"/>
      <c r="H2829" s="4"/>
      <c r="K2829" s="4"/>
      <c r="L2829" s="4"/>
    </row>
    <row r="2830">
      <c r="A2830" s="55"/>
      <c r="B2830" s="52"/>
      <c r="C2830" s="76"/>
      <c r="D2830" s="4"/>
      <c r="E2830" s="76"/>
      <c r="F2830" s="52"/>
      <c r="G2830" s="4"/>
      <c r="H2830" s="4"/>
      <c r="K2830" s="4"/>
      <c r="L2830" s="4"/>
    </row>
    <row r="2831">
      <c r="A2831" s="55"/>
      <c r="B2831" s="52"/>
      <c r="C2831" s="76"/>
      <c r="D2831" s="4"/>
      <c r="E2831" s="76"/>
      <c r="F2831" s="52"/>
      <c r="G2831" s="4"/>
      <c r="H2831" s="4"/>
      <c r="K2831" s="4"/>
      <c r="L2831" s="4"/>
    </row>
    <row r="2832">
      <c r="A2832" s="55" t="s">
        <v>12463</v>
      </c>
      <c r="B2832" s="52" t="s">
        <v>5678</v>
      </c>
      <c r="C2832" s="76">
        <v>45992.5625</v>
      </c>
      <c r="D2832" s="7" t="s">
        <v>6052</v>
      </c>
      <c r="E2832" s="76">
        <v>45992.770833333336</v>
      </c>
      <c r="F2832" s="52" t="s">
        <v>12464</v>
      </c>
      <c r="G2832" s="4" t="s">
        <v>135</v>
      </c>
      <c r="H2832" s="4" t="s">
        <v>1987</v>
      </c>
      <c r="K2832" s="4" t="s">
        <v>12465</v>
      </c>
      <c r="L2832" s="4" t="s">
        <v>12466</v>
      </c>
    </row>
    <row r="2833">
      <c r="A2833" s="55" t="s">
        <v>12467</v>
      </c>
      <c r="B2833" s="52" t="s">
        <v>5598</v>
      </c>
      <c r="C2833" s="76">
        <v>45993.5625</v>
      </c>
      <c r="D2833" s="7" t="s">
        <v>2200</v>
      </c>
      <c r="E2833" s="76">
        <v>45993.625</v>
      </c>
      <c r="F2833" s="52" t="s">
        <v>12468</v>
      </c>
      <c r="G2833" s="4" t="s">
        <v>135</v>
      </c>
      <c r="H2833" s="4" t="s">
        <v>1987</v>
      </c>
      <c r="K2833" s="4"/>
      <c r="L2833" s="4" t="s">
        <v>12469</v>
      </c>
    </row>
    <row r="2834">
      <c r="A2834" s="55"/>
      <c r="B2834" s="52"/>
      <c r="C2834" s="76"/>
      <c r="D2834" s="4"/>
      <c r="E2834" s="76"/>
      <c r="F2834" s="52"/>
      <c r="G2834" s="4"/>
      <c r="H2834" s="4"/>
      <c r="K2834" s="4"/>
      <c r="L2834" s="4"/>
    </row>
    <row r="2835">
      <c r="A2835" s="55" t="s">
        <v>12470</v>
      </c>
      <c r="B2835" s="52" t="s">
        <v>5598</v>
      </c>
      <c r="C2835" s="76">
        <v>45993.6875</v>
      </c>
      <c r="D2835" s="7" t="s">
        <v>2200</v>
      </c>
      <c r="E2835" s="76">
        <v>45993.8125</v>
      </c>
      <c r="F2835" s="52" t="s">
        <v>12471</v>
      </c>
      <c r="G2835" s="4" t="s">
        <v>135</v>
      </c>
      <c r="H2835" s="4" t="s">
        <v>1987</v>
      </c>
      <c r="K2835" s="4" t="s">
        <v>12472</v>
      </c>
      <c r="L2835" s="4" t="s">
        <v>12473</v>
      </c>
    </row>
    <row r="2836">
      <c r="A2836" s="55" t="s">
        <v>12474</v>
      </c>
      <c r="B2836" s="52" t="s">
        <v>1516</v>
      </c>
      <c r="C2836" s="76">
        <v>45994.5625</v>
      </c>
      <c r="D2836" s="7" t="s">
        <v>2154</v>
      </c>
      <c r="E2836" s="76">
        <v>45994.8125</v>
      </c>
      <c r="F2836" s="52" t="s">
        <v>12475</v>
      </c>
      <c r="G2836" s="4" t="s">
        <v>135</v>
      </c>
      <c r="H2836" s="4" t="s">
        <v>1987</v>
      </c>
      <c r="K2836" s="4"/>
      <c r="L2836" s="4" t="s">
        <v>12476</v>
      </c>
    </row>
    <row r="2837">
      <c r="A2837" s="55" t="s">
        <v>12477</v>
      </c>
      <c r="B2837" s="52" t="s">
        <v>1516</v>
      </c>
      <c r="C2837" s="76">
        <v>45995.5625</v>
      </c>
      <c r="D2837" s="7" t="s">
        <v>6052</v>
      </c>
      <c r="E2837" s="76">
        <v>45995.729166666664</v>
      </c>
      <c r="F2837" s="52" t="s">
        <v>12478</v>
      </c>
      <c r="G2837" s="4" t="s">
        <v>135</v>
      </c>
      <c r="H2837" s="4" t="s">
        <v>1987</v>
      </c>
      <c r="K2837" s="4" t="s">
        <v>12479</v>
      </c>
      <c r="L2837" s="4" t="s">
        <v>12480</v>
      </c>
    </row>
    <row r="2838">
      <c r="A2838" s="55" t="s">
        <v>12481</v>
      </c>
      <c r="B2838" s="52" t="s">
        <v>5625</v>
      </c>
      <c r="C2838" s="76">
        <v>45996.5625</v>
      </c>
      <c r="D2838" s="7" t="s">
        <v>6052</v>
      </c>
      <c r="E2838" s="76">
        <v>45996.770833333336</v>
      </c>
      <c r="F2838" s="52" t="s">
        <v>12482</v>
      </c>
      <c r="G2838" s="4" t="s">
        <v>135</v>
      </c>
      <c r="H2838" s="4" t="s">
        <v>1987</v>
      </c>
      <c r="K2838" s="4" t="s">
        <v>12483</v>
      </c>
      <c r="L2838" s="4" t="s">
        <v>12484</v>
      </c>
    </row>
    <row r="2839">
      <c r="A2839" s="55"/>
      <c r="B2839" s="52"/>
      <c r="C2839" s="76"/>
      <c r="D2839" s="4"/>
      <c r="E2839" s="76"/>
      <c r="F2839" s="52"/>
      <c r="G2839" s="4"/>
      <c r="H2839" s="4"/>
      <c r="K2839" s="4"/>
      <c r="L2839" s="4"/>
    </row>
    <row r="2840">
      <c r="A2840" s="55" t="s">
        <v>12485</v>
      </c>
      <c r="B2840" s="52" t="s">
        <v>5598</v>
      </c>
      <c r="C2840" s="76">
        <v>45992.770833333336</v>
      </c>
      <c r="D2840" s="7" t="s">
        <v>2154</v>
      </c>
      <c r="E2840" s="76">
        <v>45992.8125</v>
      </c>
      <c r="F2840" s="52" t="s">
        <v>12486</v>
      </c>
      <c r="G2840" s="4" t="s">
        <v>135</v>
      </c>
      <c r="H2840" s="4" t="s">
        <v>1987</v>
      </c>
      <c r="K2840" s="4" t="s">
        <v>12487</v>
      </c>
      <c r="L2840" s="4" t="s">
        <v>12488</v>
      </c>
    </row>
    <row r="2841">
      <c r="A2841" s="55" t="s">
        <v>12489</v>
      </c>
      <c r="B2841" s="52" t="s">
        <v>5625</v>
      </c>
      <c r="C2841" s="76">
        <v>45997.333333333336</v>
      </c>
      <c r="D2841" s="7" t="s">
        <v>2148</v>
      </c>
      <c r="E2841" s="76">
        <v>45997.375</v>
      </c>
      <c r="F2841" s="52" t="s">
        <v>1420</v>
      </c>
      <c r="G2841" s="4" t="s">
        <v>135</v>
      </c>
      <c r="H2841" s="4" t="s">
        <v>1987</v>
      </c>
      <c r="K2841" s="4" t="s">
        <v>12490</v>
      </c>
      <c r="L2841" s="4" t="s">
        <v>12491</v>
      </c>
    </row>
    <row r="2842">
      <c r="A2842" s="55" t="s">
        <v>12492</v>
      </c>
      <c r="B2842" s="52" t="s">
        <v>5598</v>
      </c>
      <c r="C2842" s="76">
        <v>45993.625</v>
      </c>
      <c r="D2842" s="7" t="s">
        <v>2200</v>
      </c>
      <c r="E2842" s="76">
        <v>45993.6875</v>
      </c>
      <c r="F2842" s="52" t="s">
        <v>11617</v>
      </c>
      <c r="G2842" s="4" t="s">
        <v>135</v>
      </c>
      <c r="H2842" s="4" t="s">
        <v>1991</v>
      </c>
      <c r="K2842" s="4" t="s">
        <v>12493</v>
      </c>
      <c r="L2842" s="4" t="s">
        <v>12494</v>
      </c>
    </row>
    <row r="2843">
      <c r="A2843" s="55" t="s">
        <v>12495</v>
      </c>
      <c r="B2843" s="52" t="s">
        <v>5647</v>
      </c>
      <c r="C2843" s="76">
        <v>45992.666666666664</v>
      </c>
      <c r="D2843" s="7" t="s">
        <v>2200</v>
      </c>
      <c r="E2843" s="76">
        <v>45992.8125</v>
      </c>
      <c r="F2843" s="52" t="s">
        <v>12496</v>
      </c>
      <c r="G2843" s="4" t="s">
        <v>27</v>
      </c>
      <c r="H2843" s="4" t="s">
        <v>1987</v>
      </c>
      <c r="K2843" s="4"/>
      <c r="L2843" s="4" t="s">
        <v>12497</v>
      </c>
    </row>
    <row r="2844">
      <c r="A2844" s="55" t="s">
        <v>12498</v>
      </c>
      <c r="B2844" s="52" t="s">
        <v>6057</v>
      </c>
      <c r="C2844" s="76">
        <v>45993.739583333336</v>
      </c>
      <c r="D2844" s="7" t="s">
        <v>2147</v>
      </c>
      <c r="E2844" s="76">
        <v>45993.791666666664</v>
      </c>
      <c r="F2844" s="52" t="s">
        <v>6189</v>
      </c>
      <c r="G2844" s="4" t="s">
        <v>27</v>
      </c>
      <c r="H2844" s="4" t="s">
        <v>1987</v>
      </c>
      <c r="K2844" s="4" t="s">
        <v>12499</v>
      </c>
      <c r="L2844" s="4"/>
    </row>
    <row r="2845">
      <c r="A2845" s="66" t="s">
        <v>12500</v>
      </c>
      <c r="B2845" s="52" t="s">
        <v>1649</v>
      </c>
      <c r="C2845" s="76">
        <v>45993.791666666664</v>
      </c>
      <c r="D2845" s="7" t="s">
        <v>2147</v>
      </c>
      <c r="E2845" s="76">
        <v>45993.833333333336</v>
      </c>
      <c r="F2845" s="52" t="s">
        <v>12501</v>
      </c>
      <c r="G2845" s="4" t="s">
        <v>27</v>
      </c>
      <c r="H2845" s="4" t="s">
        <v>1987</v>
      </c>
      <c r="K2845" s="4"/>
      <c r="L2845" s="4" t="s">
        <v>12502</v>
      </c>
    </row>
    <row r="2846">
      <c r="A2846" s="55" t="s">
        <v>12503</v>
      </c>
      <c r="B2846" s="52" t="s">
        <v>6069</v>
      </c>
      <c r="C2846" s="76">
        <v>45989.5625</v>
      </c>
      <c r="D2846" s="4"/>
      <c r="E2846" s="76">
        <v>45989.770833333336</v>
      </c>
      <c r="F2846" s="52" t="s">
        <v>6069</v>
      </c>
      <c r="G2846" s="4" t="s">
        <v>135</v>
      </c>
      <c r="H2846" s="4" t="s">
        <v>1987</v>
      </c>
      <c r="K2846" s="4" t="s">
        <v>12504</v>
      </c>
      <c r="L2846" s="4"/>
    </row>
    <row r="2847">
      <c r="A2847" s="55" t="s">
        <v>12505</v>
      </c>
      <c r="B2847" s="52" t="s">
        <v>5678</v>
      </c>
      <c r="C2847" s="76">
        <v>45993.5</v>
      </c>
      <c r="D2847" s="7" t="s">
        <v>6318</v>
      </c>
      <c r="E2847" s="76">
        <v>45993.520833333336</v>
      </c>
      <c r="F2847" s="52" t="s">
        <v>12506</v>
      </c>
      <c r="G2847" s="4" t="s">
        <v>27</v>
      </c>
      <c r="H2847" s="4" t="s">
        <v>1987</v>
      </c>
      <c r="K2847" s="4" t="s">
        <v>12507</v>
      </c>
      <c r="L2847" s="4"/>
    </row>
    <row r="2848">
      <c r="A2848" s="55" t="s">
        <v>12508</v>
      </c>
      <c r="B2848" s="52" t="s">
        <v>5656</v>
      </c>
      <c r="C2848" s="76">
        <v>45993.541666666664</v>
      </c>
      <c r="D2848" s="7" t="s">
        <v>6052</v>
      </c>
      <c r="E2848" s="76">
        <v>45993.708333333336</v>
      </c>
      <c r="F2848" s="52" t="s">
        <v>7424</v>
      </c>
      <c r="G2848" s="4" t="s">
        <v>27</v>
      </c>
      <c r="H2848" s="4" t="s">
        <v>1987</v>
      </c>
      <c r="K2848" s="4" t="s">
        <v>12509</v>
      </c>
      <c r="L2848" s="4"/>
    </row>
    <row r="2849">
      <c r="A2849" s="55" t="s">
        <v>12510</v>
      </c>
      <c r="B2849" s="52" t="s">
        <v>5686</v>
      </c>
      <c r="C2849" s="76">
        <v>45993.333333333336</v>
      </c>
      <c r="D2849" s="7" t="s">
        <v>6052</v>
      </c>
      <c r="E2849" s="76">
        <v>45993.604166666664</v>
      </c>
      <c r="F2849" s="52" t="s">
        <v>6319</v>
      </c>
      <c r="G2849" s="4" t="s">
        <v>110</v>
      </c>
      <c r="H2849" s="4" t="s">
        <v>1987</v>
      </c>
      <c r="K2849" s="4" t="s">
        <v>12450</v>
      </c>
      <c r="L2849" s="4" t="s">
        <v>12511</v>
      </c>
    </row>
    <row r="2850">
      <c r="A2850" s="55" t="s">
        <v>12512</v>
      </c>
      <c r="B2850" s="52" t="s">
        <v>5686</v>
      </c>
      <c r="C2850" s="76">
        <v>45994.354166666664</v>
      </c>
      <c r="D2850" s="7" t="s">
        <v>2200</v>
      </c>
      <c r="E2850" s="76">
        <v>45994.458333333336</v>
      </c>
      <c r="F2850" s="52" t="s">
        <v>6319</v>
      </c>
      <c r="G2850" s="4" t="s">
        <v>110</v>
      </c>
      <c r="H2850" s="4" t="s">
        <v>1987</v>
      </c>
      <c r="K2850" s="4" t="s">
        <v>12450</v>
      </c>
      <c r="L2850" s="4" t="s">
        <v>12513</v>
      </c>
    </row>
    <row r="2851">
      <c r="A2851" s="55" t="s">
        <v>12514</v>
      </c>
      <c r="B2851" s="52" t="s">
        <v>5729</v>
      </c>
      <c r="C2851" s="76">
        <v>45994.510416666664</v>
      </c>
      <c r="D2851" s="7" t="s">
        <v>2154</v>
      </c>
      <c r="E2851" s="76">
        <v>45994.583333333336</v>
      </c>
      <c r="F2851" s="52" t="s">
        <v>6120</v>
      </c>
      <c r="G2851" s="4" t="s">
        <v>110</v>
      </c>
      <c r="H2851" s="4" t="s">
        <v>1987</v>
      </c>
      <c r="K2851" s="4" t="s">
        <v>12515</v>
      </c>
      <c r="L2851" s="4" t="s">
        <v>12516</v>
      </c>
    </row>
    <row r="2852">
      <c r="A2852" s="55" t="s">
        <v>12517</v>
      </c>
      <c r="B2852" s="52" t="s">
        <v>5628</v>
      </c>
      <c r="C2852" s="76">
        <v>45994.458333333336</v>
      </c>
      <c r="D2852" s="7" t="s">
        <v>2147</v>
      </c>
      <c r="E2852" s="76">
        <v>45994.510416666664</v>
      </c>
      <c r="F2852" s="52" t="s">
        <v>12518</v>
      </c>
      <c r="G2852" s="4" t="s">
        <v>110</v>
      </c>
      <c r="H2852" s="4" t="s">
        <v>1991</v>
      </c>
      <c r="K2852" s="4"/>
      <c r="L2852" s="4" t="s">
        <v>12519</v>
      </c>
    </row>
    <row r="2853">
      <c r="A2853" s="55" t="s">
        <v>12520</v>
      </c>
      <c r="B2853" s="52" t="s">
        <v>5729</v>
      </c>
      <c r="C2853" s="76">
        <v>45996.333333333336</v>
      </c>
      <c r="D2853" s="7" t="s">
        <v>6052</v>
      </c>
      <c r="E2853" s="76">
        <v>45996.583333333336</v>
      </c>
      <c r="F2853" s="52" t="s">
        <v>6120</v>
      </c>
      <c r="G2853" s="4" t="s">
        <v>110</v>
      </c>
      <c r="H2853" s="4" t="s">
        <v>1987</v>
      </c>
      <c r="K2853" s="4" t="s">
        <v>12521</v>
      </c>
      <c r="L2853" s="4"/>
    </row>
    <row r="2854">
      <c r="A2854" s="55" t="s">
        <v>12522</v>
      </c>
      <c r="B2854" s="52" t="s">
        <v>1611</v>
      </c>
      <c r="C2854" s="76">
        <v>45994.375</v>
      </c>
      <c r="D2854" s="7" t="s">
        <v>6318</v>
      </c>
      <c r="E2854" s="76">
        <v>45994.395833333336</v>
      </c>
      <c r="F2854" s="52" t="s">
        <v>12523</v>
      </c>
      <c r="G2854" s="4" t="s">
        <v>27</v>
      </c>
      <c r="H2854" s="4" t="s">
        <v>1987</v>
      </c>
      <c r="K2854" s="4" t="s">
        <v>12524</v>
      </c>
      <c r="L2854" s="4"/>
    </row>
    <row r="2855">
      <c r="A2855" s="55" t="s">
        <v>12525</v>
      </c>
      <c r="B2855" s="52" t="s">
        <v>6057</v>
      </c>
      <c r="C2855" s="76">
        <v>45994.395833333336</v>
      </c>
      <c r="D2855" s="7" t="s">
        <v>2200</v>
      </c>
      <c r="E2855" s="76">
        <v>45994.583333333336</v>
      </c>
      <c r="F2855" s="52" t="s">
        <v>12526</v>
      </c>
      <c r="G2855" s="4" t="s">
        <v>27</v>
      </c>
      <c r="H2855" s="4" t="s">
        <v>1987</v>
      </c>
      <c r="K2855" s="4" t="s">
        <v>12527</v>
      </c>
      <c r="L2855" s="4" t="s">
        <v>12528</v>
      </c>
    </row>
    <row r="2856">
      <c r="A2856" s="55" t="s">
        <v>12529</v>
      </c>
      <c r="B2856" s="52" t="s">
        <v>5675</v>
      </c>
      <c r="C2856" s="76">
        <v>45994.333333333336</v>
      </c>
      <c r="D2856" s="7" t="s">
        <v>6318</v>
      </c>
      <c r="E2856" s="76">
        <v>45994.354166666664</v>
      </c>
      <c r="F2856" s="52" t="s">
        <v>12530</v>
      </c>
      <c r="G2856" s="4" t="s">
        <v>110</v>
      </c>
      <c r="H2856" s="4" t="s">
        <v>1987</v>
      </c>
      <c r="K2856" s="4" t="s">
        <v>12531</v>
      </c>
      <c r="L2856" s="4"/>
    </row>
    <row r="2857">
      <c r="A2857" s="55" t="s">
        <v>12532</v>
      </c>
      <c r="B2857" s="52" t="s">
        <v>6069</v>
      </c>
      <c r="C2857" s="76">
        <v>46024.333333333336</v>
      </c>
      <c r="D2857" s="7" t="s">
        <v>6052</v>
      </c>
      <c r="E2857" s="76">
        <v>46024.375</v>
      </c>
      <c r="F2857" s="52" t="s">
        <v>7339</v>
      </c>
      <c r="G2857" s="4" t="s">
        <v>110</v>
      </c>
      <c r="H2857" s="4" t="s">
        <v>1987</v>
      </c>
      <c r="K2857" s="4" t="s">
        <v>12533</v>
      </c>
      <c r="L2857" s="4" t="s">
        <v>12534</v>
      </c>
    </row>
    <row r="2858">
      <c r="A2858" s="55" t="s">
        <v>12535</v>
      </c>
      <c r="B2858" s="52" t="s">
        <v>6069</v>
      </c>
      <c r="C2858" s="76">
        <v>46029.333333333336</v>
      </c>
      <c r="D2858" s="7" t="s">
        <v>6052</v>
      </c>
      <c r="E2858" s="76">
        <v>46029.375</v>
      </c>
      <c r="F2858" s="52" t="s">
        <v>6069</v>
      </c>
      <c r="G2858" s="4" t="s">
        <v>110</v>
      </c>
      <c r="H2858" s="4" t="s">
        <v>1987</v>
      </c>
      <c r="K2858" s="4" t="s">
        <v>12536</v>
      </c>
      <c r="L2858" s="4" t="s">
        <v>12537</v>
      </c>
    </row>
    <row r="2859">
      <c r="A2859" s="55" t="s">
        <v>12538</v>
      </c>
      <c r="B2859" s="52" t="s">
        <v>6069</v>
      </c>
      <c r="C2859" s="76">
        <v>46030.333333333336</v>
      </c>
      <c r="D2859" s="7" t="s">
        <v>6052</v>
      </c>
      <c r="E2859" s="76">
        <v>46030.375</v>
      </c>
      <c r="F2859" s="52" t="s">
        <v>6069</v>
      </c>
      <c r="G2859" s="4" t="s">
        <v>110</v>
      </c>
      <c r="H2859" s="4" t="s">
        <v>1987</v>
      </c>
      <c r="K2859" s="4" t="s">
        <v>12539</v>
      </c>
      <c r="L2859" s="4" t="s">
        <v>12540</v>
      </c>
    </row>
    <row r="2860">
      <c r="A2860" s="55" t="s">
        <v>12541</v>
      </c>
      <c r="B2860" s="52" t="s">
        <v>6069</v>
      </c>
      <c r="C2860" s="76">
        <v>46031.333333333336</v>
      </c>
      <c r="D2860" s="7" t="s">
        <v>6052</v>
      </c>
      <c r="E2860" s="76">
        <v>46031.375</v>
      </c>
      <c r="F2860" s="52" t="s">
        <v>6069</v>
      </c>
      <c r="G2860" s="4" t="s">
        <v>110</v>
      </c>
      <c r="H2860" s="4" t="s">
        <v>1987</v>
      </c>
      <c r="K2860" s="4" t="s">
        <v>12542</v>
      </c>
      <c r="L2860" s="4" t="s">
        <v>12543</v>
      </c>
    </row>
    <row r="2861">
      <c r="A2861" s="55" t="s">
        <v>12544</v>
      </c>
      <c r="B2861" s="52" t="s">
        <v>6069</v>
      </c>
      <c r="C2861" s="76">
        <v>46034.333333333336</v>
      </c>
      <c r="D2861" s="7" t="s">
        <v>6052</v>
      </c>
      <c r="E2861" s="76">
        <v>46034.375</v>
      </c>
      <c r="F2861" s="52" t="s">
        <v>6069</v>
      </c>
      <c r="G2861" s="4" t="s">
        <v>110</v>
      </c>
      <c r="H2861" s="4" t="s">
        <v>1987</v>
      </c>
      <c r="K2861" s="4" t="s">
        <v>12545</v>
      </c>
      <c r="L2861" s="4" t="s">
        <v>12546</v>
      </c>
    </row>
    <row r="2862">
      <c r="A2862" s="55" t="s">
        <v>12547</v>
      </c>
      <c r="B2862" s="52" t="s">
        <v>5678</v>
      </c>
      <c r="C2862" s="76">
        <v>45994.59097222222</v>
      </c>
      <c r="D2862" s="7" t="s">
        <v>2147</v>
      </c>
      <c r="E2862" s="76">
        <v>45994.63263888889</v>
      </c>
      <c r="F2862" s="52" t="s">
        <v>12548</v>
      </c>
      <c r="G2862" s="4" t="s">
        <v>27</v>
      </c>
      <c r="H2862" s="4" t="s">
        <v>1987</v>
      </c>
      <c r="K2862" s="4" t="s">
        <v>12549</v>
      </c>
      <c r="L2862" s="4"/>
    </row>
    <row r="2863">
      <c r="A2863" s="55" t="s">
        <v>12550</v>
      </c>
      <c r="B2863" s="52" t="s">
        <v>1649</v>
      </c>
      <c r="C2863" s="76">
        <v>45997.333333333336</v>
      </c>
      <c r="D2863" s="7" t="s">
        <v>6052</v>
      </c>
      <c r="E2863" s="76">
        <v>45997.75</v>
      </c>
      <c r="F2863" s="52" t="s">
        <v>12551</v>
      </c>
      <c r="G2863" s="4" t="s">
        <v>27</v>
      </c>
      <c r="H2863" s="4" t="s">
        <v>1987</v>
      </c>
      <c r="K2863" s="4" t="s">
        <v>12552</v>
      </c>
      <c r="L2863" s="4"/>
    </row>
    <row r="2864">
      <c r="A2864" s="55" t="s">
        <v>12553</v>
      </c>
      <c r="B2864" s="52" t="s">
        <v>1649</v>
      </c>
      <c r="C2864" s="76">
        <v>45998.333333333336</v>
      </c>
      <c r="D2864" s="7" t="s">
        <v>6052</v>
      </c>
      <c r="E2864" s="76">
        <v>45998.5</v>
      </c>
      <c r="F2864" s="52" t="s">
        <v>12551</v>
      </c>
      <c r="G2864" s="4" t="s">
        <v>27</v>
      </c>
      <c r="H2864" s="4" t="s">
        <v>1987</v>
      </c>
      <c r="K2864" s="4" t="s">
        <v>12554</v>
      </c>
      <c r="L2864" s="4"/>
    </row>
    <row r="2865">
      <c r="A2865" s="66" t="s">
        <v>12555</v>
      </c>
      <c r="B2865" s="52" t="s">
        <v>1649</v>
      </c>
      <c r="C2865" s="76">
        <v>46000.416666666664</v>
      </c>
      <c r="D2865" s="7" t="s">
        <v>2148</v>
      </c>
      <c r="E2865" s="76">
        <v>46000.583333333336</v>
      </c>
      <c r="F2865" s="52" t="s">
        <v>12556</v>
      </c>
      <c r="G2865" s="4" t="s">
        <v>110</v>
      </c>
      <c r="H2865" s="4" t="s">
        <v>1987</v>
      </c>
      <c r="K2865" s="4" t="s">
        <v>12557</v>
      </c>
      <c r="L2865" s="4" t="s">
        <v>12558</v>
      </c>
    </row>
    <row r="2866">
      <c r="A2866" s="55" t="s">
        <v>12559</v>
      </c>
      <c r="B2866" s="52" t="s">
        <v>6057</v>
      </c>
      <c r="C2866" s="76">
        <v>45994.635416666664</v>
      </c>
      <c r="D2866" s="7" t="s">
        <v>2200</v>
      </c>
      <c r="E2866" s="76">
        <v>45994.75</v>
      </c>
      <c r="F2866" s="52" t="s">
        <v>7180</v>
      </c>
      <c r="G2866" s="4" t="s">
        <v>27</v>
      </c>
      <c r="H2866" s="4" t="s">
        <v>1987</v>
      </c>
      <c r="K2866" s="4"/>
      <c r="L2866" s="4" t="s">
        <v>12560</v>
      </c>
    </row>
    <row r="2867">
      <c r="A2867" s="55" t="s">
        <v>12561</v>
      </c>
      <c r="B2867" s="52" t="s">
        <v>5656</v>
      </c>
      <c r="C2867" s="76">
        <v>45995.40625</v>
      </c>
      <c r="D2867" s="7" t="s">
        <v>6318</v>
      </c>
      <c r="E2867" s="76">
        <v>45995.427083333336</v>
      </c>
      <c r="F2867" s="52" t="s">
        <v>12562</v>
      </c>
      <c r="G2867" s="4" t="s">
        <v>27</v>
      </c>
      <c r="H2867" s="4" t="s">
        <v>1987</v>
      </c>
      <c r="K2867" s="4" t="s">
        <v>12563</v>
      </c>
      <c r="L2867" s="4"/>
    </row>
    <row r="2868">
      <c r="A2868" s="55" t="s">
        <v>12564</v>
      </c>
      <c r="B2868" s="52" t="s">
        <v>1611</v>
      </c>
      <c r="C2868" s="76">
        <v>45995.427083333336</v>
      </c>
      <c r="D2868" s="7" t="s">
        <v>2147</v>
      </c>
      <c r="E2868" s="76">
        <v>45995.489583333336</v>
      </c>
      <c r="F2868" s="52" t="s">
        <v>12565</v>
      </c>
      <c r="G2868" s="4" t="s">
        <v>27</v>
      </c>
      <c r="H2868" s="4" t="s">
        <v>1987</v>
      </c>
      <c r="K2868" s="4" t="s">
        <v>12566</v>
      </c>
      <c r="L2868" s="4" t="s">
        <v>12567</v>
      </c>
    </row>
    <row r="2869">
      <c r="A2869" s="55" t="s">
        <v>12568</v>
      </c>
      <c r="B2869" s="52" t="s">
        <v>6057</v>
      </c>
      <c r="C2869" s="76">
        <v>45995.489583333336</v>
      </c>
      <c r="D2869" s="7" t="s">
        <v>2147</v>
      </c>
      <c r="E2869" s="76">
        <v>45995.53125</v>
      </c>
      <c r="F2869" s="52" t="s">
        <v>12569</v>
      </c>
      <c r="G2869" s="4" t="s">
        <v>27</v>
      </c>
      <c r="H2869" s="4" t="s">
        <v>1987</v>
      </c>
      <c r="K2869" s="4" t="s">
        <v>12570</v>
      </c>
      <c r="L2869" s="4" t="s">
        <v>12571</v>
      </c>
    </row>
    <row r="2870">
      <c r="A2870" s="55" t="s">
        <v>12572</v>
      </c>
      <c r="B2870" s="52" t="s">
        <v>1611</v>
      </c>
      <c r="C2870" s="76">
        <v>45995.541666666664</v>
      </c>
      <c r="D2870" s="7" t="s">
        <v>2147</v>
      </c>
      <c r="E2870" s="76">
        <v>45995.645833333336</v>
      </c>
      <c r="F2870" s="52" t="s">
        <v>1611</v>
      </c>
      <c r="G2870" s="4" t="s">
        <v>27</v>
      </c>
      <c r="H2870" s="4" t="s">
        <v>1987</v>
      </c>
      <c r="K2870" s="4" t="s">
        <v>12573</v>
      </c>
      <c r="L2870" s="4" t="s">
        <v>12574</v>
      </c>
    </row>
    <row r="2871">
      <c r="A2871" s="55" t="s">
        <v>12575</v>
      </c>
      <c r="B2871" s="52" t="s">
        <v>1611</v>
      </c>
      <c r="C2871" s="76">
        <v>45995.875</v>
      </c>
      <c r="D2871" s="7" t="s">
        <v>2147</v>
      </c>
      <c r="E2871" s="76">
        <v>45995.916666666664</v>
      </c>
      <c r="F2871" s="52" t="s">
        <v>1611</v>
      </c>
      <c r="G2871" s="4" t="s">
        <v>27</v>
      </c>
      <c r="H2871" s="4" t="s">
        <v>1987</v>
      </c>
      <c r="K2871" s="4" t="s">
        <v>12576</v>
      </c>
      <c r="L2871" s="4"/>
    </row>
    <row r="2872">
      <c r="A2872" s="55" t="s">
        <v>12577</v>
      </c>
      <c r="B2872" s="52" t="s">
        <v>5729</v>
      </c>
      <c r="C2872" s="76">
        <v>46002.416666666664</v>
      </c>
      <c r="D2872" s="7" t="s">
        <v>2147</v>
      </c>
      <c r="E2872" s="76">
        <v>46002.479166666664</v>
      </c>
      <c r="F2872" s="52" t="s">
        <v>8173</v>
      </c>
      <c r="G2872" s="4" t="s">
        <v>110</v>
      </c>
      <c r="H2872" s="4" t="s">
        <v>1991</v>
      </c>
      <c r="K2872" s="4" t="s">
        <v>12578</v>
      </c>
      <c r="L2872" s="4" t="s">
        <v>12579</v>
      </c>
    </row>
    <row r="2873">
      <c r="A2873" s="55" t="s">
        <v>12580</v>
      </c>
      <c r="B2873" s="52" t="s">
        <v>1611</v>
      </c>
      <c r="C2873" s="76">
        <v>45996.375</v>
      </c>
      <c r="D2873" s="7" t="s">
        <v>2154</v>
      </c>
      <c r="E2873" s="76">
        <v>45996.541666666664</v>
      </c>
      <c r="F2873" s="52" t="s">
        <v>1611</v>
      </c>
      <c r="G2873" s="4" t="s">
        <v>27</v>
      </c>
      <c r="H2873" s="4" t="s">
        <v>1987</v>
      </c>
      <c r="K2873" s="4" t="s">
        <v>12581</v>
      </c>
      <c r="L2873" s="4" t="s">
        <v>12582</v>
      </c>
    </row>
    <row r="2874">
      <c r="A2874" s="55" t="s">
        <v>12583</v>
      </c>
      <c r="B2874" s="52" t="s">
        <v>5678</v>
      </c>
      <c r="C2874" s="76">
        <v>46006.75</v>
      </c>
      <c r="D2874" s="7" t="s">
        <v>2154</v>
      </c>
      <c r="E2874" s="76">
        <v>46006.833333333336</v>
      </c>
      <c r="F2874" s="52" t="s">
        <v>12584</v>
      </c>
      <c r="G2874" s="4" t="s">
        <v>27</v>
      </c>
      <c r="H2874" s="4" t="s">
        <v>1987</v>
      </c>
      <c r="K2874" s="4" t="s">
        <v>12585</v>
      </c>
      <c r="L2874" s="4" t="s">
        <v>12586</v>
      </c>
    </row>
    <row r="2875">
      <c r="A2875" s="55" t="s">
        <v>12587</v>
      </c>
      <c r="B2875" s="52" t="s">
        <v>5625</v>
      </c>
      <c r="C2875" s="76">
        <v>45996.683333333334</v>
      </c>
      <c r="D2875" s="7" t="s">
        <v>2147</v>
      </c>
      <c r="E2875" s="76">
        <v>45996.725</v>
      </c>
      <c r="F2875" s="52" t="s">
        <v>1420</v>
      </c>
      <c r="G2875" s="4" t="s">
        <v>27</v>
      </c>
      <c r="H2875" s="4" t="s">
        <v>1987</v>
      </c>
      <c r="K2875" s="4" t="s">
        <v>12588</v>
      </c>
      <c r="L2875" s="4"/>
    </row>
    <row r="2876">
      <c r="A2876" s="55" t="s">
        <v>12589</v>
      </c>
      <c r="B2876" s="52" t="s">
        <v>5625</v>
      </c>
      <c r="C2876" s="76">
        <v>45997.416666666664</v>
      </c>
      <c r="D2876" s="7" t="s">
        <v>2148</v>
      </c>
      <c r="E2876" s="76">
        <v>45997.5</v>
      </c>
      <c r="F2876" s="52" t="s">
        <v>1420</v>
      </c>
      <c r="G2876" s="4" t="s">
        <v>135</v>
      </c>
      <c r="H2876" s="4" t="s">
        <v>1987</v>
      </c>
      <c r="K2876" s="4" t="s">
        <v>12590</v>
      </c>
      <c r="L2876" s="4" t="s">
        <v>12591</v>
      </c>
    </row>
    <row r="2877">
      <c r="A2877" s="55" t="s">
        <v>12592</v>
      </c>
      <c r="B2877" s="52" t="s">
        <v>1516</v>
      </c>
      <c r="C2877" s="76">
        <v>45997.375</v>
      </c>
      <c r="D2877" s="7" t="s">
        <v>2147</v>
      </c>
      <c r="E2877" s="76">
        <v>45997.416666666664</v>
      </c>
      <c r="F2877" s="52" t="s">
        <v>12593</v>
      </c>
      <c r="G2877" s="4" t="s">
        <v>135</v>
      </c>
      <c r="H2877" s="4" t="s">
        <v>1991</v>
      </c>
      <c r="K2877" s="4" t="s">
        <v>12594</v>
      </c>
      <c r="L2877" s="4" t="s">
        <v>12591</v>
      </c>
    </row>
    <row r="2878">
      <c r="A2878" s="55" t="s">
        <v>12595</v>
      </c>
      <c r="B2878" s="52" t="s">
        <v>1516</v>
      </c>
      <c r="C2878" s="76">
        <v>46000.5625</v>
      </c>
      <c r="D2878" s="7" t="s">
        <v>6052</v>
      </c>
      <c r="E2878" s="76">
        <v>46000.770833333336</v>
      </c>
      <c r="F2878" s="52" t="s">
        <v>12596</v>
      </c>
      <c r="G2878" s="4" t="s">
        <v>135</v>
      </c>
      <c r="H2878" s="4" t="s">
        <v>1987</v>
      </c>
      <c r="K2878" s="4" t="s">
        <v>12597</v>
      </c>
      <c r="L2878" s="4"/>
    </row>
    <row r="2879">
      <c r="A2879" s="55" t="s">
        <v>12598</v>
      </c>
      <c r="B2879" s="52" t="s">
        <v>5598</v>
      </c>
      <c r="C2879" s="76">
        <v>46001.5625</v>
      </c>
      <c r="D2879" s="7" t="s">
        <v>6052</v>
      </c>
      <c r="E2879" s="76">
        <v>46001.770833333336</v>
      </c>
      <c r="F2879" s="52" t="s">
        <v>5377</v>
      </c>
      <c r="G2879" s="4" t="s">
        <v>135</v>
      </c>
      <c r="H2879" s="4" t="s">
        <v>1987</v>
      </c>
      <c r="K2879" s="4" t="s">
        <v>12599</v>
      </c>
      <c r="L2879" s="4"/>
    </row>
    <row r="2880">
      <c r="A2880" s="55" t="s">
        <v>12600</v>
      </c>
      <c r="B2880" s="52" t="s">
        <v>5625</v>
      </c>
      <c r="C2880" s="76">
        <v>46002.5625</v>
      </c>
      <c r="D2880" s="7" t="s">
        <v>6052</v>
      </c>
      <c r="E2880" s="76">
        <v>46002.770833333336</v>
      </c>
      <c r="F2880" s="52" t="s">
        <v>12601</v>
      </c>
      <c r="G2880" s="4" t="s">
        <v>135</v>
      </c>
      <c r="H2880" s="4" t="s">
        <v>1987</v>
      </c>
      <c r="K2880" s="4" t="s">
        <v>12602</v>
      </c>
      <c r="L2880" s="4"/>
    </row>
    <row r="2881">
      <c r="A2881" s="55" t="s">
        <v>12603</v>
      </c>
      <c r="B2881" s="52" t="s">
        <v>5729</v>
      </c>
      <c r="C2881" s="76">
        <v>46000.333333333336</v>
      </c>
      <c r="D2881" s="7" t="s">
        <v>2154</v>
      </c>
      <c r="E2881" s="76">
        <v>46000.416666666664</v>
      </c>
      <c r="F2881" s="52" t="s">
        <v>12604</v>
      </c>
      <c r="G2881" s="4" t="s">
        <v>110</v>
      </c>
      <c r="H2881" s="4" t="s">
        <v>1987</v>
      </c>
      <c r="K2881" s="4" t="s">
        <v>12605</v>
      </c>
      <c r="L2881" s="4"/>
    </row>
    <row r="2882">
      <c r="A2882" s="55" t="s">
        <v>12606</v>
      </c>
      <c r="B2882" s="52" t="s">
        <v>5729</v>
      </c>
      <c r="C2882" s="76">
        <v>46001.333333333336</v>
      </c>
      <c r="D2882" s="7" t="s">
        <v>2154</v>
      </c>
      <c r="E2882" s="76">
        <v>46001.44097222222</v>
      </c>
      <c r="F2882" s="52" t="s">
        <v>12604</v>
      </c>
      <c r="G2882" s="4" t="s">
        <v>110</v>
      </c>
      <c r="H2882" s="4" t="s">
        <v>1987</v>
      </c>
      <c r="K2882" s="4" t="s">
        <v>12605</v>
      </c>
      <c r="L2882" s="4" t="s">
        <v>12607</v>
      </c>
    </row>
    <row r="2883">
      <c r="A2883" s="55" t="s">
        <v>12608</v>
      </c>
      <c r="B2883" s="52" t="s">
        <v>5596</v>
      </c>
      <c r="C2883" s="76">
        <v>46008.458333333336</v>
      </c>
      <c r="D2883" s="7" t="s">
        <v>2200</v>
      </c>
      <c r="E2883" s="76">
        <v>46008.583333333336</v>
      </c>
      <c r="F2883" s="52" t="s">
        <v>12609</v>
      </c>
      <c r="G2883" s="4" t="s">
        <v>110</v>
      </c>
      <c r="H2883" s="4" t="s">
        <v>1987</v>
      </c>
      <c r="K2883" s="4"/>
      <c r="L2883" s="4" t="s">
        <v>12610</v>
      </c>
    </row>
    <row r="2884">
      <c r="A2884" s="55" t="s">
        <v>12611</v>
      </c>
      <c r="B2884" s="52" t="s">
        <v>5656</v>
      </c>
      <c r="C2884" s="76">
        <v>46001.291666666664</v>
      </c>
      <c r="D2884" s="7" t="s">
        <v>2147</v>
      </c>
      <c r="E2884" s="76">
        <v>46001.333333333336</v>
      </c>
      <c r="F2884" s="52" t="s">
        <v>12612</v>
      </c>
      <c r="G2884" s="4" t="s">
        <v>27</v>
      </c>
      <c r="H2884" s="4" t="s">
        <v>1987</v>
      </c>
      <c r="K2884" s="4" t="s">
        <v>12613</v>
      </c>
      <c r="L2884" s="4"/>
    </row>
    <row r="2885">
      <c r="A2885" s="55" t="s">
        <v>12614</v>
      </c>
      <c r="B2885" s="52" t="s">
        <v>1611</v>
      </c>
      <c r="C2885" s="76">
        <v>46001.333333333336</v>
      </c>
      <c r="D2885" s="7" t="s">
        <v>2147</v>
      </c>
      <c r="E2885" s="76">
        <v>46001.64236111111</v>
      </c>
      <c r="F2885" s="52" t="s">
        <v>12615</v>
      </c>
      <c r="G2885" s="4" t="s">
        <v>27</v>
      </c>
      <c r="H2885" s="4" t="s">
        <v>1987</v>
      </c>
      <c r="K2885" s="4" t="s">
        <v>12616</v>
      </c>
      <c r="L2885" s="4" t="s">
        <v>12617</v>
      </c>
    </row>
    <row r="2886">
      <c r="A2886" s="55" t="s">
        <v>12618</v>
      </c>
      <c r="B2886" s="52" t="s">
        <v>5628</v>
      </c>
      <c r="C2886" s="76">
        <v>46010.333333333336</v>
      </c>
      <c r="D2886" s="7" t="s">
        <v>6052</v>
      </c>
      <c r="E2886" s="76">
        <v>46010.552083333336</v>
      </c>
      <c r="F2886" s="52" t="s">
        <v>12609</v>
      </c>
      <c r="G2886" s="4" t="s">
        <v>110</v>
      </c>
      <c r="H2886" s="4" t="s">
        <v>1987</v>
      </c>
      <c r="K2886" s="4" t="s">
        <v>12619</v>
      </c>
      <c r="L2886" s="4" t="s">
        <v>12620</v>
      </c>
    </row>
    <row r="2887">
      <c r="A2887" s="55" t="s">
        <v>12621</v>
      </c>
      <c r="B2887" s="52" t="s">
        <v>1649</v>
      </c>
      <c r="C2887" s="76">
        <v>46001.44097222222</v>
      </c>
      <c r="D2887" s="7" t="s">
        <v>6318</v>
      </c>
      <c r="E2887" s="76">
        <v>46001.458333333336</v>
      </c>
      <c r="F2887" s="52" t="s">
        <v>12622</v>
      </c>
      <c r="G2887" s="4" t="s">
        <v>110</v>
      </c>
      <c r="H2887" s="4" t="s">
        <v>1987</v>
      </c>
      <c r="K2887" s="4" t="s">
        <v>12557</v>
      </c>
      <c r="L2887" s="4" t="s">
        <v>12623</v>
      </c>
    </row>
    <row r="2888">
      <c r="A2888" s="55" t="s">
        <v>12624</v>
      </c>
      <c r="B2888" s="52" t="s">
        <v>5675</v>
      </c>
      <c r="C2888" s="76">
        <v>46001.458333333336</v>
      </c>
      <c r="D2888" s="7" t="s">
        <v>2200</v>
      </c>
      <c r="E2888" s="76">
        <v>46001.583333333336</v>
      </c>
      <c r="F2888" s="52" t="s">
        <v>12625</v>
      </c>
      <c r="G2888" s="4" t="s">
        <v>110</v>
      </c>
      <c r="H2888" s="4" t="s">
        <v>1987</v>
      </c>
      <c r="K2888" s="4" t="s">
        <v>12626</v>
      </c>
      <c r="L2888" s="4"/>
    </row>
    <row r="2889">
      <c r="A2889" s="55" t="s">
        <v>12627</v>
      </c>
      <c r="B2889" s="52" t="s">
        <v>5675</v>
      </c>
      <c r="C2889" s="76">
        <v>46002.479166666664</v>
      </c>
      <c r="D2889" s="7" t="s">
        <v>2200</v>
      </c>
      <c r="E2889" s="76">
        <v>46002.520833333336</v>
      </c>
      <c r="F2889" s="52" t="s">
        <v>11229</v>
      </c>
      <c r="G2889" s="4" t="s">
        <v>110</v>
      </c>
      <c r="H2889" s="4" t="s">
        <v>1991</v>
      </c>
      <c r="K2889" s="4" t="s">
        <v>12626</v>
      </c>
      <c r="L2889" s="4" t="s">
        <v>12628</v>
      </c>
    </row>
    <row r="2890">
      <c r="A2890" s="55" t="s">
        <v>12629</v>
      </c>
      <c r="B2890" s="52" t="s">
        <v>5675</v>
      </c>
      <c r="C2890" s="76">
        <v>46002.333333333336</v>
      </c>
      <c r="D2890" s="7" t="s">
        <v>2154</v>
      </c>
      <c r="E2890" s="76">
        <v>46002.416666666664</v>
      </c>
      <c r="F2890" s="52" t="s">
        <v>12630</v>
      </c>
      <c r="G2890" s="4" t="s">
        <v>110</v>
      </c>
      <c r="H2890" s="4" t="s">
        <v>1987</v>
      </c>
      <c r="K2890" s="4"/>
      <c r="L2890" s="4" t="s">
        <v>12631</v>
      </c>
    </row>
    <row r="2891">
      <c r="A2891" s="55" t="s">
        <v>12632</v>
      </c>
      <c r="B2891" s="52" t="s">
        <v>5675</v>
      </c>
      <c r="C2891" s="76">
        <v>46002.520833333336</v>
      </c>
      <c r="D2891" s="7" t="s">
        <v>2154</v>
      </c>
      <c r="E2891" s="76">
        <v>46002.5625</v>
      </c>
      <c r="F2891" s="52" t="s">
        <v>12630</v>
      </c>
      <c r="G2891" s="4" t="s">
        <v>110</v>
      </c>
      <c r="H2891" s="4" t="s">
        <v>1987</v>
      </c>
      <c r="K2891" s="4" t="s">
        <v>12633</v>
      </c>
      <c r="L2891" s="4" t="s">
        <v>12634</v>
      </c>
    </row>
    <row r="2892">
      <c r="A2892" s="55" t="s">
        <v>12635</v>
      </c>
      <c r="B2892" s="52" t="s">
        <v>5675</v>
      </c>
      <c r="C2892" s="76">
        <v>46003.333333333336</v>
      </c>
      <c r="D2892" s="7" t="s">
        <v>2154</v>
      </c>
      <c r="E2892" s="76">
        <v>46003.604166666664</v>
      </c>
      <c r="F2892" s="52" t="s">
        <v>12636</v>
      </c>
      <c r="G2892" s="4" t="s">
        <v>110</v>
      </c>
      <c r="H2892" s="4" t="s">
        <v>1987</v>
      </c>
      <c r="K2892" s="4" t="s">
        <v>12637</v>
      </c>
      <c r="L2892" s="4" t="s">
        <v>12638</v>
      </c>
    </row>
    <row r="2893">
      <c r="A2893" s="68" t="s">
        <v>10726</v>
      </c>
      <c r="B2893" s="69" t="s">
        <v>5675</v>
      </c>
      <c r="C2893" s="70">
        <v>45992.0</v>
      </c>
      <c r="D2893" s="71"/>
      <c r="E2893" s="70">
        <v>45992.083333333336</v>
      </c>
      <c r="F2893" s="69" t="s">
        <v>10321</v>
      </c>
      <c r="G2893" s="72" t="s">
        <v>5795</v>
      </c>
      <c r="H2893" s="4"/>
      <c r="K2893" s="4"/>
      <c r="L2893" s="4"/>
    </row>
    <row r="2894">
      <c r="A2894" s="68" t="s">
        <v>10727</v>
      </c>
      <c r="B2894" s="52" t="s">
        <v>5625</v>
      </c>
      <c r="C2894" s="70">
        <v>45992.0</v>
      </c>
      <c r="D2894" s="71"/>
      <c r="E2894" s="70">
        <v>45992.166666666664</v>
      </c>
      <c r="F2894" s="69" t="s">
        <v>10321</v>
      </c>
      <c r="G2894" s="72" t="s">
        <v>5795</v>
      </c>
      <c r="H2894" s="4"/>
      <c r="K2894" s="4"/>
      <c r="L2894" s="4"/>
    </row>
    <row r="2895">
      <c r="A2895" s="68" t="s">
        <v>10728</v>
      </c>
      <c r="B2895" s="69" t="s">
        <v>5598</v>
      </c>
      <c r="C2895" s="70">
        <v>45992.0</v>
      </c>
      <c r="D2895" s="71"/>
      <c r="E2895" s="70">
        <v>45992.333333333336</v>
      </c>
      <c r="F2895" s="69" t="s">
        <v>10321</v>
      </c>
      <c r="G2895" s="72" t="s">
        <v>5795</v>
      </c>
      <c r="H2895" s="4"/>
      <c r="K2895" s="4"/>
      <c r="L2895" s="4"/>
    </row>
    <row r="2896">
      <c r="A2896" s="68" t="s">
        <v>10731</v>
      </c>
      <c r="B2896" s="69" t="s">
        <v>5656</v>
      </c>
      <c r="C2896" s="75">
        <v>45992.0</v>
      </c>
      <c r="D2896" s="74"/>
      <c r="E2896" s="75">
        <v>45992.333333333336</v>
      </c>
      <c r="F2896" s="69" t="s">
        <v>10321</v>
      </c>
      <c r="G2896" s="72" t="s">
        <v>5795</v>
      </c>
      <c r="H2896" s="4"/>
      <c r="K2896" s="4"/>
      <c r="L2896" s="4"/>
    </row>
    <row r="2897">
      <c r="A2897" s="68" t="s">
        <v>10732</v>
      </c>
      <c r="B2897" s="69" t="s">
        <v>1540</v>
      </c>
      <c r="C2897" s="75">
        <v>45992.0</v>
      </c>
      <c r="D2897" s="74"/>
      <c r="E2897" s="75">
        <v>45992.041666666664</v>
      </c>
      <c r="F2897" s="69" t="s">
        <v>10321</v>
      </c>
      <c r="G2897" s="72" t="s">
        <v>5795</v>
      </c>
      <c r="H2897" s="4"/>
      <c r="K2897" s="4"/>
      <c r="L2897" s="4"/>
    </row>
    <row r="2898">
      <c r="A2898" s="68" t="s">
        <v>11980</v>
      </c>
      <c r="B2898" s="69" t="s">
        <v>5729</v>
      </c>
      <c r="C2898" s="75">
        <v>45992.0</v>
      </c>
      <c r="D2898" s="74"/>
      <c r="E2898" s="75">
        <v>45992.041666666664</v>
      </c>
      <c r="F2898" s="69" t="s">
        <v>10321</v>
      </c>
      <c r="G2898" s="72" t="s">
        <v>5795</v>
      </c>
      <c r="H2898" s="4"/>
      <c r="K2898" s="4"/>
      <c r="L2898" s="4"/>
    </row>
    <row r="2899">
      <c r="A2899" s="55" t="s">
        <v>12639</v>
      </c>
      <c r="B2899" s="52" t="s">
        <v>5656</v>
      </c>
      <c r="C2899" s="76">
        <v>46001.645833333336</v>
      </c>
      <c r="D2899" s="7" t="s">
        <v>2154</v>
      </c>
      <c r="E2899" s="76">
        <v>46001.770833333336</v>
      </c>
      <c r="F2899" s="52" t="s">
        <v>12640</v>
      </c>
      <c r="G2899" s="4" t="s">
        <v>27</v>
      </c>
      <c r="H2899" s="4" t="s">
        <v>1987</v>
      </c>
      <c r="K2899" s="4" t="s">
        <v>12641</v>
      </c>
      <c r="L2899" s="4" t="s">
        <v>12642</v>
      </c>
    </row>
    <row r="2900">
      <c r="A2900" s="55" t="s">
        <v>12643</v>
      </c>
      <c r="B2900" s="52" t="s">
        <v>5625</v>
      </c>
      <c r="C2900" s="76">
        <v>46003.5625</v>
      </c>
      <c r="D2900" s="7" t="s">
        <v>2147</v>
      </c>
      <c r="E2900" s="76">
        <v>46003.770833333336</v>
      </c>
      <c r="F2900" s="52" t="s">
        <v>6189</v>
      </c>
      <c r="G2900" s="4" t="s">
        <v>135</v>
      </c>
      <c r="H2900" s="4" t="s">
        <v>1991</v>
      </c>
      <c r="K2900" s="4" t="s">
        <v>12644</v>
      </c>
      <c r="L2900" s="4" t="s">
        <v>12645</v>
      </c>
    </row>
    <row r="2901">
      <c r="A2901" s="55" t="s">
        <v>12646</v>
      </c>
      <c r="B2901" s="52" t="s">
        <v>1611</v>
      </c>
      <c r="C2901" s="76">
        <v>46001.802777777775</v>
      </c>
      <c r="D2901" s="7" t="s">
        <v>2147</v>
      </c>
      <c r="E2901" s="76">
        <v>46001.895833333336</v>
      </c>
      <c r="F2901" s="52" t="s">
        <v>12647</v>
      </c>
      <c r="G2901" s="4" t="s">
        <v>27</v>
      </c>
      <c r="H2901" s="4" t="s">
        <v>1987</v>
      </c>
      <c r="K2901" s="4" t="s">
        <v>12648</v>
      </c>
      <c r="L2901" s="4" t="s">
        <v>12649</v>
      </c>
    </row>
    <row r="2902">
      <c r="A2902" s="55" t="s">
        <v>12650</v>
      </c>
      <c r="B2902" s="52" t="s">
        <v>1611</v>
      </c>
      <c r="C2902" s="76">
        <v>46002.44375</v>
      </c>
      <c r="D2902" s="7" t="s">
        <v>2147</v>
      </c>
      <c r="E2902" s="76">
        <v>46002.48541666667</v>
      </c>
      <c r="F2902" s="52" t="s">
        <v>1611</v>
      </c>
      <c r="G2902" s="4" t="s">
        <v>27</v>
      </c>
      <c r="H2902" s="4" t="s">
        <v>1987</v>
      </c>
      <c r="K2902" s="4" t="s">
        <v>12651</v>
      </c>
      <c r="L2902" s="4"/>
    </row>
    <row r="2903">
      <c r="A2903" s="55" t="s">
        <v>12652</v>
      </c>
      <c r="B2903" s="52" t="s">
        <v>6057</v>
      </c>
      <c r="C2903" s="76">
        <v>46002.375</v>
      </c>
      <c r="D2903" s="7" t="s">
        <v>2147</v>
      </c>
      <c r="E2903" s="76">
        <v>46002.44375</v>
      </c>
      <c r="F2903" s="52" t="s">
        <v>6053</v>
      </c>
      <c r="G2903" s="4" t="s">
        <v>27</v>
      </c>
      <c r="H2903" s="4" t="s">
        <v>1987</v>
      </c>
      <c r="K2903" s="4"/>
      <c r="L2903" s="4" t="s">
        <v>12653</v>
      </c>
    </row>
    <row r="2904">
      <c r="A2904" s="55" t="s">
        <v>12654</v>
      </c>
      <c r="B2904" s="52" t="s">
        <v>5656</v>
      </c>
      <c r="C2904" s="76">
        <v>46002.583333333336</v>
      </c>
      <c r="D2904" s="7" t="s">
        <v>6052</v>
      </c>
      <c r="E2904" s="76">
        <v>46002.708333333336</v>
      </c>
      <c r="F2904" s="52" t="s">
        <v>7424</v>
      </c>
      <c r="G2904" s="4" t="s">
        <v>27</v>
      </c>
      <c r="H2904" s="4" t="s">
        <v>1987</v>
      </c>
      <c r="K2904" s="4" t="s">
        <v>12655</v>
      </c>
      <c r="L2904" s="4" t="s">
        <v>12656</v>
      </c>
    </row>
    <row r="2905">
      <c r="A2905" s="55" t="s">
        <v>12657</v>
      </c>
      <c r="B2905" s="52" t="s">
        <v>5729</v>
      </c>
      <c r="C2905" s="76">
        <v>46002.5625</v>
      </c>
      <c r="D2905" s="7" t="s">
        <v>6318</v>
      </c>
      <c r="E2905" s="76">
        <v>46002.583333333336</v>
      </c>
      <c r="F2905" s="52" t="s">
        <v>12658</v>
      </c>
      <c r="G2905" s="4" t="s">
        <v>110</v>
      </c>
      <c r="H2905" s="4" t="s">
        <v>1987</v>
      </c>
      <c r="K2905" s="4" t="s">
        <v>12659</v>
      </c>
      <c r="L2905" s="4"/>
    </row>
    <row r="2906">
      <c r="A2906" s="55" t="s">
        <v>12660</v>
      </c>
      <c r="B2906" s="52" t="s">
        <v>1611</v>
      </c>
      <c r="C2906" s="76">
        <v>46002.541666666664</v>
      </c>
      <c r="D2906" s="7" t="s">
        <v>2147</v>
      </c>
      <c r="E2906" s="76">
        <v>46002.583333333336</v>
      </c>
      <c r="F2906" s="52" t="s">
        <v>10818</v>
      </c>
      <c r="G2906" s="4" t="s">
        <v>27</v>
      </c>
      <c r="H2906" s="4" t="s">
        <v>1987</v>
      </c>
      <c r="K2906" s="4" t="s">
        <v>12661</v>
      </c>
      <c r="L2906" s="4"/>
    </row>
    <row r="2907">
      <c r="A2907" s="55" t="s">
        <v>12662</v>
      </c>
      <c r="B2907" s="52" t="s">
        <v>1611</v>
      </c>
      <c r="C2907" s="76">
        <v>46003.364583333336</v>
      </c>
      <c r="D2907" s="7" t="s">
        <v>2147</v>
      </c>
      <c r="E2907" s="76">
        <v>46003.416666666664</v>
      </c>
      <c r="F2907" s="52" t="s">
        <v>12663</v>
      </c>
      <c r="G2907" s="4" t="s">
        <v>27</v>
      </c>
      <c r="H2907" s="4" t="s">
        <v>1987</v>
      </c>
      <c r="K2907" s="4" t="s">
        <v>12664</v>
      </c>
      <c r="L2907" s="4"/>
    </row>
    <row r="2908">
      <c r="A2908" s="55" t="s">
        <v>12665</v>
      </c>
      <c r="B2908" s="52" t="s">
        <v>5675</v>
      </c>
      <c r="C2908" s="76">
        <v>46006.5</v>
      </c>
      <c r="D2908" s="7" t="s">
        <v>2148</v>
      </c>
      <c r="E2908" s="76">
        <v>46006.75</v>
      </c>
      <c r="F2908" s="52" t="s">
        <v>12666</v>
      </c>
      <c r="G2908" s="4" t="s">
        <v>110</v>
      </c>
      <c r="H2908" s="4" t="s">
        <v>1987</v>
      </c>
      <c r="K2908" s="4" t="s">
        <v>12667</v>
      </c>
      <c r="L2908" s="4" t="s">
        <v>12668</v>
      </c>
    </row>
    <row r="2909">
      <c r="A2909" s="55" t="s">
        <v>12669</v>
      </c>
      <c r="B2909" s="52" t="s">
        <v>5729</v>
      </c>
      <c r="C2909" s="76">
        <v>46007.479166666664</v>
      </c>
      <c r="D2909" s="7" t="s">
        <v>2148</v>
      </c>
      <c r="E2909" s="76">
        <v>46007.5625</v>
      </c>
      <c r="F2909" s="52" t="s">
        <v>12670</v>
      </c>
      <c r="G2909" s="4" t="s">
        <v>110</v>
      </c>
      <c r="H2909" s="4" t="s">
        <v>1987</v>
      </c>
      <c r="K2909" s="4" t="s">
        <v>12671</v>
      </c>
      <c r="L2909" s="4" t="s">
        <v>12672</v>
      </c>
    </row>
    <row r="2910">
      <c r="A2910" s="55" t="s">
        <v>12673</v>
      </c>
      <c r="B2910" s="52" t="s">
        <v>5625</v>
      </c>
      <c r="C2910" s="76">
        <v>46004.375</v>
      </c>
      <c r="D2910" s="7" t="s">
        <v>2147</v>
      </c>
      <c r="E2910" s="76">
        <v>46004.541666666664</v>
      </c>
      <c r="F2910" s="52" t="s">
        <v>6189</v>
      </c>
      <c r="G2910" s="4" t="s">
        <v>135</v>
      </c>
      <c r="H2910" s="4" t="s">
        <v>1987</v>
      </c>
      <c r="K2910" s="4" t="s">
        <v>12674</v>
      </c>
      <c r="L2910" s="4" t="s">
        <v>12675</v>
      </c>
    </row>
    <row r="2911">
      <c r="A2911" s="55" t="s">
        <v>12676</v>
      </c>
      <c r="B2911" s="52" t="s">
        <v>1516</v>
      </c>
      <c r="C2911" s="76">
        <v>46006.625</v>
      </c>
      <c r="D2911" s="7" t="s">
        <v>6052</v>
      </c>
      <c r="E2911" s="76">
        <v>46006.770833333336</v>
      </c>
      <c r="F2911" s="52" t="s">
        <v>12677</v>
      </c>
      <c r="G2911" s="4" t="s">
        <v>135</v>
      </c>
      <c r="H2911" s="4" t="s">
        <v>1987</v>
      </c>
      <c r="K2911" s="4" t="s">
        <v>12678</v>
      </c>
      <c r="L2911" s="4" t="s">
        <v>12679</v>
      </c>
    </row>
    <row r="2912">
      <c r="A2912" s="55" t="s">
        <v>12680</v>
      </c>
      <c r="B2912" s="52" t="s">
        <v>5598</v>
      </c>
      <c r="C2912" s="76">
        <v>46007.6875</v>
      </c>
      <c r="D2912" s="7" t="s">
        <v>6052</v>
      </c>
      <c r="E2912" s="76">
        <v>46007.75</v>
      </c>
      <c r="F2912" s="52" t="s">
        <v>7332</v>
      </c>
      <c r="G2912" s="4" t="s">
        <v>135</v>
      </c>
      <c r="H2912" s="4" t="s">
        <v>1987</v>
      </c>
      <c r="K2912" s="4" t="s">
        <v>12681</v>
      </c>
      <c r="L2912" s="4" t="s">
        <v>12682</v>
      </c>
    </row>
    <row r="2913">
      <c r="A2913" s="55" t="s">
        <v>12683</v>
      </c>
      <c r="B2913" s="52" t="s">
        <v>5596</v>
      </c>
      <c r="C2913" s="76">
        <v>46008.541666666664</v>
      </c>
      <c r="D2913" s="7" t="s">
        <v>6052</v>
      </c>
      <c r="E2913" s="76">
        <v>46008.625</v>
      </c>
      <c r="F2913" s="52" t="s">
        <v>7332</v>
      </c>
      <c r="G2913" s="4" t="s">
        <v>135</v>
      </c>
      <c r="H2913" s="4" t="s">
        <v>1987</v>
      </c>
      <c r="K2913" s="4" t="s">
        <v>12684</v>
      </c>
      <c r="L2913" s="4" t="s">
        <v>12685</v>
      </c>
    </row>
    <row r="2914">
      <c r="A2914" s="55"/>
      <c r="B2914" s="52"/>
      <c r="C2914" s="76"/>
      <c r="D2914" s="4"/>
      <c r="E2914" s="76"/>
      <c r="F2914" s="52"/>
      <c r="G2914" s="4"/>
      <c r="H2914" s="4"/>
      <c r="K2914" s="4"/>
      <c r="L2914" s="4"/>
    </row>
    <row r="2915">
      <c r="A2915" s="55" t="s">
        <v>12686</v>
      </c>
      <c r="B2915" s="52" t="s">
        <v>5625</v>
      </c>
      <c r="C2915" s="76">
        <v>46010.5625</v>
      </c>
      <c r="D2915" s="7" t="s">
        <v>6052</v>
      </c>
      <c r="E2915" s="76">
        <v>46010.666666666664</v>
      </c>
      <c r="F2915" s="52" t="s">
        <v>12687</v>
      </c>
      <c r="G2915" s="4" t="s">
        <v>135</v>
      </c>
      <c r="H2915" s="4" t="s">
        <v>1991</v>
      </c>
      <c r="K2915" s="4"/>
      <c r="L2915" s="4" t="s">
        <v>12688</v>
      </c>
    </row>
    <row r="2916">
      <c r="A2916" s="55" t="s">
        <v>12689</v>
      </c>
      <c r="B2916" s="52" t="s">
        <v>5598</v>
      </c>
      <c r="C2916" s="76">
        <v>46011.333333333336</v>
      </c>
      <c r="D2916" s="7" t="s">
        <v>2147</v>
      </c>
      <c r="E2916" s="76">
        <v>46011.541666666664</v>
      </c>
      <c r="F2916" s="52" t="s">
        <v>12690</v>
      </c>
      <c r="G2916" s="4" t="s">
        <v>135</v>
      </c>
      <c r="H2916" s="4" t="s">
        <v>1987</v>
      </c>
      <c r="K2916" s="4"/>
      <c r="L2916" s="4" t="s">
        <v>12691</v>
      </c>
    </row>
    <row r="2917">
      <c r="A2917" s="55" t="s">
        <v>12692</v>
      </c>
      <c r="B2917" s="52" t="s">
        <v>5596</v>
      </c>
      <c r="C2917" s="76">
        <v>46006.5625</v>
      </c>
      <c r="D2917" s="7" t="s">
        <v>2147</v>
      </c>
      <c r="E2917" s="76">
        <v>46006.625</v>
      </c>
      <c r="F2917" s="52" t="s">
        <v>11617</v>
      </c>
      <c r="G2917" s="4" t="s">
        <v>135</v>
      </c>
      <c r="H2917" s="4" t="s">
        <v>1991</v>
      </c>
      <c r="K2917" s="4" t="s">
        <v>12693</v>
      </c>
      <c r="L2917" s="4" t="s">
        <v>12694</v>
      </c>
    </row>
    <row r="2918">
      <c r="A2918" s="55" t="s">
        <v>12695</v>
      </c>
      <c r="B2918" s="52" t="s">
        <v>1516</v>
      </c>
      <c r="C2918" s="76">
        <v>46004.333333333336</v>
      </c>
      <c r="D2918" s="7" t="s">
        <v>2147</v>
      </c>
      <c r="E2918" s="76">
        <v>46004.375</v>
      </c>
      <c r="F2918" s="52" t="s">
        <v>12696</v>
      </c>
      <c r="G2918" s="4" t="s">
        <v>135</v>
      </c>
      <c r="H2918" s="4" t="s">
        <v>1987</v>
      </c>
      <c r="K2918" s="4" t="s">
        <v>12697</v>
      </c>
      <c r="L2918" s="4"/>
    </row>
    <row r="2919">
      <c r="A2919" s="55" t="s">
        <v>12698</v>
      </c>
      <c r="B2919" s="52" t="s">
        <v>5596</v>
      </c>
      <c r="C2919" s="76">
        <v>46006.333333333336</v>
      </c>
      <c r="D2919" s="7" t="s">
        <v>6318</v>
      </c>
      <c r="E2919" s="76">
        <v>46006.354166666664</v>
      </c>
      <c r="F2919" s="52" t="s">
        <v>12699</v>
      </c>
      <c r="G2919" s="4" t="s">
        <v>27</v>
      </c>
      <c r="H2919" s="4" t="s">
        <v>1987</v>
      </c>
      <c r="K2919" s="4" t="s">
        <v>12700</v>
      </c>
      <c r="L2919" s="4"/>
    </row>
    <row r="2920">
      <c r="A2920" s="55" t="s">
        <v>12701</v>
      </c>
      <c r="B2920" s="52" t="s">
        <v>5656</v>
      </c>
      <c r="C2920" s="76">
        <v>46006.354166666664</v>
      </c>
      <c r="D2920" s="7" t="s">
        <v>6318</v>
      </c>
      <c r="E2920" s="76">
        <v>46006.375</v>
      </c>
      <c r="F2920" s="52" t="s">
        <v>12702</v>
      </c>
      <c r="G2920" s="4" t="s">
        <v>27</v>
      </c>
      <c r="H2920" s="4" t="s">
        <v>1987</v>
      </c>
      <c r="K2920" s="4" t="s">
        <v>12703</v>
      </c>
      <c r="L2920" s="4"/>
    </row>
    <row r="2921">
      <c r="A2921" s="55" t="s">
        <v>12704</v>
      </c>
      <c r="B2921" s="52" t="s">
        <v>6057</v>
      </c>
      <c r="C2921" s="76">
        <v>46006.375</v>
      </c>
      <c r="D2921" s="7" t="s">
        <v>2148</v>
      </c>
      <c r="E2921" s="76">
        <v>46006.541666666664</v>
      </c>
      <c r="F2921" s="52" t="s">
        <v>12705</v>
      </c>
      <c r="G2921" s="4" t="s">
        <v>27</v>
      </c>
      <c r="H2921" s="4" t="s">
        <v>1987</v>
      </c>
      <c r="K2921" s="4" t="s">
        <v>12706</v>
      </c>
      <c r="L2921" s="4"/>
    </row>
    <row r="2922">
      <c r="A2922" s="55" t="s">
        <v>12707</v>
      </c>
      <c r="B2922" s="52" t="s">
        <v>5647</v>
      </c>
      <c r="C2922" s="76">
        <v>46007.5625</v>
      </c>
      <c r="D2922" s="7" t="s">
        <v>2147</v>
      </c>
      <c r="E2922" s="76">
        <v>46007.583333333336</v>
      </c>
      <c r="F2922" s="52" t="s">
        <v>12708</v>
      </c>
      <c r="G2922" s="4" t="s">
        <v>27</v>
      </c>
      <c r="H2922" s="4" t="s">
        <v>1991</v>
      </c>
      <c r="K2922" s="4" t="s">
        <v>12709</v>
      </c>
      <c r="L2922" s="4"/>
    </row>
    <row r="2923">
      <c r="A2923" s="55" t="s">
        <v>12710</v>
      </c>
      <c r="B2923" s="52" t="s">
        <v>1611</v>
      </c>
      <c r="C2923" s="76">
        <v>46006.5625</v>
      </c>
      <c r="D2923" s="7" t="s">
        <v>2147</v>
      </c>
      <c r="E2923" s="76">
        <v>46006.604166666664</v>
      </c>
      <c r="F2923" s="52" t="s">
        <v>10918</v>
      </c>
      <c r="G2923" s="4" t="s">
        <v>27</v>
      </c>
      <c r="H2923" s="4" t="s">
        <v>1987</v>
      </c>
      <c r="K2923" s="4" t="s">
        <v>12711</v>
      </c>
      <c r="L2923" s="4"/>
    </row>
    <row r="2924">
      <c r="A2924" s="55" t="s">
        <v>12712</v>
      </c>
      <c r="B2924" s="52" t="s">
        <v>5625</v>
      </c>
      <c r="C2924" s="76">
        <v>46007.625</v>
      </c>
      <c r="D2924" s="7" t="s">
        <v>2147</v>
      </c>
      <c r="E2924" s="76">
        <v>46007.666666666664</v>
      </c>
      <c r="F2924" s="52" t="s">
        <v>9227</v>
      </c>
      <c r="G2924" s="4" t="s">
        <v>135</v>
      </c>
      <c r="H2924" s="4" t="s">
        <v>1991</v>
      </c>
      <c r="K2924" s="4" t="s">
        <v>12713</v>
      </c>
      <c r="L2924" s="4" t="s">
        <v>12714</v>
      </c>
    </row>
    <row r="2925">
      <c r="A2925" s="55" t="s">
        <v>12715</v>
      </c>
      <c r="B2925" s="52" t="s">
        <v>5596</v>
      </c>
      <c r="C2925" s="76">
        <v>46007.333333333336</v>
      </c>
      <c r="D2925" s="7" t="s">
        <v>6052</v>
      </c>
      <c r="E2925" s="76">
        <v>46007.541666666664</v>
      </c>
      <c r="F2925" s="52" t="s">
        <v>12716</v>
      </c>
      <c r="G2925" s="4" t="s">
        <v>27</v>
      </c>
      <c r="H2925" s="4" t="s">
        <v>1987</v>
      </c>
      <c r="K2925" s="4"/>
      <c r="L2925" s="4" t="s">
        <v>12717</v>
      </c>
    </row>
    <row r="2926">
      <c r="A2926" s="55" t="s">
        <v>12718</v>
      </c>
      <c r="B2926" s="52" t="s">
        <v>5647</v>
      </c>
      <c r="C2926" s="76">
        <v>46008.354166666664</v>
      </c>
      <c r="D2926" s="7" t="s">
        <v>2154</v>
      </c>
      <c r="E2926" s="76">
        <v>46008.395833333336</v>
      </c>
      <c r="F2926" s="52" t="s">
        <v>12719</v>
      </c>
      <c r="G2926" s="4" t="s">
        <v>27</v>
      </c>
      <c r="H2926" s="4" t="s">
        <v>1987</v>
      </c>
      <c r="K2926" s="4"/>
      <c r="L2926" s="4" t="s">
        <v>12720</v>
      </c>
    </row>
    <row r="2927">
      <c r="A2927" s="55" t="s">
        <v>12721</v>
      </c>
      <c r="B2927" s="52" t="s">
        <v>6057</v>
      </c>
      <c r="C2927" s="76">
        <v>46006.604166666664</v>
      </c>
      <c r="D2927" s="7" t="s">
        <v>2200</v>
      </c>
      <c r="E2927" s="76">
        <v>46006.75</v>
      </c>
      <c r="F2927" s="52" t="s">
        <v>6057</v>
      </c>
      <c r="G2927" s="4" t="s">
        <v>27</v>
      </c>
      <c r="H2927" s="4" t="s">
        <v>1987</v>
      </c>
      <c r="K2927" s="4" t="s">
        <v>12722</v>
      </c>
      <c r="L2927" s="4"/>
    </row>
    <row r="2928">
      <c r="A2928" s="55" t="s">
        <v>12723</v>
      </c>
      <c r="B2928" s="52" t="s">
        <v>6057</v>
      </c>
      <c r="C2928" s="76">
        <v>46007.583333333336</v>
      </c>
      <c r="D2928" s="7" t="s">
        <v>2154</v>
      </c>
      <c r="E2928" s="76">
        <v>46007.770833333336</v>
      </c>
      <c r="F2928" s="52" t="s">
        <v>12724</v>
      </c>
      <c r="G2928" s="4" t="s">
        <v>27</v>
      </c>
      <c r="H2928" s="4" t="s">
        <v>1987</v>
      </c>
      <c r="K2928" s="4"/>
      <c r="L2928" s="4" t="s">
        <v>12725</v>
      </c>
    </row>
    <row r="2929">
      <c r="A2929" s="55" t="s">
        <v>12726</v>
      </c>
      <c r="B2929" s="52" t="s">
        <v>1611</v>
      </c>
      <c r="C2929" s="76">
        <v>46008.479166666664</v>
      </c>
      <c r="D2929" s="7" t="s">
        <v>2154</v>
      </c>
      <c r="E2929" s="76">
        <v>46008.5625</v>
      </c>
      <c r="F2929" s="52" t="s">
        <v>12727</v>
      </c>
      <c r="G2929" s="4" t="s">
        <v>27</v>
      </c>
      <c r="H2929" s="4" t="s">
        <v>1987</v>
      </c>
      <c r="K2929" s="4" t="s">
        <v>12728</v>
      </c>
      <c r="L2929" s="4" t="s">
        <v>12729</v>
      </c>
    </row>
    <row r="2930">
      <c r="A2930" s="55"/>
      <c r="B2930" s="52"/>
      <c r="C2930" s="76"/>
      <c r="D2930" s="4"/>
      <c r="E2930" s="76"/>
      <c r="F2930" s="52"/>
      <c r="G2930" s="4"/>
      <c r="H2930" s="4"/>
      <c r="K2930" s="4"/>
      <c r="L2930" s="4"/>
    </row>
    <row r="2931">
      <c r="A2931" s="55" t="s">
        <v>12730</v>
      </c>
      <c r="B2931" s="52" t="s">
        <v>5656</v>
      </c>
      <c r="C2931" s="76">
        <v>46009.583333333336</v>
      </c>
      <c r="D2931" s="7" t="s">
        <v>6052</v>
      </c>
      <c r="E2931" s="76">
        <v>46009.729166666664</v>
      </c>
      <c r="F2931" s="52" t="s">
        <v>7424</v>
      </c>
      <c r="G2931" s="4" t="s">
        <v>27</v>
      </c>
      <c r="H2931" s="4" t="s">
        <v>1987</v>
      </c>
      <c r="K2931" s="4"/>
      <c r="L2931" s="4" t="s">
        <v>12731</v>
      </c>
    </row>
    <row r="2932">
      <c r="A2932" s="55" t="s">
        <v>12732</v>
      </c>
      <c r="B2932" s="52" t="s">
        <v>1649</v>
      </c>
      <c r="C2932" s="76">
        <v>46007.458333333336</v>
      </c>
      <c r="D2932" s="7" t="s">
        <v>6318</v>
      </c>
      <c r="E2932" s="76">
        <v>46007.479166666664</v>
      </c>
      <c r="F2932" s="52" t="s">
        <v>12733</v>
      </c>
      <c r="G2932" s="4" t="s">
        <v>110</v>
      </c>
      <c r="H2932" s="4" t="s">
        <v>1987</v>
      </c>
      <c r="K2932" s="4"/>
      <c r="L2932" s="4" t="s">
        <v>12734</v>
      </c>
    </row>
    <row r="2933">
      <c r="A2933" s="55" t="s">
        <v>12735</v>
      </c>
      <c r="B2933" s="52" t="s">
        <v>1617</v>
      </c>
      <c r="C2933" s="76">
        <v>46007.427083333336</v>
      </c>
      <c r="D2933" s="7" t="s">
        <v>2147</v>
      </c>
      <c r="E2933" s="76">
        <v>46007.458333333336</v>
      </c>
      <c r="F2933" s="52" t="s">
        <v>12736</v>
      </c>
      <c r="G2933" s="4" t="s">
        <v>110</v>
      </c>
      <c r="H2933" s="4" t="s">
        <v>1987</v>
      </c>
      <c r="K2933" s="4"/>
      <c r="L2933" s="4" t="s">
        <v>12737</v>
      </c>
    </row>
    <row r="2934">
      <c r="A2934" s="55" t="s">
        <v>12738</v>
      </c>
      <c r="B2934" s="52" t="s">
        <v>5628</v>
      </c>
      <c r="C2934" s="76">
        <v>46009.4375</v>
      </c>
      <c r="D2934" s="7" t="s">
        <v>6052</v>
      </c>
      <c r="E2934" s="76">
        <v>46009.541666666664</v>
      </c>
      <c r="F2934" s="52" t="s">
        <v>12609</v>
      </c>
      <c r="G2934" s="4" t="s">
        <v>110</v>
      </c>
      <c r="H2934" s="4" t="s">
        <v>1987</v>
      </c>
      <c r="K2934" s="4" t="s">
        <v>12739</v>
      </c>
      <c r="L2934" s="4" t="s">
        <v>12740</v>
      </c>
    </row>
    <row r="2935">
      <c r="A2935" s="55" t="s">
        <v>12741</v>
      </c>
      <c r="B2935" s="52" t="s">
        <v>5628</v>
      </c>
      <c r="C2935" s="76">
        <v>46013.333333333336</v>
      </c>
      <c r="D2935" s="7" t="s">
        <v>6052</v>
      </c>
      <c r="E2935" s="76">
        <v>46013.520833333336</v>
      </c>
      <c r="F2935" s="52" t="s">
        <v>12742</v>
      </c>
      <c r="G2935" s="4" t="s">
        <v>110</v>
      </c>
      <c r="H2935" s="4" t="s">
        <v>1987</v>
      </c>
      <c r="K2935" s="4" t="s">
        <v>12743</v>
      </c>
      <c r="L2935" s="4" t="s">
        <v>12744</v>
      </c>
    </row>
    <row r="2936">
      <c r="A2936" s="55"/>
      <c r="B2936" s="52"/>
      <c r="C2936" s="76"/>
      <c r="D2936" s="4"/>
      <c r="E2936" s="76"/>
      <c r="F2936" s="52"/>
      <c r="G2936" s="4"/>
      <c r="H2936" s="4"/>
      <c r="K2936" s="4"/>
      <c r="L2936" s="4"/>
    </row>
    <row r="2937">
      <c r="A2937" s="55" t="s">
        <v>12745</v>
      </c>
      <c r="B2937" s="52" t="s">
        <v>5625</v>
      </c>
      <c r="C2937" s="76">
        <v>46010.5</v>
      </c>
      <c r="D2937" s="7" t="s">
        <v>6052</v>
      </c>
      <c r="E2937" s="76">
        <v>46010.53055555555</v>
      </c>
      <c r="F2937" s="52" t="s">
        <v>12746</v>
      </c>
      <c r="G2937" s="4" t="s">
        <v>27</v>
      </c>
      <c r="H2937" s="4" t="s">
        <v>1987</v>
      </c>
      <c r="K2937" s="4" t="s">
        <v>12747</v>
      </c>
      <c r="L2937" s="4" t="s">
        <v>12748</v>
      </c>
    </row>
    <row r="2938">
      <c r="A2938" s="55"/>
      <c r="B2938" s="52"/>
      <c r="C2938" s="76"/>
      <c r="D2938" s="4"/>
      <c r="E2938" s="76"/>
      <c r="F2938" s="52"/>
      <c r="G2938" s="4"/>
      <c r="H2938" s="4"/>
      <c r="K2938" s="4"/>
      <c r="L2938" s="4"/>
    </row>
    <row r="2939">
      <c r="A2939" s="55" t="s">
        <v>12749</v>
      </c>
      <c r="B2939" s="52" t="s">
        <v>5675</v>
      </c>
      <c r="C2939" s="76">
        <v>46007.333333333336</v>
      </c>
      <c r="D2939" s="7" t="s">
        <v>2147</v>
      </c>
      <c r="E2939" s="76">
        <v>46007.375</v>
      </c>
      <c r="F2939" s="52" t="s">
        <v>12750</v>
      </c>
      <c r="G2939" s="4" t="s">
        <v>110</v>
      </c>
      <c r="H2939" s="4" t="s">
        <v>1987</v>
      </c>
      <c r="K2939" s="4" t="s">
        <v>12751</v>
      </c>
      <c r="L2939" s="4"/>
    </row>
    <row r="2940">
      <c r="A2940" s="55" t="s">
        <v>12752</v>
      </c>
      <c r="B2940" s="52" t="s">
        <v>5675</v>
      </c>
      <c r="C2940" s="76">
        <v>46007.5625</v>
      </c>
      <c r="D2940" s="7" t="s">
        <v>2147</v>
      </c>
      <c r="E2940" s="76">
        <v>46007.604166666664</v>
      </c>
      <c r="F2940" s="52" t="s">
        <v>12753</v>
      </c>
      <c r="G2940" s="4" t="s">
        <v>110</v>
      </c>
      <c r="H2940" s="4" t="s">
        <v>1991</v>
      </c>
      <c r="K2940" s="4" t="s">
        <v>12754</v>
      </c>
      <c r="L2940" s="4"/>
    </row>
    <row r="2941">
      <c r="A2941" s="55" t="s">
        <v>12755</v>
      </c>
      <c r="B2941" s="52" t="s">
        <v>5729</v>
      </c>
      <c r="C2941" s="76">
        <v>46007.604166666664</v>
      </c>
      <c r="D2941" s="7" t="s">
        <v>2147</v>
      </c>
      <c r="E2941" s="76">
        <v>46007.65277777778</v>
      </c>
      <c r="F2941" s="52" t="s">
        <v>12756</v>
      </c>
      <c r="G2941" s="4" t="s">
        <v>110</v>
      </c>
      <c r="H2941" s="4" t="s">
        <v>1987</v>
      </c>
      <c r="K2941" s="4" t="s">
        <v>12757</v>
      </c>
      <c r="L2941" s="4" t="s">
        <v>12758</v>
      </c>
    </row>
    <row r="2942">
      <c r="A2942" s="55" t="s">
        <v>12759</v>
      </c>
      <c r="B2942" s="52" t="s">
        <v>1516</v>
      </c>
      <c r="C2942" s="76">
        <v>46007.5625</v>
      </c>
      <c r="D2942" s="7" t="s">
        <v>6052</v>
      </c>
      <c r="E2942" s="76">
        <v>46007.625</v>
      </c>
      <c r="F2942" s="52" t="s">
        <v>12677</v>
      </c>
      <c r="G2942" s="4" t="s">
        <v>135</v>
      </c>
      <c r="H2942" s="4" t="s">
        <v>1987</v>
      </c>
      <c r="K2942" s="4" t="s">
        <v>12760</v>
      </c>
      <c r="L2942" s="4" t="s">
        <v>12679</v>
      </c>
    </row>
    <row r="2943">
      <c r="A2943" s="55" t="s">
        <v>12761</v>
      </c>
      <c r="B2943" s="52" t="s">
        <v>1516</v>
      </c>
      <c r="C2943" s="76">
        <v>46007.666666666664</v>
      </c>
      <c r="D2943" s="7" t="s">
        <v>6052</v>
      </c>
      <c r="E2943" s="76">
        <v>46007.6875</v>
      </c>
      <c r="F2943" s="52" t="s">
        <v>12677</v>
      </c>
      <c r="G2943" s="4" t="s">
        <v>135</v>
      </c>
      <c r="H2943" s="4" t="s">
        <v>1987</v>
      </c>
      <c r="K2943" s="4" t="s">
        <v>12762</v>
      </c>
      <c r="L2943" s="4" t="s">
        <v>12679</v>
      </c>
    </row>
    <row r="2944">
      <c r="A2944" s="55" t="s">
        <v>12763</v>
      </c>
      <c r="B2944" s="52" t="s">
        <v>5598</v>
      </c>
      <c r="C2944" s="76">
        <v>46010.666666666664</v>
      </c>
      <c r="D2944" s="7" t="s">
        <v>6052</v>
      </c>
      <c r="E2944" s="76">
        <v>46010.770833333336</v>
      </c>
      <c r="F2944" s="52" t="s">
        <v>12690</v>
      </c>
      <c r="G2944" s="4" t="s">
        <v>135</v>
      </c>
      <c r="H2944" s="4" t="s">
        <v>1987</v>
      </c>
      <c r="K2944" s="4" t="s">
        <v>12764</v>
      </c>
      <c r="L2944" s="4" t="s">
        <v>12765</v>
      </c>
    </row>
    <row r="2945">
      <c r="A2945" s="55" t="s">
        <v>12766</v>
      </c>
      <c r="B2945" s="52" t="s">
        <v>5598</v>
      </c>
      <c r="C2945" s="76">
        <v>46013.625</v>
      </c>
      <c r="D2945" s="7" t="s">
        <v>2147</v>
      </c>
      <c r="E2945" s="76">
        <v>46013.666666666664</v>
      </c>
      <c r="F2945" s="52" t="s">
        <v>11617</v>
      </c>
      <c r="G2945" s="4" t="s">
        <v>135</v>
      </c>
      <c r="H2945" s="4" t="s">
        <v>1991</v>
      </c>
      <c r="K2945" s="4" t="s">
        <v>12767</v>
      </c>
      <c r="L2945" s="4" t="s">
        <v>12768</v>
      </c>
    </row>
    <row r="2946">
      <c r="A2946" s="55" t="s">
        <v>12769</v>
      </c>
      <c r="B2946" s="52" t="s">
        <v>5675</v>
      </c>
      <c r="C2946" s="76">
        <v>46008.333333333336</v>
      </c>
      <c r="D2946" s="7" t="s">
        <v>2147</v>
      </c>
      <c r="E2946" s="76">
        <v>46008.416666666664</v>
      </c>
      <c r="F2946" s="52" t="s">
        <v>12770</v>
      </c>
      <c r="G2946" s="4" t="s">
        <v>110</v>
      </c>
      <c r="H2946" s="4" t="s">
        <v>1987</v>
      </c>
      <c r="K2946" s="4" t="s">
        <v>12751</v>
      </c>
      <c r="L2946" s="4" t="s">
        <v>12771</v>
      </c>
    </row>
    <row r="2947">
      <c r="A2947" s="55" t="s">
        <v>12772</v>
      </c>
      <c r="B2947" s="52" t="s">
        <v>5729</v>
      </c>
      <c r="C2947" s="76">
        <v>46008.416666666664</v>
      </c>
      <c r="D2947" s="7" t="s">
        <v>2147</v>
      </c>
      <c r="E2947" s="76">
        <v>46008.458333333336</v>
      </c>
      <c r="F2947" s="52" t="s">
        <v>12773</v>
      </c>
      <c r="G2947" s="4" t="s">
        <v>110</v>
      </c>
      <c r="H2947" s="4" t="s">
        <v>1987</v>
      </c>
      <c r="K2947" s="4" t="s">
        <v>12774</v>
      </c>
      <c r="L2947" s="4" t="s">
        <v>12672</v>
      </c>
    </row>
    <row r="2948">
      <c r="A2948" s="55" t="s">
        <v>12775</v>
      </c>
      <c r="B2948" s="52" t="s">
        <v>1617</v>
      </c>
      <c r="C2948" s="76">
        <v>46010.552083333336</v>
      </c>
      <c r="D2948" s="7" t="s">
        <v>2147</v>
      </c>
      <c r="E2948" s="76">
        <v>46010.604166666664</v>
      </c>
      <c r="F2948" s="52" t="s">
        <v>12776</v>
      </c>
      <c r="G2948" s="4" t="s">
        <v>110</v>
      </c>
      <c r="H2948" s="4" t="s">
        <v>1991</v>
      </c>
      <c r="K2948" s="4" t="s">
        <v>12777</v>
      </c>
      <c r="L2948" s="4" t="s">
        <v>12778</v>
      </c>
    </row>
    <row r="2949">
      <c r="A2949" s="55" t="s">
        <v>12779</v>
      </c>
      <c r="B2949" s="52" t="s">
        <v>6057</v>
      </c>
      <c r="C2949" s="76">
        <v>46008.395833333336</v>
      </c>
      <c r="D2949" s="7" t="s">
        <v>2147</v>
      </c>
      <c r="E2949" s="76">
        <v>46008.479166666664</v>
      </c>
      <c r="F2949" s="52" t="s">
        <v>12780</v>
      </c>
      <c r="G2949" s="4" t="s">
        <v>27</v>
      </c>
      <c r="H2949" s="4" t="s">
        <v>1987</v>
      </c>
      <c r="K2949" s="4"/>
      <c r="L2949" s="4" t="s">
        <v>12781</v>
      </c>
    </row>
    <row r="2950">
      <c r="A2950" s="55" t="s">
        <v>12782</v>
      </c>
      <c r="B2950" s="52" t="s">
        <v>5647</v>
      </c>
      <c r="C2950" s="76">
        <v>46008.5625</v>
      </c>
      <c r="D2950" s="7" t="s">
        <v>2147</v>
      </c>
      <c r="E2950" s="76">
        <v>46008.625</v>
      </c>
      <c r="F2950" s="52" t="s">
        <v>12783</v>
      </c>
      <c r="G2950" s="4" t="s">
        <v>27</v>
      </c>
      <c r="H2950" s="4" t="s">
        <v>1987</v>
      </c>
      <c r="K2950" s="4" t="s">
        <v>12784</v>
      </c>
      <c r="L2950" s="4" t="s">
        <v>12785</v>
      </c>
    </row>
    <row r="2951">
      <c r="A2951" s="55" t="s">
        <v>12786</v>
      </c>
      <c r="B2951" s="52" t="s">
        <v>1617</v>
      </c>
      <c r="C2951" s="76">
        <v>46008.604166666664</v>
      </c>
      <c r="D2951" s="7" t="s">
        <v>6318</v>
      </c>
      <c r="E2951" s="76">
        <v>46008.625</v>
      </c>
      <c r="F2951" s="52" t="s">
        <v>12787</v>
      </c>
      <c r="G2951" s="4" t="s">
        <v>110</v>
      </c>
      <c r="H2951" s="4" t="s">
        <v>1987</v>
      </c>
      <c r="K2951" s="4" t="s">
        <v>12788</v>
      </c>
      <c r="L2951" s="4"/>
    </row>
    <row r="2952">
      <c r="A2952" s="55" t="s">
        <v>12789</v>
      </c>
      <c r="B2952" s="52" t="s">
        <v>1617</v>
      </c>
      <c r="C2952" s="76">
        <v>46008.625</v>
      </c>
      <c r="D2952" s="7" t="s">
        <v>6052</v>
      </c>
      <c r="E2952" s="76">
        <v>46008.6875</v>
      </c>
      <c r="F2952" s="52" t="s">
        <v>7494</v>
      </c>
      <c r="G2952" s="4" t="s">
        <v>135</v>
      </c>
      <c r="H2952" s="4" t="s">
        <v>1987</v>
      </c>
      <c r="K2952" s="4" t="s">
        <v>12790</v>
      </c>
      <c r="L2952" s="4" t="s">
        <v>12791</v>
      </c>
    </row>
    <row r="2953">
      <c r="A2953" s="55" t="s">
        <v>12792</v>
      </c>
      <c r="B2953" s="52" t="s">
        <v>5596</v>
      </c>
      <c r="C2953" s="76">
        <v>46008.6875</v>
      </c>
      <c r="D2953" s="7" t="s">
        <v>6052</v>
      </c>
      <c r="E2953" s="76">
        <v>46008.770833333336</v>
      </c>
      <c r="F2953" s="52" t="s">
        <v>7332</v>
      </c>
      <c r="G2953" s="4" t="s">
        <v>135</v>
      </c>
      <c r="H2953" s="4" t="s">
        <v>1987</v>
      </c>
      <c r="K2953" s="4" t="s">
        <v>12793</v>
      </c>
      <c r="L2953" s="4" t="s">
        <v>12794</v>
      </c>
    </row>
    <row r="2954">
      <c r="A2954" s="55" t="s">
        <v>12795</v>
      </c>
      <c r="B2954" s="52" t="s">
        <v>1611</v>
      </c>
      <c r="C2954" s="76">
        <v>46008.760416666664</v>
      </c>
      <c r="D2954" s="7" t="s">
        <v>2147</v>
      </c>
      <c r="E2954" s="76">
        <v>46008.8125</v>
      </c>
      <c r="F2954" s="52" t="s">
        <v>12796</v>
      </c>
      <c r="G2954" s="4" t="s">
        <v>27</v>
      </c>
      <c r="H2954" s="4" t="s">
        <v>1987</v>
      </c>
      <c r="K2954" s="4" t="s">
        <v>12797</v>
      </c>
      <c r="L2954" s="4"/>
    </row>
    <row r="2955">
      <c r="A2955" s="55" t="s">
        <v>12798</v>
      </c>
      <c r="B2955" s="52" t="s">
        <v>6057</v>
      </c>
      <c r="C2955" s="76">
        <v>46008.645833333336</v>
      </c>
      <c r="D2955" s="7" t="s">
        <v>2147</v>
      </c>
      <c r="E2955" s="76">
        <v>46008.760416666664</v>
      </c>
      <c r="F2955" s="52" t="s">
        <v>6053</v>
      </c>
      <c r="G2955" s="4" t="s">
        <v>27</v>
      </c>
      <c r="H2955" s="4" t="s">
        <v>1987</v>
      </c>
      <c r="K2955" s="4" t="s">
        <v>12799</v>
      </c>
      <c r="L2955" s="4"/>
    </row>
    <row r="2956">
      <c r="A2956" s="55" t="s">
        <v>12800</v>
      </c>
      <c r="B2956" s="52" t="s">
        <v>1611</v>
      </c>
      <c r="C2956" s="76">
        <v>46009.333333333336</v>
      </c>
      <c r="D2956" s="7" t="s">
        <v>2147</v>
      </c>
      <c r="E2956" s="76">
        <v>46009.479166666664</v>
      </c>
      <c r="F2956" s="52" t="s">
        <v>11507</v>
      </c>
      <c r="G2956" s="4" t="s">
        <v>27</v>
      </c>
      <c r="H2956" s="4" t="s">
        <v>1991</v>
      </c>
      <c r="K2956" s="4" t="s">
        <v>12801</v>
      </c>
      <c r="L2956" s="4" t="s">
        <v>12802</v>
      </c>
    </row>
    <row r="2957">
      <c r="A2957" s="55" t="s">
        <v>12803</v>
      </c>
      <c r="B2957" s="52" t="s">
        <v>6057</v>
      </c>
      <c r="C2957" s="76">
        <v>46009.479166666664</v>
      </c>
      <c r="D2957" s="7" t="s">
        <v>2147</v>
      </c>
      <c r="E2957" s="76">
        <v>46009.520833333336</v>
      </c>
      <c r="F2957" s="52" t="s">
        <v>12804</v>
      </c>
      <c r="G2957" s="4" t="s">
        <v>27</v>
      </c>
      <c r="H2957" s="4" t="s">
        <v>1987</v>
      </c>
      <c r="K2957" s="4" t="s">
        <v>12805</v>
      </c>
      <c r="L2957" s="4"/>
    </row>
    <row r="2958">
      <c r="A2958" s="55" t="s">
        <v>12806</v>
      </c>
      <c r="B2958" s="52" t="s">
        <v>5675</v>
      </c>
      <c r="C2958" s="76">
        <v>46009.541666666664</v>
      </c>
      <c r="D2958" s="7" t="s">
        <v>2147</v>
      </c>
      <c r="E2958" s="76">
        <v>46009.583333333336</v>
      </c>
      <c r="F2958" s="52" t="s">
        <v>12807</v>
      </c>
      <c r="G2958" s="4" t="s">
        <v>110</v>
      </c>
      <c r="H2958" s="4" t="s">
        <v>1987</v>
      </c>
      <c r="K2958" s="4" t="s">
        <v>12808</v>
      </c>
      <c r="L2958" s="4"/>
    </row>
    <row r="2959">
      <c r="A2959" s="55" t="s">
        <v>12809</v>
      </c>
      <c r="B2959" s="52" t="s">
        <v>5596</v>
      </c>
      <c r="C2959" s="76">
        <v>46009.333333333336</v>
      </c>
      <c r="D2959" s="7" t="s">
        <v>2154</v>
      </c>
      <c r="E2959" s="76">
        <v>46009.4375</v>
      </c>
      <c r="F2959" s="52" t="s">
        <v>12609</v>
      </c>
      <c r="G2959" s="4" t="s">
        <v>110</v>
      </c>
      <c r="H2959" s="4" t="s">
        <v>1987</v>
      </c>
      <c r="K2959" s="4"/>
      <c r="L2959" s="4" t="s">
        <v>12810</v>
      </c>
    </row>
    <row r="2960">
      <c r="A2960" s="55" t="s">
        <v>12811</v>
      </c>
      <c r="B2960" s="52" t="s">
        <v>6057</v>
      </c>
      <c r="C2960" s="76">
        <v>46009.541666666664</v>
      </c>
      <c r="D2960" s="7" t="s">
        <v>2147</v>
      </c>
      <c r="E2960" s="76">
        <v>46009.583333333336</v>
      </c>
      <c r="F2960" s="52" t="s">
        <v>12812</v>
      </c>
      <c r="G2960" s="4" t="s">
        <v>27</v>
      </c>
      <c r="H2960" s="4" t="s">
        <v>1987</v>
      </c>
      <c r="K2960" s="4" t="s">
        <v>12813</v>
      </c>
      <c r="L2960" s="4"/>
    </row>
    <row r="2961">
      <c r="A2961" s="55" t="s">
        <v>12814</v>
      </c>
      <c r="B2961" s="52" t="s">
        <v>5596</v>
      </c>
      <c r="C2961" s="76">
        <v>46009.583333333336</v>
      </c>
      <c r="D2961" s="7" t="s">
        <v>2154</v>
      </c>
      <c r="E2961" s="76">
        <v>46009.645833333336</v>
      </c>
      <c r="F2961" s="52" t="s">
        <v>7332</v>
      </c>
      <c r="G2961" s="4" t="s">
        <v>135</v>
      </c>
      <c r="H2961" s="4" t="s">
        <v>1987</v>
      </c>
      <c r="K2961" s="4" t="s">
        <v>12815</v>
      </c>
      <c r="L2961" s="4" t="s">
        <v>12816</v>
      </c>
    </row>
    <row r="2962">
      <c r="A2962" s="55" t="s">
        <v>12817</v>
      </c>
      <c r="B2962" s="52" t="s">
        <v>1516</v>
      </c>
      <c r="C2962" s="76">
        <v>46009.645833333336</v>
      </c>
      <c r="D2962" s="7" t="s">
        <v>6052</v>
      </c>
      <c r="E2962" s="76">
        <v>46009.708333333336</v>
      </c>
      <c r="F2962" s="52" t="s">
        <v>12677</v>
      </c>
      <c r="G2962" s="4" t="s">
        <v>135</v>
      </c>
      <c r="H2962" s="4" t="s">
        <v>1987</v>
      </c>
      <c r="K2962" s="4" t="s">
        <v>12818</v>
      </c>
      <c r="L2962" s="4" t="s">
        <v>12819</v>
      </c>
    </row>
    <row r="2963">
      <c r="A2963" s="55" t="s">
        <v>12820</v>
      </c>
      <c r="B2963" s="52" t="s">
        <v>5596</v>
      </c>
      <c r="C2963" s="76">
        <v>46009.708333333336</v>
      </c>
      <c r="D2963" s="7" t="s">
        <v>2147</v>
      </c>
      <c r="E2963" s="76">
        <v>46009.770833333336</v>
      </c>
      <c r="F2963" s="52" t="s">
        <v>7332</v>
      </c>
      <c r="G2963" s="4" t="s">
        <v>135</v>
      </c>
      <c r="H2963" s="4" t="s">
        <v>1987</v>
      </c>
      <c r="K2963" s="4" t="s">
        <v>12815</v>
      </c>
      <c r="L2963" s="4" t="s">
        <v>12821</v>
      </c>
    </row>
    <row r="2964">
      <c r="A2964" s="55" t="s">
        <v>12822</v>
      </c>
      <c r="B2964" s="52" t="s">
        <v>1617</v>
      </c>
      <c r="C2964" s="76">
        <v>46009.5625</v>
      </c>
      <c r="D2964" s="7" t="s">
        <v>6318</v>
      </c>
      <c r="E2964" s="76">
        <v>46009.583333333336</v>
      </c>
      <c r="F2964" s="52" t="s">
        <v>7494</v>
      </c>
      <c r="G2964" s="4" t="s">
        <v>135</v>
      </c>
      <c r="H2964" s="4" t="s">
        <v>1987</v>
      </c>
      <c r="K2964" s="4" t="s">
        <v>12790</v>
      </c>
      <c r="L2964" s="4" t="s">
        <v>12823</v>
      </c>
    </row>
    <row r="2965">
      <c r="A2965" s="55" t="s">
        <v>12824</v>
      </c>
      <c r="B2965" s="52" t="s">
        <v>5628</v>
      </c>
      <c r="C2965" s="76">
        <v>46010.34375</v>
      </c>
      <c r="D2965" s="7" t="s">
        <v>2147</v>
      </c>
      <c r="E2965" s="76">
        <v>46010.416666666664</v>
      </c>
      <c r="F2965" s="52" t="s">
        <v>12825</v>
      </c>
      <c r="G2965" s="4" t="s">
        <v>27</v>
      </c>
      <c r="H2965" s="4" t="s">
        <v>1987</v>
      </c>
      <c r="K2965" s="4" t="s">
        <v>12826</v>
      </c>
      <c r="L2965" s="4" t="s">
        <v>12827</v>
      </c>
    </row>
    <row r="2966">
      <c r="A2966" s="55" t="s">
        <v>12828</v>
      </c>
      <c r="B2966" s="52" t="s">
        <v>5628</v>
      </c>
      <c r="C2966" s="76">
        <v>46014.333333333336</v>
      </c>
      <c r="D2966" s="7" t="s">
        <v>2200</v>
      </c>
      <c r="E2966" s="76">
        <v>46014.541666666664</v>
      </c>
      <c r="F2966" s="52" t="s">
        <v>12829</v>
      </c>
      <c r="G2966" s="4" t="s">
        <v>110</v>
      </c>
      <c r="H2966" s="4" t="s">
        <v>1987</v>
      </c>
      <c r="K2966" s="4" t="s">
        <v>12830</v>
      </c>
      <c r="L2966" s="4" t="s">
        <v>12831</v>
      </c>
    </row>
    <row r="2967">
      <c r="A2967" s="55"/>
      <c r="B2967" s="52"/>
      <c r="C2967" s="76"/>
      <c r="D2967" s="4"/>
      <c r="E2967" s="76"/>
      <c r="F2967" s="52"/>
      <c r="G2967" s="4"/>
      <c r="H2967" s="4"/>
      <c r="K2967" s="4"/>
      <c r="L2967" s="4"/>
    </row>
    <row r="2968">
      <c r="A2968" s="55" t="s">
        <v>12832</v>
      </c>
      <c r="B2968" s="52" t="s">
        <v>1617</v>
      </c>
      <c r="C2968" s="76">
        <v>46010.552083333336</v>
      </c>
      <c r="D2968" s="7" t="s">
        <v>2147</v>
      </c>
      <c r="E2968" s="76">
        <v>46010.604166666664</v>
      </c>
      <c r="F2968" s="52" t="s">
        <v>12833</v>
      </c>
      <c r="G2968" s="4" t="s">
        <v>27</v>
      </c>
      <c r="H2968" s="4" t="s">
        <v>1987</v>
      </c>
      <c r="K2968" s="4" t="s">
        <v>12834</v>
      </c>
      <c r="L2968" s="4"/>
    </row>
    <row r="2969">
      <c r="A2969" s="55" t="s">
        <v>12835</v>
      </c>
      <c r="B2969" s="52" t="s">
        <v>5625</v>
      </c>
      <c r="C2969" s="76">
        <v>46010.625</v>
      </c>
      <c r="D2969" s="7" t="s">
        <v>2147</v>
      </c>
      <c r="E2969" s="76">
        <v>46010.791666666664</v>
      </c>
      <c r="F2969" s="52" t="s">
        <v>1420</v>
      </c>
      <c r="G2969" s="4" t="s">
        <v>27</v>
      </c>
      <c r="H2969" s="4" t="s">
        <v>1987</v>
      </c>
      <c r="K2969" s="4"/>
      <c r="L2969" s="4" t="s">
        <v>12836</v>
      </c>
    </row>
    <row r="2970">
      <c r="A2970" s="55" t="s">
        <v>12837</v>
      </c>
      <c r="B2970" s="52" t="s">
        <v>6057</v>
      </c>
      <c r="C2970" s="76">
        <v>46013.333333333336</v>
      </c>
      <c r="D2970" s="7" t="s">
        <v>2148</v>
      </c>
      <c r="E2970" s="76">
        <v>46013.541666666664</v>
      </c>
      <c r="F2970" s="52" t="s">
        <v>7460</v>
      </c>
      <c r="G2970" s="4" t="s">
        <v>27</v>
      </c>
      <c r="H2970" s="4" t="s">
        <v>1987</v>
      </c>
      <c r="K2970" s="4" t="s">
        <v>12838</v>
      </c>
      <c r="L2970" s="4"/>
    </row>
    <row r="2971">
      <c r="A2971" s="55" t="s">
        <v>12839</v>
      </c>
      <c r="B2971" s="52" t="s">
        <v>1611</v>
      </c>
      <c r="C2971" s="76">
        <v>46013.541666666664</v>
      </c>
      <c r="D2971" s="7" t="s">
        <v>2147</v>
      </c>
      <c r="E2971" s="76">
        <v>46013.625</v>
      </c>
      <c r="F2971" s="52" t="s">
        <v>1611</v>
      </c>
      <c r="G2971" s="4" t="s">
        <v>27</v>
      </c>
      <c r="H2971" s="4" t="s">
        <v>1987</v>
      </c>
      <c r="K2971" s="4" t="s">
        <v>12840</v>
      </c>
      <c r="L2971" s="4" t="s">
        <v>12841</v>
      </c>
    </row>
    <row r="2972">
      <c r="A2972" s="55" t="s">
        <v>12842</v>
      </c>
      <c r="B2972" s="52" t="s">
        <v>6057</v>
      </c>
      <c r="C2972" s="76">
        <v>46013.625</v>
      </c>
      <c r="D2972" s="7" t="s">
        <v>2147</v>
      </c>
      <c r="E2972" s="76">
        <v>46013.666666666664</v>
      </c>
      <c r="F2972" s="52" t="s">
        <v>12843</v>
      </c>
      <c r="G2972" s="4" t="s">
        <v>27</v>
      </c>
      <c r="H2972" s="4" t="s">
        <v>1987</v>
      </c>
      <c r="K2972" s="4" t="s">
        <v>12844</v>
      </c>
      <c r="L2972" s="4" t="s">
        <v>12845</v>
      </c>
    </row>
    <row r="2973">
      <c r="A2973" s="55" t="s">
        <v>12846</v>
      </c>
      <c r="B2973" s="52" t="s">
        <v>1611</v>
      </c>
      <c r="C2973" s="76">
        <v>46013.75</v>
      </c>
      <c r="D2973" s="7" t="s">
        <v>2200</v>
      </c>
      <c r="E2973" s="76">
        <v>46013.8125</v>
      </c>
      <c r="F2973" s="52" t="s">
        <v>12847</v>
      </c>
      <c r="G2973" s="4" t="s">
        <v>27</v>
      </c>
      <c r="H2973" s="4" t="s">
        <v>1987</v>
      </c>
      <c r="K2973" s="4" t="s">
        <v>12848</v>
      </c>
      <c r="L2973" s="4" t="s">
        <v>12849</v>
      </c>
    </row>
    <row r="2974">
      <c r="A2974" s="55" t="s">
        <v>12850</v>
      </c>
      <c r="B2974" s="52" t="s">
        <v>1611</v>
      </c>
      <c r="C2974" s="76">
        <v>46014.333333333336</v>
      </c>
      <c r="D2974" s="7" t="s">
        <v>2200</v>
      </c>
      <c r="E2974" s="76">
        <v>46014.583333333336</v>
      </c>
      <c r="F2974" s="52" t="s">
        <v>12851</v>
      </c>
      <c r="G2974" s="4" t="s">
        <v>27</v>
      </c>
      <c r="H2974" s="4" t="s">
        <v>1987</v>
      </c>
      <c r="K2974" s="4"/>
      <c r="L2974" s="4" t="s">
        <v>12852</v>
      </c>
    </row>
    <row r="2975">
      <c r="A2975" s="55" t="s">
        <v>12853</v>
      </c>
      <c r="B2975" s="52" t="s">
        <v>5647</v>
      </c>
      <c r="C2975" s="76">
        <v>46015.427083333336</v>
      </c>
      <c r="D2975" s="7" t="s">
        <v>2148</v>
      </c>
      <c r="E2975" s="76">
        <v>46015.552083333336</v>
      </c>
      <c r="F2975" s="52" t="s">
        <v>12854</v>
      </c>
      <c r="G2975" s="4" t="s">
        <v>27</v>
      </c>
      <c r="H2975" s="4" t="s">
        <v>1987</v>
      </c>
      <c r="K2975" s="4"/>
      <c r="L2975" s="4" t="s">
        <v>12855</v>
      </c>
    </row>
    <row r="2976">
      <c r="A2976" s="55" t="s">
        <v>12856</v>
      </c>
      <c r="B2976" s="52" t="s">
        <v>6057</v>
      </c>
      <c r="C2976" s="76">
        <v>46014.583333333336</v>
      </c>
      <c r="D2976" s="7" t="s">
        <v>2154</v>
      </c>
      <c r="E2976" s="76">
        <v>46014.625</v>
      </c>
      <c r="F2976" s="52" t="s">
        <v>12857</v>
      </c>
      <c r="G2976" s="4" t="s">
        <v>27</v>
      </c>
      <c r="H2976" s="4" t="s">
        <v>1987</v>
      </c>
      <c r="K2976" s="4" t="s">
        <v>12858</v>
      </c>
      <c r="L2976" s="4" t="s">
        <v>12859</v>
      </c>
    </row>
    <row r="2977">
      <c r="A2977" s="55" t="s">
        <v>12860</v>
      </c>
      <c r="B2977" s="52" t="s">
        <v>5656</v>
      </c>
      <c r="C2977" s="76">
        <v>46017.625</v>
      </c>
      <c r="D2977" s="7" t="s">
        <v>6052</v>
      </c>
      <c r="E2977" s="76">
        <v>46017.729166666664</v>
      </c>
      <c r="F2977" s="52" t="s">
        <v>6231</v>
      </c>
      <c r="G2977" s="4" t="s">
        <v>27</v>
      </c>
      <c r="H2977" s="4" t="s">
        <v>1987</v>
      </c>
      <c r="K2977" s="4"/>
      <c r="L2977" s="4" t="s">
        <v>12861</v>
      </c>
    </row>
    <row r="2978">
      <c r="A2978" s="55"/>
      <c r="B2978" s="52"/>
      <c r="C2978" s="76"/>
      <c r="D2978" s="4"/>
      <c r="E2978" s="76"/>
      <c r="F2978" s="52"/>
      <c r="G2978" s="4"/>
      <c r="H2978" s="4"/>
      <c r="K2978" s="4"/>
      <c r="L2978" s="4"/>
    </row>
    <row r="2979">
      <c r="A2979" s="55"/>
      <c r="B2979" s="52"/>
      <c r="C2979" s="76"/>
      <c r="D2979" s="4"/>
      <c r="E2979" s="76"/>
      <c r="F2979" s="52"/>
      <c r="G2979" s="4"/>
      <c r="H2979" s="4"/>
      <c r="K2979" s="4"/>
      <c r="L2979" s="4"/>
    </row>
    <row r="2980">
      <c r="A2980" s="55"/>
      <c r="B2980" s="52"/>
      <c r="C2980" s="76"/>
      <c r="D2980" s="4"/>
      <c r="E2980" s="76"/>
      <c r="F2980" s="52"/>
      <c r="G2980" s="4"/>
      <c r="H2980" s="4"/>
      <c r="K2980" s="4"/>
      <c r="L2980" s="4"/>
    </row>
    <row r="2981">
      <c r="A2981" s="55" t="s">
        <v>12862</v>
      </c>
      <c r="B2981" s="52" t="s">
        <v>5598</v>
      </c>
      <c r="C2981" s="76">
        <v>46013.5625</v>
      </c>
      <c r="D2981" s="7" t="s">
        <v>2154</v>
      </c>
      <c r="E2981" s="76">
        <v>46013.625</v>
      </c>
      <c r="F2981" s="52" t="s">
        <v>12863</v>
      </c>
      <c r="G2981" s="4" t="s">
        <v>135</v>
      </c>
      <c r="H2981" s="4" t="s">
        <v>1987</v>
      </c>
      <c r="K2981" s="4" t="s">
        <v>12864</v>
      </c>
      <c r="L2981" s="4"/>
    </row>
    <row r="2982">
      <c r="A2982" s="55" t="s">
        <v>12865</v>
      </c>
      <c r="B2982" s="52" t="s">
        <v>5598</v>
      </c>
      <c r="C2982" s="76">
        <v>46013.666666666664</v>
      </c>
      <c r="D2982" s="7" t="s">
        <v>2154</v>
      </c>
      <c r="E2982" s="76">
        <v>46013.729166666664</v>
      </c>
      <c r="F2982" s="52" t="s">
        <v>12866</v>
      </c>
      <c r="G2982" s="4" t="s">
        <v>135</v>
      </c>
      <c r="H2982" s="4" t="s">
        <v>1987</v>
      </c>
      <c r="K2982" s="4" t="s">
        <v>12867</v>
      </c>
      <c r="L2982" s="4"/>
    </row>
    <row r="2983">
      <c r="A2983" s="55" t="s">
        <v>12868</v>
      </c>
      <c r="B2983" s="52" t="s">
        <v>5625</v>
      </c>
      <c r="C2983" s="76">
        <v>46014.5625</v>
      </c>
      <c r="D2983" s="7" t="s">
        <v>6052</v>
      </c>
      <c r="E2983" s="76">
        <v>46014.770833333336</v>
      </c>
      <c r="F2983" s="52" t="s">
        <v>12869</v>
      </c>
      <c r="G2983" s="4" t="s">
        <v>135</v>
      </c>
      <c r="H2983" s="4" t="s">
        <v>1987</v>
      </c>
      <c r="K2983" s="4"/>
      <c r="L2983" s="4" t="s">
        <v>12870</v>
      </c>
    </row>
    <row r="2984">
      <c r="A2984" s="55" t="s">
        <v>12871</v>
      </c>
      <c r="B2984" s="52" t="s">
        <v>5625</v>
      </c>
      <c r="C2984" s="76">
        <v>46015.333333333336</v>
      </c>
      <c r="D2984" s="7" t="s">
        <v>6052</v>
      </c>
      <c r="E2984" s="76">
        <v>46015.541666666664</v>
      </c>
      <c r="F2984" s="52" t="s">
        <v>12872</v>
      </c>
      <c r="G2984" s="4" t="s">
        <v>135</v>
      </c>
      <c r="H2984" s="4" t="s">
        <v>1987</v>
      </c>
      <c r="K2984" s="4" t="s">
        <v>12873</v>
      </c>
      <c r="L2984" s="4"/>
    </row>
    <row r="2985">
      <c r="A2985" s="55"/>
      <c r="B2985" s="52"/>
      <c r="C2985" s="76"/>
      <c r="D2985" s="4"/>
      <c r="E2985" s="76"/>
      <c r="F2985" s="52"/>
      <c r="G2985" s="4"/>
      <c r="H2985" s="4"/>
      <c r="K2985" s="4"/>
      <c r="L2985" s="4"/>
    </row>
    <row r="2986">
      <c r="A2986" s="55" t="s">
        <v>12874</v>
      </c>
      <c r="B2986" s="52" t="s">
        <v>5678</v>
      </c>
      <c r="C2986" s="76">
        <v>46018.333333333336</v>
      </c>
      <c r="D2986" s="7" t="s">
        <v>6052</v>
      </c>
      <c r="E2986" s="76">
        <v>46018.375</v>
      </c>
      <c r="F2986" s="52" t="s">
        <v>11985</v>
      </c>
      <c r="G2986" s="4" t="s">
        <v>135</v>
      </c>
      <c r="H2986" s="4" t="s">
        <v>1987</v>
      </c>
      <c r="K2986" s="4" t="s">
        <v>12875</v>
      </c>
      <c r="L2986" s="4" t="s">
        <v>12876</v>
      </c>
    </row>
    <row r="2987">
      <c r="A2987" s="55"/>
      <c r="B2987" s="52"/>
      <c r="C2987" s="76"/>
      <c r="D2987" s="4"/>
      <c r="E2987" s="76"/>
      <c r="F2987" s="52"/>
      <c r="G2987" s="4"/>
      <c r="H2987" s="4"/>
      <c r="K2987" s="4"/>
      <c r="L2987" s="4"/>
    </row>
    <row r="2988">
      <c r="A2988" s="55" t="s">
        <v>12877</v>
      </c>
      <c r="B2988" s="52" t="s">
        <v>5675</v>
      </c>
      <c r="C2988" s="76">
        <v>46013.520833333336</v>
      </c>
      <c r="D2988" s="7" t="s">
        <v>2154</v>
      </c>
      <c r="E2988" s="76">
        <v>46013.583333333336</v>
      </c>
      <c r="F2988" s="52" t="s">
        <v>12878</v>
      </c>
      <c r="G2988" s="4" t="s">
        <v>110</v>
      </c>
      <c r="H2988" s="4" t="s">
        <v>1987</v>
      </c>
      <c r="K2988" s="4" t="s">
        <v>12879</v>
      </c>
      <c r="L2988" s="4"/>
    </row>
    <row r="2989">
      <c r="A2989" s="55" t="s">
        <v>12880</v>
      </c>
      <c r="B2989" s="52" t="s">
        <v>5628</v>
      </c>
      <c r="C2989" s="76">
        <v>46017.520833333336</v>
      </c>
      <c r="D2989" s="7" t="s">
        <v>2200</v>
      </c>
      <c r="E2989" s="76">
        <v>46017.583333333336</v>
      </c>
      <c r="F2989" s="52" t="s">
        <v>12881</v>
      </c>
      <c r="G2989" s="4" t="s">
        <v>110</v>
      </c>
      <c r="H2989" s="4" t="s">
        <v>1987</v>
      </c>
      <c r="K2989" s="4" t="s">
        <v>12882</v>
      </c>
      <c r="L2989" s="4" t="s">
        <v>12883</v>
      </c>
    </row>
    <row r="2990">
      <c r="A2990" s="55" t="s">
        <v>12884</v>
      </c>
      <c r="B2990" s="52" t="s">
        <v>5628</v>
      </c>
      <c r="C2990" s="76">
        <v>46015.333333333336</v>
      </c>
      <c r="D2990" s="7" t="s">
        <v>2200</v>
      </c>
      <c r="E2990" s="76">
        <v>46015.583333333336</v>
      </c>
      <c r="F2990" s="52" t="s">
        <v>12609</v>
      </c>
      <c r="G2990" s="4" t="s">
        <v>110</v>
      </c>
      <c r="H2990" s="4" t="s">
        <v>1987</v>
      </c>
      <c r="K2990" s="4" t="s">
        <v>12885</v>
      </c>
      <c r="L2990" s="4" t="s">
        <v>12886</v>
      </c>
    </row>
    <row r="2991">
      <c r="A2991" s="55" t="s">
        <v>12887</v>
      </c>
      <c r="B2991" s="52" t="s">
        <v>5729</v>
      </c>
      <c r="C2991" s="76">
        <v>46017.333333333336</v>
      </c>
      <c r="D2991" s="7" t="s">
        <v>2200</v>
      </c>
      <c r="E2991" s="76">
        <v>46017.4375</v>
      </c>
      <c r="F2991" s="52" t="s">
        <v>12888</v>
      </c>
      <c r="G2991" s="4" t="s">
        <v>110</v>
      </c>
      <c r="H2991" s="4" t="s">
        <v>1987</v>
      </c>
      <c r="K2991" s="4" t="s">
        <v>12889</v>
      </c>
      <c r="L2991" s="4" t="s">
        <v>12890</v>
      </c>
    </row>
    <row r="2992">
      <c r="A2992" s="55" t="s">
        <v>12891</v>
      </c>
      <c r="B2992" s="52" t="s">
        <v>5598</v>
      </c>
      <c r="C2992" s="76">
        <v>46018.375</v>
      </c>
      <c r="D2992" s="7" t="s">
        <v>6052</v>
      </c>
      <c r="E2992" s="76">
        <v>46018.541666666664</v>
      </c>
      <c r="F2992" s="52" t="s">
        <v>12892</v>
      </c>
      <c r="G2992" s="4" t="s">
        <v>135</v>
      </c>
      <c r="H2992" s="4" t="s">
        <v>1987</v>
      </c>
      <c r="K2992" s="4" t="s">
        <v>12893</v>
      </c>
      <c r="L2992" s="4" t="s">
        <v>12894</v>
      </c>
    </row>
    <row r="2993">
      <c r="A2993" s="55"/>
      <c r="B2993" s="52"/>
      <c r="C2993" s="76"/>
      <c r="D2993" s="4"/>
      <c r="E2993" s="76"/>
      <c r="F2993" s="52"/>
      <c r="G2993" s="4"/>
      <c r="H2993" s="4"/>
      <c r="K2993" s="4"/>
      <c r="L2993" s="4"/>
    </row>
    <row r="2994">
      <c r="A2994" s="55" t="s">
        <v>12895</v>
      </c>
      <c r="B2994" s="52" t="s">
        <v>5675</v>
      </c>
      <c r="C2994" s="76">
        <v>46014.541666666664</v>
      </c>
      <c r="D2994" s="7" t="s">
        <v>2147</v>
      </c>
      <c r="E2994" s="76">
        <v>46014.583333333336</v>
      </c>
      <c r="F2994" s="52" t="s">
        <v>9843</v>
      </c>
      <c r="G2994" s="4" t="s">
        <v>110</v>
      </c>
      <c r="H2994" s="4" t="s">
        <v>1987</v>
      </c>
      <c r="K2994" s="4" t="s">
        <v>12879</v>
      </c>
      <c r="L2994" s="4" t="s">
        <v>12896</v>
      </c>
    </row>
    <row r="2995">
      <c r="A2995" s="55" t="s">
        <v>12897</v>
      </c>
      <c r="B2995" s="52" t="s">
        <v>1611</v>
      </c>
      <c r="C2995" s="76">
        <v>46014.666666666664</v>
      </c>
      <c r="D2995" s="7" t="s">
        <v>2154</v>
      </c>
      <c r="E2995" s="76">
        <v>46014.75</v>
      </c>
      <c r="F2995" s="52" t="s">
        <v>12898</v>
      </c>
      <c r="G2995" s="4" t="s">
        <v>27</v>
      </c>
      <c r="H2995" s="4" t="s">
        <v>1987</v>
      </c>
      <c r="K2995" s="4" t="s">
        <v>12899</v>
      </c>
      <c r="L2995" s="4"/>
    </row>
    <row r="2996">
      <c r="A2996" s="55" t="s">
        <v>12900</v>
      </c>
      <c r="B2996" s="52" t="s">
        <v>6057</v>
      </c>
      <c r="C2996" s="76">
        <v>46014.75</v>
      </c>
      <c r="D2996" s="7" t="s">
        <v>2147</v>
      </c>
      <c r="E2996" s="76">
        <v>46014.791666666664</v>
      </c>
      <c r="F2996" s="52" t="s">
        <v>12901</v>
      </c>
      <c r="G2996" s="4" t="s">
        <v>27</v>
      </c>
      <c r="H2996" s="4" t="s">
        <v>1987</v>
      </c>
      <c r="K2996" s="4" t="s">
        <v>12902</v>
      </c>
      <c r="L2996" s="4"/>
    </row>
    <row r="2997">
      <c r="A2997" s="55" t="s">
        <v>12903</v>
      </c>
      <c r="B2997" s="52" t="s">
        <v>6057</v>
      </c>
      <c r="C2997" s="76">
        <v>46015.333333333336</v>
      </c>
      <c r="D2997" s="7" t="s">
        <v>2154</v>
      </c>
      <c r="E2997" s="76">
        <v>46015.416666666664</v>
      </c>
      <c r="F2997" s="52" t="s">
        <v>6053</v>
      </c>
      <c r="G2997" s="4" t="s">
        <v>27</v>
      </c>
      <c r="H2997" s="4" t="s">
        <v>1987</v>
      </c>
      <c r="K2997" s="4" t="s">
        <v>12904</v>
      </c>
      <c r="L2997" s="4"/>
    </row>
    <row r="2998">
      <c r="A2998" s="55" t="s">
        <v>12905</v>
      </c>
      <c r="B2998" s="52" t="s">
        <v>5628</v>
      </c>
      <c r="C2998" s="76">
        <v>46017.4375</v>
      </c>
      <c r="D2998" s="7" t="s">
        <v>2147</v>
      </c>
      <c r="E2998" s="76">
        <v>46017.520833333336</v>
      </c>
      <c r="F2998" s="52" t="s">
        <v>12906</v>
      </c>
      <c r="G2998" s="4" t="s">
        <v>110</v>
      </c>
      <c r="H2998" s="4" t="s">
        <v>1991</v>
      </c>
      <c r="K2998" s="4" t="s">
        <v>12907</v>
      </c>
      <c r="L2998" s="4" t="s">
        <v>12908</v>
      </c>
    </row>
    <row r="2999">
      <c r="A2999" s="55" t="s">
        <v>12909</v>
      </c>
      <c r="B2999" s="52" t="s">
        <v>1611</v>
      </c>
      <c r="C2999" s="76">
        <v>46017.375</v>
      </c>
      <c r="D2999" s="7" t="s">
        <v>2147</v>
      </c>
      <c r="E2999" s="76">
        <v>46017.458333333336</v>
      </c>
      <c r="F2999" s="52" t="s">
        <v>12910</v>
      </c>
      <c r="G2999" s="4" t="s">
        <v>27</v>
      </c>
      <c r="H2999" s="4" t="s">
        <v>1987</v>
      </c>
      <c r="K2999" s="4" t="s">
        <v>12911</v>
      </c>
      <c r="L2999" s="4" t="s">
        <v>12912</v>
      </c>
    </row>
    <row r="3000">
      <c r="A3000" s="55" t="s">
        <v>12913</v>
      </c>
      <c r="B3000" s="52" t="s">
        <v>5678</v>
      </c>
      <c r="C3000" s="76">
        <v>46017.5625</v>
      </c>
      <c r="D3000" s="7" t="s">
        <v>2154</v>
      </c>
      <c r="E3000" s="76">
        <v>46017.604166666664</v>
      </c>
      <c r="F3000" s="52" t="s">
        <v>12914</v>
      </c>
      <c r="G3000" s="4" t="s">
        <v>135</v>
      </c>
      <c r="H3000" s="4" t="s">
        <v>1987</v>
      </c>
      <c r="K3000" s="4" t="s">
        <v>12915</v>
      </c>
      <c r="L3000" s="4" t="s">
        <v>12916</v>
      </c>
    </row>
    <row r="3001">
      <c r="A3001" s="55" t="s">
        <v>12917</v>
      </c>
      <c r="B3001" s="52" t="s">
        <v>1617</v>
      </c>
      <c r="C3001" s="76">
        <v>46020.604166666664</v>
      </c>
      <c r="D3001" s="7" t="s">
        <v>2147</v>
      </c>
      <c r="E3001" s="76">
        <v>46020.666666666664</v>
      </c>
      <c r="F3001" s="52" t="s">
        <v>9419</v>
      </c>
      <c r="G3001" s="4" t="s">
        <v>110</v>
      </c>
      <c r="H3001" s="4" t="s">
        <v>1991</v>
      </c>
      <c r="K3001" s="4" t="s">
        <v>12918</v>
      </c>
      <c r="L3001" s="4" t="s">
        <v>12919</v>
      </c>
    </row>
    <row r="3002">
      <c r="A3002" s="55" t="s">
        <v>12920</v>
      </c>
      <c r="B3002" s="52" t="s">
        <v>5647</v>
      </c>
      <c r="C3002" s="76">
        <v>46017.541666666664</v>
      </c>
      <c r="D3002" s="7" t="s">
        <v>2147</v>
      </c>
      <c r="E3002" s="76">
        <v>46017.625</v>
      </c>
      <c r="F3002" s="52" t="s">
        <v>12921</v>
      </c>
      <c r="G3002" s="4" t="s">
        <v>27</v>
      </c>
      <c r="H3002" s="4" t="s">
        <v>1987</v>
      </c>
      <c r="K3002" s="4" t="s">
        <v>12922</v>
      </c>
      <c r="L3002" s="4"/>
    </row>
    <row r="3003">
      <c r="A3003" s="55" t="s">
        <v>12923</v>
      </c>
      <c r="B3003" s="52" t="s">
        <v>5625</v>
      </c>
      <c r="C3003" s="76">
        <v>46017.604166666664</v>
      </c>
      <c r="D3003" s="7" t="s">
        <v>2147</v>
      </c>
      <c r="E3003" s="76">
        <v>46017.65625</v>
      </c>
      <c r="F3003" s="52" t="s">
        <v>12924</v>
      </c>
      <c r="G3003" s="4" t="s">
        <v>135</v>
      </c>
      <c r="H3003" s="4" t="s">
        <v>1987</v>
      </c>
      <c r="K3003" s="4" t="s">
        <v>12873</v>
      </c>
      <c r="L3003" s="4" t="s">
        <v>12925</v>
      </c>
    </row>
    <row r="3004">
      <c r="A3004" s="55" t="s">
        <v>12926</v>
      </c>
      <c r="B3004" s="52" t="s">
        <v>5678</v>
      </c>
      <c r="C3004" s="76">
        <v>46017.65625</v>
      </c>
      <c r="D3004" s="7" t="s">
        <v>2154</v>
      </c>
      <c r="E3004" s="76">
        <v>46017.770833333336</v>
      </c>
      <c r="F3004" s="52" t="s">
        <v>12914</v>
      </c>
      <c r="G3004" s="4" t="s">
        <v>135</v>
      </c>
      <c r="H3004" s="4" t="s">
        <v>1987</v>
      </c>
      <c r="K3004" s="4" t="s">
        <v>12915</v>
      </c>
      <c r="L3004" s="4" t="s">
        <v>12927</v>
      </c>
    </row>
    <row r="3005">
      <c r="A3005" s="55" t="s">
        <v>12928</v>
      </c>
      <c r="B3005" s="52" t="s">
        <v>1617</v>
      </c>
      <c r="C3005" s="76">
        <v>46020.625</v>
      </c>
      <c r="D3005" s="7" t="s">
        <v>2154</v>
      </c>
      <c r="E3005" s="76">
        <v>46020.708333333336</v>
      </c>
      <c r="F3005" s="52" t="s">
        <v>12929</v>
      </c>
      <c r="G3005" s="4" t="s">
        <v>27</v>
      </c>
      <c r="H3005" s="4" t="s">
        <v>1987</v>
      </c>
      <c r="K3005" s="4" t="s">
        <v>12930</v>
      </c>
      <c r="L3005" s="4"/>
    </row>
    <row r="3006">
      <c r="A3006" s="55" t="s">
        <v>12931</v>
      </c>
      <c r="B3006" s="52" t="s">
        <v>5628</v>
      </c>
      <c r="C3006" s="76">
        <v>46020.333333333336</v>
      </c>
      <c r="D3006" s="7" t="s">
        <v>2147</v>
      </c>
      <c r="E3006" s="76">
        <v>46020.430555555555</v>
      </c>
      <c r="F3006" s="52" t="s">
        <v>12932</v>
      </c>
      <c r="G3006" s="4" t="s">
        <v>110</v>
      </c>
      <c r="H3006" s="4" t="s">
        <v>1987</v>
      </c>
      <c r="K3006" s="4" t="s">
        <v>12933</v>
      </c>
      <c r="L3006" s="4" t="s">
        <v>12934</v>
      </c>
    </row>
    <row r="3007">
      <c r="A3007" s="55" t="s">
        <v>12935</v>
      </c>
      <c r="B3007" s="52" t="s">
        <v>1617</v>
      </c>
      <c r="C3007" s="76">
        <v>46020.430555555555</v>
      </c>
      <c r="D3007" s="7" t="s">
        <v>2147</v>
      </c>
      <c r="E3007" s="76">
        <v>46020.48611111111</v>
      </c>
      <c r="F3007" s="52" t="s">
        <v>12936</v>
      </c>
      <c r="G3007" s="4" t="s">
        <v>110</v>
      </c>
      <c r="H3007" s="4" t="s">
        <v>1987</v>
      </c>
      <c r="K3007" s="4"/>
      <c r="L3007" s="4" t="s">
        <v>12937</v>
      </c>
    </row>
    <row r="3008">
      <c r="A3008" s="55" t="s">
        <v>12938</v>
      </c>
      <c r="B3008" s="52" t="s">
        <v>5729</v>
      </c>
      <c r="C3008" s="76">
        <v>46020.51736111111</v>
      </c>
      <c r="D3008" s="7" t="s">
        <v>2147</v>
      </c>
      <c r="E3008" s="76">
        <v>46020.604166666664</v>
      </c>
      <c r="F3008" s="52" t="s">
        <v>12939</v>
      </c>
      <c r="G3008" s="4" t="s">
        <v>110</v>
      </c>
      <c r="H3008" s="4" t="s">
        <v>1987</v>
      </c>
      <c r="K3008" s="4" t="s">
        <v>12940</v>
      </c>
      <c r="L3008" s="4" t="s">
        <v>12941</v>
      </c>
    </row>
    <row r="3009">
      <c r="A3009" s="55" t="s">
        <v>12942</v>
      </c>
      <c r="B3009" s="52" t="s">
        <v>5729</v>
      </c>
      <c r="C3009" s="76">
        <v>46021.333333333336</v>
      </c>
      <c r="D3009" s="7" t="s">
        <v>2147</v>
      </c>
      <c r="E3009" s="76">
        <v>46021.38888888889</v>
      </c>
      <c r="F3009" s="52" t="s">
        <v>12939</v>
      </c>
      <c r="G3009" s="4" t="s">
        <v>110</v>
      </c>
      <c r="H3009" s="4" t="s">
        <v>1987</v>
      </c>
      <c r="K3009" s="4" t="s">
        <v>12943</v>
      </c>
      <c r="L3009" s="4" t="s">
        <v>12944</v>
      </c>
    </row>
    <row r="3010">
      <c r="A3010" s="55" t="s">
        <v>12945</v>
      </c>
      <c r="B3010" s="52" t="s">
        <v>5675</v>
      </c>
      <c r="C3010" s="76">
        <v>46021.38888888889</v>
      </c>
      <c r="D3010" s="7" t="s">
        <v>2154</v>
      </c>
      <c r="E3010" s="76">
        <v>46021.645833333336</v>
      </c>
      <c r="F3010" s="52" t="s">
        <v>12946</v>
      </c>
      <c r="G3010" s="4" t="s">
        <v>110</v>
      </c>
      <c r="H3010" s="4" t="s">
        <v>1991</v>
      </c>
      <c r="K3010" s="4"/>
      <c r="L3010" s="4" t="s">
        <v>12947</v>
      </c>
    </row>
    <row r="3011">
      <c r="A3011" s="55"/>
      <c r="B3011" s="52"/>
      <c r="C3011" s="76"/>
      <c r="D3011" s="4"/>
      <c r="E3011" s="76"/>
      <c r="F3011" s="52"/>
      <c r="G3011" s="4"/>
      <c r="H3011" s="4"/>
      <c r="K3011" s="4"/>
      <c r="L3011" s="4"/>
    </row>
    <row r="3012">
      <c r="A3012" s="55"/>
      <c r="B3012" s="52"/>
      <c r="C3012" s="76"/>
      <c r="D3012" s="4"/>
      <c r="E3012" s="76"/>
      <c r="F3012" s="52"/>
      <c r="G3012" s="4"/>
      <c r="H3012" s="4"/>
      <c r="K3012" s="4"/>
      <c r="L3012" s="4"/>
    </row>
    <row r="3013">
      <c r="A3013" s="55" t="s">
        <v>12948</v>
      </c>
      <c r="B3013" s="52" t="s">
        <v>6057</v>
      </c>
      <c r="C3013" s="76">
        <v>46020.5</v>
      </c>
      <c r="D3013" s="4"/>
      <c r="E3013" s="76">
        <v>46020.541666666664</v>
      </c>
      <c r="F3013" s="52" t="s">
        <v>12949</v>
      </c>
      <c r="G3013" s="4" t="s">
        <v>27</v>
      </c>
      <c r="H3013" s="4" t="s">
        <v>1987</v>
      </c>
      <c r="K3013" s="4" t="s">
        <v>12950</v>
      </c>
      <c r="L3013" s="4"/>
    </row>
    <row r="3014">
      <c r="A3014" s="55" t="s">
        <v>12951</v>
      </c>
      <c r="B3014" s="52" t="s">
        <v>6057</v>
      </c>
      <c r="C3014" s="76">
        <v>46020.333333333336</v>
      </c>
      <c r="D3014" s="7" t="s">
        <v>2154</v>
      </c>
      <c r="E3014" s="76">
        <v>46020.5</v>
      </c>
      <c r="F3014" s="52" t="s">
        <v>7460</v>
      </c>
      <c r="G3014" s="4" t="s">
        <v>27</v>
      </c>
      <c r="H3014" s="4" t="s">
        <v>1987</v>
      </c>
      <c r="K3014" s="4" t="s">
        <v>12952</v>
      </c>
      <c r="L3014" s="4"/>
    </row>
    <row r="3015">
      <c r="A3015" s="55" t="s">
        <v>12953</v>
      </c>
      <c r="B3015" s="52" t="s">
        <v>6057</v>
      </c>
      <c r="C3015" s="76">
        <v>46020.708333333336</v>
      </c>
      <c r="D3015" s="7" t="s">
        <v>2154</v>
      </c>
      <c r="E3015" s="76">
        <v>46020.791666666664</v>
      </c>
      <c r="F3015" s="52" t="s">
        <v>7460</v>
      </c>
      <c r="G3015" s="4" t="s">
        <v>27</v>
      </c>
      <c r="H3015" s="4" t="s">
        <v>1987</v>
      </c>
      <c r="K3015" s="4" t="s">
        <v>12954</v>
      </c>
      <c r="L3015" s="4"/>
    </row>
    <row r="3016">
      <c r="A3016" s="55" t="s">
        <v>12955</v>
      </c>
      <c r="B3016" s="52" t="s">
        <v>5656</v>
      </c>
      <c r="C3016" s="76">
        <v>46021.520833333336</v>
      </c>
      <c r="D3016" s="7" t="s">
        <v>6052</v>
      </c>
      <c r="E3016" s="76">
        <v>46021.729166666664</v>
      </c>
      <c r="F3016" s="52" t="s">
        <v>7424</v>
      </c>
      <c r="G3016" s="4" t="s">
        <v>27</v>
      </c>
      <c r="H3016" s="4" t="s">
        <v>1987</v>
      </c>
      <c r="K3016" s="4"/>
      <c r="L3016" s="4" t="s">
        <v>12956</v>
      </c>
    </row>
    <row r="3017">
      <c r="A3017" s="55" t="s">
        <v>12957</v>
      </c>
      <c r="B3017" s="52" t="s">
        <v>1611</v>
      </c>
      <c r="C3017" s="76">
        <v>46021.40625</v>
      </c>
      <c r="D3017" s="7" t="s">
        <v>2200</v>
      </c>
      <c r="E3017" s="76">
        <v>46021.458333333336</v>
      </c>
      <c r="F3017" s="52" t="s">
        <v>12958</v>
      </c>
      <c r="G3017" s="4" t="s">
        <v>27</v>
      </c>
      <c r="H3017" s="4" t="s">
        <v>1987</v>
      </c>
      <c r="K3017" s="4"/>
      <c r="L3017" s="4" t="s">
        <v>12959</v>
      </c>
    </row>
    <row r="3018">
      <c r="A3018" s="55"/>
      <c r="B3018" s="52"/>
      <c r="C3018" s="76"/>
      <c r="D3018" s="4"/>
      <c r="E3018" s="76"/>
      <c r="F3018" s="52"/>
      <c r="G3018" s="4"/>
      <c r="H3018" s="4"/>
      <c r="K3018" s="4"/>
      <c r="L3018" s="4"/>
    </row>
    <row r="3019">
      <c r="A3019" s="55" t="s">
        <v>12960</v>
      </c>
      <c r="B3019" s="52" t="s">
        <v>5625</v>
      </c>
      <c r="C3019" s="76">
        <v>46022.541666666664</v>
      </c>
      <c r="D3019" s="7" t="s">
        <v>2148</v>
      </c>
      <c r="E3019" s="76">
        <v>46022.583333333336</v>
      </c>
      <c r="F3019" s="52" t="s">
        <v>12961</v>
      </c>
      <c r="G3019" s="4" t="s">
        <v>27</v>
      </c>
      <c r="H3019" s="4" t="s">
        <v>1987</v>
      </c>
      <c r="K3019" s="4"/>
      <c r="L3019" s="4" t="s">
        <v>12962</v>
      </c>
    </row>
    <row r="3020">
      <c r="A3020" s="55" t="s">
        <v>12963</v>
      </c>
      <c r="B3020" s="52" t="s">
        <v>6057</v>
      </c>
      <c r="C3020" s="76">
        <v>46022.583333333336</v>
      </c>
      <c r="D3020" s="7" t="s">
        <v>6052</v>
      </c>
      <c r="E3020" s="76">
        <v>46022.75</v>
      </c>
      <c r="F3020" s="52" t="s">
        <v>7460</v>
      </c>
      <c r="G3020" s="4" t="s">
        <v>27</v>
      </c>
      <c r="H3020" s="4" t="s">
        <v>1987</v>
      </c>
      <c r="K3020" s="4" t="s">
        <v>12964</v>
      </c>
      <c r="L3020" s="4" t="s">
        <v>12965</v>
      </c>
    </row>
    <row r="3021">
      <c r="A3021" s="55"/>
      <c r="B3021" s="52"/>
      <c r="C3021" s="76"/>
      <c r="D3021" s="4"/>
      <c r="E3021" s="76"/>
      <c r="F3021" s="52"/>
      <c r="G3021" s="4"/>
      <c r="H3021" s="4"/>
      <c r="K3021" s="4"/>
      <c r="L3021" s="4"/>
    </row>
    <row r="3022">
      <c r="A3022" s="55"/>
      <c r="B3022" s="52"/>
      <c r="C3022" s="76"/>
      <c r="D3022" s="4"/>
      <c r="E3022" s="76"/>
      <c r="F3022" s="52"/>
      <c r="G3022" s="4"/>
      <c r="H3022" s="4"/>
      <c r="K3022" s="4"/>
      <c r="L3022" s="4"/>
    </row>
    <row r="3023">
      <c r="A3023" s="55" t="s">
        <v>12966</v>
      </c>
      <c r="B3023" s="52" t="s">
        <v>5675</v>
      </c>
      <c r="C3023" s="76">
        <v>46020.48611111111</v>
      </c>
      <c r="D3023" s="7" t="s">
        <v>6318</v>
      </c>
      <c r="E3023" s="76">
        <v>46020.51736111111</v>
      </c>
      <c r="F3023" s="52" t="s">
        <v>12967</v>
      </c>
      <c r="G3023" s="4" t="s">
        <v>110</v>
      </c>
      <c r="H3023" s="4" t="s">
        <v>1987</v>
      </c>
      <c r="K3023" s="4" t="s">
        <v>12968</v>
      </c>
      <c r="L3023" s="4"/>
    </row>
    <row r="3024">
      <c r="A3024" s="55" t="s">
        <v>12969</v>
      </c>
      <c r="B3024" s="52" t="s">
        <v>5678</v>
      </c>
      <c r="C3024" s="76">
        <v>46020.5625</v>
      </c>
      <c r="D3024" s="7" t="s">
        <v>2148</v>
      </c>
      <c r="E3024" s="76">
        <v>46020.6875</v>
      </c>
      <c r="F3024" s="52" t="s">
        <v>12970</v>
      </c>
      <c r="G3024" s="4" t="s">
        <v>135</v>
      </c>
      <c r="H3024" s="4" t="s">
        <v>1987</v>
      </c>
      <c r="K3024" s="4" t="s">
        <v>12971</v>
      </c>
      <c r="L3024" s="4" t="s">
        <v>12972</v>
      </c>
    </row>
    <row r="3025">
      <c r="A3025" s="55" t="s">
        <v>12973</v>
      </c>
      <c r="B3025" s="52" t="s">
        <v>5598</v>
      </c>
      <c r="C3025" s="76">
        <v>46020.6875</v>
      </c>
      <c r="D3025" s="7" t="s">
        <v>2147</v>
      </c>
      <c r="E3025" s="76">
        <v>46020.770833333336</v>
      </c>
      <c r="F3025" s="52" t="s">
        <v>12974</v>
      </c>
      <c r="G3025" s="4" t="s">
        <v>135</v>
      </c>
      <c r="H3025" s="4" t="s">
        <v>1987</v>
      </c>
      <c r="K3025" s="4" t="s">
        <v>12975</v>
      </c>
      <c r="L3025" s="4" t="s">
        <v>12976</v>
      </c>
    </row>
    <row r="3026">
      <c r="A3026" s="55" t="s">
        <v>12977</v>
      </c>
      <c r="B3026" s="52" t="s">
        <v>5598</v>
      </c>
      <c r="C3026" s="76">
        <v>46021.604166666664</v>
      </c>
      <c r="D3026" s="7" t="s">
        <v>6052</v>
      </c>
      <c r="E3026" s="76">
        <v>46021.645833333336</v>
      </c>
      <c r="F3026" s="52" t="s">
        <v>12978</v>
      </c>
      <c r="G3026" s="4" t="s">
        <v>135</v>
      </c>
      <c r="H3026" s="4" t="s">
        <v>1987</v>
      </c>
      <c r="K3026" s="4"/>
      <c r="L3026" s="4" t="s">
        <v>12979</v>
      </c>
    </row>
    <row r="3027">
      <c r="A3027" s="55" t="s">
        <v>12980</v>
      </c>
      <c r="B3027" s="52" t="s">
        <v>5598</v>
      </c>
      <c r="C3027" s="76">
        <v>46022.375</v>
      </c>
      <c r="D3027" s="7" t="s">
        <v>6052</v>
      </c>
      <c r="E3027" s="76">
        <v>46022.4375</v>
      </c>
      <c r="F3027" s="52" t="s">
        <v>12981</v>
      </c>
      <c r="G3027" s="4" t="s">
        <v>135</v>
      </c>
      <c r="H3027" s="4" t="s">
        <v>1987</v>
      </c>
      <c r="K3027" s="4"/>
      <c r="L3027" s="4" t="s">
        <v>12982</v>
      </c>
    </row>
    <row r="3028">
      <c r="A3028" s="55"/>
      <c r="B3028" s="52"/>
      <c r="C3028" s="76"/>
      <c r="D3028" s="4"/>
      <c r="E3028" s="76"/>
      <c r="F3028" s="52"/>
      <c r="G3028" s="4"/>
      <c r="H3028" s="4"/>
      <c r="K3028" s="4"/>
      <c r="L3028" s="4"/>
    </row>
    <row r="3029">
      <c r="A3029" s="55" t="s">
        <v>12983</v>
      </c>
      <c r="B3029" s="52" t="s">
        <v>5598</v>
      </c>
      <c r="C3029" s="76">
        <v>46025.333333333336</v>
      </c>
      <c r="D3029" s="4"/>
      <c r="E3029" s="76">
        <v>46025.541666666664</v>
      </c>
      <c r="F3029" s="52" t="s">
        <v>12981</v>
      </c>
      <c r="G3029" s="4" t="s">
        <v>135</v>
      </c>
      <c r="H3029" s="4" t="s">
        <v>1987</v>
      </c>
      <c r="K3029" s="4" t="s">
        <v>12984</v>
      </c>
      <c r="L3029" s="4" t="s">
        <v>12985</v>
      </c>
    </row>
    <row r="3030">
      <c r="A3030" s="55" t="s">
        <v>12986</v>
      </c>
      <c r="B3030" s="52" t="s">
        <v>1617</v>
      </c>
      <c r="C3030" s="76">
        <v>46024.333333333336</v>
      </c>
      <c r="D3030" s="7" t="s">
        <v>2148</v>
      </c>
      <c r="E3030" s="76">
        <v>46024.5</v>
      </c>
      <c r="F3030" s="52" t="s">
        <v>11061</v>
      </c>
      <c r="G3030" s="4" t="s">
        <v>135</v>
      </c>
      <c r="H3030" s="4" t="s">
        <v>1987</v>
      </c>
      <c r="K3030" s="4"/>
      <c r="L3030" s="4" t="s">
        <v>12987</v>
      </c>
    </row>
    <row r="3031">
      <c r="A3031" s="55" t="s">
        <v>12988</v>
      </c>
      <c r="B3031" s="52" t="s">
        <v>5625</v>
      </c>
      <c r="C3031" s="76">
        <v>46027.416666666664</v>
      </c>
      <c r="D3031" s="7" t="s">
        <v>6052</v>
      </c>
      <c r="E3031" s="76">
        <v>46027.479166666664</v>
      </c>
      <c r="F3031" s="52" t="s">
        <v>12989</v>
      </c>
      <c r="G3031" s="4" t="s">
        <v>135</v>
      </c>
      <c r="H3031" s="4" t="s">
        <v>1987</v>
      </c>
      <c r="K3031" s="4" t="s">
        <v>12990</v>
      </c>
      <c r="L3031" s="4" t="s">
        <v>12991</v>
      </c>
    </row>
    <row r="3032">
      <c r="A3032" s="55" t="s">
        <v>12992</v>
      </c>
      <c r="B3032" s="52" t="s">
        <v>5625</v>
      </c>
      <c r="C3032" s="76">
        <v>46021.5625</v>
      </c>
      <c r="D3032" s="7" t="s">
        <v>2147</v>
      </c>
      <c r="E3032" s="76">
        <v>46021.604166666664</v>
      </c>
      <c r="F3032" s="52" t="s">
        <v>12993</v>
      </c>
      <c r="G3032" s="4" t="s">
        <v>135</v>
      </c>
      <c r="H3032" s="4" t="s">
        <v>1987</v>
      </c>
      <c r="K3032" s="4" t="s">
        <v>12994</v>
      </c>
      <c r="L3032" s="4" t="s">
        <v>12995</v>
      </c>
    </row>
    <row r="3033">
      <c r="A3033" s="55" t="s">
        <v>12996</v>
      </c>
      <c r="B3033" s="52" t="s">
        <v>6057</v>
      </c>
      <c r="C3033" s="76">
        <v>46021.333333333336</v>
      </c>
      <c r="D3033" s="7" t="s">
        <v>2154</v>
      </c>
      <c r="E3033" s="76">
        <v>46021.40625</v>
      </c>
      <c r="F3033" s="52" t="s">
        <v>12997</v>
      </c>
      <c r="G3033" s="4" t="s">
        <v>27</v>
      </c>
      <c r="H3033" s="4" t="s">
        <v>1987</v>
      </c>
      <c r="K3033" s="4" t="s">
        <v>12998</v>
      </c>
      <c r="L3033" s="4" t="s">
        <v>12999</v>
      </c>
    </row>
    <row r="3034">
      <c r="A3034" s="55" t="s">
        <v>13000</v>
      </c>
      <c r="B3034" s="52" t="s">
        <v>6057</v>
      </c>
      <c r="C3034" s="76">
        <v>46021.729166666664</v>
      </c>
      <c r="D3034" s="7" t="s">
        <v>2147</v>
      </c>
      <c r="E3034" s="76">
        <v>46021.770833333336</v>
      </c>
      <c r="F3034" s="52" t="s">
        <v>13001</v>
      </c>
      <c r="G3034" s="4" t="s">
        <v>27</v>
      </c>
      <c r="H3034" s="4" t="s">
        <v>1987</v>
      </c>
      <c r="K3034" s="4" t="s">
        <v>13002</v>
      </c>
      <c r="L3034" s="4"/>
    </row>
    <row r="3035">
      <c r="A3035" s="55" t="s">
        <v>13003</v>
      </c>
      <c r="B3035" s="52" t="s">
        <v>1617</v>
      </c>
      <c r="C3035" s="76">
        <v>46022.4375</v>
      </c>
      <c r="D3035" s="7" t="s">
        <v>2147</v>
      </c>
      <c r="E3035" s="76">
        <v>46022.479166666664</v>
      </c>
      <c r="F3035" s="52" t="s">
        <v>13004</v>
      </c>
      <c r="G3035" s="4" t="s">
        <v>135</v>
      </c>
      <c r="H3035" s="4" t="s">
        <v>1987</v>
      </c>
      <c r="K3035" s="4" t="s">
        <v>13005</v>
      </c>
      <c r="L3035" s="4" t="s">
        <v>13006</v>
      </c>
    </row>
    <row r="3036">
      <c r="A3036" s="55" t="s">
        <v>13007</v>
      </c>
      <c r="B3036" s="52" t="s">
        <v>5598</v>
      </c>
      <c r="C3036" s="76">
        <v>46022.479166666664</v>
      </c>
      <c r="D3036" s="7" t="s">
        <v>6052</v>
      </c>
      <c r="E3036" s="76">
        <v>46022.541666666664</v>
      </c>
      <c r="F3036" s="52" t="s">
        <v>13008</v>
      </c>
      <c r="G3036" s="4" t="s">
        <v>135</v>
      </c>
      <c r="H3036" s="4" t="s">
        <v>1987</v>
      </c>
      <c r="K3036" s="4" t="s">
        <v>13009</v>
      </c>
      <c r="L3036" s="4" t="s">
        <v>13010</v>
      </c>
    </row>
    <row r="3037">
      <c r="A3037" s="55" t="s">
        <v>13011</v>
      </c>
      <c r="B3037" s="52" t="s">
        <v>5625</v>
      </c>
      <c r="C3037" s="76">
        <v>46022.333333333336</v>
      </c>
      <c r="D3037" s="7" t="s">
        <v>2147</v>
      </c>
      <c r="E3037" s="76">
        <v>46022.375</v>
      </c>
      <c r="F3037" s="52" t="s">
        <v>13012</v>
      </c>
      <c r="G3037" s="4" t="s">
        <v>135</v>
      </c>
      <c r="H3037" s="4" t="s">
        <v>1987</v>
      </c>
      <c r="K3037" s="4" t="s">
        <v>12994</v>
      </c>
      <c r="L3037" s="4" t="s">
        <v>13013</v>
      </c>
    </row>
    <row r="3038">
      <c r="A3038" s="55" t="s">
        <v>13014</v>
      </c>
      <c r="B3038" s="52" t="s">
        <v>5598</v>
      </c>
      <c r="C3038" s="76">
        <v>46021.645833333336</v>
      </c>
      <c r="D3038" s="7" t="s">
        <v>2147</v>
      </c>
      <c r="E3038" s="76">
        <v>46021.6875</v>
      </c>
      <c r="F3038" s="52" t="s">
        <v>13015</v>
      </c>
      <c r="G3038" s="4" t="s">
        <v>135</v>
      </c>
      <c r="H3038" s="4" t="s">
        <v>1987</v>
      </c>
      <c r="K3038" s="4" t="s">
        <v>13016</v>
      </c>
      <c r="L3038" s="4" t="s">
        <v>13017</v>
      </c>
    </row>
    <row r="3039">
      <c r="A3039" s="55" t="s">
        <v>13018</v>
      </c>
      <c r="B3039" s="52" t="s">
        <v>5598</v>
      </c>
      <c r="C3039" s="76">
        <v>46021.6875</v>
      </c>
      <c r="D3039" s="7" t="s">
        <v>2147</v>
      </c>
      <c r="E3039" s="76">
        <v>46021.760416666664</v>
      </c>
      <c r="F3039" s="52" t="s">
        <v>12892</v>
      </c>
      <c r="G3039" s="4" t="s">
        <v>135</v>
      </c>
      <c r="H3039" s="4" t="s">
        <v>1987</v>
      </c>
      <c r="K3039" s="4" t="s">
        <v>13019</v>
      </c>
      <c r="L3039" s="4" t="s">
        <v>13020</v>
      </c>
    </row>
    <row r="3040">
      <c r="A3040" s="55" t="s">
        <v>13021</v>
      </c>
      <c r="B3040" s="52" t="s">
        <v>5625</v>
      </c>
      <c r="C3040" s="76">
        <v>46021.760416666664</v>
      </c>
      <c r="D3040" s="7" t="s">
        <v>6318</v>
      </c>
      <c r="E3040" s="76">
        <v>46021.78125</v>
      </c>
      <c r="F3040" s="52" t="s">
        <v>13022</v>
      </c>
      <c r="G3040" s="4" t="s">
        <v>135</v>
      </c>
      <c r="H3040" s="4" t="s">
        <v>1987</v>
      </c>
      <c r="K3040" s="4" t="s">
        <v>13023</v>
      </c>
      <c r="L3040" s="4" t="s">
        <v>12995</v>
      </c>
    </row>
    <row r="3041">
      <c r="A3041" s="55" t="s">
        <v>13024</v>
      </c>
      <c r="B3041" s="52" t="s">
        <v>1611</v>
      </c>
      <c r="C3041" s="76">
        <v>46022.416666666664</v>
      </c>
      <c r="D3041" s="7" t="s">
        <v>2154</v>
      </c>
      <c r="E3041" s="76">
        <v>46022.541666666664</v>
      </c>
      <c r="F3041" s="52" t="s">
        <v>13025</v>
      </c>
      <c r="G3041" s="4" t="s">
        <v>27</v>
      </c>
      <c r="H3041" s="4" t="s">
        <v>1987</v>
      </c>
      <c r="K3041" s="4" t="s">
        <v>13026</v>
      </c>
      <c r="L3041" s="4" t="s">
        <v>13027</v>
      </c>
    </row>
    <row r="3042">
      <c r="A3042" s="55" t="s">
        <v>13028</v>
      </c>
      <c r="B3042" s="52" t="s">
        <v>5675</v>
      </c>
      <c r="C3042" s="76">
        <v>46022.333333333336</v>
      </c>
      <c r="D3042" s="7" t="s">
        <v>2148</v>
      </c>
      <c r="E3042" s="76">
        <v>46022.5</v>
      </c>
      <c r="F3042" s="52" t="s">
        <v>13029</v>
      </c>
      <c r="G3042" s="4" t="s">
        <v>110</v>
      </c>
      <c r="H3042" s="4" t="s">
        <v>1987</v>
      </c>
      <c r="K3042" s="4" t="s">
        <v>13030</v>
      </c>
      <c r="L3042" s="4" t="s">
        <v>12947</v>
      </c>
    </row>
    <row r="3043">
      <c r="A3043" s="55" t="s">
        <v>13031</v>
      </c>
      <c r="B3043" s="52" t="s">
        <v>1617</v>
      </c>
      <c r="C3043" s="76">
        <v>46022.5</v>
      </c>
      <c r="D3043" s="7" t="s">
        <v>2147</v>
      </c>
      <c r="E3043" s="76">
        <v>46022.541666666664</v>
      </c>
      <c r="F3043" s="52" t="s">
        <v>13032</v>
      </c>
      <c r="G3043" s="4" t="s">
        <v>110</v>
      </c>
      <c r="H3043" s="4" t="s">
        <v>1987</v>
      </c>
      <c r="K3043" s="4" t="s">
        <v>13033</v>
      </c>
      <c r="L3043" s="4"/>
    </row>
    <row r="3044">
      <c r="A3044" s="55" t="s">
        <v>13034</v>
      </c>
      <c r="B3044" s="52" t="s">
        <v>5678</v>
      </c>
      <c r="C3044" s="76">
        <v>46024.583333333336</v>
      </c>
      <c r="D3044" s="7" t="s">
        <v>2147</v>
      </c>
      <c r="E3044" s="76">
        <v>46024.625</v>
      </c>
      <c r="F3044" s="52" t="s">
        <v>11617</v>
      </c>
      <c r="G3044" s="4" t="s">
        <v>135</v>
      </c>
      <c r="H3044" s="4" t="s">
        <v>1991</v>
      </c>
      <c r="K3044" s="4" t="s">
        <v>13035</v>
      </c>
      <c r="L3044" s="4"/>
    </row>
    <row r="3045">
      <c r="A3045" s="55" t="s">
        <v>13036</v>
      </c>
      <c r="B3045" s="52" t="s">
        <v>5678</v>
      </c>
      <c r="C3045" s="76">
        <v>46024.625</v>
      </c>
      <c r="D3045" s="7" t="s">
        <v>2154</v>
      </c>
      <c r="E3045" s="76">
        <v>46024.75</v>
      </c>
      <c r="F3045" s="52" t="s">
        <v>5377</v>
      </c>
      <c r="G3045" s="4" t="s">
        <v>135</v>
      </c>
      <c r="H3045" s="4" t="s">
        <v>1987</v>
      </c>
      <c r="K3045" s="4" t="s">
        <v>13037</v>
      </c>
      <c r="L3045" s="4" t="s">
        <v>13038</v>
      </c>
    </row>
    <row r="3046">
      <c r="A3046" s="55" t="s">
        <v>13039</v>
      </c>
      <c r="B3046" s="52" t="s">
        <v>5598</v>
      </c>
      <c r="C3046" s="76">
        <v>46027.645833333336</v>
      </c>
      <c r="D3046" s="7" t="s">
        <v>2148</v>
      </c>
      <c r="E3046" s="76">
        <v>46027.729166666664</v>
      </c>
      <c r="F3046" s="52" t="s">
        <v>5377</v>
      </c>
      <c r="G3046" s="4" t="s">
        <v>135</v>
      </c>
      <c r="H3046" s="4" t="s">
        <v>1987</v>
      </c>
      <c r="K3046" s="4" t="s">
        <v>13040</v>
      </c>
      <c r="L3046" s="4" t="s">
        <v>13041</v>
      </c>
    </row>
    <row r="3047">
      <c r="A3047" s="55" t="s">
        <v>13042</v>
      </c>
      <c r="B3047" s="52" t="s">
        <v>5790</v>
      </c>
      <c r="C3047" s="76">
        <v>46028.697916666664</v>
      </c>
      <c r="D3047" s="7" t="s">
        <v>6052</v>
      </c>
      <c r="E3047" s="76">
        <v>46028.770833333336</v>
      </c>
      <c r="F3047" s="52" t="s">
        <v>11985</v>
      </c>
      <c r="G3047" s="4" t="s">
        <v>135</v>
      </c>
      <c r="H3047" s="4" t="s">
        <v>1987</v>
      </c>
      <c r="K3047" s="4" t="s">
        <v>13043</v>
      </c>
      <c r="L3047" s="4" t="s">
        <v>13044</v>
      </c>
    </row>
    <row r="3048">
      <c r="A3048" s="55" t="s">
        <v>13045</v>
      </c>
      <c r="B3048" s="52" t="s">
        <v>6057</v>
      </c>
      <c r="C3048" s="76">
        <v>46024.333333333336</v>
      </c>
      <c r="D3048" s="7" t="s">
        <v>2147</v>
      </c>
      <c r="E3048" s="76">
        <v>46024.395833333336</v>
      </c>
      <c r="F3048" s="52" t="s">
        <v>7460</v>
      </c>
      <c r="G3048" s="4" t="s">
        <v>27</v>
      </c>
      <c r="H3048" s="4" t="s">
        <v>1987</v>
      </c>
      <c r="K3048" s="4" t="s">
        <v>13046</v>
      </c>
      <c r="L3048" s="4"/>
    </row>
    <row r="3049">
      <c r="A3049" s="55" t="s">
        <v>13047</v>
      </c>
      <c r="B3049" s="52" t="s">
        <v>1611</v>
      </c>
      <c r="C3049" s="76">
        <v>46024.395833333336</v>
      </c>
      <c r="D3049" s="7" t="s">
        <v>2147</v>
      </c>
      <c r="E3049" s="76">
        <v>46024.4375</v>
      </c>
      <c r="F3049" s="52" t="s">
        <v>1611</v>
      </c>
      <c r="G3049" s="4" t="s">
        <v>27</v>
      </c>
      <c r="H3049" s="4" t="s">
        <v>1987</v>
      </c>
      <c r="K3049" s="4" t="s">
        <v>13048</v>
      </c>
      <c r="L3049" s="4"/>
    </row>
    <row r="3050">
      <c r="A3050" s="55" t="s">
        <v>13049</v>
      </c>
      <c r="B3050" s="52" t="s">
        <v>6057</v>
      </c>
      <c r="C3050" s="76">
        <v>46024.4375</v>
      </c>
      <c r="D3050" s="7" t="s">
        <v>2148</v>
      </c>
      <c r="E3050" s="76">
        <v>46024.604166666664</v>
      </c>
      <c r="F3050" s="52" t="s">
        <v>7460</v>
      </c>
      <c r="G3050" s="4" t="s">
        <v>27</v>
      </c>
      <c r="H3050" s="4" t="s">
        <v>1987</v>
      </c>
      <c r="K3050" s="4" t="s">
        <v>13050</v>
      </c>
      <c r="L3050" s="4"/>
    </row>
    <row r="3051">
      <c r="A3051" s="55" t="s">
        <v>13051</v>
      </c>
      <c r="B3051" s="52" t="s">
        <v>5625</v>
      </c>
      <c r="C3051" s="76">
        <v>46024.6875</v>
      </c>
      <c r="D3051" s="7" t="s">
        <v>2154</v>
      </c>
      <c r="E3051" s="76">
        <v>46024.770833333336</v>
      </c>
      <c r="F3051" s="52" t="s">
        <v>13052</v>
      </c>
      <c r="G3051" s="4" t="s">
        <v>27</v>
      </c>
      <c r="H3051" s="4" t="s">
        <v>1987</v>
      </c>
      <c r="K3051" s="4" t="s">
        <v>13053</v>
      </c>
      <c r="L3051" s="4"/>
    </row>
    <row r="3052">
      <c r="A3052" s="55" t="s">
        <v>13054</v>
      </c>
      <c r="B3052" s="52" t="s">
        <v>5625</v>
      </c>
      <c r="C3052" s="76">
        <v>46025.375</v>
      </c>
      <c r="D3052" s="7" t="s">
        <v>2200</v>
      </c>
      <c r="E3052" s="76">
        <v>46025.541666666664</v>
      </c>
      <c r="F3052" s="52" t="s">
        <v>13055</v>
      </c>
      <c r="G3052" s="4" t="s">
        <v>27</v>
      </c>
      <c r="H3052" s="4" t="s">
        <v>1987</v>
      </c>
      <c r="K3052" s="4" t="s">
        <v>13056</v>
      </c>
      <c r="L3052" s="4" t="s">
        <v>13057</v>
      </c>
    </row>
    <row r="3053">
      <c r="A3053" s="55" t="s">
        <v>13058</v>
      </c>
      <c r="B3053" s="52" t="s">
        <v>1611</v>
      </c>
      <c r="C3053" s="76">
        <v>46027.333333333336</v>
      </c>
      <c r="D3053" s="7" t="s">
        <v>2147</v>
      </c>
      <c r="E3053" s="76">
        <v>46027.4375</v>
      </c>
      <c r="F3053" s="52" t="s">
        <v>13059</v>
      </c>
      <c r="G3053" s="4" t="s">
        <v>27</v>
      </c>
      <c r="H3053" s="4" t="s">
        <v>1987</v>
      </c>
      <c r="K3053" s="4" t="s">
        <v>13060</v>
      </c>
      <c r="L3053" s="4" t="s">
        <v>13061</v>
      </c>
    </row>
    <row r="3054">
      <c r="A3054" s="55" t="s">
        <v>13062</v>
      </c>
      <c r="B3054" s="52" t="s">
        <v>1617</v>
      </c>
      <c r="C3054" s="76">
        <v>46027.375</v>
      </c>
      <c r="D3054" s="7" t="s">
        <v>2147</v>
      </c>
      <c r="E3054" s="76">
        <v>46027.416666666664</v>
      </c>
      <c r="F3054" s="52" t="s">
        <v>13063</v>
      </c>
      <c r="G3054" s="4" t="s">
        <v>110</v>
      </c>
      <c r="H3054" s="4" t="s">
        <v>1987</v>
      </c>
      <c r="K3054" s="4" t="s">
        <v>13064</v>
      </c>
      <c r="L3054" s="4" t="s">
        <v>13065</v>
      </c>
    </row>
    <row r="3055">
      <c r="A3055" s="55" t="s">
        <v>13066</v>
      </c>
      <c r="B3055" s="52" t="s">
        <v>5628</v>
      </c>
      <c r="C3055" s="76">
        <v>46027.416666666664</v>
      </c>
      <c r="D3055" s="7" t="s">
        <v>2154</v>
      </c>
      <c r="E3055" s="76">
        <v>46027.5625</v>
      </c>
      <c r="F3055" s="52" t="s">
        <v>13067</v>
      </c>
      <c r="G3055" s="4" t="s">
        <v>110</v>
      </c>
      <c r="H3055" s="4" t="s">
        <v>1987</v>
      </c>
      <c r="K3055" s="4" t="s">
        <v>13068</v>
      </c>
      <c r="L3055" s="4" t="s">
        <v>13069</v>
      </c>
    </row>
    <row r="3056">
      <c r="A3056" s="55"/>
      <c r="B3056" s="52"/>
      <c r="C3056" s="76"/>
      <c r="D3056" s="4"/>
      <c r="E3056" s="76"/>
      <c r="F3056" s="52"/>
      <c r="G3056" s="4"/>
      <c r="H3056" s="4"/>
      <c r="K3056" s="4"/>
      <c r="L3056" s="4"/>
    </row>
    <row r="3057">
      <c r="A3057" s="55" t="s">
        <v>13070</v>
      </c>
      <c r="B3057" s="52" t="s">
        <v>5675</v>
      </c>
      <c r="C3057" s="76">
        <v>46028.333333333336</v>
      </c>
      <c r="D3057" s="7" t="s">
        <v>2147</v>
      </c>
      <c r="E3057" s="76">
        <v>46028.4375</v>
      </c>
      <c r="F3057" s="52" t="s">
        <v>13071</v>
      </c>
      <c r="G3057" s="4" t="s">
        <v>110</v>
      </c>
      <c r="H3057" s="4" t="s">
        <v>1987</v>
      </c>
      <c r="K3057" s="4" t="s">
        <v>13072</v>
      </c>
      <c r="L3057" s="4" t="s">
        <v>13073</v>
      </c>
    </row>
    <row r="3058">
      <c r="A3058" s="55" t="s">
        <v>13074</v>
      </c>
      <c r="B3058" s="52" t="s">
        <v>5675</v>
      </c>
      <c r="C3058" s="76">
        <v>46027.333333333336</v>
      </c>
      <c r="D3058" s="7" t="s">
        <v>6318</v>
      </c>
      <c r="E3058" s="76">
        <v>46027.375</v>
      </c>
      <c r="F3058" s="52" t="s">
        <v>13075</v>
      </c>
      <c r="G3058" s="4" t="s">
        <v>110</v>
      </c>
      <c r="H3058" s="4" t="s">
        <v>1987</v>
      </c>
      <c r="K3058" s="4" t="s">
        <v>13076</v>
      </c>
      <c r="L3058" s="4" t="s">
        <v>13077</v>
      </c>
    </row>
    <row r="3059">
      <c r="A3059" s="55" t="s">
        <v>13078</v>
      </c>
      <c r="B3059" s="52" t="s">
        <v>5598</v>
      </c>
      <c r="C3059" s="76">
        <v>46027.479166666664</v>
      </c>
      <c r="D3059" s="7" t="s">
        <v>6318</v>
      </c>
      <c r="E3059" s="76">
        <v>46027.5</v>
      </c>
      <c r="F3059" s="52" t="s">
        <v>13079</v>
      </c>
      <c r="G3059" s="4" t="s">
        <v>135</v>
      </c>
      <c r="H3059" s="4" t="s">
        <v>1987</v>
      </c>
      <c r="K3059" s="4" t="s">
        <v>13080</v>
      </c>
      <c r="L3059" s="4"/>
    </row>
    <row r="3060">
      <c r="A3060" s="55" t="s">
        <v>13081</v>
      </c>
      <c r="B3060" s="52" t="s">
        <v>5598</v>
      </c>
      <c r="C3060" s="76">
        <v>46027.333333333336</v>
      </c>
      <c r="D3060" s="7" t="s">
        <v>2154</v>
      </c>
      <c r="E3060" s="76">
        <v>46027.416666666664</v>
      </c>
      <c r="F3060" s="52" t="s">
        <v>13082</v>
      </c>
      <c r="G3060" s="4" t="s">
        <v>135</v>
      </c>
      <c r="H3060" s="4" t="s">
        <v>1987</v>
      </c>
      <c r="K3060" s="4" t="s">
        <v>13083</v>
      </c>
      <c r="L3060" s="4"/>
    </row>
    <row r="3061">
      <c r="A3061" s="55" t="s">
        <v>13084</v>
      </c>
      <c r="B3061" s="52" t="s">
        <v>1617</v>
      </c>
      <c r="C3061" s="76">
        <v>46027.5625</v>
      </c>
      <c r="D3061" s="7" t="s">
        <v>2154</v>
      </c>
      <c r="E3061" s="76">
        <v>46027.645833333336</v>
      </c>
      <c r="F3061" s="52" t="s">
        <v>13085</v>
      </c>
      <c r="G3061" s="4" t="s">
        <v>135</v>
      </c>
      <c r="H3061" s="4" t="s">
        <v>1987</v>
      </c>
      <c r="K3061" s="4" t="s">
        <v>13040</v>
      </c>
      <c r="L3061" s="4" t="s">
        <v>13086</v>
      </c>
    </row>
    <row r="3062">
      <c r="A3062" s="55" t="s">
        <v>13087</v>
      </c>
      <c r="B3062" s="52" t="s">
        <v>5675</v>
      </c>
      <c r="C3062" s="76">
        <v>46027.5625</v>
      </c>
      <c r="D3062" s="7" t="s">
        <v>6318</v>
      </c>
      <c r="E3062" s="76">
        <v>46027.59375</v>
      </c>
      <c r="F3062" s="52" t="s">
        <v>13088</v>
      </c>
      <c r="G3062" s="4" t="s">
        <v>110</v>
      </c>
      <c r="H3062" s="4" t="s">
        <v>1987</v>
      </c>
      <c r="K3062" s="4" t="s">
        <v>13089</v>
      </c>
      <c r="L3062" s="4" t="s">
        <v>13090</v>
      </c>
    </row>
    <row r="3063">
      <c r="A3063" s="55" t="s">
        <v>13091</v>
      </c>
      <c r="B3063" s="52" t="s">
        <v>5628</v>
      </c>
      <c r="C3063" s="76">
        <v>46028.4375</v>
      </c>
      <c r="D3063" s="7" t="s">
        <v>2200</v>
      </c>
      <c r="E3063" s="76">
        <v>46028.604166666664</v>
      </c>
      <c r="F3063" s="52" t="s">
        <v>13092</v>
      </c>
      <c r="G3063" s="4" t="s">
        <v>110</v>
      </c>
      <c r="H3063" s="4" t="s">
        <v>1987</v>
      </c>
      <c r="K3063" s="4" t="s">
        <v>13093</v>
      </c>
      <c r="L3063" s="4" t="s">
        <v>13094</v>
      </c>
    </row>
    <row r="3064">
      <c r="A3064" s="55" t="s">
        <v>13095</v>
      </c>
      <c r="B3064" s="52" t="s">
        <v>1611</v>
      </c>
      <c r="C3064" s="76">
        <v>46028.416666666664</v>
      </c>
      <c r="D3064" s="7" t="s">
        <v>2147</v>
      </c>
      <c r="E3064" s="76">
        <v>46028.479166666664</v>
      </c>
      <c r="F3064" s="52" t="s">
        <v>1611</v>
      </c>
      <c r="G3064" s="4" t="s">
        <v>27</v>
      </c>
      <c r="H3064" s="4" t="s">
        <v>1987</v>
      </c>
      <c r="K3064" s="4" t="s">
        <v>13096</v>
      </c>
      <c r="L3064" s="4" t="s">
        <v>13097</v>
      </c>
    </row>
    <row r="3065">
      <c r="A3065" s="55" t="s">
        <v>13098</v>
      </c>
      <c r="B3065" s="52" t="s">
        <v>6057</v>
      </c>
      <c r="C3065" s="76">
        <v>46028.479166666664</v>
      </c>
      <c r="D3065" s="7" t="s">
        <v>2147</v>
      </c>
      <c r="E3065" s="76">
        <v>46028.625</v>
      </c>
      <c r="F3065" s="52" t="s">
        <v>6057</v>
      </c>
      <c r="G3065" s="4" t="s">
        <v>27</v>
      </c>
      <c r="H3065" s="4" t="s">
        <v>1987</v>
      </c>
      <c r="K3065" s="4"/>
      <c r="L3065" s="4" t="s">
        <v>13099</v>
      </c>
    </row>
    <row r="3066">
      <c r="A3066" s="55"/>
      <c r="B3066" s="52"/>
      <c r="C3066" s="76"/>
      <c r="D3066" s="4"/>
      <c r="E3066" s="76"/>
      <c r="F3066" s="52"/>
      <c r="G3066" s="4"/>
      <c r="H3066" s="4"/>
      <c r="K3066" s="4"/>
      <c r="L3066" s="4"/>
    </row>
    <row r="3067">
      <c r="A3067" s="55" t="s">
        <v>13100</v>
      </c>
      <c r="B3067" s="52" t="s">
        <v>6057</v>
      </c>
      <c r="C3067" s="76">
        <v>46027.4375</v>
      </c>
      <c r="D3067" s="7" t="s">
        <v>2147</v>
      </c>
      <c r="E3067" s="76">
        <v>46027.75</v>
      </c>
      <c r="F3067" s="52" t="s">
        <v>13101</v>
      </c>
      <c r="G3067" s="4" t="s">
        <v>27</v>
      </c>
      <c r="H3067" s="4" t="s">
        <v>1987</v>
      </c>
      <c r="K3067" s="4" t="s">
        <v>13102</v>
      </c>
      <c r="L3067" s="4"/>
    </row>
    <row r="3068">
      <c r="A3068" s="55" t="s">
        <v>13103</v>
      </c>
      <c r="B3068" s="52" t="s">
        <v>6057</v>
      </c>
      <c r="C3068" s="76">
        <v>46028.333333333336</v>
      </c>
      <c r="D3068" s="7" t="s">
        <v>2147</v>
      </c>
      <c r="E3068" s="76">
        <v>46028.416666666664</v>
      </c>
      <c r="F3068" s="52" t="s">
        <v>13104</v>
      </c>
      <c r="G3068" s="4" t="s">
        <v>27</v>
      </c>
      <c r="H3068" s="4" t="s">
        <v>1987</v>
      </c>
      <c r="K3068" s="4" t="s">
        <v>13105</v>
      </c>
      <c r="L3068" s="4"/>
    </row>
    <row r="3069">
      <c r="A3069" s="55" t="s">
        <v>13106</v>
      </c>
      <c r="B3069" s="52" t="s">
        <v>6057</v>
      </c>
      <c r="C3069" s="76">
        <v>46029.333333333336</v>
      </c>
      <c r="D3069" s="7" t="s">
        <v>2148</v>
      </c>
      <c r="E3069" s="76">
        <v>46029.625</v>
      </c>
      <c r="F3069" s="52" t="s">
        <v>13107</v>
      </c>
      <c r="G3069" s="4" t="s">
        <v>27</v>
      </c>
      <c r="H3069" s="4" t="s">
        <v>1987</v>
      </c>
      <c r="K3069" s="4"/>
      <c r="L3069" s="4" t="s">
        <v>13108</v>
      </c>
    </row>
    <row r="3070">
      <c r="A3070" s="55" t="s">
        <v>13109</v>
      </c>
      <c r="B3070" s="52" t="s">
        <v>5656</v>
      </c>
      <c r="C3070" s="76">
        <v>46030.614583333336</v>
      </c>
      <c r="D3070" s="7" t="s">
        <v>6052</v>
      </c>
      <c r="E3070" s="76">
        <v>46030.65625</v>
      </c>
      <c r="F3070" s="52" t="s">
        <v>7424</v>
      </c>
      <c r="G3070" s="4" t="s">
        <v>27</v>
      </c>
      <c r="H3070" s="4" t="s">
        <v>1987</v>
      </c>
      <c r="K3070" s="4"/>
      <c r="L3070" s="4" t="s">
        <v>13110</v>
      </c>
    </row>
    <row r="3071">
      <c r="A3071" s="55" t="s">
        <v>13111</v>
      </c>
      <c r="B3071" s="52" t="s">
        <v>6057</v>
      </c>
      <c r="C3071" s="76">
        <v>46031.395833333336</v>
      </c>
      <c r="D3071" s="7" t="s">
        <v>6052</v>
      </c>
      <c r="E3071" s="76">
        <v>46031.75</v>
      </c>
      <c r="F3071" s="52" t="s">
        <v>13112</v>
      </c>
      <c r="G3071" s="4" t="s">
        <v>27</v>
      </c>
      <c r="H3071" s="4" t="s">
        <v>1987</v>
      </c>
      <c r="K3071" s="4" t="s">
        <v>13113</v>
      </c>
      <c r="L3071" s="4" t="s">
        <v>13114</v>
      </c>
    </row>
    <row r="3072">
      <c r="A3072" s="55" t="s">
        <v>13115</v>
      </c>
      <c r="B3072" s="52" t="s">
        <v>6057</v>
      </c>
      <c r="C3072" s="76">
        <v>46030.416666666664</v>
      </c>
      <c r="D3072" s="7" t="s">
        <v>2147</v>
      </c>
      <c r="E3072" s="76">
        <v>46030.458333333336</v>
      </c>
      <c r="F3072" s="52" t="s">
        <v>13116</v>
      </c>
      <c r="G3072" s="4" t="s">
        <v>27</v>
      </c>
      <c r="H3072" s="4" t="s">
        <v>1987</v>
      </c>
      <c r="K3072" s="4" t="s">
        <v>13117</v>
      </c>
      <c r="L3072" s="4"/>
    </row>
    <row r="3073">
      <c r="A3073" s="55"/>
      <c r="B3073" s="52"/>
      <c r="C3073" s="76"/>
      <c r="D3073" s="4"/>
      <c r="E3073" s="76"/>
      <c r="F3073" s="52"/>
      <c r="G3073" s="4"/>
      <c r="H3073" s="4"/>
      <c r="K3073" s="4"/>
      <c r="L3073" s="4"/>
    </row>
    <row r="3074">
      <c r="A3074" s="68" t="s">
        <v>13118</v>
      </c>
      <c r="B3074" s="69" t="s">
        <v>5675</v>
      </c>
      <c r="C3074" s="70">
        <v>46023.0</v>
      </c>
      <c r="D3074" s="71"/>
      <c r="E3074" s="70">
        <v>46023.125</v>
      </c>
      <c r="F3074" s="69" t="s">
        <v>10321</v>
      </c>
      <c r="G3074" s="72" t="s">
        <v>5795</v>
      </c>
      <c r="H3074" s="4"/>
      <c r="K3074" s="4"/>
      <c r="L3074" s="4"/>
    </row>
    <row r="3075">
      <c r="A3075" s="68" t="s">
        <v>13119</v>
      </c>
      <c r="B3075" s="69" t="s">
        <v>5625</v>
      </c>
      <c r="C3075" s="70">
        <v>46023.0</v>
      </c>
      <c r="D3075" s="71"/>
      <c r="E3075" s="70">
        <v>46023.166666666664</v>
      </c>
      <c r="F3075" s="69" t="s">
        <v>10321</v>
      </c>
      <c r="G3075" s="72" t="s">
        <v>5795</v>
      </c>
      <c r="H3075" s="4"/>
      <c r="K3075" s="4"/>
      <c r="L3075" s="4"/>
    </row>
    <row r="3076">
      <c r="A3076" s="68" t="s">
        <v>13120</v>
      </c>
      <c r="B3076" s="69" t="s">
        <v>5790</v>
      </c>
      <c r="C3076" s="70">
        <v>46023.0</v>
      </c>
      <c r="D3076" s="71"/>
      <c r="E3076" s="70">
        <v>46023.291666666664</v>
      </c>
      <c r="F3076" s="69" t="s">
        <v>10321</v>
      </c>
      <c r="G3076" s="72" t="s">
        <v>5795</v>
      </c>
      <c r="H3076" s="4"/>
      <c r="K3076" s="4"/>
      <c r="L3076" s="4"/>
    </row>
    <row r="3077">
      <c r="A3077" s="68" t="s">
        <v>13121</v>
      </c>
      <c r="B3077" s="69" t="s">
        <v>5656</v>
      </c>
      <c r="C3077" s="75">
        <v>46023.0</v>
      </c>
      <c r="D3077" s="74"/>
      <c r="E3077" s="75">
        <v>46023.5</v>
      </c>
      <c r="F3077" s="69" t="s">
        <v>10321</v>
      </c>
      <c r="G3077" s="72" t="s">
        <v>5795</v>
      </c>
      <c r="H3077" s="4"/>
      <c r="K3077" s="4"/>
      <c r="L3077" s="4"/>
    </row>
    <row r="3078">
      <c r="A3078" s="68" t="s">
        <v>13122</v>
      </c>
      <c r="B3078" s="69" t="s">
        <v>1540</v>
      </c>
      <c r="C3078" s="75">
        <v>46023.0</v>
      </c>
      <c r="D3078" s="74"/>
      <c r="E3078" s="75">
        <v>46023.041666666664</v>
      </c>
      <c r="F3078" s="69" t="s">
        <v>10321</v>
      </c>
      <c r="G3078" s="72" t="s">
        <v>5795</v>
      </c>
      <c r="H3078" s="4"/>
      <c r="K3078" s="4"/>
      <c r="L3078" s="4"/>
    </row>
    <row r="3079">
      <c r="A3079" s="68" t="s">
        <v>13123</v>
      </c>
      <c r="B3079" s="69" t="s">
        <v>5729</v>
      </c>
      <c r="C3079" s="75">
        <v>46023.0</v>
      </c>
      <c r="D3079" s="74"/>
      <c r="E3079" s="75">
        <v>46023.083333333336</v>
      </c>
      <c r="F3079" s="69" t="s">
        <v>10321</v>
      </c>
      <c r="G3079" s="72" t="s">
        <v>5795</v>
      </c>
      <c r="H3079" s="4"/>
      <c r="K3079" s="4"/>
      <c r="L3079" s="4"/>
    </row>
    <row r="3080">
      <c r="A3080" s="68" t="s">
        <v>13124</v>
      </c>
      <c r="B3080" s="69" t="s">
        <v>1611</v>
      </c>
      <c r="C3080" s="75">
        <v>46023.0</v>
      </c>
      <c r="D3080" s="74"/>
      <c r="E3080" s="75">
        <v>46023.333333333336</v>
      </c>
      <c r="F3080" s="69" t="s">
        <v>10321</v>
      </c>
      <c r="G3080" s="72" t="s">
        <v>5795</v>
      </c>
      <c r="H3080" s="4"/>
      <c r="K3080" s="4"/>
      <c r="L3080" s="4"/>
    </row>
    <row r="3081">
      <c r="A3081" s="55" t="s">
        <v>13125</v>
      </c>
      <c r="B3081" s="52" t="s">
        <v>5625</v>
      </c>
      <c r="C3081" s="76">
        <v>46028.5625</v>
      </c>
      <c r="D3081" s="7" t="s">
        <v>2154</v>
      </c>
      <c r="E3081" s="76">
        <v>46028.604166666664</v>
      </c>
      <c r="F3081" s="52" t="s">
        <v>13126</v>
      </c>
      <c r="G3081" s="4" t="s">
        <v>135</v>
      </c>
      <c r="H3081" s="4" t="s">
        <v>1987</v>
      </c>
      <c r="K3081" s="4" t="s">
        <v>13127</v>
      </c>
      <c r="L3081" s="4" t="s">
        <v>13128</v>
      </c>
    </row>
    <row r="3082">
      <c r="A3082" s="55" t="s">
        <v>13129</v>
      </c>
      <c r="B3082" s="52" t="s">
        <v>5790</v>
      </c>
      <c r="C3082" s="76">
        <v>46029.5625</v>
      </c>
      <c r="D3082" s="7" t="s">
        <v>6052</v>
      </c>
      <c r="E3082" s="76">
        <v>46029.770833333336</v>
      </c>
      <c r="F3082" s="52" t="s">
        <v>13130</v>
      </c>
      <c r="G3082" s="4" t="s">
        <v>135</v>
      </c>
      <c r="H3082" s="4" t="s">
        <v>1987</v>
      </c>
      <c r="K3082" s="4" t="s">
        <v>13131</v>
      </c>
      <c r="L3082" s="4" t="s">
        <v>13132</v>
      </c>
    </row>
    <row r="3083">
      <c r="A3083" s="55"/>
      <c r="B3083" s="52"/>
      <c r="C3083" s="76"/>
      <c r="D3083" s="4"/>
      <c r="E3083" s="76"/>
      <c r="F3083" s="52"/>
      <c r="G3083" s="4"/>
      <c r="H3083" s="4"/>
      <c r="K3083" s="4"/>
      <c r="L3083" s="4"/>
    </row>
    <row r="3084">
      <c r="A3084" s="55" t="s">
        <v>13133</v>
      </c>
      <c r="B3084" s="52" t="s">
        <v>5578</v>
      </c>
      <c r="C3084" s="76">
        <v>46031.5625</v>
      </c>
      <c r="D3084" s="7" t="s">
        <v>6052</v>
      </c>
      <c r="E3084" s="76">
        <v>46031.604166666664</v>
      </c>
      <c r="F3084" s="52" t="s">
        <v>13134</v>
      </c>
      <c r="G3084" s="4" t="s">
        <v>135</v>
      </c>
      <c r="H3084" s="4" t="s">
        <v>1987</v>
      </c>
      <c r="K3084" s="4" t="s">
        <v>13135</v>
      </c>
      <c r="L3084" s="4" t="s">
        <v>13136</v>
      </c>
    </row>
    <row r="3085">
      <c r="A3085" s="55"/>
      <c r="B3085" s="52"/>
      <c r="C3085" s="76"/>
      <c r="D3085" s="4"/>
      <c r="E3085" s="76"/>
      <c r="F3085" s="52"/>
      <c r="G3085" s="4"/>
      <c r="H3085" s="4"/>
      <c r="K3085" s="4"/>
      <c r="L3085" s="4"/>
    </row>
    <row r="3086">
      <c r="A3086" s="55" t="s">
        <v>13137</v>
      </c>
      <c r="B3086" s="52" t="s">
        <v>1611</v>
      </c>
      <c r="C3086" s="76">
        <v>46029.625</v>
      </c>
      <c r="D3086" s="7" t="s">
        <v>2147</v>
      </c>
      <c r="E3086" s="76">
        <v>46029.680555555555</v>
      </c>
      <c r="F3086" s="52" t="s">
        <v>10918</v>
      </c>
      <c r="G3086" s="4" t="s">
        <v>27</v>
      </c>
      <c r="H3086" s="4" t="s">
        <v>1991</v>
      </c>
      <c r="K3086" s="4" t="s">
        <v>13138</v>
      </c>
      <c r="L3086" s="4" t="s">
        <v>13139</v>
      </c>
    </row>
    <row r="3087">
      <c r="A3087" s="55" t="s">
        <v>13140</v>
      </c>
      <c r="B3087" s="52" t="s">
        <v>5678</v>
      </c>
      <c r="C3087" s="76">
        <v>46028.604166666664</v>
      </c>
      <c r="D3087" s="7" t="s">
        <v>6318</v>
      </c>
      <c r="E3087" s="76">
        <v>46028.625</v>
      </c>
      <c r="F3087" s="52" t="s">
        <v>13141</v>
      </c>
      <c r="G3087" s="4" t="s">
        <v>135</v>
      </c>
      <c r="H3087" s="4" t="s">
        <v>1987</v>
      </c>
      <c r="K3087" s="4" t="s">
        <v>13142</v>
      </c>
      <c r="L3087" s="4"/>
    </row>
    <row r="3088">
      <c r="A3088" s="55" t="s">
        <v>13143</v>
      </c>
      <c r="B3088" s="52" t="s">
        <v>5675</v>
      </c>
      <c r="C3088" s="76">
        <v>46028.604166666664</v>
      </c>
      <c r="D3088" s="7" t="s">
        <v>2147</v>
      </c>
      <c r="E3088" s="76">
        <v>46028.645833333336</v>
      </c>
      <c r="F3088" s="52" t="s">
        <v>13144</v>
      </c>
      <c r="G3088" s="4" t="s">
        <v>110</v>
      </c>
      <c r="H3088" s="4" t="s">
        <v>1987</v>
      </c>
      <c r="K3088" s="4" t="s">
        <v>13145</v>
      </c>
      <c r="L3088" s="4"/>
    </row>
    <row r="3089">
      <c r="A3089" s="55" t="s">
        <v>13146</v>
      </c>
      <c r="B3089" s="52" t="s">
        <v>5790</v>
      </c>
      <c r="C3089" s="76">
        <v>46028.625</v>
      </c>
      <c r="D3089" s="7" t="s">
        <v>6052</v>
      </c>
      <c r="E3089" s="76">
        <v>46028.697916666664</v>
      </c>
      <c r="F3089" s="52" t="s">
        <v>13147</v>
      </c>
      <c r="G3089" s="4" t="s">
        <v>135</v>
      </c>
      <c r="H3089" s="4" t="s">
        <v>1991</v>
      </c>
      <c r="K3089" s="4" t="s">
        <v>13148</v>
      </c>
      <c r="L3089" s="4" t="s">
        <v>13149</v>
      </c>
    </row>
    <row r="3090">
      <c r="A3090" s="55" t="s">
        <v>13150</v>
      </c>
      <c r="B3090" s="52" t="s">
        <v>5795</v>
      </c>
      <c r="C3090" s="76">
        <v>46029.68263888889</v>
      </c>
      <c r="D3090" s="7" t="s">
        <v>2147</v>
      </c>
      <c r="E3090" s="76">
        <v>46029.75</v>
      </c>
      <c r="F3090" s="52" t="s">
        <v>13151</v>
      </c>
      <c r="G3090" s="4" t="s">
        <v>27</v>
      </c>
      <c r="H3090" s="4" t="s">
        <v>1987</v>
      </c>
      <c r="K3090" s="4" t="s">
        <v>13152</v>
      </c>
      <c r="L3090" s="4" t="s">
        <v>13153</v>
      </c>
    </row>
    <row r="3091">
      <c r="A3091" s="55" t="s">
        <v>13154</v>
      </c>
      <c r="B3091" s="52" t="s">
        <v>5790</v>
      </c>
      <c r="C3091" s="76">
        <v>46032.520833333336</v>
      </c>
      <c r="D3091" s="7" t="s">
        <v>6052</v>
      </c>
      <c r="E3091" s="76">
        <v>46032.541666666664</v>
      </c>
      <c r="F3091" s="52" t="s">
        <v>5377</v>
      </c>
      <c r="G3091" s="4" t="s">
        <v>135</v>
      </c>
      <c r="H3091" s="4" t="s">
        <v>1987</v>
      </c>
      <c r="K3091" s="4" t="s">
        <v>13155</v>
      </c>
      <c r="L3091" s="4" t="s">
        <v>13156</v>
      </c>
    </row>
    <row r="3092">
      <c r="A3092" s="55" t="s">
        <v>13157</v>
      </c>
      <c r="B3092" s="52" t="s">
        <v>5684</v>
      </c>
      <c r="C3092" s="76">
        <v>46030.5625</v>
      </c>
      <c r="D3092" s="7" t="s">
        <v>2154</v>
      </c>
      <c r="E3092" s="76">
        <v>46030.8125</v>
      </c>
      <c r="F3092" s="52" t="s">
        <v>13158</v>
      </c>
      <c r="G3092" s="4" t="s">
        <v>135</v>
      </c>
      <c r="H3092" s="4" t="s">
        <v>1987</v>
      </c>
      <c r="K3092" s="4" t="s">
        <v>13159</v>
      </c>
      <c r="L3092" s="4" t="s">
        <v>13160</v>
      </c>
    </row>
    <row r="3093">
      <c r="A3093" s="55" t="s">
        <v>13161</v>
      </c>
      <c r="B3093" s="52" t="s">
        <v>5795</v>
      </c>
      <c r="C3093" s="76">
        <v>46030.5</v>
      </c>
      <c r="D3093" s="7" t="s">
        <v>2147</v>
      </c>
      <c r="E3093" s="76">
        <v>46030.614583333336</v>
      </c>
      <c r="F3093" s="52" t="s">
        <v>13162</v>
      </c>
      <c r="G3093" s="4" t="s">
        <v>27</v>
      </c>
      <c r="H3093" s="4" t="s">
        <v>1987</v>
      </c>
      <c r="K3093" s="4" t="s">
        <v>13163</v>
      </c>
      <c r="L3093" s="4" t="s">
        <v>13164</v>
      </c>
    </row>
    <row r="3094">
      <c r="A3094" s="55" t="s">
        <v>13165</v>
      </c>
      <c r="B3094" s="52" t="s">
        <v>1611</v>
      </c>
      <c r="C3094" s="76">
        <v>46030.375</v>
      </c>
      <c r="D3094" s="7" t="s">
        <v>2147</v>
      </c>
      <c r="E3094" s="76">
        <v>46030.416666666664</v>
      </c>
      <c r="F3094" s="52" t="s">
        <v>10818</v>
      </c>
      <c r="G3094" s="4" t="s">
        <v>27</v>
      </c>
      <c r="H3094" s="4" t="s">
        <v>1987</v>
      </c>
      <c r="K3094" s="4" t="s">
        <v>13166</v>
      </c>
      <c r="L3094" s="4"/>
    </row>
    <row r="3095">
      <c r="A3095" s="55" t="s">
        <v>13167</v>
      </c>
      <c r="B3095" s="52" t="s">
        <v>5675</v>
      </c>
      <c r="C3095" s="76">
        <v>46030.65625</v>
      </c>
      <c r="D3095" s="7" t="s">
        <v>2147</v>
      </c>
      <c r="E3095" s="76">
        <v>46030.864583333336</v>
      </c>
      <c r="F3095" s="52" t="s">
        <v>13168</v>
      </c>
      <c r="G3095" s="4" t="s">
        <v>27</v>
      </c>
      <c r="H3095" s="4" t="s">
        <v>1987</v>
      </c>
      <c r="K3095" s="4" t="s">
        <v>13169</v>
      </c>
      <c r="L3095" s="4" t="s">
        <v>13170</v>
      </c>
    </row>
    <row r="3096">
      <c r="A3096" s="55" t="s">
        <v>13171</v>
      </c>
      <c r="B3096" s="52" t="s">
        <v>5678</v>
      </c>
      <c r="C3096" s="76">
        <v>46031.729166666664</v>
      </c>
      <c r="D3096" s="7" t="s">
        <v>2154</v>
      </c>
      <c r="E3096" s="76">
        <v>46031.770833333336</v>
      </c>
      <c r="F3096" s="52" t="s">
        <v>13172</v>
      </c>
      <c r="G3096" s="4" t="s">
        <v>135</v>
      </c>
      <c r="H3096" s="4" t="s">
        <v>1991</v>
      </c>
      <c r="K3096" s="4" t="s">
        <v>13173</v>
      </c>
      <c r="L3096" s="4" t="s">
        <v>13174</v>
      </c>
    </row>
    <row r="3097">
      <c r="A3097" s="55" t="s">
        <v>13175</v>
      </c>
      <c r="B3097" s="52" t="s">
        <v>5678</v>
      </c>
      <c r="C3097" s="76">
        <v>46032.333333333336</v>
      </c>
      <c r="D3097" s="7" t="s">
        <v>2154</v>
      </c>
      <c r="E3097" s="76">
        <v>46032.520833333336</v>
      </c>
      <c r="F3097" s="52" t="s">
        <v>13176</v>
      </c>
      <c r="G3097" s="4" t="s">
        <v>135</v>
      </c>
      <c r="H3097" s="4" t="s">
        <v>1987</v>
      </c>
      <c r="K3097" s="4" t="s">
        <v>13177</v>
      </c>
      <c r="L3097" s="4" t="s">
        <v>13178</v>
      </c>
    </row>
    <row r="3098">
      <c r="A3098" s="55" t="s">
        <v>13179</v>
      </c>
      <c r="B3098" s="52" t="s">
        <v>1617</v>
      </c>
      <c r="C3098" s="76">
        <v>46031.604166666664</v>
      </c>
      <c r="D3098" s="7" t="s">
        <v>2147</v>
      </c>
      <c r="E3098" s="76">
        <v>46031.645833333336</v>
      </c>
      <c r="F3098" s="52" t="s">
        <v>13180</v>
      </c>
      <c r="G3098" s="4" t="s">
        <v>135</v>
      </c>
      <c r="H3098" s="4" t="s">
        <v>1987</v>
      </c>
      <c r="K3098" s="4" t="s">
        <v>13181</v>
      </c>
      <c r="L3098" s="4"/>
    </row>
    <row r="3099">
      <c r="A3099" s="55" t="s">
        <v>13182</v>
      </c>
      <c r="B3099" s="52" t="s">
        <v>5578</v>
      </c>
      <c r="C3099" s="76">
        <v>46031.645833333336</v>
      </c>
      <c r="D3099" s="7" t="s">
        <v>2154</v>
      </c>
      <c r="E3099" s="76">
        <v>46031.729166666664</v>
      </c>
      <c r="F3099" s="52" t="s">
        <v>13134</v>
      </c>
      <c r="G3099" s="4" t="s">
        <v>135</v>
      </c>
      <c r="H3099" s="4" t="s">
        <v>1987</v>
      </c>
      <c r="K3099" s="4" t="s">
        <v>13183</v>
      </c>
      <c r="L3099" s="4" t="s">
        <v>13184</v>
      </c>
    </row>
    <row r="3100">
      <c r="A3100" s="55" t="s">
        <v>13185</v>
      </c>
      <c r="B3100" s="52" t="s">
        <v>6069</v>
      </c>
      <c r="C3100" s="76">
        <v>46034.458333333336</v>
      </c>
      <c r="D3100" s="7" t="s">
        <v>2147</v>
      </c>
      <c r="E3100" s="76">
        <v>46034.5</v>
      </c>
      <c r="F3100" s="52" t="s">
        <v>13186</v>
      </c>
      <c r="G3100" s="4" t="s">
        <v>135</v>
      </c>
      <c r="H3100" s="4" t="s">
        <v>1987</v>
      </c>
      <c r="K3100" s="4" t="s">
        <v>13187</v>
      </c>
      <c r="L3100" s="4"/>
    </row>
    <row r="3101">
      <c r="A3101" s="55" t="s">
        <v>13188</v>
      </c>
      <c r="B3101" s="52" t="s">
        <v>6069</v>
      </c>
      <c r="C3101" s="76">
        <v>46035.458333333336</v>
      </c>
      <c r="D3101" s="7" t="s">
        <v>2147</v>
      </c>
      <c r="E3101" s="76">
        <v>46035.5</v>
      </c>
      <c r="F3101" s="52" t="s">
        <v>13186</v>
      </c>
      <c r="G3101" s="4" t="s">
        <v>135</v>
      </c>
      <c r="H3101" s="4" t="s">
        <v>1987</v>
      </c>
      <c r="K3101" s="4" t="s">
        <v>13189</v>
      </c>
      <c r="L3101" s="4"/>
    </row>
    <row r="3102">
      <c r="A3102" s="55" t="s">
        <v>13190</v>
      </c>
      <c r="B3102" s="52" t="s">
        <v>6069</v>
      </c>
      <c r="C3102" s="76">
        <v>46036.458333333336</v>
      </c>
      <c r="D3102" s="7" t="s">
        <v>2147</v>
      </c>
      <c r="E3102" s="76">
        <v>46036.5</v>
      </c>
      <c r="F3102" s="52" t="s">
        <v>13186</v>
      </c>
      <c r="G3102" s="4" t="s">
        <v>135</v>
      </c>
      <c r="H3102" s="4" t="s">
        <v>1987</v>
      </c>
      <c r="K3102" s="4" t="s">
        <v>13191</v>
      </c>
      <c r="L3102" s="4"/>
    </row>
    <row r="3103">
      <c r="A3103" s="55" t="s">
        <v>13192</v>
      </c>
      <c r="B3103" s="52" t="s">
        <v>6069</v>
      </c>
      <c r="C3103" s="76">
        <v>46037.458333333336</v>
      </c>
      <c r="D3103" s="7" t="s">
        <v>2147</v>
      </c>
      <c r="E3103" s="76">
        <v>46037.5</v>
      </c>
      <c r="F3103" s="52" t="s">
        <v>13186</v>
      </c>
      <c r="G3103" s="4" t="s">
        <v>135</v>
      </c>
      <c r="H3103" s="4" t="s">
        <v>1987</v>
      </c>
      <c r="K3103" s="4" t="s">
        <v>13193</v>
      </c>
      <c r="L3103" s="4"/>
    </row>
    <row r="3104">
      <c r="A3104" s="55" t="s">
        <v>13194</v>
      </c>
      <c r="B3104" s="52" t="s">
        <v>6069</v>
      </c>
      <c r="C3104" s="76">
        <v>46038.458333333336</v>
      </c>
      <c r="D3104" s="7" t="s">
        <v>2147</v>
      </c>
      <c r="E3104" s="76">
        <v>46038.5</v>
      </c>
      <c r="F3104" s="52" t="s">
        <v>13186</v>
      </c>
      <c r="G3104" s="4" t="s">
        <v>135</v>
      </c>
      <c r="H3104" s="4" t="s">
        <v>1987</v>
      </c>
      <c r="K3104" s="4" t="s">
        <v>13195</v>
      </c>
      <c r="L3104" s="4"/>
    </row>
    <row r="3105">
      <c r="A3105" s="55" t="s">
        <v>13196</v>
      </c>
      <c r="B3105" s="52" t="s">
        <v>5625</v>
      </c>
      <c r="C3105" s="76">
        <v>46034.333333333336</v>
      </c>
      <c r="D3105" s="7" t="s">
        <v>2154</v>
      </c>
      <c r="E3105" s="76">
        <v>46034.395833333336</v>
      </c>
      <c r="F3105" s="52" t="s">
        <v>13197</v>
      </c>
      <c r="G3105" s="4" t="s">
        <v>27</v>
      </c>
      <c r="H3105" s="4" t="s">
        <v>1987</v>
      </c>
      <c r="K3105" s="4" t="s">
        <v>13198</v>
      </c>
      <c r="L3105" s="4" t="s">
        <v>13199</v>
      </c>
    </row>
    <row r="3106">
      <c r="A3106" s="55" t="s">
        <v>13200</v>
      </c>
      <c r="B3106" s="52" t="s">
        <v>5795</v>
      </c>
      <c r="C3106" s="76">
        <v>46034.395833333336</v>
      </c>
      <c r="D3106" s="7" t="s">
        <v>2147</v>
      </c>
      <c r="E3106" s="76">
        <v>46034.458333333336</v>
      </c>
      <c r="F3106" s="52" t="s">
        <v>13201</v>
      </c>
      <c r="G3106" s="4" t="s">
        <v>27</v>
      </c>
      <c r="H3106" s="4" t="s">
        <v>1987</v>
      </c>
      <c r="K3106" s="4" t="s">
        <v>13202</v>
      </c>
      <c r="L3106" s="4"/>
    </row>
    <row r="3107">
      <c r="A3107" s="55" t="s">
        <v>13203</v>
      </c>
      <c r="B3107" s="52" t="s">
        <v>5625</v>
      </c>
      <c r="C3107" s="76">
        <v>46041.583333333336</v>
      </c>
      <c r="D3107" s="7" t="s">
        <v>2147</v>
      </c>
      <c r="E3107" s="76">
        <v>46041.625</v>
      </c>
      <c r="F3107" s="52" t="s">
        <v>13204</v>
      </c>
      <c r="G3107" s="4" t="s">
        <v>27</v>
      </c>
      <c r="H3107" s="4" t="s">
        <v>1991</v>
      </c>
      <c r="K3107" s="4" t="s">
        <v>13205</v>
      </c>
      <c r="L3107" s="4"/>
    </row>
    <row r="3108">
      <c r="A3108" s="55" t="s">
        <v>13206</v>
      </c>
      <c r="B3108" s="52" t="s">
        <v>6057</v>
      </c>
      <c r="C3108" s="76">
        <v>46034.458333333336</v>
      </c>
      <c r="D3108" s="7" t="s">
        <v>6052</v>
      </c>
      <c r="E3108" s="76">
        <v>46034.75</v>
      </c>
      <c r="F3108" s="52" t="s">
        <v>13207</v>
      </c>
      <c r="G3108" s="4" t="s">
        <v>27</v>
      </c>
      <c r="H3108" s="4" t="s">
        <v>1987</v>
      </c>
      <c r="K3108" s="4" t="s">
        <v>13208</v>
      </c>
      <c r="L3108" s="4"/>
    </row>
    <row r="3109">
      <c r="A3109" s="55" t="s">
        <v>13209</v>
      </c>
      <c r="B3109" s="52" t="s">
        <v>5729</v>
      </c>
      <c r="C3109" s="76">
        <v>46042.555555555555</v>
      </c>
      <c r="D3109" s="7" t="s">
        <v>2147</v>
      </c>
      <c r="E3109" s="76">
        <v>46042.645833333336</v>
      </c>
      <c r="F3109" s="52" t="s">
        <v>13210</v>
      </c>
      <c r="G3109" s="4" t="s">
        <v>27</v>
      </c>
      <c r="H3109" s="4" t="s">
        <v>1991</v>
      </c>
      <c r="K3109" s="4" t="s">
        <v>13211</v>
      </c>
      <c r="L3109" s="4" t="s">
        <v>13212</v>
      </c>
    </row>
    <row r="3110">
      <c r="A3110" s="55" t="s">
        <v>13213</v>
      </c>
      <c r="B3110" s="52" t="s">
        <v>5656</v>
      </c>
      <c r="C3110" s="76">
        <v>46037.520833333336</v>
      </c>
      <c r="D3110" s="7" t="s">
        <v>6052</v>
      </c>
      <c r="E3110" s="76">
        <v>46037.604166666664</v>
      </c>
      <c r="F3110" s="52" t="s">
        <v>7400</v>
      </c>
      <c r="G3110" s="4" t="s">
        <v>27</v>
      </c>
      <c r="H3110" s="4" t="s">
        <v>1987</v>
      </c>
      <c r="K3110" s="4" t="s">
        <v>13214</v>
      </c>
      <c r="L3110" s="4" t="s">
        <v>13215</v>
      </c>
    </row>
    <row r="3111">
      <c r="A3111" s="55" t="s">
        <v>13216</v>
      </c>
      <c r="B3111" s="52" t="s">
        <v>5647</v>
      </c>
      <c r="C3111" s="76">
        <v>46038.458333333336</v>
      </c>
      <c r="D3111" s="7" t="s">
        <v>2148</v>
      </c>
      <c r="E3111" s="76">
        <v>46038.5</v>
      </c>
      <c r="F3111" s="52" t="s">
        <v>13217</v>
      </c>
      <c r="G3111" s="4" t="s">
        <v>27</v>
      </c>
      <c r="H3111" s="4" t="s">
        <v>1987</v>
      </c>
      <c r="K3111" s="4" t="s">
        <v>13218</v>
      </c>
      <c r="L3111" s="4" t="s">
        <v>13219</v>
      </c>
    </row>
    <row r="3112">
      <c r="A3112" s="55" t="s">
        <v>13220</v>
      </c>
      <c r="B3112" s="52" t="s">
        <v>1611</v>
      </c>
      <c r="C3112" s="76">
        <v>46035.40625</v>
      </c>
      <c r="D3112" s="7" t="s">
        <v>2148</v>
      </c>
      <c r="E3112" s="76">
        <v>46035.447916666664</v>
      </c>
      <c r="F3112" s="52" t="s">
        <v>13221</v>
      </c>
      <c r="G3112" s="4" t="s">
        <v>27</v>
      </c>
      <c r="H3112" s="4" t="s">
        <v>1987</v>
      </c>
      <c r="K3112" s="4"/>
      <c r="L3112" s="4" t="s">
        <v>13222</v>
      </c>
    </row>
    <row r="3113">
      <c r="A3113" s="55" t="s">
        <v>13223</v>
      </c>
      <c r="B3113" s="52" t="s">
        <v>5656</v>
      </c>
      <c r="C3113" s="76">
        <v>46035.541666666664</v>
      </c>
      <c r="D3113" s="7" t="s">
        <v>2147</v>
      </c>
      <c r="E3113" s="76">
        <v>46035.583333333336</v>
      </c>
      <c r="F3113" s="52" t="s">
        <v>13224</v>
      </c>
      <c r="G3113" s="4" t="s">
        <v>27</v>
      </c>
      <c r="H3113" s="4" t="s">
        <v>1987</v>
      </c>
      <c r="K3113" s="4"/>
      <c r="L3113" s="4" t="s">
        <v>13225</v>
      </c>
    </row>
    <row r="3114">
      <c r="A3114" s="55" t="s">
        <v>13226</v>
      </c>
      <c r="B3114" s="52" t="s">
        <v>6057</v>
      </c>
      <c r="C3114" s="76">
        <v>46035.583333333336</v>
      </c>
      <c r="D3114" s="7" t="s">
        <v>6052</v>
      </c>
      <c r="E3114" s="76">
        <v>46035.625</v>
      </c>
      <c r="F3114" s="52" t="s">
        <v>13227</v>
      </c>
      <c r="G3114" s="4" t="s">
        <v>27</v>
      </c>
      <c r="H3114" s="4" t="s">
        <v>1987</v>
      </c>
      <c r="K3114" s="4"/>
      <c r="L3114" s="4" t="s">
        <v>13228</v>
      </c>
    </row>
    <row r="3115">
      <c r="A3115" s="55"/>
      <c r="B3115" s="52"/>
      <c r="C3115" s="76"/>
      <c r="D3115" s="4"/>
      <c r="E3115" s="76"/>
      <c r="F3115" s="52"/>
      <c r="G3115" s="4"/>
      <c r="H3115" s="4"/>
      <c r="K3115" s="4"/>
      <c r="L3115" s="4"/>
    </row>
    <row r="3116">
      <c r="A3116" s="55" t="s">
        <v>13229</v>
      </c>
      <c r="B3116" s="52" t="s">
        <v>6057</v>
      </c>
      <c r="C3116" s="76">
        <v>46035.333333333336</v>
      </c>
      <c r="D3116" s="7" t="s">
        <v>2147</v>
      </c>
      <c r="E3116" s="76">
        <v>46035.40625</v>
      </c>
      <c r="F3116" s="52" t="s">
        <v>13230</v>
      </c>
      <c r="G3116" s="4" t="s">
        <v>27</v>
      </c>
      <c r="H3116" s="4" t="s">
        <v>1987</v>
      </c>
      <c r="K3116" s="4" t="s">
        <v>13231</v>
      </c>
      <c r="L3116" s="4" t="s">
        <v>13232</v>
      </c>
    </row>
    <row r="3117">
      <c r="A3117" s="55"/>
      <c r="B3117" s="52"/>
      <c r="C3117" s="76"/>
      <c r="D3117" s="4"/>
      <c r="E3117" s="76"/>
      <c r="F3117" s="52"/>
      <c r="G3117" s="4"/>
      <c r="H3117" s="4"/>
      <c r="K3117" s="4"/>
      <c r="L3117" s="4"/>
    </row>
    <row r="3118">
      <c r="A3118" s="55" t="s">
        <v>13233</v>
      </c>
      <c r="B3118" s="52" t="s">
        <v>5729</v>
      </c>
      <c r="C3118" s="76">
        <v>46036.333333333336</v>
      </c>
      <c r="D3118" s="7" t="s">
        <v>2200</v>
      </c>
      <c r="E3118" s="76">
        <v>46036.385416666664</v>
      </c>
      <c r="F3118" s="52" t="s">
        <v>13234</v>
      </c>
      <c r="G3118" s="4" t="s">
        <v>110</v>
      </c>
      <c r="H3118" s="4" t="s">
        <v>1987</v>
      </c>
      <c r="K3118" s="4" t="s">
        <v>13235</v>
      </c>
      <c r="L3118" s="4" t="s">
        <v>13236</v>
      </c>
    </row>
    <row r="3119">
      <c r="A3119" s="55" t="s">
        <v>13237</v>
      </c>
      <c r="B3119" s="52" t="s">
        <v>5729</v>
      </c>
      <c r="C3119" s="76">
        <v>46037.36111111111</v>
      </c>
      <c r="D3119" s="7" t="s">
        <v>2200</v>
      </c>
      <c r="E3119" s="76">
        <v>46037.583333333336</v>
      </c>
      <c r="F3119" s="52" t="s">
        <v>13234</v>
      </c>
      <c r="G3119" s="4" t="s">
        <v>110</v>
      </c>
      <c r="H3119" s="4" t="s">
        <v>1987</v>
      </c>
      <c r="K3119" s="4" t="s">
        <v>13238</v>
      </c>
      <c r="L3119" s="4" t="s">
        <v>13239</v>
      </c>
    </row>
    <row r="3120">
      <c r="A3120" s="55" t="s">
        <v>13240</v>
      </c>
      <c r="B3120" s="52" t="s">
        <v>5729</v>
      </c>
      <c r="C3120" s="76">
        <v>46038.333333333336</v>
      </c>
      <c r="D3120" s="7" t="s">
        <v>2200</v>
      </c>
      <c r="E3120" s="76">
        <v>46038.5</v>
      </c>
      <c r="F3120" s="52" t="s">
        <v>13234</v>
      </c>
      <c r="G3120" s="4" t="s">
        <v>110</v>
      </c>
      <c r="H3120" s="4" t="s">
        <v>1987</v>
      </c>
      <c r="K3120" s="4" t="s">
        <v>13241</v>
      </c>
      <c r="L3120" s="4" t="s">
        <v>13242</v>
      </c>
    </row>
    <row r="3121">
      <c r="A3121" s="55"/>
      <c r="B3121" s="52"/>
      <c r="C3121" s="76"/>
      <c r="D3121" s="4"/>
      <c r="E3121" s="76"/>
      <c r="F3121" s="52"/>
      <c r="G3121" s="4"/>
      <c r="H3121" s="4"/>
      <c r="K3121" s="4"/>
      <c r="L3121" s="4"/>
    </row>
    <row r="3122">
      <c r="A3122" s="55" t="s">
        <v>13243</v>
      </c>
      <c r="B3122" s="52" t="s">
        <v>5790</v>
      </c>
      <c r="C3122" s="76">
        <v>46035.50208333333</v>
      </c>
      <c r="D3122" s="7" t="s">
        <v>2147</v>
      </c>
      <c r="E3122" s="76">
        <v>46035.54375</v>
      </c>
      <c r="F3122" s="52" t="s">
        <v>13244</v>
      </c>
      <c r="G3122" s="4" t="s">
        <v>27</v>
      </c>
      <c r="H3122" s="4" t="s">
        <v>1987</v>
      </c>
      <c r="K3122" s="4" t="s">
        <v>13245</v>
      </c>
      <c r="L3122" s="4"/>
    </row>
    <row r="3123">
      <c r="A3123" s="55" t="s">
        <v>13246</v>
      </c>
      <c r="B3123" s="52" t="s">
        <v>6057</v>
      </c>
      <c r="C3123" s="76">
        <v>46035.333333333336</v>
      </c>
      <c r="D3123" s="7" t="s">
        <v>2147</v>
      </c>
      <c r="E3123" s="76">
        <v>46035.40625</v>
      </c>
      <c r="F3123" s="52" t="s">
        <v>11713</v>
      </c>
      <c r="G3123" s="4" t="s">
        <v>110</v>
      </c>
      <c r="H3123" s="4" t="s">
        <v>1987</v>
      </c>
      <c r="K3123" s="4"/>
      <c r="L3123" s="4" t="s">
        <v>13247</v>
      </c>
    </row>
    <row r="3124">
      <c r="A3124" s="55" t="s">
        <v>13248</v>
      </c>
      <c r="B3124" s="52" t="s">
        <v>1617</v>
      </c>
      <c r="C3124" s="76">
        <v>46035.40625</v>
      </c>
      <c r="D3124" s="7" t="s">
        <v>2154</v>
      </c>
      <c r="E3124" s="76">
        <v>46035.489583333336</v>
      </c>
      <c r="F3124" s="52" t="s">
        <v>13249</v>
      </c>
      <c r="G3124" s="4" t="s">
        <v>110</v>
      </c>
      <c r="H3124" s="4" t="s">
        <v>1987</v>
      </c>
      <c r="K3124" s="4"/>
      <c r="L3124" s="4" t="s">
        <v>13250</v>
      </c>
    </row>
    <row r="3125">
      <c r="A3125" s="55" t="s">
        <v>13251</v>
      </c>
      <c r="B3125" s="52" t="s">
        <v>5675</v>
      </c>
      <c r="C3125" s="76">
        <v>46035.489583333336</v>
      </c>
      <c r="D3125" s="7" t="s">
        <v>2147</v>
      </c>
      <c r="E3125" s="76">
        <v>46035.555555555555</v>
      </c>
      <c r="F3125" s="52" t="s">
        <v>13252</v>
      </c>
      <c r="G3125" s="4" t="s">
        <v>110</v>
      </c>
      <c r="H3125" s="4" t="s">
        <v>1987</v>
      </c>
      <c r="K3125" s="4" t="s">
        <v>13253</v>
      </c>
      <c r="L3125" s="4" t="s">
        <v>13254</v>
      </c>
    </row>
    <row r="3126">
      <c r="A3126" s="55" t="s">
        <v>13255</v>
      </c>
      <c r="B3126" s="52" t="s">
        <v>5675</v>
      </c>
      <c r="C3126" s="76">
        <v>46035.625</v>
      </c>
      <c r="D3126" s="7" t="s">
        <v>2147</v>
      </c>
      <c r="E3126" s="76">
        <v>46035.666666666664</v>
      </c>
      <c r="F3126" s="52" t="s">
        <v>13256</v>
      </c>
      <c r="G3126" s="4" t="s">
        <v>27</v>
      </c>
      <c r="H3126" s="4" t="s">
        <v>1987</v>
      </c>
      <c r="K3126" s="4" t="s">
        <v>13257</v>
      </c>
      <c r="L3126" s="4"/>
    </row>
    <row r="3127">
      <c r="A3127" s="55" t="s">
        <v>13258</v>
      </c>
      <c r="B3127" s="52" t="s">
        <v>6057</v>
      </c>
      <c r="C3127" s="76">
        <v>46035.666666666664</v>
      </c>
      <c r="D3127" s="7" t="s">
        <v>6052</v>
      </c>
      <c r="E3127" s="76">
        <v>46035.791666666664</v>
      </c>
      <c r="F3127" s="52" t="s">
        <v>13259</v>
      </c>
      <c r="G3127" s="4" t="s">
        <v>27</v>
      </c>
      <c r="H3127" s="4" t="s">
        <v>1987</v>
      </c>
      <c r="K3127" s="4" t="s">
        <v>13260</v>
      </c>
      <c r="L3127" s="4" t="s">
        <v>13228</v>
      </c>
    </row>
    <row r="3128">
      <c r="A3128" s="55" t="s">
        <v>13261</v>
      </c>
      <c r="B3128" s="52" t="s">
        <v>5656</v>
      </c>
      <c r="C3128" s="76">
        <v>46036.354166666664</v>
      </c>
      <c r="D3128" s="7" t="s">
        <v>6318</v>
      </c>
      <c r="E3128" s="76">
        <v>46036.375</v>
      </c>
      <c r="F3128" s="52" t="s">
        <v>13262</v>
      </c>
      <c r="G3128" s="4" t="s">
        <v>27</v>
      </c>
      <c r="H3128" s="4" t="s">
        <v>1987</v>
      </c>
      <c r="K3128" s="4" t="s">
        <v>13263</v>
      </c>
      <c r="L3128" s="4"/>
    </row>
    <row r="3129">
      <c r="A3129" s="55" t="s">
        <v>13264</v>
      </c>
      <c r="B3129" s="52" t="s">
        <v>1611</v>
      </c>
      <c r="C3129" s="76">
        <v>46036.375</v>
      </c>
      <c r="D3129" s="7" t="s">
        <v>2154</v>
      </c>
      <c r="E3129" s="76">
        <v>46036.38888888889</v>
      </c>
      <c r="F3129" s="52" t="s">
        <v>13265</v>
      </c>
      <c r="G3129" s="4" t="s">
        <v>27</v>
      </c>
      <c r="H3129" s="4" t="s">
        <v>1987</v>
      </c>
      <c r="K3129" s="4" t="s">
        <v>13266</v>
      </c>
      <c r="L3129" s="4" t="s">
        <v>13267</v>
      </c>
    </row>
    <row r="3130">
      <c r="A3130" s="55" t="s">
        <v>13268</v>
      </c>
      <c r="B3130" s="52" t="s">
        <v>5628</v>
      </c>
      <c r="C3130" s="76">
        <v>46036.395833333336</v>
      </c>
      <c r="D3130" s="7" t="s">
        <v>2147</v>
      </c>
      <c r="E3130" s="76">
        <v>46036.4375</v>
      </c>
      <c r="F3130" s="52" t="s">
        <v>13269</v>
      </c>
      <c r="G3130" s="4" t="s">
        <v>27</v>
      </c>
      <c r="H3130" s="4" t="s">
        <v>1987</v>
      </c>
      <c r="K3130" s="4"/>
      <c r="L3130" s="4" t="s">
        <v>13270</v>
      </c>
    </row>
    <row r="3131">
      <c r="A3131" s="55" t="s">
        <v>13271</v>
      </c>
      <c r="B3131" s="52" t="s">
        <v>5678</v>
      </c>
      <c r="C3131" s="76">
        <v>46035.333333333336</v>
      </c>
      <c r="D3131" s="7" t="s">
        <v>6052</v>
      </c>
      <c r="E3131" s="76">
        <v>46035.708333333336</v>
      </c>
      <c r="F3131" s="52" t="s">
        <v>13272</v>
      </c>
      <c r="G3131" s="4" t="s">
        <v>27</v>
      </c>
      <c r="H3131" s="4" t="s">
        <v>1987</v>
      </c>
      <c r="K3131" s="4" t="s">
        <v>13273</v>
      </c>
      <c r="L3131" s="4"/>
    </row>
    <row r="3132">
      <c r="A3132" s="55" t="s">
        <v>13274</v>
      </c>
      <c r="B3132" s="52" t="s">
        <v>6057</v>
      </c>
      <c r="C3132" s="76">
        <v>46036.4375</v>
      </c>
      <c r="D3132" s="7" t="s">
        <v>2200</v>
      </c>
      <c r="E3132" s="76">
        <v>46036.541666666664</v>
      </c>
      <c r="F3132" s="52" t="s">
        <v>7460</v>
      </c>
      <c r="G3132" s="4" t="s">
        <v>27</v>
      </c>
      <c r="H3132" s="4" t="s">
        <v>1987</v>
      </c>
      <c r="K3132" s="4" t="s">
        <v>13275</v>
      </c>
      <c r="L3132" s="4" t="s">
        <v>13276</v>
      </c>
    </row>
    <row r="3133">
      <c r="A3133" s="55" t="s">
        <v>13277</v>
      </c>
      <c r="B3133" s="52" t="s">
        <v>1611</v>
      </c>
      <c r="C3133" s="76">
        <v>46036.541666666664</v>
      </c>
      <c r="D3133" s="7" t="s">
        <v>2147</v>
      </c>
      <c r="E3133" s="76">
        <v>46036.625</v>
      </c>
      <c r="F3133" s="52" t="s">
        <v>13278</v>
      </c>
      <c r="G3133" s="4" t="s">
        <v>27</v>
      </c>
      <c r="H3133" s="4" t="s">
        <v>1987</v>
      </c>
      <c r="K3133" s="4" t="s">
        <v>13279</v>
      </c>
      <c r="L3133" s="4" t="s">
        <v>13280</v>
      </c>
    </row>
    <row r="3134">
      <c r="A3134" s="55" t="s">
        <v>13281</v>
      </c>
      <c r="B3134" s="52" t="s">
        <v>5628</v>
      </c>
      <c r="C3134" s="76">
        <v>46036.385416666664</v>
      </c>
      <c r="D3134" s="7" t="s">
        <v>2147</v>
      </c>
      <c r="E3134" s="76">
        <v>46036.458333333336</v>
      </c>
      <c r="F3134" s="52" t="s">
        <v>13282</v>
      </c>
      <c r="G3134" s="4" t="s">
        <v>110</v>
      </c>
      <c r="H3134" s="4" t="s">
        <v>1987</v>
      </c>
      <c r="K3134" s="4" t="s">
        <v>13283</v>
      </c>
      <c r="L3134" s="4" t="s">
        <v>13284</v>
      </c>
    </row>
    <row r="3135">
      <c r="A3135" s="55" t="s">
        <v>13285</v>
      </c>
      <c r="B3135" s="52" t="s">
        <v>5729</v>
      </c>
      <c r="C3135" s="76">
        <v>46036.458333333336</v>
      </c>
      <c r="D3135" s="7" t="s">
        <v>2200</v>
      </c>
      <c r="E3135" s="76">
        <v>46036.583333333336</v>
      </c>
      <c r="F3135" s="52" t="s">
        <v>13234</v>
      </c>
      <c r="G3135" s="4" t="s">
        <v>110</v>
      </c>
      <c r="H3135" s="4" t="s">
        <v>1987</v>
      </c>
      <c r="K3135" s="4" t="s">
        <v>13286</v>
      </c>
      <c r="L3135" s="4" t="s">
        <v>13287</v>
      </c>
    </row>
    <row r="3136">
      <c r="A3136" s="55" t="s">
        <v>13288</v>
      </c>
      <c r="B3136" s="52" t="s">
        <v>5729</v>
      </c>
      <c r="C3136" s="76">
        <v>46042.583333333336</v>
      </c>
      <c r="D3136" s="7" t="s">
        <v>2147</v>
      </c>
      <c r="E3136" s="76">
        <v>46042.645833333336</v>
      </c>
      <c r="F3136" s="52" t="s">
        <v>13289</v>
      </c>
      <c r="G3136" s="4" t="s">
        <v>110</v>
      </c>
      <c r="H3136" s="4" t="s">
        <v>1991</v>
      </c>
      <c r="K3136" s="4" t="s">
        <v>13290</v>
      </c>
      <c r="L3136" s="4"/>
    </row>
    <row r="3137">
      <c r="A3137" s="55" t="s">
        <v>13291</v>
      </c>
      <c r="B3137" s="52" t="s">
        <v>5686</v>
      </c>
      <c r="C3137" s="76">
        <v>46036.583333333336</v>
      </c>
      <c r="D3137" s="7" t="s">
        <v>2147</v>
      </c>
      <c r="E3137" s="76">
        <v>46036.59375</v>
      </c>
      <c r="F3137" s="52" t="s">
        <v>13292</v>
      </c>
      <c r="G3137" s="4" t="s">
        <v>110</v>
      </c>
      <c r="H3137" s="4" t="s">
        <v>1987</v>
      </c>
      <c r="K3137" s="4" t="s">
        <v>13293</v>
      </c>
      <c r="L3137" s="4"/>
    </row>
    <row r="3138">
      <c r="A3138" s="55" t="s">
        <v>13294</v>
      </c>
      <c r="B3138" s="52" t="s">
        <v>5656</v>
      </c>
      <c r="C3138" s="76">
        <v>46036.59375</v>
      </c>
      <c r="D3138" s="7" t="s">
        <v>2147</v>
      </c>
      <c r="E3138" s="76">
        <v>46036.604166666664</v>
      </c>
      <c r="F3138" s="52" t="s">
        <v>13295</v>
      </c>
      <c r="G3138" s="4" t="s">
        <v>110</v>
      </c>
      <c r="H3138" s="4" t="s">
        <v>1987</v>
      </c>
      <c r="K3138" s="4" t="s">
        <v>13296</v>
      </c>
      <c r="L3138" s="4"/>
    </row>
    <row r="3139">
      <c r="A3139" s="55" t="s">
        <v>13297</v>
      </c>
      <c r="B3139" s="52" t="s">
        <v>1611</v>
      </c>
      <c r="C3139" s="76">
        <v>46036.6875</v>
      </c>
      <c r="D3139" s="4"/>
      <c r="E3139" s="76">
        <v>46036.8125</v>
      </c>
      <c r="F3139" s="52" t="s">
        <v>13298</v>
      </c>
      <c r="G3139" s="4" t="s">
        <v>27</v>
      </c>
      <c r="H3139" s="4" t="s">
        <v>1987</v>
      </c>
      <c r="K3139" s="4" t="s">
        <v>13299</v>
      </c>
      <c r="L3139" s="4" t="s">
        <v>13300</v>
      </c>
    </row>
    <row r="3140">
      <c r="A3140" s="55" t="s">
        <v>13301</v>
      </c>
      <c r="B3140" s="52" t="s">
        <v>1611</v>
      </c>
      <c r="C3140" s="76">
        <v>46037.354166666664</v>
      </c>
      <c r="D3140" s="7" t="s">
        <v>2147</v>
      </c>
      <c r="E3140" s="76">
        <v>46037.4375</v>
      </c>
      <c r="F3140" s="52" t="s">
        <v>13302</v>
      </c>
      <c r="G3140" s="4" t="s">
        <v>27</v>
      </c>
      <c r="H3140" s="4" t="s">
        <v>1987</v>
      </c>
      <c r="K3140" s="4" t="s">
        <v>13303</v>
      </c>
      <c r="L3140" s="4" t="s">
        <v>13304</v>
      </c>
    </row>
    <row r="3141">
      <c r="A3141" s="55" t="s">
        <v>13305</v>
      </c>
      <c r="B3141" s="52" t="s">
        <v>5675</v>
      </c>
      <c r="C3141" s="76">
        <v>46037.333333333336</v>
      </c>
      <c r="D3141" s="7" t="s">
        <v>2147</v>
      </c>
      <c r="E3141" s="76">
        <v>46037.36111111111</v>
      </c>
      <c r="F3141" s="52" t="s">
        <v>13252</v>
      </c>
      <c r="G3141" s="4" t="s">
        <v>110</v>
      </c>
      <c r="H3141" s="4" t="s">
        <v>1987</v>
      </c>
      <c r="K3141" s="4" t="s">
        <v>13306</v>
      </c>
      <c r="L3141" s="4" t="s">
        <v>13254</v>
      </c>
    </row>
    <row r="3142">
      <c r="A3142" s="55" t="s">
        <v>13307</v>
      </c>
      <c r="B3142" s="52" t="s">
        <v>5795</v>
      </c>
      <c r="C3142" s="76">
        <v>46037.479166666664</v>
      </c>
      <c r="D3142" s="7" t="s">
        <v>6318</v>
      </c>
      <c r="E3142" s="76">
        <v>46037.5</v>
      </c>
      <c r="F3142" s="52" t="s">
        <v>13308</v>
      </c>
      <c r="G3142" s="4" t="s">
        <v>27</v>
      </c>
      <c r="H3142" s="4" t="s">
        <v>1987</v>
      </c>
      <c r="K3142" s="4" t="s">
        <v>13309</v>
      </c>
      <c r="L3142" s="4"/>
    </row>
    <row r="3143">
      <c r="A3143" s="55" t="s">
        <v>13310</v>
      </c>
      <c r="B3143" s="52" t="s">
        <v>5628</v>
      </c>
      <c r="C3143" s="76">
        <v>46038.5</v>
      </c>
      <c r="D3143" s="7" t="s">
        <v>2147</v>
      </c>
      <c r="E3143" s="76">
        <v>46038.569444444445</v>
      </c>
      <c r="F3143" s="52" t="s">
        <v>13311</v>
      </c>
      <c r="G3143" s="4" t="s">
        <v>110</v>
      </c>
      <c r="H3143" s="4" t="s">
        <v>1991</v>
      </c>
      <c r="K3143" s="4" t="s">
        <v>13312</v>
      </c>
      <c r="L3143" s="4" t="s">
        <v>13313</v>
      </c>
    </row>
    <row r="3144">
      <c r="A3144" s="55" t="s">
        <v>13314</v>
      </c>
      <c r="B3144" s="52" t="s">
        <v>5628</v>
      </c>
      <c r="C3144" s="76">
        <v>46038.5</v>
      </c>
      <c r="D3144" s="7" t="s">
        <v>2147</v>
      </c>
      <c r="E3144" s="76">
        <v>46038.5625</v>
      </c>
      <c r="F3144" s="52" t="s">
        <v>13315</v>
      </c>
      <c r="G3144" s="4" t="s">
        <v>27</v>
      </c>
      <c r="H3144" s="4" t="s">
        <v>1991</v>
      </c>
      <c r="K3144" s="4" t="s">
        <v>13316</v>
      </c>
      <c r="L3144" s="4" t="s">
        <v>13317</v>
      </c>
    </row>
    <row r="3145">
      <c r="A3145" s="55"/>
      <c r="B3145" s="52"/>
      <c r="C3145" s="76"/>
      <c r="D3145" s="4"/>
      <c r="E3145" s="76"/>
      <c r="F3145" s="52"/>
      <c r="G3145" s="4"/>
      <c r="H3145" s="4"/>
      <c r="K3145" s="4"/>
      <c r="L3145" s="4"/>
    </row>
    <row r="3146">
      <c r="A3146" s="55" t="s">
        <v>13318</v>
      </c>
      <c r="B3146" s="52" t="s">
        <v>5729</v>
      </c>
      <c r="C3146" s="76">
        <v>46041.5</v>
      </c>
      <c r="D3146" s="7" t="s">
        <v>2200</v>
      </c>
      <c r="E3146" s="76">
        <v>46041.583333333336</v>
      </c>
      <c r="F3146" s="52" t="s">
        <v>13234</v>
      </c>
      <c r="G3146" s="4" t="s">
        <v>110</v>
      </c>
      <c r="H3146" s="4" t="s">
        <v>1987</v>
      </c>
      <c r="K3146" s="4" t="s">
        <v>13319</v>
      </c>
      <c r="L3146" s="4" t="s">
        <v>13320</v>
      </c>
    </row>
    <row r="3147">
      <c r="A3147" s="55" t="s">
        <v>13321</v>
      </c>
      <c r="B3147" s="52" t="s">
        <v>5729</v>
      </c>
      <c r="C3147" s="76">
        <v>46042.333333333336</v>
      </c>
      <c r="D3147" s="7" t="s">
        <v>2200</v>
      </c>
      <c r="E3147" s="76">
        <v>46042.583333333336</v>
      </c>
      <c r="F3147" s="52" t="s">
        <v>13234</v>
      </c>
      <c r="G3147" s="4" t="s">
        <v>110</v>
      </c>
      <c r="H3147" s="4" t="s">
        <v>1987</v>
      </c>
      <c r="K3147" s="4" t="s">
        <v>13322</v>
      </c>
      <c r="L3147" s="4"/>
    </row>
    <row r="3148">
      <c r="A3148" s="55" t="s">
        <v>13323</v>
      </c>
      <c r="B3148" s="52" t="s">
        <v>1617</v>
      </c>
      <c r="C3148" s="76">
        <v>46041.333333333336</v>
      </c>
      <c r="D3148" s="7" t="s">
        <v>2200</v>
      </c>
      <c r="E3148" s="76">
        <v>46041.5</v>
      </c>
      <c r="F3148" s="52" t="s">
        <v>13324</v>
      </c>
      <c r="G3148" s="4" t="s">
        <v>110</v>
      </c>
      <c r="H3148" s="4" t="s">
        <v>1987</v>
      </c>
      <c r="K3148" s="4"/>
      <c r="L3148" s="4" t="s">
        <v>13325</v>
      </c>
    </row>
    <row r="3149">
      <c r="A3149" s="55" t="s">
        <v>13326</v>
      </c>
      <c r="B3149" s="52" t="s">
        <v>5628</v>
      </c>
      <c r="C3149" s="76">
        <v>46043.333333333336</v>
      </c>
      <c r="D3149" s="7" t="s">
        <v>6052</v>
      </c>
      <c r="E3149" s="76">
        <v>46043.583333333336</v>
      </c>
      <c r="F3149" s="52" t="s">
        <v>13327</v>
      </c>
      <c r="G3149" s="4" t="s">
        <v>110</v>
      </c>
      <c r="H3149" s="4" t="s">
        <v>1987</v>
      </c>
      <c r="K3149" s="4" t="s">
        <v>13328</v>
      </c>
      <c r="L3149" s="4"/>
    </row>
    <row r="3150">
      <c r="A3150" s="55" t="s">
        <v>13329</v>
      </c>
      <c r="B3150" s="52" t="s">
        <v>1617</v>
      </c>
      <c r="C3150" s="76">
        <v>46044.4375</v>
      </c>
      <c r="D3150" s="7" t="s">
        <v>6052</v>
      </c>
      <c r="E3150" s="76">
        <v>46044.583333333336</v>
      </c>
      <c r="F3150" s="52" t="s">
        <v>13330</v>
      </c>
      <c r="G3150" s="4" t="s">
        <v>110</v>
      </c>
      <c r="H3150" s="4" t="s">
        <v>1987</v>
      </c>
      <c r="K3150" s="4"/>
      <c r="L3150" s="4" t="s">
        <v>13331</v>
      </c>
    </row>
    <row r="3151">
      <c r="A3151" s="55" t="s">
        <v>13332</v>
      </c>
      <c r="B3151" s="52" t="s">
        <v>1617</v>
      </c>
      <c r="C3151" s="76">
        <v>46045.333333333336</v>
      </c>
      <c r="D3151" s="7" t="s">
        <v>6052</v>
      </c>
      <c r="E3151" s="76">
        <v>46045.4375</v>
      </c>
      <c r="F3151" s="52" t="s">
        <v>13330</v>
      </c>
      <c r="G3151" s="4" t="s">
        <v>110</v>
      </c>
      <c r="H3151" s="4" t="s">
        <v>1987</v>
      </c>
      <c r="K3151" s="4" t="s">
        <v>13333</v>
      </c>
      <c r="L3151" s="4" t="s">
        <v>13334</v>
      </c>
    </row>
    <row r="3152">
      <c r="A3152" s="55" t="s">
        <v>13335</v>
      </c>
      <c r="B3152" s="52" t="s">
        <v>6057</v>
      </c>
      <c r="C3152" s="76">
        <v>46038.333333333336</v>
      </c>
      <c r="D3152" s="7" t="s">
        <v>2147</v>
      </c>
      <c r="E3152" s="76">
        <v>46038.458333333336</v>
      </c>
      <c r="F3152" s="52" t="s">
        <v>6057</v>
      </c>
      <c r="G3152" s="4" t="s">
        <v>27</v>
      </c>
      <c r="H3152" s="4" t="s">
        <v>1987</v>
      </c>
      <c r="K3152" s="4" t="s">
        <v>13336</v>
      </c>
      <c r="L3152" s="4"/>
    </row>
    <row r="3153">
      <c r="A3153" s="55" t="s">
        <v>13337</v>
      </c>
      <c r="B3153" s="52" t="s">
        <v>6057</v>
      </c>
      <c r="C3153" s="76">
        <v>46038.569444444445</v>
      </c>
      <c r="D3153" s="7" t="s">
        <v>6318</v>
      </c>
      <c r="E3153" s="76">
        <v>46038.583333333336</v>
      </c>
      <c r="F3153" s="52" t="s">
        <v>13338</v>
      </c>
      <c r="G3153" s="4" t="s">
        <v>110</v>
      </c>
      <c r="H3153" s="4" t="s">
        <v>1987</v>
      </c>
      <c r="K3153" s="4"/>
      <c r="L3153" s="4" t="s">
        <v>13339</v>
      </c>
    </row>
    <row r="3154">
      <c r="A3154" s="55" t="s">
        <v>13340</v>
      </c>
      <c r="B3154" s="52" t="s">
        <v>5647</v>
      </c>
      <c r="C3154" s="76">
        <v>46038.625</v>
      </c>
      <c r="D3154" s="7" t="s">
        <v>2154</v>
      </c>
      <c r="E3154" s="76">
        <v>46038.708333333336</v>
      </c>
      <c r="F3154" s="52" t="s">
        <v>6370</v>
      </c>
      <c r="G3154" s="4" t="s">
        <v>27</v>
      </c>
      <c r="H3154" s="4" t="s">
        <v>1987</v>
      </c>
      <c r="K3154" s="4" t="s">
        <v>13341</v>
      </c>
      <c r="L3154" s="4"/>
    </row>
    <row r="3155">
      <c r="A3155" s="55" t="s">
        <v>13342</v>
      </c>
      <c r="B3155" s="52" t="s">
        <v>6057</v>
      </c>
      <c r="C3155" s="76">
        <v>46037.604166666664</v>
      </c>
      <c r="D3155" s="7" t="s">
        <v>2200</v>
      </c>
      <c r="E3155" s="76">
        <v>46037.729166666664</v>
      </c>
      <c r="F3155" s="52" t="s">
        <v>6053</v>
      </c>
      <c r="G3155" s="4" t="s">
        <v>27</v>
      </c>
      <c r="H3155" s="4" t="s">
        <v>1987</v>
      </c>
      <c r="K3155" s="4" t="s">
        <v>13343</v>
      </c>
      <c r="L3155" s="4"/>
    </row>
    <row r="3156">
      <c r="A3156" s="55" t="s">
        <v>13344</v>
      </c>
      <c r="B3156" s="52" t="s">
        <v>1617</v>
      </c>
      <c r="C3156" s="76">
        <v>46041.34375</v>
      </c>
      <c r="D3156" s="7" t="s">
        <v>2154</v>
      </c>
      <c r="E3156" s="76">
        <v>46041.510416666664</v>
      </c>
      <c r="F3156" s="52" t="s">
        <v>13345</v>
      </c>
      <c r="G3156" s="4" t="s">
        <v>27</v>
      </c>
      <c r="H3156" s="4" t="s">
        <v>1987</v>
      </c>
      <c r="K3156" s="4" t="s">
        <v>13346</v>
      </c>
      <c r="L3156" s="4" t="s">
        <v>13347</v>
      </c>
    </row>
    <row r="3157">
      <c r="A3157" s="55" t="s">
        <v>13348</v>
      </c>
      <c r="B3157" s="52" t="s">
        <v>6057</v>
      </c>
      <c r="C3157" s="76">
        <v>46041.510416666664</v>
      </c>
      <c r="D3157" s="7" t="s">
        <v>2154</v>
      </c>
      <c r="E3157" s="76">
        <v>46041.583333333336</v>
      </c>
      <c r="F3157" s="52" t="s">
        <v>7460</v>
      </c>
      <c r="G3157" s="4" t="s">
        <v>27</v>
      </c>
      <c r="H3157" s="4" t="s">
        <v>1987</v>
      </c>
      <c r="K3157" s="4" t="s">
        <v>13349</v>
      </c>
      <c r="L3157" s="4"/>
    </row>
    <row r="3158">
      <c r="A3158" s="55" t="s">
        <v>13350</v>
      </c>
      <c r="B3158" s="52" t="s">
        <v>5647</v>
      </c>
      <c r="C3158" s="76">
        <v>46041.625</v>
      </c>
      <c r="D3158" s="7" t="s">
        <v>2147</v>
      </c>
      <c r="E3158" s="76">
        <v>46041.729166666664</v>
      </c>
      <c r="F3158" s="52" t="s">
        <v>11902</v>
      </c>
      <c r="G3158" s="4" t="s">
        <v>27</v>
      </c>
      <c r="H3158" s="4" t="s">
        <v>1991</v>
      </c>
      <c r="K3158" s="4" t="s">
        <v>13351</v>
      </c>
      <c r="L3158" s="4" t="s">
        <v>13352</v>
      </c>
    </row>
    <row r="3159">
      <c r="A3159" s="55" t="s">
        <v>13353</v>
      </c>
      <c r="B3159" s="52" t="s">
        <v>5625</v>
      </c>
      <c r="C3159" s="76">
        <v>46041.5625</v>
      </c>
      <c r="D3159" s="7" t="s">
        <v>6318</v>
      </c>
      <c r="E3159" s="76">
        <v>46041.583333333336</v>
      </c>
      <c r="F3159" s="52" t="s">
        <v>13354</v>
      </c>
      <c r="G3159" s="4" t="s">
        <v>135</v>
      </c>
      <c r="H3159" s="4" t="s">
        <v>1987</v>
      </c>
      <c r="K3159" s="4" t="s">
        <v>13355</v>
      </c>
      <c r="L3159" s="4"/>
    </row>
    <row r="3160">
      <c r="A3160" s="55" t="s">
        <v>13356</v>
      </c>
      <c r="B3160" s="52" t="s">
        <v>5625</v>
      </c>
      <c r="C3160" s="76">
        <v>46041.583333333336</v>
      </c>
      <c r="D3160" s="7" t="s">
        <v>2147</v>
      </c>
      <c r="E3160" s="76">
        <v>46041.625</v>
      </c>
      <c r="F3160" s="52" t="s">
        <v>13357</v>
      </c>
      <c r="G3160" s="4" t="s">
        <v>135</v>
      </c>
      <c r="H3160" s="4" t="s">
        <v>1991</v>
      </c>
      <c r="K3160" s="4" t="s">
        <v>13358</v>
      </c>
      <c r="L3160" s="4"/>
    </row>
    <row r="3161">
      <c r="A3161" s="55" t="s">
        <v>13359</v>
      </c>
      <c r="B3161" s="52" t="s">
        <v>5625</v>
      </c>
      <c r="C3161" s="76">
        <v>46041.625</v>
      </c>
      <c r="D3161" s="7" t="s">
        <v>2147</v>
      </c>
      <c r="E3161" s="76">
        <v>46041.770833333336</v>
      </c>
      <c r="F3161" s="52" t="s">
        <v>13360</v>
      </c>
      <c r="G3161" s="4" t="s">
        <v>135</v>
      </c>
      <c r="H3161" s="4" t="s">
        <v>1987</v>
      </c>
      <c r="K3161" s="4" t="s">
        <v>13361</v>
      </c>
      <c r="L3161" s="4" t="s">
        <v>13362</v>
      </c>
    </row>
    <row r="3162">
      <c r="A3162" s="55" t="s">
        <v>13363</v>
      </c>
      <c r="B3162" s="52" t="s">
        <v>1657</v>
      </c>
      <c r="C3162" s="76">
        <v>46042.6875</v>
      </c>
      <c r="D3162" s="7" t="s">
        <v>2147</v>
      </c>
      <c r="E3162" s="76">
        <v>46042.729166666664</v>
      </c>
      <c r="F3162" s="52" t="s">
        <v>13364</v>
      </c>
      <c r="G3162" s="4" t="s">
        <v>27</v>
      </c>
      <c r="H3162" s="4" t="s">
        <v>1991</v>
      </c>
      <c r="K3162" s="4" t="s">
        <v>13365</v>
      </c>
      <c r="L3162" s="4"/>
    </row>
    <row r="3163">
      <c r="A3163" s="55" t="s">
        <v>13366</v>
      </c>
      <c r="B3163" s="52" t="s">
        <v>5625</v>
      </c>
      <c r="C3163" s="76">
        <v>46042.5625</v>
      </c>
      <c r="D3163" s="7" t="s">
        <v>6052</v>
      </c>
      <c r="E3163" s="76">
        <v>46042.729166666664</v>
      </c>
      <c r="F3163" s="52" t="s">
        <v>13367</v>
      </c>
      <c r="G3163" s="4" t="s">
        <v>135</v>
      </c>
      <c r="H3163" s="4" t="s">
        <v>1987</v>
      </c>
      <c r="K3163" s="4"/>
      <c r="L3163" s="4" t="s">
        <v>13368</v>
      </c>
    </row>
    <row r="3164">
      <c r="A3164" s="55" t="s">
        <v>13369</v>
      </c>
      <c r="B3164" s="52" t="s">
        <v>5790</v>
      </c>
      <c r="C3164" s="76">
        <v>46042.729166666664</v>
      </c>
      <c r="D3164" s="7" t="s">
        <v>2147</v>
      </c>
      <c r="E3164" s="76">
        <v>46042.770833333336</v>
      </c>
      <c r="F3164" s="52" t="s">
        <v>13370</v>
      </c>
      <c r="G3164" s="4" t="s">
        <v>135</v>
      </c>
      <c r="H3164" s="4" t="s">
        <v>1987</v>
      </c>
      <c r="K3164" s="4" t="s">
        <v>13371</v>
      </c>
      <c r="L3164" s="4"/>
    </row>
    <row r="3165">
      <c r="A3165" s="55" t="s">
        <v>13372</v>
      </c>
      <c r="B3165" s="52" t="s">
        <v>5790</v>
      </c>
      <c r="C3165" s="76">
        <v>46043.5625</v>
      </c>
      <c r="D3165" s="7" t="s">
        <v>6052</v>
      </c>
      <c r="E3165" s="76">
        <v>46043.770833333336</v>
      </c>
      <c r="F3165" s="52" t="s">
        <v>13373</v>
      </c>
      <c r="G3165" s="4" t="s">
        <v>135</v>
      </c>
      <c r="H3165" s="4" t="s">
        <v>1987</v>
      </c>
      <c r="K3165" s="4"/>
      <c r="L3165" s="4" t="s">
        <v>13374</v>
      </c>
    </row>
    <row r="3166">
      <c r="A3166" s="55" t="s">
        <v>13375</v>
      </c>
      <c r="B3166" s="52" t="s">
        <v>5790</v>
      </c>
      <c r="C3166" s="76">
        <v>46044.541666666664</v>
      </c>
      <c r="D3166" s="7" t="s">
        <v>2200</v>
      </c>
      <c r="E3166" s="76">
        <v>46044.635416666664</v>
      </c>
      <c r="F3166" s="52" t="s">
        <v>5377</v>
      </c>
      <c r="G3166" s="4" t="s">
        <v>135</v>
      </c>
      <c r="H3166" s="4" t="s">
        <v>1987</v>
      </c>
      <c r="K3166" s="4" t="s">
        <v>13376</v>
      </c>
      <c r="L3166" s="4" t="s">
        <v>13377</v>
      </c>
    </row>
    <row r="3167">
      <c r="A3167" s="55" t="s">
        <v>13378</v>
      </c>
      <c r="B3167" s="52" t="s">
        <v>5678</v>
      </c>
      <c r="C3167" s="76">
        <v>46044.635416666664</v>
      </c>
      <c r="D3167" s="7" t="s">
        <v>2154</v>
      </c>
      <c r="E3167" s="76">
        <v>46044.708333333336</v>
      </c>
      <c r="F3167" s="52" t="s">
        <v>13379</v>
      </c>
      <c r="G3167" s="4" t="s">
        <v>135</v>
      </c>
      <c r="H3167" s="4" t="s">
        <v>1991</v>
      </c>
      <c r="K3167" s="4" t="s">
        <v>13380</v>
      </c>
      <c r="L3167" s="4" t="s">
        <v>13381</v>
      </c>
    </row>
    <row r="3168">
      <c r="A3168" s="55" t="s">
        <v>13382</v>
      </c>
      <c r="B3168" s="52" t="s">
        <v>1617</v>
      </c>
      <c r="C3168" s="76">
        <v>46045.645833333336</v>
      </c>
      <c r="D3168" s="7" t="s">
        <v>2154</v>
      </c>
      <c r="E3168" s="76">
        <v>46045.770833333336</v>
      </c>
      <c r="F3168" s="52" t="s">
        <v>13383</v>
      </c>
      <c r="G3168" s="4" t="s">
        <v>135</v>
      </c>
      <c r="H3168" s="4" t="s">
        <v>1987</v>
      </c>
      <c r="K3168" s="4" t="s">
        <v>13384</v>
      </c>
      <c r="L3168" s="4" t="s">
        <v>13385</v>
      </c>
    </row>
    <row r="3169">
      <c r="A3169" s="55" t="s">
        <v>13386</v>
      </c>
      <c r="B3169" s="52" t="s">
        <v>5625</v>
      </c>
      <c r="C3169" s="76">
        <v>46041.729166666664</v>
      </c>
      <c r="D3169" s="7" t="s">
        <v>6318</v>
      </c>
      <c r="E3169" s="76">
        <v>46041.75</v>
      </c>
      <c r="F3169" s="52" t="s">
        <v>13387</v>
      </c>
      <c r="G3169" s="4" t="s">
        <v>27</v>
      </c>
      <c r="H3169" s="4" t="s">
        <v>1987</v>
      </c>
      <c r="K3169" s="4" t="s">
        <v>13388</v>
      </c>
      <c r="L3169" s="4"/>
    </row>
    <row r="3170">
      <c r="A3170" s="55" t="s">
        <v>13389</v>
      </c>
      <c r="B3170" s="52" t="s">
        <v>5647</v>
      </c>
      <c r="C3170" s="76">
        <v>46042.4375</v>
      </c>
      <c r="D3170" s="7" t="s">
        <v>2147</v>
      </c>
      <c r="E3170" s="76">
        <v>46042.510416666664</v>
      </c>
      <c r="F3170" s="52" t="s">
        <v>13390</v>
      </c>
      <c r="G3170" s="4" t="s">
        <v>27</v>
      </c>
      <c r="H3170" s="4" t="s">
        <v>1987</v>
      </c>
      <c r="K3170" s="4" t="s">
        <v>13391</v>
      </c>
      <c r="L3170" s="4" t="s">
        <v>13392</v>
      </c>
    </row>
    <row r="3171">
      <c r="A3171" s="55" t="s">
        <v>13393</v>
      </c>
      <c r="B3171" s="52" t="s">
        <v>6057</v>
      </c>
      <c r="C3171" s="76">
        <v>46042.333333333336</v>
      </c>
      <c r="D3171" s="7" t="s">
        <v>2147</v>
      </c>
      <c r="E3171" s="76">
        <v>46042.4375</v>
      </c>
      <c r="F3171" s="52" t="s">
        <v>7460</v>
      </c>
      <c r="G3171" s="4" t="s">
        <v>27</v>
      </c>
      <c r="H3171" s="4" t="s">
        <v>1987</v>
      </c>
      <c r="K3171" s="4" t="s">
        <v>13394</v>
      </c>
      <c r="L3171" s="4"/>
    </row>
    <row r="3172">
      <c r="A3172" s="55" t="s">
        <v>13395</v>
      </c>
      <c r="B3172" s="52" t="s">
        <v>6057</v>
      </c>
      <c r="C3172" s="76">
        <v>46042.510416666664</v>
      </c>
      <c r="D3172" s="7" t="s">
        <v>2147</v>
      </c>
      <c r="E3172" s="76">
        <v>46042.555555555555</v>
      </c>
      <c r="F3172" s="52" t="s">
        <v>6053</v>
      </c>
      <c r="G3172" s="4" t="s">
        <v>27</v>
      </c>
      <c r="H3172" s="4" t="s">
        <v>1987</v>
      </c>
      <c r="K3172" s="4" t="s">
        <v>13396</v>
      </c>
      <c r="L3172" s="4"/>
    </row>
    <row r="3173">
      <c r="A3173" s="55" t="s">
        <v>13397</v>
      </c>
      <c r="B3173" s="52" t="s">
        <v>5628</v>
      </c>
      <c r="C3173" s="76">
        <v>46045.4375</v>
      </c>
      <c r="D3173" s="7" t="s">
        <v>2147</v>
      </c>
      <c r="E3173" s="76">
        <v>46045.520833333336</v>
      </c>
      <c r="F3173" s="52" t="s">
        <v>13398</v>
      </c>
      <c r="G3173" s="4" t="s">
        <v>110</v>
      </c>
      <c r="H3173" s="4" t="s">
        <v>1991</v>
      </c>
      <c r="K3173" s="4" t="s">
        <v>13399</v>
      </c>
      <c r="L3173" s="4" t="s">
        <v>13400</v>
      </c>
    </row>
    <row r="3174">
      <c r="A3174" s="55" t="s">
        <v>13401</v>
      </c>
      <c r="B3174" s="52" t="s">
        <v>5803</v>
      </c>
      <c r="C3174" s="76">
        <v>46050.375</v>
      </c>
      <c r="D3174" s="7" t="s">
        <v>2147</v>
      </c>
      <c r="E3174" s="76">
        <v>46050.416666666664</v>
      </c>
      <c r="F3174" s="52" t="s">
        <v>13402</v>
      </c>
      <c r="G3174" s="4" t="s">
        <v>110</v>
      </c>
      <c r="H3174" s="4" t="s">
        <v>1991</v>
      </c>
      <c r="K3174" s="4"/>
      <c r="L3174" s="4" t="s">
        <v>13403</v>
      </c>
    </row>
    <row r="3175">
      <c r="A3175" s="55"/>
      <c r="B3175" s="52"/>
      <c r="C3175" s="76"/>
      <c r="D3175" s="4"/>
      <c r="E3175" s="76"/>
      <c r="F3175" s="52"/>
      <c r="G3175" s="4"/>
      <c r="H3175" s="4"/>
      <c r="K3175" s="4"/>
      <c r="L3175" s="4"/>
    </row>
    <row r="3176">
      <c r="A3176" s="55"/>
      <c r="B3176" s="52"/>
      <c r="C3176" s="76"/>
      <c r="D3176" s="4"/>
      <c r="E3176" s="76"/>
      <c r="F3176" s="52"/>
      <c r="G3176" s="4"/>
      <c r="H3176" s="4"/>
      <c r="K3176" s="4"/>
      <c r="L3176" s="4"/>
    </row>
    <row r="3177">
      <c r="A3177" s="55" t="s">
        <v>13404</v>
      </c>
      <c r="B3177" s="4" t="s">
        <v>5801</v>
      </c>
      <c r="C3177" s="76">
        <v>46045.520833333336</v>
      </c>
      <c r="D3177" s="4"/>
      <c r="E3177" s="76">
        <v>46045.583333333336</v>
      </c>
      <c r="F3177" s="52" t="s">
        <v>13405</v>
      </c>
      <c r="G3177" s="4" t="s">
        <v>110</v>
      </c>
      <c r="H3177" s="4" t="s">
        <v>1991</v>
      </c>
      <c r="K3177" s="4" t="s">
        <v>13406</v>
      </c>
      <c r="L3177" s="4" t="s">
        <v>13407</v>
      </c>
    </row>
    <row r="3178">
      <c r="A3178" s="55" t="s">
        <v>13408</v>
      </c>
      <c r="B3178" s="52" t="s">
        <v>6069</v>
      </c>
      <c r="C3178" s="76">
        <v>46043.333333333336</v>
      </c>
      <c r="D3178" s="7" t="s">
        <v>2147</v>
      </c>
      <c r="E3178" s="76">
        <v>46043.375</v>
      </c>
      <c r="F3178" s="52" t="s">
        <v>6069</v>
      </c>
      <c r="G3178" s="4" t="s">
        <v>27</v>
      </c>
      <c r="H3178" s="4" t="s">
        <v>1987</v>
      </c>
      <c r="K3178" s="4" t="s">
        <v>13409</v>
      </c>
      <c r="L3178" s="4"/>
    </row>
    <row r="3179">
      <c r="A3179" s="55" t="s">
        <v>13410</v>
      </c>
      <c r="B3179" s="52" t="s">
        <v>6069</v>
      </c>
      <c r="C3179" s="76">
        <v>46044.333333333336</v>
      </c>
      <c r="D3179" s="7" t="s">
        <v>2147</v>
      </c>
      <c r="E3179" s="76">
        <v>46044.375</v>
      </c>
      <c r="F3179" s="52" t="s">
        <v>6069</v>
      </c>
      <c r="G3179" s="4" t="s">
        <v>27</v>
      </c>
      <c r="H3179" s="4" t="s">
        <v>1987</v>
      </c>
      <c r="K3179" s="4" t="s">
        <v>13411</v>
      </c>
      <c r="L3179" s="4"/>
    </row>
    <row r="3180">
      <c r="A3180" s="55" t="s">
        <v>13412</v>
      </c>
      <c r="B3180" s="52" t="s">
        <v>6069</v>
      </c>
      <c r="C3180" s="76">
        <v>46045.333333333336</v>
      </c>
      <c r="D3180" s="7" t="s">
        <v>2147</v>
      </c>
      <c r="E3180" s="76">
        <v>46045.375</v>
      </c>
      <c r="F3180" s="52" t="s">
        <v>6069</v>
      </c>
      <c r="G3180" s="4" t="s">
        <v>27</v>
      </c>
      <c r="H3180" s="4" t="s">
        <v>1987</v>
      </c>
      <c r="K3180" s="4" t="s">
        <v>13413</v>
      </c>
      <c r="L3180" s="4"/>
    </row>
    <row r="3181">
      <c r="A3181" s="55" t="s">
        <v>13414</v>
      </c>
      <c r="B3181" s="52" t="s">
        <v>5628</v>
      </c>
      <c r="C3181" s="76">
        <v>46044.333333333336</v>
      </c>
      <c r="D3181" s="7" t="s">
        <v>6052</v>
      </c>
      <c r="E3181" s="76">
        <v>46044.4375</v>
      </c>
      <c r="F3181" s="52" t="s">
        <v>13415</v>
      </c>
      <c r="G3181" s="4" t="s">
        <v>110</v>
      </c>
      <c r="H3181" s="4" t="s">
        <v>1987</v>
      </c>
      <c r="K3181" s="4" t="s">
        <v>13328</v>
      </c>
      <c r="L3181" s="4" t="s">
        <v>13416</v>
      </c>
    </row>
    <row r="3182">
      <c r="A3182" s="55" t="s">
        <v>13417</v>
      </c>
      <c r="B3182" s="52" t="s">
        <v>5678</v>
      </c>
      <c r="C3182" s="76">
        <v>46045.5625</v>
      </c>
      <c r="D3182" s="7" t="s">
        <v>2147</v>
      </c>
      <c r="E3182" s="76">
        <v>46045.604166666664</v>
      </c>
      <c r="F3182" s="52" t="s">
        <v>13418</v>
      </c>
      <c r="G3182" s="4" t="s">
        <v>135</v>
      </c>
      <c r="H3182" s="4" t="s">
        <v>1987</v>
      </c>
      <c r="K3182" s="4" t="s">
        <v>13419</v>
      </c>
      <c r="L3182" s="4"/>
    </row>
    <row r="3183">
      <c r="A3183" s="55" t="s">
        <v>13420</v>
      </c>
      <c r="B3183" s="52" t="s">
        <v>5598</v>
      </c>
      <c r="C3183" s="76">
        <v>46045.604166666664</v>
      </c>
      <c r="D3183" s="7" t="s">
        <v>2147</v>
      </c>
      <c r="E3183" s="76">
        <v>46045.645833333336</v>
      </c>
      <c r="F3183" s="52" t="s">
        <v>13421</v>
      </c>
      <c r="G3183" s="4" t="s">
        <v>135</v>
      </c>
      <c r="H3183" s="4" t="s">
        <v>1987</v>
      </c>
      <c r="K3183" s="4" t="s">
        <v>13422</v>
      </c>
      <c r="L3183" s="4"/>
    </row>
    <row r="3184">
      <c r="A3184" s="55" t="s">
        <v>13423</v>
      </c>
      <c r="B3184" s="52" t="s">
        <v>1617</v>
      </c>
      <c r="C3184" s="76">
        <v>46046.333333333336</v>
      </c>
      <c r="D3184" s="7" t="s">
        <v>2154</v>
      </c>
      <c r="E3184" s="76">
        <v>46046.541666666664</v>
      </c>
      <c r="F3184" s="52" t="s">
        <v>13424</v>
      </c>
      <c r="G3184" s="4" t="s">
        <v>135</v>
      </c>
      <c r="H3184" s="4" t="s">
        <v>1987</v>
      </c>
      <c r="K3184" s="4" t="s">
        <v>13425</v>
      </c>
      <c r="L3184" s="4" t="s">
        <v>13426</v>
      </c>
    </row>
    <row r="3185">
      <c r="A3185" s="55" t="s">
        <v>13427</v>
      </c>
      <c r="B3185" s="52" t="s">
        <v>1617</v>
      </c>
      <c r="C3185" s="76">
        <v>46048.333333333336</v>
      </c>
      <c r="D3185" s="7" t="s">
        <v>6052</v>
      </c>
      <c r="E3185" s="76">
        <v>46048.552083333336</v>
      </c>
      <c r="F3185" s="52" t="s">
        <v>13428</v>
      </c>
      <c r="G3185" s="4" t="s">
        <v>110</v>
      </c>
      <c r="H3185" s="4" t="s">
        <v>1987</v>
      </c>
      <c r="K3185" s="4" t="s">
        <v>13429</v>
      </c>
      <c r="L3185" s="4" t="s">
        <v>13430</v>
      </c>
    </row>
    <row r="3186">
      <c r="A3186" s="55" t="s">
        <v>13431</v>
      </c>
      <c r="B3186" s="52" t="s">
        <v>5675</v>
      </c>
      <c r="C3186" s="76">
        <v>46048.552083333336</v>
      </c>
      <c r="D3186" s="7" t="s">
        <v>6318</v>
      </c>
      <c r="E3186" s="76">
        <v>46048.583333333336</v>
      </c>
      <c r="F3186" s="52" t="s">
        <v>11229</v>
      </c>
      <c r="G3186" s="4" t="s">
        <v>110</v>
      </c>
      <c r="H3186" s="4" t="s">
        <v>1991</v>
      </c>
      <c r="K3186" s="4" t="s">
        <v>13432</v>
      </c>
      <c r="L3186" s="4" t="s">
        <v>13433</v>
      </c>
    </row>
    <row r="3187">
      <c r="A3187" s="55" t="s">
        <v>13434</v>
      </c>
      <c r="B3187" s="52" t="s">
        <v>1617</v>
      </c>
      <c r="C3187" s="76">
        <v>46049.333333333336</v>
      </c>
      <c r="D3187" s="7" t="s">
        <v>6052</v>
      </c>
      <c r="E3187" s="76">
        <v>46049.552083333336</v>
      </c>
      <c r="F3187" s="52" t="s">
        <v>13428</v>
      </c>
      <c r="G3187" s="4" t="s">
        <v>110</v>
      </c>
      <c r="H3187" s="4" t="s">
        <v>1987</v>
      </c>
      <c r="K3187" s="4" t="s">
        <v>13435</v>
      </c>
      <c r="L3187" s="4" t="s">
        <v>13436</v>
      </c>
    </row>
    <row r="3188">
      <c r="A3188" s="55"/>
      <c r="B3188" s="52"/>
      <c r="C3188" s="76"/>
      <c r="D3188" s="4"/>
      <c r="E3188" s="76"/>
      <c r="F3188" s="52"/>
      <c r="G3188" s="4"/>
      <c r="H3188" s="4"/>
      <c r="K3188" s="4"/>
      <c r="L3188" s="4"/>
    </row>
    <row r="3189">
      <c r="A3189" s="55"/>
      <c r="B3189" s="52"/>
      <c r="C3189" s="76"/>
      <c r="D3189" s="4"/>
      <c r="E3189" s="76"/>
      <c r="F3189" s="52"/>
      <c r="G3189" s="4"/>
      <c r="H3189" s="4"/>
      <c r="K3189" s="4"/>
      <c r="L3189" s="4"/>
    </row>
    <row r="3190">
      <c r="A3190" s="55" t="s">
        <v>13437</v>
      </c>
      <c r="B3190" s="52" t="s">
        <v>5675</v>
      </c>
      <c r="C3190" s="76">
        <v>46050.333333333336</v>
      </c>
      <c r="D3190" s="7" t="s">
        <v>6052</v>
      </c>
      <c r="E3190" s="76">
        <v>46050.375</v>
      </c>
      <c r="F3190" s="52" t="s">
        <v>9377</v>
      </c>
      <c r="G3190" s="4" t="s">
        <v>110</v>
      </c>
      <c r="H3190" s="4" t="s">
        <v>1987</v>
      </c>
      <c r="K3190" s="4" t="s">
        <v>13438</v>
      </c>
      <c r="L3190" s="4" t="s">
        <v>13439</v>
      </c>
    </row>
    <row r="3191">
      <c r="A3191" s="55"/>
      <c r="B3191" s="52"/>
      <c r="C3191" s="76"/>
      <c r="D3191" s="4"/>
      <c r="E3191" s="76"/>
      <c r="F3191" s="52"/>
      <c r="G3191" s="4"/>
      <c r="H3191" s="4"/>
      <c r="K3191" s="4"/>
      <c r="L3191" s="4"/>
    </row>
    <row r="3192">
      <c r="A3192" s="55"/>
      <c r="B3192" s="52"/>
      <c r="C3192" s="76"/>
      <c r="D3192" s="4"/>
      <c r="E3192" s="76"/>
      <c r="F3192" s="52"/>
      <c r="G3192" s="4"/>
      <c r="H3192" s="4"/>
      <c r="K3192" s="4"/>
      <c r="L3192" s="4"/>
    </row>
    <row r="3193">
      <c r="A3193" s="55" t="s">
        <v>13440</v>
      </c>
      <c r="B3193" s="52" t="s">
        <v>5625</v>
      </c>
      <c r="C3193" s="76">
        <v>46048.604166666664</v>
      </c>
      <c r="D3193" s="7" t="s">
        <v>2147</v>
      </c>
      <c r="E3193" s="76">
        <v>46048.770833333336</v>
      </c>
      <c r="F3193" s="52" t="s">
        <v>13441</v>
      </c>
      <c r="G3193" s="4" t="s">
        <v>135</v>
      </c>
      <c r="H3193" s="4" t="s">
        <v>1987</v>
      </c>
      <c r="K3193" s="4"/>
      <c r="L3193" s="4" t="s">
        <v>13442</v>
      </c>
    </row>
    <row r="3194">
      <c r="A3194" s="55" t="s">
        <v>13443</v>
      </c>
      <c r="B3194" s="52" t="s">
        <v>5678</v>
      </c>
      <c r="C3194" s="76">
        <v>46048.5625</v>
      </c>
      <c r="D3194" s="7" t="s">
        <v>2147</v>
      </c>
      <c r="E3194" s="76">
        <v>46048.604166666664</v>
      </c>
      <c r="F3194" s="52" t="s">
        <v>13444</v>
      </c>
      <c r="G3194" s="4" t="s">
        <v>135</v>
      </c>
      <c r="H3194" s="4" t="s">
        <v>1987</v>
      </c>
      <c r="K3194" s="4" t="s">
        <v>13445</v>
      </c>
      <c r="L3194" s="4"/>
    </row>
    <row r="3195">
      <c r="A3195" s="55" t="s">
        <v>13446</v>
      </c>
      <c r="B3195" s="52" t="s">
        <v>5596</v>
      </c>
      <c r="C3195" s="76">
        <v>46048.333333333336</v>
      </c>
      <c r="D3195" s="7" t="s">
        <v>2147</v>
      </c>
      <c r="E3195" s="76">
        <v>46048.541666666664</v>
      </c>
      <c r="F3195" s="52" t="s">
        <v>13447</v>
      </c>
      <c r="G3195" s="4" t="s">
        <v>139</v>
      </c>
      <c r="H3195" s="4" t="s">
        <v>1987</v>
      </c>
      <c r="K3195" s="4" t="s">
        <v>13448</v>
      </c>
      <c r="L3195" s="4" t="s">
        <v>13449</v>
      </c>
    </row>
    <row r="3196">
      <c r="A3196" s="55" t="s">
        <v>13450</v>
      </c>
      <c r="B3196" s="52" t="s">
        <v>5596</v>
      </c>
      <c r="C3196" s="76">
        <v>46049.333333333336</v>
      </c>
      <c r="D3196" s="7" t="s">
        <v>2147</v>
      </c>
      <c r="E3196" s="76">
        <v>46049.541666666664</v>
      </c>
      <c r="F3196" s="52" t="s">
        <v>13451</v>
      </c>
      <c r="G3196" s="4" t="s">
        <v>139</v>
      </c>
      <c r="H3196" s="4" t="s">
        <v>1987</v>
      </c>
      <c r="K3196" s="4" t="s">
        <v>13452</v>
      </c>
      <c r="L3196" s="4"/>
    </row>
    <row r="3197">
      <c r="A3197" s="55" t="s">
        <v>13453</v>
      </c>
      <c r="B3197" s="52" t="s">
        <v>5596</v>
      </c>
      <c r="C3197" s="76">
        <v>46050.333333333336</v>
      </c>
      <c r="D3197" s="7" t="s">
        <v>2147</v>
      </c>
      <c r="E3197" s="76">
        <v>46050.541666666664</v>
      </c>
      <c r="F3197" s="52" t="s">
        <v>13451</v>
      </c>
      <c r="G3197" s="4" t="s">
        <v>139</v>
      </c>
      <c r="H3197" s="4" t="s">
        <v>1987</v>
      </c>
      <c r="K3197" s="4" t="s">
        <v>13454</v>
      </c>
      <c r="L3197" s="4"/>
    </row>
    <row r="3198">
      <c r="A3198" s="55" t="s">
        <v>13455</v>
      </c>
      <c r="B3198" s="52" t="s">
        <v>5596</v>
      </c>
      <c r="C3198" s="76">
        <v>46051.333333333336</v>
      </c>
      <c r="D3198" s="7" t="s">
        <v>2147</v>
      </c>
      <c r="E3198" s="76">
        <v>46051.541666666664</v>
      </c>
      <c r="F3198" s="52" t="s">
        <v>13451</v>
      </c>
      <c r="G3198" s="4" t="s">
        <v>139</v>
      </c>
      <c r="H3198" s="4" t="s">
        <v>1987</v>
      </c>
      <c r="K3198" s="4" t="s">
        <v>13456</v>
      </c>
      <c r="L3198" s="4"/>
    </row>
    <row r="3199">
      <c r="A3199" s="55" t="s">
        <v>13457</v>
      </c>
      <c r="B3199" s="52" t="s">
        <v>5596</v>
      </c>
      <c r="C3199" s="76">
        <v>46052.333333333336</v>
      </c>
      <c r="D3199" s="7" t="s">
        <v>2147</v>
      </c>
      <c r="E3199" s="76">
        <v>46052.541666666664</v>
      </c>
      <c r="F3199" s="52" t="s">
        <v>13451</v>
      </c>
      <c r="G3199" s="4" t="s">
        <v>139</v>
      </c>
      <c r="H3199" s="4" t="s">
        <v>1987</v>
      </c>
      <c r="K3199" s="4" t="s">
        <v>13458</v>
      </c>
      <c r="L3199" s="4"/>
    </row>
    <row r="3200">
      <c r="A3200" s="55" t="s">
        <v>13459</v>
      </c>
      <c r="B3200" s="52" t="s">
        <v>5596</v>
      </c>
      <c r="C3200" s="76">
        <v>46056.333333333336</v>
      </c>
      <c r="D3200" s="7" t="s">
        <v>6052</v>
      </c>
      <c r="E3200" s="76">
        <v>46056.583333333336</v>
      </c>
      <c r="F3200" s="52" t="s">
        <v>13460</v>
      </c>
      <c r="G3200" s="4" t="s">
        <v>139</v>
      </c>
      <c r="H3200" s="4" t="s">
        <v>1987</v>
      </c>
      <c r="K3200" s="4" t="s">
        <v>13461</v>
      </c>
      <c r="L3200" s="4" t="s">
        <v>13462</v>
      </c>
    </row>
    <row r="3201">
      <c r="A3201" s="55" t="s">
        <v>13463</v>
      </c>
      <c r="B3201" s="52" t="s">
        <v>5596</v>
      </c>
      <c r="C3201" s="76">
        <v>46057.333333333336</v>
      </c>
      <c r="D3201" s="7" t="s">
        <v>6052</v>
      </c>
      <c r="E3201" s="76">
        <v>46057.583333333336</v>
      </c>
      <c r="F3201" s="52" t="s">
        <v>13460</v>
      </c>
      <c r="G3201" s="4" t="s">
        <v>139</v>
      </c>
      <c r="H3201" s="4" t="s">
        <v>1987</v>
      </c>
      <c r="K3201" s="4"/>
      <c r="L3201" s="4" t="s">
        <v>13464</v>
      </c>
    </row>
    <row r="3202">
      <c r="A3202" s="55" t="s">
        <v>13465</v>
      </c>
      <c r="B3202" s="52" t="s">
        <v>5596</v>
      </c>
      <c r="C3202" s="76">
        <v>46058.333333333336</v>
      </c>
      <c r="D3202" s="7" t="s">
        <v>6052</v>
      </c>
      <c r="E3202" s="76">
        <v>46058.583333333336</v>
      </c>
      <c r="F3202" s="52" t="s">
        <v>13460</v>
      </c>
      <c r="G3202" s="4" t="s">
        <v>139</v>
      </c>
      <c r="H3202" s="4" t="s">
        <v>1987</v>
      </c>
      <c r="K3202" s="4" t="s">
        <v>13466</v>
      </c>
      <c r="L3202" s="4"/>
    </row>
    <row r="3203">
      <c r="A3203" s="55" t="s">
        <v>13467</v>
      </c>
      <c r="B3203" s="52" t="s">
        <v>5596</v>
      </c>
      <c r="C3203" s="76">
        <v>46059.333333333336</v>
      </c>
      <c r="D3203" s="7" t="s">
        <v>2147</v>
      </c>
      <c r="E3203" s="76">
        <v>46059.583333333336</v>
      </c>
      <c r="F3203" s="52" t="s">
        <v>13468</v>
      </c>
      <c r="G3203" s="4" t="s">
        <v>139</v>
      </c>
      <c r="H3203" s="4" t="s">
        <v>1987</v>
      </c>
      <c r="K3203" s="4" t="s">
        <v>13469</v>
      </c>
      <c r="L3203" s="4" t="s">
        <v>13470</v>
      </c>
    </row>
    <row r="3204">
      <c r="A3204" s="55" t="s">
        <v>13471</v>
      </c>
      <c r="B3204" s="52" t="s">
        <v>5628</v>
      </c>
      <c r="C3204" s="76">
        <v>46049.552083333336</v>
      </c>
      <c r="D3204" s="7" t="s">
        <v>2147</v>
      </c>
      <c r="E3204" s="76">
        <v>46049.583333333336</v>
      </c>
      <c r="F3204" s="52" t="s">
        <v>13472</v>
      </c>
      <c r="G3204" s="4" t="s">
        <v>110</v>
      </c>
      <c r="H3204" s="4" t="s">
        <v>1987</v>
      </c>
      <c r="K3204" s="4" t="s">
        <v>13473</v>
      </c>
      <c r="L3204" s="4" t="s">
        <v>13474</v>
      </c>
    </row>
    <row r="3205">
      <c r="A3205" s="55"/>
      <c r="B3205" s="52"/>
      <c r="C3205" s="76"/>
      <c r="D3205" s="4"/>
      <c r="E3205" s="76"/>
      <c r="F3205" s="52"/>
      <c r="G3205" s="4"/>
      <c r="H3205" s="4"/>
      <c r="K3205" s="4"/>
      <c r="L3205" s="4"/>
    </row>
    <row r="3206">
      <c r="A3206" s="55" t="s">
        <v>13475</v>
      </c>
      <c r="B3206" s="52" t="s">
        <v>5628</v>
      </c>
      <c r="C3206" s="76">
        <v>46050.47222222222</v>
      </c>
      <c r="D3206" s="7" t="s">
        <v>2200</v>
      </c>
      <c r="E3206" s="76">
        <v>46050.583333333336</v>
      </c>
      <c r="F3206" s="52" t="s">
        <v>13476</v>
      </c>
      <c r="G3206" s="4" t="s">
        <v>110</v>
      </c>
      <c r="H3206" s="4" t="s">
        <v>1987</v>
      </c>
      <c r="K3206" s="4" t="s">
        <v>13477</v>
      </c>
      <c r="L3206" s="4" t="s">
        <v>13478</v>
      </c>
    </row>
    <row r="3207">
      <c r="A3207" s="55"/>
      <c r="B3207" s="52"/>
      <c r="C3207" s="76"/>
      <c r="D3207" s="4"/>
      <c r="E3207" s="76"/>
      <c r="F3207" s="52"/>
      <c r="G3207" s="4"/>
      <c r="H3207" s="4"/>
      <c r="K3207" s="4"/>
      <c r="L3207" s="4"/>
    </row>
    <row r="3208">
      <c r="A3208" s="66" t="s">
        <v>13479</v>
      </c>
      <c r="B3208" s="52" t="s">
        <v>5678</v>
      </c>
      <c r="C3208" s="76">
        <v>46049.5625</v>
      </c>
      <c r="D3208" s="7" t="s">
        <v>2147</v>
      </c>
      <c r="E3208" s="76">
        <v>46049.625</v>
      </c>
      <c r="F3208" s="52" t="s">
        <v>13480</v>
      </c>
      <c r="G3208" s="4" t="s">
        <v>135</v>
      </c>
      <c r="H3208" s="4" t="s">
        <v>1987</v>
      </c>
      <c r="K3208" s="4" t="s">
        <v>13481</v>
      </c>
      <c r="L3208" s="4" t="s">
        <v>13482</v>
      </c>
    </row>
    <row r="3209">
      <c r="A3209" s="55" t="s">
        <v>13483</v>
      </c>
      <c r="B3209" s="52" t="s">
        <v>5625</v>
      </c>
      <c r="C3209" s="76">
        <v>46049.625</v>
      </c>
      <c r="D3209" s="7" t="s">
        <v>2147</v>
      </c>
      <c r="E3209" s="76">
        <v>46049.770833333336</v>
      </c>
      <c r="F3209" s="52" t="s">
        <v>13484</v>
      </c>
      <c r="G3209" s="4" t="s">
        <v>135</v>
      </c>
      <c r="H3209" s="4" t="s">
        <v>1987</v>
      </c>
      <c r="K3209" s="4"/>
      <c r="L3209" s="4" t="s">
        <v>13485</v>
      </c>
    </row>
    <row r="3210">
      <c r="A3210" s="55"/>
      <c r="B3210" s="52"/>
      <c r="C3210" s="76"/>
      <c r="D3210" s="4"/>
      <c r="E3210" s="76"/>
      <c r="F3210" s="52"/>
      <c r="G3210" s="4"/>
      <c r="H3210" s="4"/>
      <c r="K3210" s="4"/>
      <c r="L3210" s="4"/>
    </row>
    <row r="3211">
      <c r="A3211" s="55"/>
      <c r="B3211" s="52"/>
      <c r="C3211" s="76"/>
      <c r="D3211" s="4"/>
      <c r="E3211" s="76"/>
      <c r="F3211" s="52"/>
      <c r="G3211" s="4"/>
      <c r="H3211" s="4"/>
      <c r="K3211" s="4"/>
      <c r="L3211" s="4"/>
    </row>
    <row r="3212">
      <c r="A3212" s="55" t="s">
        <v>13486</v>
      </c>
      <c r="B3212" s="52" t="s">
        <v>5790</v>
      </c>
      <c r="C3212" s="76">
        <v>46050.708333333336</v>
      </c>
      <c r="D3212" s="7" t="s">
        <v>2147</v>
      </c>
      <c r="E3212" s="76">
        <v>46050.75</v>
      </c>
      <c r="F3212" s="52" t="s">
        <v>13487</v>
      </c>
      <c r="G3212" s="4" t="s">
        <v>135</v>
      </c>
      <c r="H3212" s="4" t="s">
        <v>1987</v>
      </c>
      <c r="K3212" s="4" t="s">
        <v>13488</v>
      </c>
      <c r="L3212" s="4" t="s">
        <v>13489</v>
      </c>
    </row>
    <row r="3213">
      <c r="A3213" s="55" t="s">
        <v>13490</v>
      </c>
      <c r="B3213" s="52" t="s">
        <v>5678</v>
      </c>
      <c r="C3213" s="76">
        <v>46050.75</v>
      </c>
      <c r="D3213" s="7" t="s">
        <v>6318</v>
      </c>
      <c r="E3213" s="76">
        <v>46050.770833333336</v>
      </c>
      <c r="F3213" s="52" t="s">
        <v>7812</v>
      </c>
      <c r="G3213" s="4" t="s">
        <v>135</v>
      </c>
      <c r="H3213" s="4" t="s">
        <v>1991</v>
      </c>
      <c r="K3213" s="4" t="s">
        <v>13491</v>
      </c>
      <c r="L3213" s="4"/>
    </row>
    <row r="3214">
      <c r="A3214" s="55" t="s">
        <v>13492</v>
      </c>
      <c r="B3214" s="52" t="s">
        <v>5625</v>
      </c>
      <c r="C3214" s="76">
        <v>46051.604166666664</v>
      </c>
      <c r="D3214" s="7" t="s">
        <v>6052</v>
      </c>
      <c r="E3214" s="76">
        <v>46051.770833333336</v>
      </c>
      <c r="F3214" s="52" t="s">
        <v>13493</v>
      </c>
      <c r="G3214" s="4" t="s">
        <v>135</v>
      </c>
      <c r="H3214" s="4" t="s">
        <v>1987</v>
      </c>
      <c r="K3214" s="4"/>
      <c r="L3214" s="4" t="s">
        <v>13494</v>
      </c>
    </row>
    <row r="3215">
      <c r="A3215" s="55"/>
      <c r="B3215" s="52"/>
      <c r="C3215" s="76"/>
      <c r="D3215" s="4"/>
      <c r="E3215" s="76"/>
      <c r="F3215" s="52"/>
      <c r="G3215" s="4"/>
      <c r="H3215" s="4"/>
      <c r="K3215" s="4"/>
      <c r="L3215" s="4"/>
    </row>
    <row r="3216">
      <c r="A3216" s="55" t="s">
        <v>13495</v>
      </c>
      <c r="B3216" s="52" t="s">
        <v>5625</v>
      </c>
      <c r="C3216" s="76">
        <v>46052.5625</v>
      </c>
      <c r="D3216" s="7" t="s">
        <v>2200</v>
      </c>
      <c r="E3216" s="76">
        <v>46052.625</v>
      </c>
      <c r="F3216" s="52" t="s">
        <v>13496</v>
      </c>
      <c r="G3216" s="4" t="s">
        <v>135</v>
      </c>
      <c r="H3216" s="4" t="s">
        <v>1987</v>
      </c>
      <c r="K3216" s="4"/>
      <c r="L3216" s="4" t="s">
        <v>13497</v>
      </c>
    </row>
    <row r="3217">
      <c r="A3217" s="55" t="s">
        <v>13498</v>
      </c>
      <c r="B3217" s="52" t="s">
        <v>6057</v>
      </c>
      <c r="C3217" s="76">
        <v>46048.333333333336</v>
      </c>
      <c r="D3217" s="7" t="s">
        <v>6052</v>
      </c>
      <c r="E3217" s="76">
        <v>46048.75</v>
      </c>
      <c r="F3217" s="52" t="s">
        <v>6053</v>
      </c>
      <c r="G3217" s="4" t="s">
        <v>27</v>
      </c>
      <c r="H3217" s="4" t="s">
        <v>1987</v>
      </c>
      <c r="K3217" s="4" t="s">
        <v>13499</v>
      </c>
      <c r="L3217" s="4"/>
    </row>
    <row r="3218">
      <c r="A3218" s="55" t="s">
        <v>13500</v>
      </c>
      <c r="B3218" s="52" t="s">
        <v>6057</v>
      </c>
      <c r="C3218" s="76">
        <v>46049.333333333336</v>
      </c>
      <c r="D3218" s="7" t="s">
        <v>6052</v>
      </c>
      <c r="E3218" s="76">
        <v>46049.75</v>
      </c>
      <c r="F3218" s="52" t="s">
        <v>6053</v>
      </c>
      <c r="G3218" s="4" t="s">
        <v>27</v>
      </c>
      <c r="H3218" s="4" t="s">
        <v>1987</v>
      </c>
      <c r="K3218" s="4" t="s">
        <v>13501</v>
      </c>
      <c r="L3218" s="4"/>
    </row>
    <row r="3219">
      <c r="A3219" s="55" t="s">
        <v>13502</v>
      </c>
      <c r="B3219" s="52" t="s">
        <v>6057</v>
      </c>
      <c r="C3219" s="76">
        <v>46050.333333333336</v>
      </c>
      <c r="D3219" s="7" t="s">
        <v>2147</v>
      </c>
      <c r="E3219" s="76">
        <v>46050.375</v>
      </c>
      <c r="F3219" s="52" t="s">
        <v>7460</v>
      </c>
      <c r="G3219" s="4" t="s">
        <v>27</v>
      </c>
      <c r="H3219" s="4" t="s">
        <v>1987</v>
      </c>
      <c r="K3219" s="4" t="s">
        <v>13503</v>
      </c>
      <c r="L3219" s="4"/>
    </row>
    <row r="3220">
      <c r="A3220" s="55" t="s">
        <v>13504</v>
      </c>
      <c r="B3220" s="52" t="s">
        <v>5803</v>
      </c>
      <c r="C3220" s="76">
        <v>46050.375</v>
      </c>
      <c r="D3220" s="7" t="s">
        <v>2147</v>
      </c>
      <c r="E3220" s="76">
        <v>46050.416666666664</v>
      </c>
      <c r="F3220" s="52" t="s">
        <v>13505</v>
      </c>
      <c r="G3220" s="4" t="s">
        <v>27</v>
      </c>
      <c r="H3220" s="4" t="s">
        <v>1987</v>
      </c>
      <c r="K3220" s="4" t="s">
        <v>13506</v>
      </c>
      <c r="L3220" s="4" t="s">
        <v>13507</v>
      </c>
    </row>
    <row r="3221">
      <c r="A3221" s="55" t="s">
        <v>13508</v>
      </c>
      <c r="B3221" s="52" t="s">
        <v>6057</v>
      </c>
      <c r="C3221" s="76">
        <v>46050.416666666664</v>
      </c>
      <c r="D3221" s="7" t="s">
        <v>6052</v>
      </c>
      <c r="E3221" s="76">
        <v>46050.541666666664</v>
      </c>
      <c r="F3221" s="52" t="s">
        <v>7460</v>
      </c>
      <c r="G3221" s="4" t="s">
        <v>27</v>
      </c>
      <c r="H3221" s="4" t="s">
        <v>1987</v>
      </c>
      <c r="K3221" s="4" t="s">
        <v>13509</v>
      </c>
      <c r="L3221" s="4" t="s">
        <v>13510</v>
      </c>
    </row>
    <row r="3222">
      <c r="A3222" s="55" t="s">
        <v>13511</v>
      </c>
      <c r="B3222" s="52" t="s">
        <v>1611</v>
      </c>
      <c r="C3222" s="76">
        <v>46050.583333333336</v>
      </c>
      <c r="D3222" s="7" t="s">
        <v>6052</v>
      </c>
      <c r="E3222" s="76">
        <v>46050.708333333336</v>
      </c>
      <c r="F3222" s="52" t="s">
        <v>13512</v>
      </c>
      <c r="G3222" s="4" t="s">
        <v>27</v>
      </c>
      <c r="H3222" s="4" t="s">
        <v>1987</v>
      </c>
      <c r="K3222" s="4" t="s">
        <v>13513</v>
      </c>
      <c r="L3222" s="4" t="s">
        <v>13514</v>
      </c>
    </row>
    <row r="3223">
      <c r="A3223" s="55"/>
      <c r="B3223" s="52"/>
      <c r="C3223" s="76"/>
      <c r="D3223" s="4"/>
      <c r="E3223" s="76"/>
      <c r="F3223" s="52"/>
      <c r="G3223" s="4"/>
      <c r="H3223" s="4"/>
      <c r="K3223" s="4"/>
      <c r="L3223" s="4"/>
    </row>
    <row r="3224">
      <c r="A3224" s="55"/>
      <c r="B3224" s="52"/>
      <c r="C3224" s="76"/>
      <c r="D3224" s="4"/>
      <c r="E3224" s="76"/>
      <c r="F3224" s="52"/>
      <c r="G3224" s="4"/>
      <c r="H3224" s="4"/>
      <c r="K3224" s="4"/>
      <c r="L3224" s="4"/>
    </row>
    <row r="3225">
      <c r="A3225" s="55" t="s">
        <v>13515</v>
      </c>
      <c r="B3225" s="52" t="s">
        <v>5656</v>
      </c>
      <c r="C3225" s="76">
        <v>46051.520833333336</v>
      </c>
      <c r="D3225" s="7" t="s">
        <v>6052</v>
      </c>
      <c r="E3225" s="76">
        <v>46051.729166666664</v>
      </c>
      <c r="F3225" s="52" t="s">
        <v>6231</v>
      </c>
      <c r="G3225" s="4" t="s">
        <v>27</v>
      </c>
      <c r="H3225" s="4" t="s">
        <v>1987</v>
      </c>
      <c r="K3225" s="4" t="s">
        <v>13516</v>
      </c>
      <c r="L3225" s="4"/>
    </row>
    <row r="3226">
      <c r="A3226" s="55"/>
      <c r="B3226" s="52"/>
      <c r="C3226" s="76"/>
      <c r="D3226" s="4"/>
      <c r="E3226" s="76"/>
      <c r="F3226" s="52"/>
      <c r="G3226" s="4"/>
      <c r="H3226" s="4"/>
      <c r="K3226" s="4"/>
      <c r="L3226" s="4"/>
    </row>
    <row r="3227">
      <c r="A3227" s="55"/>
      <c r="B3227" s="52"/>
      <c r="C3227" s="76"/>
      <c r="D3227" s="4"/>
      <c r="E3227" s="76"/>
      <c r="F3227" s="52"/>
      <c r="G3227" s="4"/>
      <c r="H3227" s="4"/>
      <c r="K3227" s="4"/>
      <c r="L3227" s="4"/>
    </row>
    <row r="3228">
      <c r="A3228" s="55" t="s">
        <v>13517</v>
      </c>
      <c r="B3228" s="52" t="s">
        <v>6057</v>
      </c>
      <c r="C3228" s="76">
        <v>46051.375</v>
      </c>
      <c r="D3228" s="7" t="s">
        <v>2147</v>
      </c>
      <c r="E3228" s="76">
        <v>46051.416666666664</v>
      </c>
      <c r="F3228" s="52" t="s">
        <v>8107</v>
      </c>
      <c r="G3228" s="4" t="s">
        <v>27</v>
      </c>
      <c r="H3228" s="4" t="s">
        <v>1987</v>
      </c>
      <c r="K3228" s="4"/>
      <c r="L3228" s="4" t="s">
        <v>13518</v>
      </c>
    </row>
    <row r="3229">
      <c r="A3229" s="55" t="s">
        <v>13519</v>
      </c>
      <c r="B3229" s="52" t="s">
        <v>5675</v>
      </c>
      <c r="C3229" s="76">
        <v>46050.416666666664</v>
      </c>
      <c r="D3229" s="7" t="s">
        <v>6052</v>
      </c>
      <c r="E3229" s="76">
        <v>46050.47222222222</v>
      </c>
      <c r="F3229" s="52" t="s">
        <v>9377</v>
      </c>
      <c r="G3229" s="4" t="s">
        <v>110</v>
      </c>
      <c r="H3229" s="4" t="s">
        <v>1987</v>
      </c>
      <c r="K3229" s="4" t="s">
        <v>13520</v>
      </c>
      <c r="L3229" s="4" t="s">
        <v>13521</v>
      </c>
    </row>
    <row r="3230">
      <c r="A3230" s="55" t="s">
        <v>13522</v>
      </c>
      <c r="B3230" s="52" t="s">
        <v>5625</v>
      </c>
      <c r="C3230" s="76">
        <v>46050.5625</v>
      </c>
      <c r="D3230" s="7" t="s">
        <v>2200</v>
      </c>
      <c r="E3230" s="76">
        <v>46050.708333333336</v>
      </c>
      <c r="F3230" s="52" t="s">
        <v>13484</v>
      </c>
      <c r="G3230" s="4" t="s">
        <v>135</v>
      </c>
      <c r="H3230" s="4" t="s">
        <v>1987</v>
      </c>
      <c r="K3230" s="4" t="s">
        <v>13523</v>
      </c>
      <c r="L3230" s="4" t="s">
        <v>13524</v>
      </c>
    </row>
    <row r="3231">
      <c r="A3231" s="55" t="s">
        <v>13525</v>
      </c>
      <c r="B3231" s="52" t="s">
        <v>5628</v>
      </c>
      <c r="C3231" s="76">
        <v>46051.333333333336</v>
      </c>
      <c r="D3231" s="7" t="s">
        <v>2154</v>
      </c>
      <c r="E3231" s="76">
        <v>46051.375</v>
      </c>
      <c r="F3231" s="52" t="s">
        <v>13526</v>
      </c>
      <c r="G3231" s="4" t="s">
        <v>110</v>
      </c>
      <c r="H3231" s="4" t="s">
        <v>1987</v>
      </c>
      <c r="K3231" s="4" t="s">
        <v>13527</v>
      </c>
      <c r="L3231" s="4" t="s">
        <v>13528</v>
      </c>
    </row>
    <row r="3232">
      <c r="A3232" s="55" t="s">
        <v>13529</v>
      </c>
      <c r="B3232" s="52" t="s">
        <v>1617</v>
      </c>
      <c r="C3232" s="76">
        <v>46050.583333333336</v>
      </c>
      <c r="D3232" s="7" t="s">
        <v>6318</v>
      </c>
      <c r="E3232" s="76">
        <v>46050.614583333336</v>
      </c>
      <c r="F3232" s="52" t="s">
        <v>13530</v>
      </c>
      <c r="G3232" s="4" t="s">
        <v>110</v>
      </c>
      <c r="H3232" s="4" t="s">
        <v>1987</v>
      </c>
      <c r="K3232" s="4" t="s">
        <v>13531</v>
      </c>
      <c r="L3232" s="4" t="s">
        <v>13532</v>
      </c>
    </row>
    <row r="3233">
      <c r="A3233" s="55" t="s">
        <v>13533</v>
      </c>
      <c r="B3233" s="52" t="s">
        <v>1611</v>
      </c>
      <c r="C3233" s="76">
        <v>46050.791666666664</v>
      </c>
      <c r="D3233" s="7" t="s">
        <v>2147</v>
      </c>
      <c r="E3233" s="76">
        <v>46050.833333333336</v>
      </c>
      <c r="F3233" s="52" t="s">
        <v>10818</v>
      </c>
      <c r="G3233" s="4" t="s">
        <v>27</v>
      </c>
      <c r="H3233" s="4" t="s">
        <v>1987</v>
      </c>
      <c r="K3233" s="4" t="s">
        <v>13534</v>
      </c>
      <c r="L3233" s="4"/>
    </row>
    <row r="3234">
      <c r="A3234" s="55" t="s">
        <v>13535</v>
      </c>
      <c r="B3234" s="52" t="s">
        <v>1611</v>
      </c>
      <c r="C3234" s="76">
        <v>46051.354166666664</v>
      </c>
      <c r="D3234" s="7" t="s">
        <v>2147</v>
      </c>
      <c r="E3234" s="76">
        <v>46051.375</v>
      </c>
      <c r="F3234" s="52" t="s">
        <v>13536</v>
      </c>
      <c r="G3234" s="4" t="s">
        <v>27</v>
      </c>
      <c r="H3234" s="4" t="s">
        <v>1987</v>
      </c>
      <c r="K3234" s="4" t="s">
        <v>13537</v>
      </c>
      <c r="L3234" s="4"/>
    </row>
    <row r="3235">
      <c r="A3235" s="55" t="s">
        <v>13538</v>
      </c>
      <c r="B3235" s="52" t="s">
        <v>6057</v>
      </c>
      <c r="C3235" s="76">
        <v>46052.333333333336</v>
      </c>
      <c r="D3235" s="7" t="s">
        <v>6052</v>
      </c>
      <c r="E3235" s="76">
        <v>46052.541666666664</v>
      </c>
      <c r="F3235" s="52" t="s">
        <v>13539</v>
      </c>
      <c r="G3235" s="4" t="s">
        <v>110</v>
      </c>
      <c r="H3235" s="4" t="s">
        <v>1987</v>
      </c>
      <c r="K3235" s="4" t="s">
        <v>13540</v>
      </c>
      <c r="L3235" s="4" t="s">
        <v>13541</v>
      </c>
    </row>
    <row r="3236">
      <c r="A3236" s="55" t="s">
        <v>13542</v>
      </c>
      <c r="B3236" s="52" t="s">
        <v>6057</v>
      </c>
      <c r="C3236" s="76">
        <v>46051.375</v>
      </c>
      <c r="D3236" s="7" t="s">
        <v>2154</v>
      </c>
      <c r="E3236" s="76">
        <v>46051.479166666664</v>
      </c>
      <c r="F3236" s="52" t="s">
        <v>13543</v>
      </c>
      <c r="G3236" s="4" t="s">
        <v>110</v>
      </c>
      <c r="H3236" s="4" t="s">
        <v>1987</v>
      </c>
      <c r="K3236" s="4" t="s">
        <v>13544</v>
      </c>
      <c r="L3236" s="4"/>
    </row>
    <row r="3237">
      <c r="A3237" s="55" t="s">
        <v>13545</v>
      </c>
      <c r="B3237" s="52" t="s">
        <v>5628</v>
      </c>
      <c r="C3237" s="76">
        <v>46051.479166666664</v>
      </c>
      <c r="D3237" s="7" t="s">
        <v>2154</v>
      </c>
      <c r="E3237" s="76">
        <v>46051.59722222222</v>
      </c>
      <c r="F3237" s="52" t="s">
        <v>13526</v>
      </c>
      <c r="G3237" s="4" t="s">
        <v>110</v>
      </c>
      <c r="H3237" s="4" t="s">
        <v>1987</v>
      </c>
      <c r="K3237" s="4" t="s">
        <v>13546</v>
      </c>
      <c r="L3237" s="4" t="s">
        <v>13547</v>
      </c>
    </row>
    <row r="3238">
      <c r="A3238" s="55" t="s">
        <v>13548</v>
      </c>
      <c r="B3238" s="52" t="s">
        <v>1617</v>
      </c>
      <c r="C3238" s="76">
        <v>46055.333333333336</v>
      </c>
      <c r="D3238" s="7" t="s">
        <v>6052</v>
      </c>
      <c r="E3238" s="76">
        <v>46055.5625</v>
      </c>
      <c r="F3238" s="52" t="s">
        <v>8579</v>
      </c>
      <c r="G3238" s="4" t="s">
        <v>110</v>
      </c>
      <c r="H3238" s="4" t="s">
        <v>1987</v>
      </c>
      <c r="K3238" s="4" t="s">
        <v>13549</v>
      </c>
      <c r="L3238" s="4" t="s">
        <v>13550</v>
      </c>
    </row>
    <row r="3239">
      <c r="A3239" s="55" t="s">
        <v>13551</v>
      </c>
      <c r="B3239" s="52" t="s">
        <v>5675</v>
      </c>
      <c r="C3239" s="76">
        <v>46056.364583333336</v>
      </c>
      <c r="D3239" s="7" t="s">
        <v>6052</v>
      </c>
      <c r="E3239" s="76">
        <v>46056.583333333336</v>
      </c>
      <c r="F3239" s="52" t="s">
        <v>13552</v>
      </c>
      <c r="G3239" s="4" t="s">
        <v>110</v>
      </c>
      <c r="H3239" s="4" t="s">
        <v>1987</v>
      </c>
      <c r="K3239" s="4"/>
      <c r="L3239" s="4" t="s">
        <v>13553</v>
      </c>
    </row>
    <row r="3240">
      <c r="A3240" s="55" t="s">
        <v>13554</v>
      </c>
      <c r="B3240" s="4" t="s">
        <v>5801</v>
      </c>
      <c r="C3240" s="76">
        <v>46058.416666666664</v>
      </c>
      <c r="D3240" s="7" t="s">
        <v>6052</v>
      </c>
      <c r="E3240" s="76">
        <v>46058.458333333336</v>
      </c>
      <c r="F3240" s="52" t="s">
        <v>13555</v>
      </c>
      <c r="G3240" s="4" t="s">
        <v>110</v>
      </c>
      <c r="H3240" s="4" t="s">
        <v>1987</v>
      </c>
      <c r="K3240" s="4" t="s">
        <v>13556</v>
      </c>
      <c r="L3240" s="4" t="s">
        <v>13557</v>
      </c>
    </row>
    <row r="3241">
      <c r="A3241" s="55"/>
      <c r="B3241" s="52"/>
      <c r="C3241" s="76"/>
      <c r="D3241" s="4"/>
      <c r="E3241" s="76"/>
      <c r="F3241" s="52"/>
      <c r="G3241" s="4"/>
      <c r="H3241" s="4"/>
      <c r="K3241" s="4"/>
      <c r="L3241" s="4"/>
    </row>
    <row r="3242">
      <c r="A3242" s="55" t="s">
        <v>13558</v>
      </c>
      <c r="B3242" s="52" t="s">
        <v>5801</v>
      </c>
      <c r="C3242" s="76">
        <v>46059.333333333336</v>
      </c>
      <c r="D3242" s="7" t="s">
        <v>6052</v>
      </c>
      <c r="E3242" s="76">
        <v>46059.583333333336</v>
      </c>
      <c r="F3242" s="52" t="s">
        <v>13559</v>
      </c>
      <c r="G3242" s="4" t="s">
        <v>110</v>
      </c>
      <c r="H3242" s="4" t="s">
        <v>1987</v>
      </c>
      <c r="K3242" s="4" t="s">
        <v>13560</v>
      </c>
      <c r="L3242" s="4" t="s">
        <v>13561</v>
      </c>
    </row>
    <row r="3243">
      <c r="A3243" s="55" t="s">
        <v>13562</v>
      </c>
      <c r="B3243" s="52" t="s">
        <v>1617</v>
      </c>
      <c r="C3243" s="76">
        <v>46052.541666666664</v>
      </c>
      <c r="D3243" s="7" t="s">
        <v>2147</v>
      </c>
      <c r="E3243" s="76">
        <v>46052.614583333336</v>
      </c>
      <c r="F3243" s="52" t="s">
        <v>13563</v>
      </c>
      <c r="G3243" s="4" t="s">
        <v>110</v>
      </c>
      <c r="H3243" s="4" t="s">
        <v>1987</v>
      </c>
      <c r="K3243" s="4"/>
      <c r="L3243" s="4" t="s">
        <v>13564</v>
      </c>
    </row>
    <row r="3244">
      <c r="A3244" s="55" t="s">
        <v>13565</v>
      </c>
      <c r="B3244" s="52" t="s">
        <v>1611</v>
      </c>
      <c r="C3244" s="76">
        <v>46051.479166666664</v>
      </c>
      <c r="D3244" s="7" t="s">
        <v>2147</v>
      </c>
      <c r="E3244" s="76">
        <v>46051.520833333336</v>
      </c>
      <c r="F3244" s="52" t="s">
        <v>1611</v>
      </c>
      <c r="G3244" s="4" t="s">
        <v>27</v>
      </c>
      <c r="H3244" s="4" t="s">
        <v>1987</v>
      </c>
      <c r="K3244" s="4" t="s">
        <v>13566</v>
      </c>
      <c r="L3244" s="4"/>
    </row>
    <row r="3245">
      <c r="A3245" s="55" t="s">
        <v>13567</v>
      </c>
      <c r="B3245" s="52" t="s">
        <v>5678</v>
      </c>
      <c r="C3245" s="76">
        <v>46051.5625</v>
      </c>
      <c r="D3245" s="7" t="s">
        <v>6318</v>
      </c>
      <c r="E3245" s="76">
        <v>46051.604166666664</v>
      </c>
      <c r="F3245" s="52" t="s">
        <v>13568</v>
      </c>
      <c r="G3245" s="4" t="s">
        <v>135</v>
      </c>
      <c r="H3245" s="4" t="s">
        <v>1987</v>
      </c>
      <c r="K3245" s="4" t="s">
        <v>13491</v>
      </c>
      <c r="L3245" s="4" t="s">
        <v>13569</v>
      </c>
    </row>
    <row r="3246">
      <c r="A3246" s="55" t="s">
        <v>13570</v>
      </c>
      <c r="B3246" s="52" t="s">
        <v>5625</v>
      </c>
      <c r="C3246" s="76">
        <v>46055.583333333336</v>
      </c>
      <c r="D3246" s="7" t="s">
        <v>2154</v>
      </c>
      <c r="E3246" s="76">
        <v>46055.75</v>
      </c>
      <c r="F3246" s="52" t="s">
        <v>13571</v>
      </c>
      <c r="G3246" s="4" t="s">
        <v>135</v>
      </c>
      <c r="H3246" s="4" t="s">
        <v>1987</v>
      </c>
      <c r="K3246" s="4" t="s">
        <v>13572</v>
      </c>
      <c r="L3246" s="4" t="s">
        <v>13573</v>
      </c>
    </row>
    <row r="3247">
      <c r="A3247" s="55"/>
      <c r="B3247" s="52"/>
      <c r="C3247" s="76"/>
      <c r="D3247" s="4"/>
      <c r="E3247" s="76"/>
      <c r="F3247" s="52"/>
      <c r="G3247" s="4"/>
      <c r="H3247" s="4"/>
      <c r="K3247" s="4"/>
      <c r="L3247" s="4"/>
    </row>
    <row r="3248">
      <c r="A3248" s="55" t="s">
        <v>13574</v>
      </c>
      <c r="B3248" s="52" t="s">
        <v>5790</v>
      </c>
      <c r="C3248" s="76">
        <v>46056.666666666664</v>
      </c>
      <c r="D3248" s="7" t="s">
        <v>2147</v>
      </c>
      <c r="E3248" s="76">
        <v>46056.75</v>
      </c>
      <c r="F3248" s="52" t="s">
        <v>13575</v>
      </c>
      <c r="G3248" s="4" t="s">
        <v>135</v>
      </c>
      <c r="H3248" s="4" t="s">
        <v>1987</v>
      </c>
      <c r="K3248" s="4" t="s">
        <v>13576</v>
      </c>
      <c r="L3248" s="4" t="s">
        <v>13577</v>
      </c>
    </row>
    <row r="3249">
      <c r="A3249" s="55"/>
      <c r="B3249" s="52"/>
      <c r="C3249" s="76"/>
      <c r="D3249" s="4"/>
      <c r="E3249" s="76"/>
      <c r="F3249" s="52"/>
      <c r="G3249" s="4"/>
      <c r="H3249" s="4"/>
      <c r="K3249" s="4"/>
      <c r="L3249" s="4"/>
    </row>
    <row r="3250">
      <c r="A3250" s="55" t="s">
        <v>13578</v>
      </c>
      <c r="B3250" s="52" t="s">
        <v>5790</v>
      </c>
      <c r="C3250" s="76">
        <v>46058.666666666664</v>
      </c>
      <c r="D3250" s="7" t="s">
        <v>2148</v>
      </c>
      <c r="E3250" s="76">
        <v>46058.75</v>
      </c>
      <c r="F3250" s="52" t="s">
        <v>11061</v>
      </c>
      <c r="G3250" s="4" t="s">
        <v>135</v>
      </c>
      <c r="H3250" s="4" t="s">
        <v>1987</v>
      </c>
      <c r="K3250" s="4" t="s">
        <v>13579</v>
      </c>
      <c r="L3250" s="4" t="s">
        <v>13580</v>
      </c>
    </row>
    <row r="3251">
      <c r="A3251" s="55"/>
      <c r="B3251" s="52"/>
      <c r="C3251" s="76"/>
      <c r="D3251" s="4"/>
      <c r="E3251" s="76"/>
      <c r="F3251" s="52"/>
      <c r="G3251" s="4"/>
      <c r="H3251" s="4"/>
      <c r="K3251" s="4"/>
      <c r="L3251" s="4"/>
    </row>
    <row r="3252">
      <c r="A3252" s="55" t="s">
        <v>13581</v>
      </c>
      <c r="B3252" s="52" t="s">
        <v>1611</v>
      </c>
      <c r="C3252" s="76">
        <v>46051.75</v>
      </c>
      <c r="D3252" s="7" t="s">
        <v>2147</v>
      </c>
      <c r="E3252" s="76">
        <v>46051.791666666664</v>
      </c>
      <c r="F3252" s="52" t="s">
        <v>1611</v>
      </c>
      <c r="G3252" s="4" t="s">
        <v>27</v>
      </c>
      <c r="H3252" s="4" t="s">
        <v>1987</v>
      </c>
      <c r="K3252" s="4" t="s">
        <v>13582</v>
      </c>
      <c r="L3252" s="4"/>
    </row>
    <row r="3253">
      <c r="A3253" s="55" t="s">
        <v>13583</v>
      </c>
      <c r="B3253" s="52" t="s">
        <v>6057</v>
      </c>
      <c r="C3253" s="76">
        <v>46052.354166666664</v>
      </c>
      <c r="D3253" s="7" t="s">
        <v>2147</v>
      </c>
      <c r="E3253" s="76">
        <v>46052.395833333336</v>
      </c>
      <c r="F3253" s="52" t="s">
        <v>13584</v>
      </c>
      <c r="G3253" s="4" t="s">
        <v>27</v>
      </c>
      <c r="H3253" s="4" t="s">
        <v>1987</v>
      </c>
      <c r="K3253" s="4" t="s">
        <v>13585</v>
      </c>
      <c r="L3253" s="4" t="s">
        <v>13586</v>
      </c>
    </row>
    <row r="3254">
      <c r="A3254" s="55" t="s">
        <v>13587</v>
      </c>
      <c r="B3254" s="52" t="s">
        <v>1657</v>
      </c>
      <c r="C3254" s="76">
        <v>46052.395833333336</v>
      </c>
      <c r="D3254" s="7" t="s">
        <v>2147</v>
      </c>
      <c r="E3254" s="76">
        <v>46052.5</v>
      </c>
      <c r="F3254" s="52" t="s">
        <v>13588</v>
      </c>
      <c r="G3254" s="4" t="s">
        <v>27</v>
      </c>
      <c r="H3254" s="4" t="s">
        <v>1987</v>
      </c>
      <c r="K3254" s="4"/>
      <c r="L3254" s="4" t="s">
        <v>13589</v>
      </c>
    </row>
    <row r="3255">
      <c r="A3255" s="55" t="s">
        <v>13590</v>
      </c>
      <c r="B3255" s="52" t="s">
        <v>1657</v>
      </c>
      <c r="C3255" s="76">
        <v>46052.5</v>
      </c>
      <c r="D3255" s="7" t="s">
        <v>2147</v>
      </c>
      <c r="E3255" s="76">
        <v>46052.541666666664</v>
      </c>
      <c r="F3255" s="52" t="s">
        <v>13591</v>
      </c>
      <c r="G3255" s="4" t="s">
        <v>27</v>
      </c>
      <c r="H3255" s="4" t="s">
        <v>1991</v>
      </c>
      <c r="K3255" s="4" t="s">
        <v>13592</v>
      </c>
      <c r="L3255" s="4"/>
    </row>
    <row r="3256">
      <c r="A3256" s="55" t="s">
        <v>13593</v>
      </c>
      <c r="B3256" s="52" t="s">
        <v>1617</v>
      </c>
      <c r="C3256" s="76">
        <v>46052.541666666664</v>
      </c>
      <c r="D3256" s="7" t="s">
        <v>2147</v>
      </c>
      <c r="E3256" s="76">
        <v>46052.625</v>
      </c>
      <c r="F3256" s="52" t="s">
        <v>13594</v>
      </c>
      <c r="G3256" s="4" t="s">
        <v>27</v>
      </c>
      <c r="H3256" s="4" t="s">
        <v>1987</v>
      </c>
      <c r="K3256" s="4" t="s">
        <v>13595</v>
      </c>
      <c r="L3256" s="4" t="s">
        <v>13596</v>
      </c>
    </row>
    <row r="3257">
      <c r="A3257" s="55"/>
      <c r="B3257" s="52"/>
      <c r="C3257" s="76"/>
      <c r="D3257" s="4"/>
      <c r="E3257" s="76"/>
      <c r="F3257" s="52"/>
      <c r="G3257" s="4"/>
      <c r="H3257" s="4"/>
      <c r="K3257" s="4"/>
      <c r="L3257" s="4"/>
    </row>
    <row r="3258">
      <c r="A3258" s="55" t="s">
        <v>13597</v>
      </c>
      <c r="B3258" s="52" t="s">
        <v>1617</v>
      </c>
      <c r="C3258" s="76">
        <v>46055.5625</v>
      </c>
      <c r="D3258" s="7" t="s">
        <v>2147</v>
      </c>
      <c r="E3258" s="76">
        <v>46055.59722222222</v>
      </c>
      <c r="F3258" s="52" t="s">
        <v>13598</v>
      </c>
      <c r="G3258" s="4" t="s">
        <v>110</v>
      </c>
      <c r="H3258" s="4" t="s">
        <v>1991</v>
      </c>
      <c r="K3258" s="4" t="s">
        <v>13599</v>
      </c>
      <c r="L3258" s="4" t="s">
        <v>13600</v>
      </c>
    </row>
    <row r="3259">
      <c r="A3259" s="55" t="s">
        <v>13601</v>
      </c>
      <c r="B3259" s="52" t="s">
        <v>1617</v>
      </c>
      <c r="C3259" s="76">
        <v>46052.625</v>
      </c>
      <c r="D3259" s="7" t="s">
        <v>2154</v>
      </c>
      <c r="E3259" s="76">
        <v>46052.770833333336</v>
      </c>
      <c r="F3259" s="52" t="s">
        <v>13424</v>
      </c>
      <c r="G3259" s="4" t="s">
        <v>135</v>
      </c>
      <c r="H3259" s="4" t="s">
        <v>1987</v>
      </c>
      <c r="K3259" s="4" t="s">
        <v>13602</v>
      </c>
      <c r="L3259" s="4" t="s">
        <v>13603</v>
      </c>
    </row>
    <row r="3260">
      <c r="A3260" s="55"/>
      <c r="B3260" s="52"/>
      <c r="C3260" s="76"/>
      <c r="D3260" s="4"/>
      <c r="E3260" s="76"/>
      <c r="F3260" s="52"/>
      <c r="G3260" s="4"/>
      <c r="H3260" s="4"/>
      <c r="K3260" s="4"/>
      <c r="L3260" s="4"/>
    </row>
    <row r="3261">
      <c r="A3261" s="55" t="s">
        <v>13604</v>
      </c>
      <c r="B3261" s="52" t="s">
        <v>1657</v>
      </c>
      <c r="C3261" s="76">
        <v>46052.625</v>
      </c>
      <c r="D3261" s="7" t="s">
        <v>6318</v>
      </c>
      <c r="E3261" s="76">
        <v>46052.645833333336</v>
      </c>
      <c r="F3261" s="52" t="s">
        <v>13605</v>
      </c>
      <c r="G3261" s="4" t="s">
        <v>27</v>
      </c>
      <c r="H3261" s="4" t="s">
        <v>1987</v>
      </c>
      <c r="K3261" s="4" t="s">
        <v>13606</v>
      </c>
      <c r="L3261" s="4"/>
    </row>
    <row r="3262">
      <c r="A3262" s="55" t="s">
        <v>13607</v>
      </c>
      <c r="B3262" s="52" t="s">
        <v>1611</v>
      </c>
      <c r="C3262" s="76">
        <v>46052.75</v>
      </c>
      <c r="D3262" s="7" t="s">
        <v>2154</v>
      </c>
      <c r="E3262" s="76">
        <v>46052.895833333336</v>
      </c>
      <c r="F3262" s="52" t="s">
        <v>10818</v>
      </c>
      <c r="G3262" s="4" t="s">
        <v>27</v>
      </c>
      <c r="H3262" s="4" t="s">
        <v>1987</v>
      </c>
      <c r="K3262" s="4" t="s">
        <v>13608</v>
      </c>
      <c r="L3262" s="4" t="s">
        <v>13609</v>
      </c>
    </row>
    <row r="3263">
      <c r="A3263" s="55" t="s">
        <v>13610</v>
      </c>
      <c r="B3263" s="52" t="s">
        <v>1611</v>
      </c>
      <c r="C3263" s="76">
        <v>46053.75625</v>
      </c>
      <c r="D3263" s="7" t="s">
        <v>2147</v>
      </c>
      <c r="E3263" s="76">
        <v>46053.822916666664</v>
      </c>
      <c r="F3263" s="52" t="s">
        <v>10818</v>
      </c>
      <c r="G3263" s="4" t="s">
        <v>27</v>
      </c>
      <c r="H3263" s="4" t="s">
        <v>1987</v>
      </c>
      <c r="K3263" s="4" t="s">
        <v>13611</v>
      </c>
      <c r="L3263" s="4" t="s">
        <v>13612</v>
      </c>
    </row>
    <row r="3264">
      <c r="A3264" s="55" t="s">
        <v>13613</v>
      </c>
      <c r="B3264" s="52" t="s">
        <v>1611</v>
      </c>
      <c r="C3264" s="76">
        <v>46055.354166666664</v>
      </c>
      <c r="D3264" s="7" t="s">
        <v>2200</v>
      </c>
      <c r="E3264" s="76">
        <v>46055.541666666664</v>
      </c>
      <c r="F3264" s="52" t="s">
        <v>1611</v>
      </c>
      <c r="G3264" s="4" t="s">
        <v>27</v>
      </c>
      <c r="H3264" s="4" t="s">
        <v>1987</v>
      </c>
      <c r="K3264" s="4" t="s">
        <v>13614</v>
      </c>
      <c r="L3264" s="4" t="s">
        <v>13615</v>
      </c>
    </row>
    <row r="3265">
      <c r="A3265" s="55"/>
      <c r="B3265" s="52"/>
      <c r="C3265" s="76"/>
      <c r="D3265" s="4"/>
      <c r="E3265" s="76"/>
      <c r="F3265" s="52"/>
      <c r="G3265" s="4"/>
      <c r="H3265" s="4"/>
      <c r="K3265" s="4"/>
      <c r="L3265" s="4"/>
    </row>
    <row r="3266">
      <c r="A3266" s="55" t="s">
        <v>13616</v>
      </c>
      <c r="B3266" s="52" t="s">
        <v>5625</v>
      </c>
      <c r="C3266" s="76">
        <v>46057.458333333336</v>
      </c>
      <c r="D3266" s="7" t="s">
        <v>2147</v>
      </c>
      <c r="E3266" s="76">
        <v>46057.5</v>
      </c>
      <c r="F3266" s="52" t="s">
        <v>13617</v>
      </c>
      <c r="G3266" s="4" t="s">
        <v>27</v>
      </c>
      <c r="H3266" s="4" t="s">
        <v>1991</v>
      </c>
      <c r="K3266" s="4"/>
      <c r="L3266" s="4" t="s">
        <v>13618</v>
      </c>
    </row>
    <row r="3267">
      <c r="A3267" s="55" t="s">
        <v>13619</v>
      </c>
      <c r="B3267" s="52" t="s">
        <v>6057</v>
      </c>
      <c r="C3267" s="76">
        <v>46055.604166666664</v>
      </c>
      <c r="D3267" s="7" t="s">
        <v>2154</v>
      </c>
      <c r="E3267" s="76">
        <v>46055.791666666664</v>
      </c>
      <c r="F3267" s="52" t="s">
        <v>7460</v>
      </c>
      <c r="G3267" s="4" t="s">
        <v>27</v>
      </c>
      <c r="H3267" s="4" t="s">
        <v>1987</v>
      </c>
      <c r="K3267" s="4" t="s">
        <v>13620</v>
      </c>
      <c r="L3267" s="4"/>
    </row>
    <row r="3268">
      <c r="A3268" s="55" t="s">
        <v>13621</v>
      </c>
      <c r="B3268" s="52" t="s">
        <v>1611</v>
      </c>
      <c r="C3268" s="76">
        <v>46056.375</v>
      </c>
      <c r="D3268" s="7" t="s">
        <v>2147</v>
      </c>
      <c r="E3268" s="76">
        <v>46056.59722222222</v>
      </c>
      <c r="F3268" s="52" t="s">
        <v>13622</v>
      </c>
      <c r="G3268" s="4" t="s">
        <v>27</v>
      </c>
      <c r="H3268" s="4" t="s">
        <v>1987</v>
      </c>
      <c r="K3268" s="4"/>
      <c r="L3268" s="4" t="s">
        <v>13623</v>
      </c>
    </row>
    <row r="3269">
      <c r="A3269" s="55" t="s">
        <v>13624</v>
      </c>
      <c r="B3269" s="52" t="s">
        <v>6057</v>
      </c>
      <c r="C3269" s="76">
        <v>46056.59722222222</v>
      </c>
      <c r="D3269" s="7" t="s">
        <v>6052</v>
      </c>
      <c r="E3269" s="76">
        <v>46056.708333333336</v>
      </c>
      <c r="F3269" s="52" t="s">
        <v>7460</v>
      </c>
      <c r="G3269" s="4" t="s">
        <v>27</v>
      </c>
      <c r="H3269" s="4" t="s">
        <v>1987</v>
      </c>
      <c r="K3269" s="4"/>
      <c r="L3269" s="4" t="s">
        <v>13625</v>
      </c>
    </row>
    <row r="3270">
      <c r="A3270" s="55" t="s">
        <v>13626</v>
      </c>
      <c r="B3270" s="52" t="s">
        <v>5656</v>
      </c>
      <c r="C3270" s="76">
        <v>46058.541666666664</v>
      </c>
      <c r="D3270" s="7" t="s">
        <v>6052</v>
      </c>
      <c r="E3270" s="76">
        <v>46058.729166666664</v>
      </c>
      <c r="F3270" s="52" t="s">
        <v>6231</v>
      </c>
      <c r="G3270" s="4" t="s">
        <v>27</v>
      </c>
      <c r="H3270" s="4" t="s">
        <v>1987</v>
      </c>
      <c r="K3270" s="4" t="s">
        <v>13627</v>
      </c>
      <c r="L3270" s="4" t="s">
        <v>13628</v>
      </c>
    </row>
    <row r="3271">
      <c r="A3271" s="55" t="s">
        <v>13629</v>
      </c>
      <c r="B3271" s="52" t="s">
        <v>5647</v>
      </c>
      <c r="C3271" s="76">
        <v>46058.375</v>
      </c>
      <c r="D3271" s="7" t="s">
        <v>2147</v>
      </c>
      <c r="E3271" s="76">
        <v>46058.458333333336</v>
      </c>
      <c r="F3271" s="52" t="s">
        <v>13630</v>
      </c>
      <c r="G3271" s="4" t="s">
        <v>27</v>
      </c>
      <c r="H3271" s="4" t="s">
        <v>1987</v>
      </c>
      <c r="K3271" s="4" t="s">
        <v>13631</v>
      </c>
      <c r="L3271" s="4" t="s">
        <v>13632</v>
      </c>
    </row>
    <row r="3272">
      <c r="A3272" s="55" t="s">
        <v>13633</v>
      </c>
      <c r="B3272" s="52" t="s">
        <v>5790</v>
      </c>
      <c r="C3272" s="76">
        <v>46056.708333333336</v>
      </c>
      <c r="D3272" s="7" t="s">
        <v>2147</v>
      </c>
      <c r="E3272" s="76">
        <v>46056.75</v>
      </c>
      <c r="F3272" s="52" t="s">
        <v>13634</v>
      </c>
      <c r="G3272" s="4" t="s">
        <v>27</v>
      </c>
      <c r="H3272" s="4" t="s">
        <v>1987</v>
      </c>
      <c r="K3272" s="4" t="s">
        <v>13635</v>
      </c>
      <c r="L3272" s="4" t="s">
        <v>13636</v>
      </c>
    </row>
    <row r="3273">
      <c r="A3273" s="55" t="s">
        <v>13637</v>
      </c>
      <c r="B3273" s="52" t="s">
        <v>6057</v>
      </c>
      <c r="C3273" s="76">
        <v>46056.75</v>
      </c>
      <c r="D3273" s="7" t="s">
        <v>2147</v>
      </c>
      <c r="E3273" s="76">
        <v>46056.791666666664</v>
      </c>
      <c r="F3273" s="52" t="s">
        <v>13638</v>
      </c>
      <c r="G3273" s="4" t="s">
        <v>27</v>
      </c>
      <c r="H3273" s="4" t="s">
        <v>1987</v>
      </c>
      <c r="K3273" s="4" t="s">
        <v>13639</v>
      </c>
      <c r="L3273" s="4" t="s">
        <v>13640</v>
      </c>
    </row>
    <row r="3274">
      <c r="A3274" s="55"/>
      <c r="B3274" s="52"/>
      <c r="C3274" s="76"/>
      <c r="D3274" s="4"/>
      <c r="E3274" s="76"/>
      <c r="F3274" s="52"/>
      <c r="G3274" s="4"/>
      <c r="H3274" s="4"/>
      <c r="K3274" s="4"/>
      <c r="L3274" s="4"/>
    </row>
    <row r="3275">
      <c r="A3275" s="55" t="s">
        <v>13641</v>
      </c>
      <c r="B3275" s="52" t="s">
        <v>5628</v>
      </c>
      <c r="C3275" s="76">
        <v>46056.333333333336</v>
      </c>
      <c r="D3275" s="7" t="s">
        <v>2147</v>
      </c>
      <c r="E3275" s="76">
        <v>46056.364583333336</v>
      </c>
      <c r="F3275" s="52" t="s">
        <v>13642</v>
      </c>
      <c r="G3275" s="4" t="s">
        <v>110</v>
      </c>
      <c r="H3275" s="4" t="s">
        <v>1987</v>
      </c>
      <c r="K3275" s="4" t="s">
        <v>13643</v>
      </c>
      <c r="L3275" s="4"/>
    </row>
    <row r="3276">
      <c r="A3276" s="55" t="s">
        <v>13644</v>
      </c>
      <c r="B3276" s="52" t="s">
        <v>5625</v>
      </c>
      <c r="C3276" s="76">
        <v>46056.583333333336</v>
      </c>
      <c r="D3276" s="7" t="s">
        <v>2154</v>
      </c>
      <c r="E3276" s="76">
        <v>46056.666666666664</v>
      </c>
      <c r="F3276" s="52" t="s">
        <v>13571</v>
      </c>
      <c r="G3276" s="4" t="s">
        <v>135</v>
      </c>
      <c r="H3276" s="4" t="s">
        <v>1987</v>
      </c>
      <c r="K3276" s="4" t="s">
        <v>13645</v>
      </c>
      <c r="L3276" s="4" t="s">
        <v>13573</v>
      </c>
    </row>
    <row r="3277">
      <c r="A3277" s="55" t="s">
        <v>13646</v>
      </c>
      <c r="B3277" s="52" t="s">
        <v>5625</v>
      </c>
      <c r="C3277" s="76">
        <v>46059.583333333336</v>
      </c>
      <c r="D3277" s="7" t="s">
        <v>2147</v>
      </c>
      <c r="E3277" s="76">
        <v>46059.645833333336</v>
      </c>
      <c r="F3277" s="52" t="s">
        <v>13647</v>
      </c>
      <c r="G3277" s="4" t="s">
        <v>135</v>
      </c>
      <c r="H3277" s="4" t="s">
        <v>1991</v>
      </c>
      <c r="K3277" s="4" t="s">
        <v>13648</v>
      </c>
      <c r="L3277" s="4" t="s">
        <v>13649</v>
      </c>
    </row>
    <row r="3278">
      <c r="A3278" s="55" t="s">
        <v>13650</v>
      </c>
      <c r="B3278" s="52" t="s">
        <v>5795</v>
      </c>
      <c r="C3278" s="76">
        <v>46057.583333333336</v>
      </c>
      <c r="D3278" s="7" t="s">
        <v>2154</v>
      </c>
      <c r="E3278" s="76">
        <v>46057.625</v>
      </c>
      <c r="F3278" s="52" t="s">
        <v>13571</v>
      </c>
      <c r="G3278" s="4" t="s">
        <v>135</v>
      </c>
      <c r="H3278" s="4" t="s">
        <v>1987</v>
      </c>
      <c r="K3278" s="4" t="s">
        <v>13651</v>
      </c>
      <c r="L3278" s="4" t="s">
        <v>13652</v>
      </c>
    </row>
    <row r="3279">
      <c r="A3279" s="55" t="s">
        <v>13653</v>
      </c>
      <c r="B3279" s="52" t="s">
        <v>5628</v>
      </c>
      <c r="C3279" s="76">
        <v>46058.458333333336</v>
      </c>
      <c r="D3279" s="7" t="s">
        <v>2147</v>
      </c>
      <c r="E3279" s="76">
        <v>46058.5</v>
      </c>
      <c r="F3279" s="52" t="s">
        <v>13654</v>
      </c>
      <c r="G3279" s="4" t="s">
        <v>27</v>
      </c>
      <c r="H3279" s="4" t="s">
        <v>1991</v>
      </c>
      <c r="K3279" s="4" t="s">
        <v>13655</v>
      </c>
      <c r="L3279" s="4"/>
    </row>
    <row r="3280">
      <c r="A3280" s="55" t="s">
        <v>13656</v>
      </c>
      <c r="B3280" s="52" t="s">
        <v>1611</v>
      </c>
      <c r="C3280" s="76">
        <v>46057.541666666664</v>
      </c>
      <c r="D3280" s="7" t="s">
        <v>2147</v>
      </c>
      <c r="E3280" s="76">
        <v>46057.583333333336</v>
      </c>
      <c r="F3280" s="52" t="s">
        <v>11617</v>
      </c>
      <c r="G3280" s="4" t="s">
        <v>27</v>
      </c>
      <c r="H3280" s="4" t="s">
        <v>1991</v>
      </c>
      <c r="K3280" s="4" t="s">
        <v>13657</v>
      </c>
      <c r="L3280" s="4" t="s">
        <v>13658</v>
      </c>
    </row>
    <row r="3281">
      <c r="A3281" s="55"/>
      <c r="B3281" s="52"/>
      <c r="C3281" s="76"/>
      <c r="D3281" s="4"/>
      <c r="E3281" s="76"/>
      <c r="F3281" s="52"/>
      <c r="G3281" s="4"/>
      <c r="H3281" s="4"/>
      <c r="K3281" s="4"/>
      <c r="L3281" s="4"/>
    </row>
    <row r="3282">
      <c r="A3282" s="55" t="s">
        <v>13659</v>
      </c>
      <c r="B3282" s="52" t="s">
        <v>5790</v>
      </c>
      <c r="C3282" s="76">
        <v>46059.6875</v>
      </c>
      <c r="D3282" s="7" t="s">
        <v>2147</v>
      </c>
      <c r="E3282" s="76">
        <v>46059.729166666664</v>
      </c>
      <c r="F3282" s="52" t="s">
        <v>9830</v>
      </c>
      <c r="G3282" s="4" t="s">
        <v>27</v>
      </c>
      <c r="H3282" s="4" t="s">
        <v>1991</v>
      </c>
      <c r="K3282" s="4" t="s">
        <v>13660</v>
      </c>
      <c r="L3282" s="4"/>
    </row>
    <row r="3283">
      <c r="A3283" s="55"/>
      <c r="B3283" s="52"/>
      <c r="C3283" s="76"/>
      <c r="D3283" s="4"/>
      <c r="E3283" s="76"/>
      <c r="F3283" s="52"/>
      <c r="G3283" s="4"/>
      <c r="H3283" s="4"/>
      <c r="K3283" s="4"/>
      <c r="L3283" s="4"/>
    </row>
    <row r="3284">
      <c r="A3284" s="55" t="s">
        <v>13661</v>
      </c>
      <c r="B3284" s="52" t="s">
        <v>5675</v>
      </c>
      <c r="C3284" s="76">
        <v>46057.333333333336</v>
      </c>
      <c r="D3284" s="7" t="s">
        <v>2154</v>
      </c>
      <c r="E3284" s="76">
        <v>46057.5625</v>
      </c>
      <c r="F3284" s="52" t="s">
        <v>13552</v>
      </c>
      <c r="G3284" s="4" t="s">
        <v>110</v>
      </c>
      <c r="H3284" s="4" t="s">
        <v>1987</v>
      </c>
      <c r="K3284" s="4" t="s">
        <v>13662</v>
      </c>
      <c r="L3284" s="4" t="s">
        <v>13663</v>
      </c>
    </row>
    <row r="3285">
      <c r="A3285" s="55" t="s">
        <v>13664</v>
      </c>
      <c r="B3285" s="52" t="s">
        <v>5628</v>
      </c>
      <c r="C3285" s="76">
        <v>46058.458333333336</v>
      </c>
      <c r="D3285" s="7" t="s">
        <v>2147</v>
      </c>
      <c r="E3285" s="76">
        <v>46058.5</v>
      </c>
      <c r="F3285" s="52" t="s">
        <v>9513</v>
      </c>
      <c r="G3285" s="4" t="s">
        <v>110</v>
      </c>
      <c r="H3285" s="4" t="s">
        <v>1991</v>
      </c>
      <c r="K3285" s="4" t="s">
        <v>13665</v>
      </c>
      <c r="L3285" s="4"/>
    </row>
    <row r="3286">
      <c r="A3286" s="55" t="s">
        <v>13666</v>
      </c>
      <c r="B3286" s="52" t="s">
        <v>5675</v>
      </c>
      <c r="C3286" s="76">
        <v>46057.59722222222</v>
      </c>
      <c r="D3286" s="7" t="s">
        <v>6318</v>
      </c>
      <c r="E3286" s="76">
        <v>46057.625</v>
      </c>
      <c r="F3286" s="52" t="s">
        <v>13667</v>
      </c>
      <c r="G3286" s="4" t="s">
        <v>110</v>
      </c>
      <c r="H3286" s="4" t="s">
        <v>1987</v>
      </c>
      <c r="K3286" s="4" t="s">
        <v>13668</v>
      </c>
      <c r="L3286" s="4"/>
    </row>
    <row r="3287">
      <c r="A3287" s="55" t="s">
        <v>13669</v>
      </c>
      <c r="B3287" s="52" t="s">
        <v>5625</v>
      </c>
      <c r="C3287" s="76">
        <v>46057.625</v>
      </c>
      <c r="D3287" s="7" t="s">
        <v>6318</v>
      </c>
      <c r="E3287" s="76">
        <v>46057.645833333336</v>
      </c>
      <c r="F3287" s="52" t="s">
        <v>6517</v>
      </c>
      <c r="G3287" s="4" t="s">
        <v>135</v>
      </c>
      <c r="H3287" s="4" t="s">
        <v>1991</v>
      </c>
      <c r="K3287" s="4" t="s">
        <v>13670</v>
      </c>
      <c r="L3287" s="4"/>
    </row>
    <row r="3288">
      <c r="A3288" s="55" t="s">
        <v>13671</v>
      </c>
      <c r="B3288" s="52" t="s">
        <v>5795</v>
      </c>
      <c r="C3288" s="76">
        <v>46057.645833333336</v>
      </c>
      <c r="D3288" s="7" t="s">
        <v>2154</v>
      </c>
      <c r="E3288" s="76">
        <v>46057.75</v>
      </c>
      <c r="F3288" s="52" t="s">
        <v>13672</v>
      </c>
      <c r="G3288" s="4" t="s">
        <v>135</v>
      </c>
      <c r="H3288" s="4" t="s">
        <v>1987</v>
      </c>
      <c r="K3288" s="4" t="s">
        <v>13673</v>
      </c>
      <c r="L3288" s="4" t="s">
        <v>13674</v>
      </c>
    </row>
    <row r="3289">
      <c r="A3289" s="55" t="s">
        <v>13675</v>
      </c>
      <c r="B3289" s="52" t="s">
        <v>5625</v>
      </c>
      <c r="C3289" s="76">
        <v>46058.583333333336</v>
      </c>
      <c r="D3289" s="7" t="s">
        <v>2154</v>
      </c>
      <c r="E3289" s="76">
        <v>46058.666666666664</v>
      </c>
      <c r="F3289" s="52" t="s">
        <v>13676</v>
      </c>
      <c r="G3289" s="4" t="s">
        <v>135</v>
      </c>
      <c r="H3289" s="4" t="s">
        <v>1987</v>
      </c>
      <c r="K3289" s="4" t="s">
        <v>13677</v>
      </c>
      <c r="L3289" s="4" t="s">
        <v>13573</v>
      </c>
    </row>
    <row r="3290">
      <c r="A3290" s="66" t="s">
        <v>13678</v>
      </c>
      <c r="B3290" s="52" t="s">
        <v>5798</v>
      </c>
      <c r="C3290" s="76">
        <v>46057.375</v>
      </c>
      <c r="D3290" s="7" t="s">
        <v>2147</v>
      </c>
      <c r="E3290" s="76">
        <v>46057.416666666664</v>
      </c>
      <c r="F3290" s="52" t="s">
        <v>13679</v>
      </c>
      <c r="G3290" s="4" t="s">
        <v>27</v>
      </c>
      <c r="H3290" s="4" t="s">
        <v>1987</v>
      </c>
      <c r="K3290" s="4" t="s">
        <v>13680</v>
      </c>
      <c r="L3290" s="4"/>
    </row>
    <row r="3291">
      <c r="A3291" s="55" t="s">
        <v>13681</v>
      </c>
      <c r="B3291" s="52" t="s">
        <v>5675</v>
      </c>
      <c r="C3291" s="76">
        <v>46057.416666666664</v>
      </c>
      <c r="D3291" s="7" t="s">
        <v>2147</v>
      </c>
      <c r="E3291" s="76">
        <v>46057.458333333336</v>
      </c>
      <c r="F3291" s="52" t="s">
        <v>13682</v>
      </c>
      <c r="G3291" s="4" t="s">
        <v>27</v>
      </c>
      <c r="H3291" s="4" t="s">
        <v>1987</v>
      </c>
      <c r="K3291" s="4" t="s">
        <v>13683</v>
      </c>
      <c r="L3291" s="4"/>
    </row>
    <row r="3292">
      <c r="A3292" s="55" t="s">
        <v>13684</v>
      </c>
      <c r="B3292" s="52" t="s">
        <v>1611</v>
      </c>
      <c r="C3292" s="76">
        <v>46057.5</v>
      </c>
      <c r="D3292" s="7" t="s">
        <v>2154</v>
      </c>
      <c r="E3292" s="76">
        <v>46057.541666666664</v>
      </c>
      <c r="F3292" s="52" t="s">
        <v>13685</v>
      </c>
      <c r="G3292" s="4" t="s">
        <v>27</v>
      </c>
      <c r="H3292" s="4" t="s">
        <v>1987</v>
      </c>
      <c r="K3292" s="4" t="s">
        <v>13686</v>
      </c>
      <c r="L3292" s="4"/>
    </row>
    <row r="3293">
      <c r="A3293" s="68" t="s">
        <v>13687</v>
      </c>
      <c r="B3293" s="69" t="s">
        <v>5675</v>
      </c>
      <c r="C3293" s="70">
        <v>46054.0</v>
      </c>
      <c r="D3293" s="71"/>
      <c r="E3293" s="70">
        <v>46054.125</v>
      </c>
      <c r="F3293" s="69" t="s">
        <v>10321</v>
      </c>
      <c r="G3293" s="72" t="s">
        <v>5795</v>
      </c>
      <c r="H3293" s="4"/>
      <c r="K3293" s="4"/>
      <c r="L3293" s="4"/>
    </row>
    <row r="3294">
      <c r="A3294" s="68" t="s">
        <v>13688</v>
      </c>
      <c r="B3294" s="69" t="s">
        <v>5625</v>
      </c>
      <c r="C3294" s="70">
        <v>46054.0</v>
      </c>
      <c r="D3294" s="71"/>
      <c r="E3294" s="70">
        <v>46054.166666666664</v>
      </c>
      <c r="F3294" s="69" t="s">
        <v>10321</v>
      </c>
      <c r="G3294" s="72" t="s">
        <v>5795</v>
      </c>
      <c r="H3294" s="4"/>
      <c r="K3294" s="4"/>
      <c r="L3294" s="4"/>
    </row>
    <row r="3295">
      <c r="A3295" s="68" t="s">
        <v>13689</v>
      </c>
      <c r="B3295" s="69" t="s">
        <v>5790</v>
      </c>
      <c r="C3295" s="70">
        <v>46054.0</v>
      </c>
      <c r="D3295" s="71"/>
      <c r="E3295" s="70">
        <v>46054.291666666664</v>
      </c>
      <c r="F3295" s="69" t="s">
        <v>10321</v>
      </c>
      <c r="G3295" s="72" t="s">
        <v>5795</v>
      </c>
      <c r="H3295" s="4"/>
      <c r="K3295" s="4"/>
      <c r="L3295" s="4"/>
    </row>
    <row r="3296">
      <c r="A3296" s="68" t="s">
        <v>13690</v>
      </c>
      <c r="B3296" s="69" t="s">
        <v>5656</v>
      </c>
      <c r="C3296" s="75">
        <v>46054.0</v>
      </c>
      <c r="D3296" s="74"/>
      <c r="E3296" s="75">
        <v>46054.5</v>
      </c>
      <c r="F3296" s="69" t="s">
        <v>10321</v>
      </c>
      <c r="G3296" s="72" t="s">
        <v>5795</v>
      </c>
      <c r="H3296" s="4"/>
      <c r="K3296" s="4"/>
      <c r="L3296" s="4"/>
    </row>
    <row r="3297">
      <c r="A3297" s="68" t="s">
        <v>13691</v>
      </c>
      <c r="B3297" s="69" t="s">
        <v>5729</v>
      </c>
      <c r="C3297" s="75">
        <v>46054.0</v>
      </c>
      <c r="D3297" s="74"/>
      <c r="E3297" s="75">
        <v>46054.083333333336</v>
      </c>
      <c r="F3297" s="69" t="s">
        <v>10321</v>
      </c>
      <c r="G3297" s="72" t="s">
        <v>5795</v>
      </c>
      <c r="H3297" s="4"/>
      <c r="K3297" s="4"/>
      <c r="L3297" s="4"/>
    </row>
    <row r="3298">
      <c r="A3298" s="68" t="s">
        <v>13692</v>
      </c>
      <c r="B3298" s="69" t="s">
        <v>1611</v>
      </c>
      <c r="C3298" s="75">
        <v>46054.0</v>
      </c>
      <c r="D3298" s="74"/>
      <c r="E3298" s="75">
        <v>46054.333333333336</v>
      </c>
      <c r="F3298" s="69" t="s">
        <v>10321</v>
      </c>
      <c r="G3298" s="72" t="s">
        <v>5795</v>
      </c>
      <c r="H3298" s="4"/>
      <c r="K3298" s="4"/>
      <c r="L3298" s="4"/>
    </row>
    <row r="3299">
      <c r="A3299" s="68" t="s">
        <v>13693</v>
      </c>
      <c r="B3299" s="69" t="s">
        <v>1617</v>
      </c>
      <c r="C3299" s="75">
        <v>46054.0</v>
      </c>
      <c r="D3299" s="74"/>
      <c r="E3299" s="75">
        <v>46054.125</v>
      </c>
      <c r="F3299" s="69" t="s">
        <v>10321</v>
      </c>
      <c r="G3299" s="72" t="s">
        <v>5795</v>
      </c>
      <c r="H3299" s="4"/>
      <c r="K3299" s="4"/>
      <c r="L3299" s="4"/>
    </row>
    <row r="3300">
      <c r="A3300" s="68" t="s">
        <v>13693</v>
      </c>
      <c r="B3300" s="68" t="s">
        <v>5647</v>
      </c>
      <c r="C3300" s="75">
        <v>46054.0</v>
      </c>
      <c r="D3300" s="74"/>
      <c r="E3300" s="75">
        <v>46054.125</v>
      </c>
      <c r="F3300" s="69" t="s">
        <v>10321</v>
      </c>
      <c r="G3300" s="72" t="s">
        <v>5795</v>
      </c>
      <c r="H3300" s="4"/>
      <c r="K3300" s="4"/>
      <c r="L3300" s="4"/>
    </row>
    <row r="3301">
      <c r="A3301" s="55" t="s">
        <v>13694</v>
      </c>
      <c r="B3301" s="4" t="s">
        <v>5801</v>
      </c>
      <c r="C3301" s="76">
        <v>46058.333333333336</v>
      </c>
      <c r="D3301" s="7" t="s">
        <v>2147</v>
      </c>
      <c r="E3301" s="76">
        <v>46058.375</v>
      </c>
      <c r="F3301" s="52" t="s">
        <v>13695</v>
      </c>
      <c r="G3301" s="4" t="s">
        <v>27</v>
      </c>
      <c r="H3301" s="4" t="s">
        <v>1987</v>
      </c>
      <c r="K3301" s="4" t="s">
        <v>13696</v>
      </c>
      <c r="L3301" s="4" t="s">
        <v>13697</v>
      </c>
    </row>
    <row r="3302">
      <c r="A3302" s="55" t="s">
        <v>13698</v>
      </c>
      <c r="B3302" s="52" t="s">
        <v>6057</v>
      </c>
      <c r="C3302" s="76">
        <v>46057.583333333336</v>
      </c>
      <c r="D3302" s="7" t="s">
        <v>6052</v>
      </c>
      <c r="E3302" s="76">
        <v>46057.791666666664</v>
      </c>
      <c r="F3302" s="52" t="s">
        <v>7460</v>
      </c>
      <c r="G3302" s="4" t="s">
        <v>27</v>
      </c>
      <c r="H3302" s="4" t="s">
        <v>1987</v>
      </c>
      <c r="K3302" s="4"/>
      <c r="L3302" s="4" t="s">
        <v>13699</v>
      </c>
    </row>
    <row r="3303">
      <c r="A3303" s="55" t="s">
        <v>13700</v>
      </c>
      <c r="B3303" s="52" t="s">
        <v>5675</v>
      </c>
      <c r="C3303" s="76">
        <v>46058.333333333336</v>
      </c>
      <c r="D3303" s="7" t="s">
        <v>2154</v>
      </c>
      <c r="E3303" s="76">
        <v>46058.416666666664</v>
      </c>
      <c r="F3303" s="52" t="s">
        <v>13701</v>
      </c>
      <c r="G3303" s="4" t="s">
        <v>110</v>
      </c>
      <c r="H3303" s="4" t="s">
        <v>1987</v>
      </c>
      <c r="K3303" s="4" t="s">
        <v>13662</v>
      </c>
      <c r="L3303" s="4" t="s">
        <v>13702</v>
      </c>
    </row>
    <row r="3304">
      <c r="A3304" s="55"/>
      <c r="B3304" s="52"/>
      <c r="C3304" s="76"/>
      <c r="D3304" s="4"/>
      <c r="E3304" s="76"/>
      <c r="F3304" s="52"/>
      <c r="G3304" s="4"/>
      <c r="H3304" s="4"/>
      <c r="K3304" s="4"/>
      <c r="L3304" s="4"/>
    </row>
    <row r="3305">
      <c r="A3305" s="55" t="s">
        <v>13703</v>
      </c>
      <c r="B3305" s="52" t="s">
        <v>1617</v>
      </c>
      <c r="C3305" s="76">
        <v>46063.333333333336</v>
      </c>
      <c r="D3305" s="7" t="s">
        <v>6052</v>
      </c>
      <c r="E3305" s="76">
        <v>46063.572916666664</v>
      </c>
      <c r="F3305" s="52" t="s">
        <v>13704</v>
      </c>
      <c r="G3305" s="4" t="s">
        <v>110</v>
      </c>
      <c r="H3305" s="4" t="s">
        <v>1987</v>
      </c>
      <c r="K3305" s="4" t="s">
        <v>13705</v>
      </c>
      <c r="L3305" s="4" t="s">
        <v>13706</v>
      </c>
    </row>
    <row r="3306">
      <c r="A3306" s="55"/>
      <c r="B3306" s="52"/>
      <c r="C3306" s="76"/>
      <c r="D3306" s="4"/>
      <c r="E3306" s="76"/>
      <c r="F3306" s="52"/>
      <c r="G3306" s="4"/>
      <c r="H3306" s="4"/>
      <c r="K3306" s="4"/>
      <c r="L3306" s="4"/>
    </row>
    <row r="3307">
      <c r="A3307" s="55" t="s">
        <v>13707</v>
      </c>
      <c r="B3307" s="52" t="s">
        <v>5729</v>
      </c>
      <c r="C3307" s="76">
        <v>46071.458333333336</v>
      </c>
      <c r="D3307" s="7" t="s">
        <v>6052</v>
      </c>
      <c r="E3307" s="76">
        <v>46071.572916666664</v>
      </c>
      <c r="F3307" s="52" t="s">
        <v>13708</v>
      </c>
      <c r="G3307" s="4" t="s">
        <v>110</v>
      </c>
      <c r="H3307" s="4" t="s">
        <v>1987</v>
      </c>
      <c r="K3307" s="4" t="s">
        <v>13709</v>
      </c>
      <c r="L3307" s="4" t="s">
        <v>13710</v>
      </c>
    </row>
    <row r="3308">
      <c r="A3308" s="55" t="s">
        <v>13711</v>
      </c>
      <c r="B3308" s="52" t="s">
        <v>5628</v>
      </c>
      <c r="C3308" s="76">
        <v>46058.5</v>
      </c>
      <c r="D3308" s="7" t="s">
        <v>2147</v>
      </c>
      <c r="E3308" s="76">
        <v>46058.614583333336</v>
      </c>
      <c r="F3308" s="52" t="s">
        <v>13712</v>
      </c>
      <c r="G3308" s="4" t="s">
        <v>110</v>
      </c>
      <c r="H3308" s="4" t="s">
        <v>1987</v>
      </c>
      <c r="K3308" s="4" t="s">
        <v>13713</v>
      </c>
      <c r="L3308" s="4" t="s">
        <v>13714</v>
      </c>
    </row>
    <row r="3309">
      <c r="A3309" s="55" t="s">
        <v>13715</v>
      </c>
      <c r="B3309" s="52" t="s">
        <v>5801</v>
      </c>
      <c r="C3309" s="76">
        <v>46062.333333333336</v>
      </c>
      <c r="D3309" s="7" t="s">
        <v>2200</v>
      </c>
      <c r="E3309" s="76">
        <v>46062.569444444445</v>
      </c>
      <c r="F3309" s="52" t="s">
        <v>13716</v>
      </c>
      <c r="G3309" s="4" t="s">
        <v>110</v>
      </c>
      <c r="H3309" s="4" t="s">
        <v>1987</v>
      </c>
      <c r="K3309" s="4"/>
      <c r="L3309" s="4" t="s">
        <v>13717</v>
      </c>
    </row>
    <row r="3310">
      <c r="A3310" s="55"/>
      <c r="B3310" s="52"/>
      <c r="C3310" s="76"/>
      <c r="D3310" s="4"/>
      <c r="E3310" s="76"/>
      <c r="F3310" s="52"/>
      <c r="G3310" s="4"/>
      <c r="H3310" s="4"/>
      <c r="K3310" s="4"/>
      <c r="L3310" s="4"/>
    </row>
    <row r="3311">
      <c r="A3311" s="55" t="s">
        <v>13718</v>
      </c>
      <c r="B3311" s="52" t="s">
        <v>1617</v>
      </c>
      <c r="C3311" s="76">
        <v>46064.333333333336</v>
      </c>
      <c r="D3311" s="7" t="s">
        <v>6052</v>
      </c>
      <c r="E3311" s="76">
        <v>46064.4375</v>
      </c>
      <c r="F3311" s="52" t="s">
        <v>13704</v>
      </c>
      <c r="G3311" s="4" t="s">
        <v>110</v>
      </c>
      <c r="H3311" s="4" t="s">
        <v>1987</v>
      </c>
      <c r="K3311" s="4" t="s">
        <v>13719</v>
      </c>
      <c r="L3311" s="4" t="s">
        <v>13720</v>
      </c>
    </row>
    <row r="3312">
      <c r="A3312" s="55" t="s">
        <v>13721</v>
      </c>
      <c r="B3312" s="52" t="s">
        <v>5790</v>
      </c>
      <c r="C3312" s="76">
        <v>46059.645833333336</v>
      </c>
      <c r="D3312" s="7" t="s">
        <v>2154</v>
      </c>
      <c r="E3312" s="76">
        <v>46059.75</v>
      </c>
      <c r="F3312" s="52" t="s">
        <v>13722</v>
      </c>
      <c r="G3312" s="4" t="s">
        <v>135</v>
      </c>
      <c r="H3312" s="4" t="s">
        <v>1987</v>
      </c>
      <c r="K3312" s="4"/>
      <c r="L3312" s="4" t="s">
        <v>13723</v>
      </c>
    </row>
    <row r="3313">
      <c r="A3313" s="55" t="s">
        <v>13724</v>
      </c>
      <c r="B3313" s="52" t="s">
        <v>5790</v>
      </c>
      <c r="C3313" s="76">
        <v>46060.333333333336</v>
      </c>
      <c r="D3313" s="7" t="s">
        <v>2154</v>
      </c>
      <c r="E3313" s="76">
        <v>46060.5</v>
      </c>
      <c r="F3313" s="52" t="s">
        <v>13725</v>
      </c>
      <c r="G3313" s="4" t="s">
        <v>135</v>
      </c>
      <c r="H3313" s="4" t="s">
        <v>1987</v>
      </c>
      <c r="K3313" s="4" t="s">
        <v>13726</v>
      </c>
      <c r="L3313" s="4"/>
    </row>
    <row r="3314">
      <c r="A3314" s="55" t="s">
        <v>13727</v>
      </c>
      <c r="B3314" s="52" t="s">
        <v>5790</v>
      </c>
      <c r="C3314" s="76">
        <v>46062.583333333336</v>
      </c>
      <c r="D3314" s="7" t="s">
        <v>2154</v>
      </c>
      <c r="E3314" s="76">
        <v>46062.75</v>
      </c>
      <c r="F3314" s="52" t="s">
        <v>13728</v>
      </c>
      <c r="G3314" s="4" t="s">
        <v>135</v>
      </c>
      <c r="H3314" s="4" t="s">
        <v>1987</v>
      </c>
      <c r="K3314" s="4" t="s">
        <v>13729</v>
      </c>
      <c r="L3314" s="4" t="s">
        <v>13730</v>
      </c>
    </row>
    <row r="3315">
      <c r="A3315" s="55" t="s">
        <v>13731</v>
      </c>
      <c r="B3315" s="52" t="s">
        <v>5647</v>
      </c>
      <c r="C3315" s="76">
        <v>46062.416666666664</v>
      </c>
      <c r="D3315" s="7" t="s">
        <v>6052</v>
      </c>
      <c r="E3315" s="76">
        <v>46062.5</v>
      </c>
      <c r="F3315" s="52" t="s">
        <v>13732</v>
      </c>
      <c r="G3315" s="4" t="s">
        <v>27</v>
      </c>
      <c r="H3315" s="4" t="s">
        <v>1987</v>
      </c>
      <c r="K3315" s="4" t="s">
        <v>13733</v>
      </c>
      <c r="L3315" s="4" t="s">
        <v>13734</v>
      </c>
    </row>
    <row r="3316">
      <c r="A3316" s="55"/>
      <c r="B3316" s="52"/>
      <c r="C3316" s="76"/>
      <c r="D3316" s="4"/>
      <c r="E3316" s="76"/>
      <c r="F3316" s="52"/>
      <c r="G3316" s="4"/>
      <c r="H3316" s="4"/>
      <c r="K3316" s="4"/>
      <c r="L3316" s="4"/>
    </row>
    <row r="3317">
      <c r="A3317" s="55"/>
      <c r="B3317" s="52"/>
      <c r="C3317" s="76"/>
      <c r="D3317" s="4"/>
      <c r="E3317" s="76"/>
      <c r="F3317" s="52"/>
      <c r="G3317" s="4"/>
      <c r="H3317" s="4"/>
      <c r="K3317" s="4"/>
      <c r="L3317" s="4"/>
    </row>
    <row r="3318">
      <c r="A3318" s="55" t="s">
        <v>13735</v>
      </c>
      <c r="B3318" s="52" t="s">
        <v>5801</v>
      </c>
      <c r="C3318" s="76">
        <v>46066.4375</v>
      </c>
      <c r="D3318" s="7" t="s">
        <v>2147</v>
      </c>
      <c r="E3318" s="76">
        <v>46066.5</v>
      </c>
      <c r="F3318" s="52" t="s">
        <v>13736</v>
      </c>
      <c r="G3318" s="4" t="s">
        <v>110</v>
      </c>
      <c r="H3318" s="4" t="s">
        <v>1991</v>
      </c>
      <c r="K3318" s="4"/>
      <c r="L3318" s="4" t="s">
        <v>13737</v>
      </c>
    </row>
    <row r="3319">
      <c r="A3319" s="55" t="s">
        <v>13738</v>
      </c>
      <c r="B3319" s="52" t="s">
        <v>5803</v>
      </c>
      <c r="C3319" s="76">
        <v>46064.4375</v>
      </c>
      <c r="D3319" s="7" t="s">
        <v>2147</v>
      </c>
      <c r="E3319" s="76">
        <v>46064.479166666664</v>
      </c>
      <c r="F3319" s="52" t="s">
        <v>13739</v>
      </c>
      <c r="G3319" s="4" t="s">
        <v>110</v>
      </c>
      <c r="H3319" s="4" t="s">
        <v>1991</v>
      </c>
      <c r="K3319" s="4" t="s">
        <v>13740</v>
      </c>
      <c r="L3319" s="4" t="s">
        <v>13741</v>
      </c>
    </row>
    <row r="3320">
      <c r="A3320" s="55" t="s">
        <v>13742</v>
      </c>
      <c r="B3320" s="52" t="s">
        <v>5628</v>
      </c>
      <c r="C3320" s="76">
        <v>46062.569444444445</v>
      </c>
      <c r="D3320" s="7" t="s">
        <v>6318</v>
      </c>
      <c r="E3320" s="76">
        <v>46062.583333333336</v>
      </c>
      <c r="F3320" s="52" t="s">
        <v>13743</v>
      </c>
      <c r="G3320" s="4" t="s">
        <v>110</v>
      </c>
      <c r="H3320" s="4" t="s">
        <v>1987</v>
      </c>
      <c r="K3320" s="4" t="s">
        <v>13744</v>
      </c>
      <c r="L3320" s="4"/>
    </row>
    <row r="3321">
      <c r="A3321" s="55" t="s">
        <v>13745</v>
      </c>
      <c r="B3321" s="52" t="s">
        <v>6057</v>
      </c>
      <c r="C3321" s="76">
        <v>46062.520833333336</v>
      </c>
      <c r="D3321" s="7" t="s">
        <v>2147</v>
      </c>
      <c r="E3321" s="76">
        <v>46062.625</v>
      </c>
      <c r="F3321" s="52" t="s">
        <v>13746</v>
      </c>
      <c r="G3321" s="4" t="s">
        <v>27</v>
      </c>
      <c r="H3321" s="4" t="s">
        <v>1987</v>
      </c>
      <c r="K3321" s="4" t="s">
        <v>13747</v>
      </c>
      <c r="L3321" s="4" t="s">
        <v>13748</v>
      </c>
    </row>
    <row r="3322">
      <c r="A3322" s="55" t="s">
        <v>13749</v>
      </c>
      <c r="B3322" s="52" t="s">
        <v>5798</v>
      </c>
      <c r="C3322" s="76">
        <v>46062.5</v>
      </c>
      <c r="D3322" s="7" t="s">
        <v>6318</v>
      </c>
      <c r="E3322" s="76">
        <v>46062.520833333336</v>
      </c>
      <c r="F3322" s="52" t="s">
        <v>13750</v>
      </c>
      <c r="G3322" s="4" t="s">
        <v>27</v>
      </c>
      <c r="H3322" s="4" t="s">
        <v>1987</v>
      </c>
      <c r="K3322" s="4" t="s">
        <v>13751</v>
      </c>
      <c r="L3322" s="4"/>
    </row>
    <row r="3323">
      <c r="A3323" s="55" t="s">
        <v>13752</v>
      </c>
      <c r="B3323" s="52" t="s">
        <v>5647</v>
      </c>
      <c r="C3323" s="76">
        <v>46062.625</v>
      </c>
      <c r="D3323" s="7" t="s">
        <v>6052</v>
      </c>
      <c r="E3323" s="76">
        <v>46062.6875</v>
      </c>
      <c r="F3323" s="52" t="s">
        <v>1608</v>
      </c>
      <c r="G3323" s="4" t="s">
        <v>27</v>
      </c>
      <c r="H3323" s="4" t="s">
        <v>1987</v>
      </c>
      <c r="K3323" s="4" t="s">
        <v>13753</v>
      </c>
      <c r="L3323" s="4" t="s">
        <v>13754</v>
      </c>
    </row>
    <row r="3324">
      <c r="A3324" s="55" t="s">
        <v>13755</v>
      </c>
      <c r="B3324" s="52" t="s">
        <v>5798</v>
      </c>
      <c r="C3324" s="76">
        <v>46062.333333333336</v>
      </c>
      <c r="D3324" s="4"/>
      <c r="E3324" s="76">
        <v>46062.416666666664</v>
      </c>
      <c r="F3324" s="52" t="s">
        <v>13756</v>
      </c>
      <c r="G3324" s="4" t="s">
        <v>139</v>
      </c>
      <c r="H3324" s="4" t="s">
        <v>1987</v>
      </c>
      <c r="K3324" s="4" t="s">
        <v>13757</v>
      </c>
      <c r="L3324" s="4" t="s">
        <v>13758</v>
      </c>
    </row>
    <row r="3325">
      <c r="A3325" s="55" t="s">
        <v>13759</v>
      </c>
      <c r="B3325" s="77" t="s">
        <v>5596</v>
      </c>
      <c r="C3325" s="76">
        <v>46062.416666666664</v>
      </c>
      <c r="D3325" s="4"/>
      <c r="E3325" s="76">
        <v>46062.583333333336</v>
      </c>
      <c r="F3325" s="52" t="s">
        <v>13756</v>
      </c>
      <c r="G3325" s="4" t="s">
        <v>139</v>
      </c>
      <c r="H3325" s="4" t="s">
        <v>1987</v>
      </c>
      <c r="K3325" s="4" t="s">
        <v>13757</v>
      </c>
      <c r="L3325" s="4" t="s">
        <v>13760</v>
      </c>
    </row>
    <row r="3326">
      <c r="A3326" s="55" t="s">
        <v>13761</v>
      </c>
      <c r="B3326" s="52" t="s">
        <v>5798</v>
      </c>
      <c r="C3326" s="76">
        <v>46063.333333333336</v>
      </c>
      <c r="D3326" s="4"/>
      <c r="E3326" s="76">
        <v>46063.395833333336</v>
      </c>
      <c r="F3326" s="52" t="s">
        <v>13762</v>
      </c>
      <c r="G3326" s="4" t="s">
        <v>139</v>
      </c>
      <c r="H3326" s="4" t="s">
        <v>1987</v>
      </c>
      <c r="K3326" s="4" t="s">
        <v>13763</v>
      </c>
      <c r="L3326" s="4" t="s">
        <v>13764</v>
      </c>
    </row>
    <row r="3327">
      <c r="A3327" s="55" t="s">
        <v>13765</v>
      </c>
      <c r="B3327" s="52" t="s">
        <v>5596</v>
      </c>
      <c r="C3327" s="76">
        <v>46063.5</v>
      </c>
      <c r="D3327" s="4"/>
      <c r="E3327" s="76">
        <v>46063.541666666664</v>
      </c>
      <c r="F3327" s="52" t="s">
        <v>13460</v>
      </c>
      <c r="G3327" s="4" t="s">
        <v>139</v>
      </c>
      <c r="H3327" s="4" t="s">
        <v>1987</v>
      </c>
      <c r="K3327" s="4" t="s">
        <v>13766</v>
      </c>
      <c r="L3327" s="4" t="s">
        <v>13767</v>
      </c>
    </row>
    <row r="3328">
      <c r="A3328" s="55" t="s">
        <v>13768</v>
      </c>
      <c r="B3328" s="52" t="s">
        <v>5596</v>
      </c>
      <c r="C3328" s="76">
        <v>46064.333333333336</v>
      </c>
      <c r="D3328" s="4"/>
      <c r="E3328" s="76">
        <v>46064.354166666664</v>
      </c>
      <c r="F3328" s="52" t="s">
        <v>13460</v>
      </c>
      <c r="G3328" s="4" t="s">
        <v>139</v>
      </c>
      <c r="H3328" s="4" t="s">
        <v>1987</v>
      </c>
      <c r="K3328" s="4" t="s">
        <v>13769</v>
      </c>
      <c r="L3328" s="4" t="s">
        <v>13770</v>
      </c>
    </row>
    <row r="3329">
      <c r="A3329" s="55" t="s">
        <v>13771</v>
      </c>
      <c r="B3329" s="77" t="s">
        <v>5596</v>
      </c>
      <c r="C3329" s="76">
        <v>46063.395833333336</v>
      </c>
      <c r="D3329" s="4"/>
      <c r="E3329" s="76">
        <v>46063.5</v>
      </c>
      <c r="F3329" s="52" t="s">
        <v>13762</v>
      </c>
      <c r="G3329" s="4" t="s">
        <v>139</v>
      </c>
      <c r="H3329" s="4" t="s">
        <v>1987</v>
      </c>
      <c r="K3329" s="4" t="s">
        <v>13763</v>
      </c>
      <c r="L3329" s="4" t="s">
        <v>13772</v>
      </c>
    </row>
    <row r="3330">
      <c r="A3330" s="55" t="s">
        <v>13773</v>
      </c>
      <c r="B3330" s="52" t="s">
        <v>5596</v>
      </c>
      <c r="C3330" s="76">
        <v>46064.354166666664</v>
      </c>
      <c r="D3330" s="4"/>
      <c r="E3330" s="76">
        <v>46064.416666666664</v>
      </c>
      <c r="F3330" s="52" t="s">
        <v>13774</v>
      </c>
      <c r="G3330" s="4" t="s">
        <v>139</v>
      </c>
      <c r="H3330" s="4" t="s">
        <v>1987</v>
      </c>
      <c r="K3330" s="4"/>
      <c r="L3330" s="4" t="s">
        <v>13775</v>
      </c>
    </row>
    <row r="3331">
      <c r="A3331" s="55" t="s">
        <v>13776</v>
      </c>
      <c r="B3331" s="52" t="s">
        <v>5596</v>
      </c>
      <c r="C3331" s="76">
        <v>46064.416666666664</v>
      </c>
      <c r="D3331" s="4"/>
      <c r="E3331" s="76">
        <v>46064.541666666664</v>
      </c>
      <c r="F3331" s="52" t="s">
        <v>13460</v>
      </c>
      <c r="G3331" s="4" t="s">
        <v>139</v>
      </c>
      <c r="H3331" s="4" t="s">
        <v>1987</v>
      </c>
      <c r="K3331" s="4" t="s">
        <v>13777</v>
      </c>
      <c r="L3331" s="4"/>
    </row>
    <row r="3332">
      <c r="A3332" s="55" t="s">
        <v>13778</v>
      </c>
      <c r="B3332" s="52" t="s">
        <v>5596</v>
      </c>
      <c r="C3332" s="76">
        <v>46065.333333333336</v>
      </c>
      <c r="D3332" s="4"/>
      <c r="E3332" s="76">
        <v>46065.541666666664</v>
      </c>
      <c r="F3332" s="52" t="s">
        <v>13460</v>
      </c>
      <c r="G3332" s="4" t="s">
        <v>139</v>
      </c>
      <c r="H3332" s="4" t="s">
        <v>1987</v>
      </c>
      <c r="K3332" s="4" t="s">
        <v>13779</v>
      </c>
      <c r="L3332" s="4"/>
    </row>
    <row r="3333">
      <c r="A3333" s="55" t="s">
        <v>13780</v>
      </c>
      <c r="B3333" s="52" t="s">
        <v>5798</v>
      </c>
      <c r="C3333" s="76">
        <v>46066.333333333336</v>
      </c>
      <c r="D3333" s="4"/>
      <c r="E3333" s="76">
        <v>46066.416666666664</v>
      </c>
      <c r="F3333" s="52" t="s">
        <v>13781</v>
      </c>
      <c r="G3333" s="4" t="s">
        <v>139</v>
      </c>
      <c r="H3333" s="4" t="s">
        <v>1987</v>
      </c>
      <c r="K3333" s="4" t="s">
        <v>13782</v>
      </c>
      <c r="L3333" s="4" t="s">
        <v>13783</v>
      </c>
    </row>
    <row r="3334">
      <c r="A3334" s="55" t="s">
        <v>13784</v>
      </c>
      <c r="B3334" s="52" t="s">
        <v>5647</v>
      </c>
      <c r="C3334" s="76">
        <v>46063.333333333336</v>
      </c>
      <c r="D3334" s="7" t="s">
        <v>2154</v>
      </c>
      <c r="E3334" s="76">
        <v>46063.416666666664</v>
      </c>
      <c r="F3334" s="52" t="s">
        <v>5647</v>
      </c>
      <c r="G3334" s="4" t="s">
        <v>27</v>
      </c>
      <c r="H3334" s="4" t="s">
        <v>1987</v>
      </c>
      <c r="K3334" s="4" t="s">
        <v>13785</v>
      </c>
      <c r="L3334" s="4"/>
    </row>
    <row r="3335">
      <c r="A3335" s="55" t="s">
        <v>13786</v>
      </c>
      <c r="B3335" s="52" t="s">
        <v>6057</v>
      </c>
      <c r="C3335" s="76">
        <v>46063.416666666664</v>
      </c>
      <c r="D3335" s="7" t="s">
        <v>2154</v>
      </c>
      <c r="E3335" s="76">
        <v>46063.625</v>
      </c>
      <c r="F3335" s="52" t="s">
        <v>13787</v>
      </c>
      <c r="G3335" s="4" t="s">
        <v>27</v>
      </c>
      <c r="H3335" s="4" t="s">
        <v>1987</v>
      </c>
      <c r="K3335" s="4" t="s">
        <v>13788</v>
      </c>
      <c r="L3335" s="4" t="s">
        <v>13789</v>
      </c>
    </row>
    <row r="3336">
      <c r="A3336" s="55" t="s">
        <v>13790</v>
      </c>
      <c r="B3336" s="52" t="s">
        <v>5795</v>
      </c>
      <c r="C3336" s="76">
        <v>46063.572916666664</v>
      </c>
      <c r="D3336" s="7" t="s">
        <v>6318</v>
      </c>
      <c r="E3336" s="76">
        <v>46063.59375</v>
      </c>
      <c r="F3336" s="52" t="s">
        <v>5806</v>
      </c>
      <c r="G3336" s="4" t="s">
        <v>110</v>
      </c>
      <c r="H3336" s="4" t="s">
        <v>1987</v>
      </c>
      <c r="K3336" s="4" t="s">
        <v>13791</v>
      </c>
      <c r="L3336" s="4" t="s">
        <v>13792</v>
      </c>
    </row>
    <row r="3337">
      <c r="A3337" s="55" t="s">
        <v>13793</v>
      </c>
      <c r="B3337" s="52" t="s">
        <v>1617</v>
      </c>
      <c r="C3337" s="76">
        <v>46064.479166666664</v>
      </c>
      <c r="D3337" s="7" t="s">
        <v>6052</v>
      </c>
      <c r="E3337" s="76">
        <v>46064.583333333336</v>
      </c>
      <c r="F3337" s="52" t="s">
        <v>13704</v>
      </c>
      <c r="G3337" s="4" t="s">
        <v>110</v>
      </c>
      <c r="H3337" s="4" t="s">
        <v>1987</v>
      </c>
      <c r="K3337" s="4" t="s">
        <v>13719</v>
      </c>
      <c r="L3337" s="4" t="s">
        <v>13794</v>
      </c>
    </row>
    <row r="3338">
      <c r="A3338" s="55" t="s">
        <v>13795</v>
      </c>
      <c r="B3338" s="52" t="s">
        <v>5628</v>
      </c>
      <c r="C3338" s="76">
        <v>46063.59375</v>
      </c>
      <c r="D3338" s="7" t="s">
        <v>6318</v>
      </c>
      <c r="E3338" s="76">
        <v>46063.604166666664</v>
      </c>
      <c r="F3338" s="52" t="s">
        <v>13796</v>
      </c>
      <c r="G3338" s="4" t="s">
        <v>110</v>
      </c>
      <c r="H3338" s="4" t="s">
        <v>1987</v>
      </c>
      <c r="K3338" s="4" t="s">
        <v>13797</v>
      </c>
      <c r="L3338" s="4"/>
    </row>
    <row r="3339">
      <c r="A3339" s="55" t="s">
        <v>13798</v>
      </c>
      <c r="B3339" s="52" t="s">
        <v>5790</v>
      </c>
      <c r="C3339" s="76">
        <v>46063.583333333336</v>
      </c>
      <c r="D3339" s="7" t="s">
        <v>2148</v>
      </c>
      <c r="E3339" s="76">
        <v>46063.75</v>
      </c>
      <c r="F3339" s="52" t="s">
        <v>13799</v>
      </c>
      <c r="G3339" s="4" t="s">
        <v>135</v>
      </c>
      <c r="H3339" s="4" t="s">
        <v>1987</v>
      </c>
      <c r="K3339" s="4" t="s">
        <v>13800</v>
      </c>
      <c r="L3339" s="4"/>
    </row>
    <row r="3340">
      <c r="A3340" s="55" t="s">
        <v>13801</v>
      </c>
      <c r="B3340" s="52" t="s">
        <v>5795</v>
      </c>
      <c r="C3340" s="76">
        <v>46064.583333333336</v>
      </c>
      <c r="D3340" s="7" t="s">
        <v>2147</v>
      </c>
      <c r="E3340" s="76">
        <v>46064.708333333336</v>
      </c>
      <c r="F3340" s="52" t="s">
        <v>13802</v>
      </c>
      <c r="G3340" s="4" t="s">
        <v>135</v>
      </c>
      <c r="H3340" s="4" t="s">
        <v>1987</v>
      </c>
      <c r="K3340" s="4" t="s">
        <v>13803</v>
      </c>
      <c r="L3340" s="4" t="s">
        <v>13804</v>
      </c>
    </row>
    <row r="3341">
      <c r="A3341" s="55" t="s">
        <v>13805</v>
      </c>
      <c r="B3341" s="52" t="s">
        <v>5678</v>
      </c>
      <c r="C3341" s="76">
        <v>46064.708333333336</v>
      </c>
      <c r="D3341" s="7" t="s">
        <v>2147</v>
      </c>
      <c r="E3341" s="76">
        <v>46064.75</v>
      </c>
      <c r="F3341" s="52" t="s">
        <v>13806</v>
      </c>
      <c r="G3341" s="4" t="s">
        <v>135</v>
      </c>
      <c r="H3341" s="4" t="s">
        <v>1987</v>
      </c>
      <c r="K3341" s="4"/>
      <c r="L3341" s="4" t="s">
        <v>13807</v>
      </c>
    </row>
    <row r="3342">
      <c r="A3342" s="55"/>
      <c r="B3342" s="52"/>
      <c r="C3342" s="76"/>
      <c r="D3342" s="4"/>
      <c r="E3342" s="76"/>
      <c r="F3342" s="52"/>
      <c r="G3342" s="4"/>
      <c r="H3342" s="4"/>
      <c r="K3342" s="4"/>
      <c r="L3342" s="4"/>
    </row>
    <row r="3343">
      <c r="A3343" s="55" t="s">
        <v>13808</v>
      </c>
      <c r="B3343" s="52" t="s">
        <v>5678</v>
      </c>
      <c r="C3343" s="76">
        <v>46065.583333333336</v>
      </c>
      <c r="D3343" s="7" t="s">
        <v>2154</v>
      </c>
      <c r="E3343" s="76">
        <v>46065.708333333336</v>
      </c>
      <c r="F3343" s="52" t="s">
        <v>13809</v>
      </c>
      <c r="G3343" s="4" t="s">
        <v>135</v>
      </c>
      <c r="H3343" s="4" t="s">
        <v>1987</v>
      </c>
      <c r="K3343" s="4" t="s">
        <v>13810</v>
      </c>
      <c r="L3343" s="4" t="s">
        <v>13811</v>
      </c>
    </row>
    <row r="3344">
      <c r="A3344" s="55" t="s">
        <v>13812</v>
      </c>
      <c r="B3344" s="52" t="s">
        <v>5625</v>
      </c>
      <c r="C3344" s="76">
        <v>46065.708333333336</v>
      </c>
      <c r="D3344" s="7" t="s">
        <v>2147</v>
      </c>
      <c r="E3344" s="76">
        <v>46065.75</v>
      </c>
      <c r="F3344" s="52" t="s">
        <v>13813</v>
      </c>
      <c r="G3344" s="4" t="s">
        <v>135</v>
      </c>
      <c r="H3344" s="4" t="s">
        <v>1987</v>
      </c>
      <c r="K3344" s="4" t="s">
        <v>13814</v>
      </c>
      <c r="L3344" s="4" t="s">
        <v>13815</v>
      </c>
    </row>
    <row r="3345">
      <c r="A3345" s="55"/>
      <c r="B3345" s="52"/>
      <c r="C3345" s="76"/>
      <c r="D3345" s="4"/>
      <c r="E3345" s="76"/>
      <c r="F3345" s="52"/>
      <c r="G3345" s="4"/>
      <c r="H3345" s="4"/>
      <c r="K3345" s="4"/>
      <c r="L3345" s="4"/>
    </row>
    <row r="3346">
      <c r="A3346" s="55"/>
      <c r="B3346" s="52"/>
      <c r="C3346" s="76"/>
      <c r="D3346" s="4"/>
      <c r="E3346" s="76"/>
      <c r="F3346" s="52"/>
      <c r="G3346" s="4"/>
      <c r="H3346" s="4"/>
      <c r="K3346" s="4"/>
      <c r="L3346" s="4"/>
    </row>
    <row r="3347">
      <c r="A3347" s="55" t="s">
        <v>13816</v>
      </c>
      <c r="B3347" s="52" t="s">
        <v>5795</v>
      </c>
      <c r="C3347" s="76">
        <v>46067.333333333336</v>
      </c>
      <c r="D3347" s="7" t="s">
        <v>2148</v>
      </c>
      <c r="E3347" s="76">
        <v>46067.5</v>
      </c>
      <c r="F3347" s="52" t="s">
        <v>13817</v>
      </c>
      <c r="G3347" s="4" t="s">
        <v>135</v>
      </c>
      <c r="H3347" s="4" t="s">
        <v>1987</v>
      </c>
      <c r="K3347" s="4" t="s">
        <v>13818</v>
      </c>
      <c r="L3347" s="4" t="s">
        <v>13819</v>
      </c>
    </row>
    <row r="3348">
      <c r="A3348" s="55" t="s">
        <v>13820</v>
      </c>
      <c r="B3348" s="52" t="s">
        <v>1611</v>
      </c>
      <c r="C3348" s="76">
        <v>46063.625</v>
      </c>
      <c r="D3348" s="7" t="s">
        <v>2147</v>
      </c>
      <c r="E3348" s="76">
        <v>46063.666666666664</v>
      </c>
      <c r="F3348" s="52" t="s">
        <v>9377</v>
      </c>
      <c r="G3348" s="4" t="s">
        <v>27</v>
      </c>
      <c r="H3348" s="4" t="s">
        <v>1987</v>
      </c>
      <c r="K3348" s="4" t="s">
        <v>13821</v>
      </c>
      <c r="L3348" s="4"/>
    </row>
    <row r="3349">
      <c r="A3349" s="55" t="s">
        <v>13822</v>
      </c>
      <c r="B3349" s="52" t="s">
        <v>5647</v>
      </c>
      <c r="C3349" s="76">
        <v>46063.666666666664</v>
      </c>
      <c r="D3349" s="7" t="s">
        <v>2147</v>
      </c>
      <c r="E3349" s="76">
        <v>46063.770833333336</v>
      </c>
      <c r="F3349" s="52" t="s">
        <v>1608</v>
      </c>
      <c r="G3349" s="4" t="s">
        <v>27</v>
      </c>
      <c r="H3349" s="4" t="s">
        <v>1987</v>
      </c>
      <c r="K3349" s="4" t="s">
        <v>13823</v>
      </c>
      <c r="L3349" s="4" t="s">
        <v>13824</v>
      </c>
    </row>
    <row r="3350">
      <c r="A3350" s="55" t="s">
        <v>13825</v>
      </c>
      <c r="B3350" s="52" t="s">
        <v>1617</v>
      </c>
      <c r="C3350" s="76">
        <v>46065.333333333336</v>
      </c>
      <c r="D3350" s="7" t="s">
        <v>6052</v>
      </c>
      <c r="E3350" s="76">
        <v>46065.583333333336</v>
      </c>
      <c r="F3350" s="52" t="s">
        <v>13704</v>
      </c>
      <c r="G3350" s="4" t="s">
        <v>110</v>
      </c>
      <c r="H3350" s="4" t="s">
        <v>1987</v>
      </c>
      <c r="K3350" s="4" t="s">
        <v>13826</v>
      </c>
      <c r="L3350" s="4" t="s">
        <v>13794</v>
      </c>
    </row>
    <row r="3351">
      <c r="A3351" s="55" t="s">
        <v>13827</v>
      </c>
      <c r="B3351" s="52" t="s">
        <v>5798</v>
      </c>
      <c r="C3351" s="76">
        <v>46064.375</v>
      </c>
      <c r="D3351" s="7" t="s">
        <v>2147</v>
      </c>
      <c r="E3351" s="76">
        <v>46064.416666666664</v>
      </c>
      <c r="F3351" s="52" t="s">
        <v>13828</v>
      </c>
      <c r="G3351" s="4" t="s">
        <v>27</v>
      </c>
      <c r="H3351" s="4" t="s">
        <v>1987</v>
      </c>
      <c r="K3351" s="4" t="s">
        <v>13829</v>
      </c>
      <c r="L3351" s="4"/>
    </row>
    <row r="3352">
      <c r="A3352" s="55" t="s">
        <v>13830</v>
      </c>
      <c r="B3352" s="52" t="s">
        <v>5647</v>
      </c>
      <c r="C3352" s="76">
        <v>46064.595138888886</v>
      </c>
      <c r="D3352" s="7" t="s">
        <v>2147</v>
      </c>
      <c r="E3352" s="76">
        <v>46064.791666666664</v>
      </c>
      <c r="F3352" s="52" t="s">
        <v>1608</v>
      </c>
      <c r="G3352" s="4" t="s">
        <v>27</v>
      </c>
      <c r="H3352" s="4" t="s">
        <v>1987</v>
      </c>
      <c r="K3352" s="4" t="s">
        <v>13831</v>
      </c>
      <c r="L3352" s="4" t="s">
        <v>13832</v>
      </c>
    </row>
    <row r="3353">
      <c r="A3353" s="55" t="s">
        <v>13833</v>
      </c>
      <c r="B3353" s="52" t="s">
        <v>6057</v>
      </c>
      <c r="C3353" s="76">
        <v>46064.416666666664</v>
      </c>
      <c r="D3353" s="7" t="s">
        <v>2147</v>
      </c>
      <c r="E3353" s="76">
        <v>46064.59444444445</v>
      </c>
      <c r="F3353" s="52" t="s">
        <v>6053</v>
      </c>
      <c r="G3353" s="4" t="s">
        <v>27</v>
      </c>
      <c r="H3353" s="4" t="s">
        <v>1987</v>
      </c>
      <c r="K3353" s="4"/>
      <c r="L3353" s="4" t="s">
        <v>13834</v>
      </c>
    </row>
    <row r="3354">
      <c r="A3354" s="55" t="s">
        <v>13835</v>
      </c>
      <c r="B3354" s="52" t="s">
        <v>6057</v>
      </c>
      <c r="C3354" s="76">
        <v>46065.333333333336</v>
      </c>
      <c r="D3354" s="7" t="s">
        <v>6052</v>
      </c>
      <c r="E3354" s="76">
        <v>46065.447916666664</v>
      </c>
      <c r="F3354" s="52" t="s">
        <v>12812</v>
      </c>
      <c r="G3354" s="4" t="s">
        <v>27</v>
      </c>
      <c r="H3354" s="4" t="s">
        <v>1987</v>
      </c>
      <c r="K3354" s="4" t="s">
        <v>13836</v>
      </c>
      <c r="L3354" s="4" t="s">
        <v>13837</v>
      </c>
    </row>
    <row r="3355">
      <c r="A3355" s="55" t="s">
        <v>13838</v>
      </c>
      <c r="B3355" s="52" t="s">
        <v>5656</v>
      </c>
      <c r="C3355" s="76">
        <v>46065.520833333336</v>
      </c>
      <c r="D3355" s="7" t="s">
        <v>2148</v>
      </c>
      <c r="E3355" s="76">
        <v>46065.708333333336</v>
      </c>
      <c r="F3355" s="52" t="s">
        <v>7424</v>
      </c>
      <c r="G3355" s="4" t="s">
        <v>27</v>
      </c>
      <c r="H3355" s="4" t="s">
        <v>1987</v>
      </c>
      <c r="K3355" s="4" t="s">
        <v>13839</v>
      </c>
      <c r="L3355" s="4" t="s">
        <v>13840</v>
      </c>
    </row>
    <row r="3356">
      <c r="A3356" s="55" t="s">
        <v>13841</v>
      </c>
      <c r="B3356" s="52" t="s">
        <v>6057</v>
      </c>
      <c r="C3356" s="76">
        <v>46065.708333333336</v>
      </c>
      <c r="D3356" s="7" t="s">
        <v>2154</v>
      </c>
      <c r="E3356" s="76">
        <v>46065.791666666664</v>
      </c>
      <c r="F3356" s="52" t="s">
        <v>7460</v>
      </c>
      <c r="G3356" s="4" t="s">
        <v>27</v>
      </c>
      <c r="H3356" s="4" t="s">
        <v>1987</v>
      </c>
      <c r="K3356" s="4" t="s">
        <v>13842</v>
      </c>
      <c r="L3356" s="4" t="s">
        <v>13843</v>
      </c>
    </row>
    <row r="3357">
      <c r="A3357" s="55" t="s">
        <v>13844</v>
      </c>
      <c r="B3357" s="52" t="s">
        <v>12413</v>
      </c>
      <c r="C3357" s="76">
        <v>46066.416666666664</v>
      </c>
      <c r="D3357" s="4"/>
      <c r="E3357" s="76">
        <v>46066.458333333336</v>
      </c>
      <c r="F3357" s="52" t="s">
        <v>13845</v>
      </c>
      <c r="G3357" s="4" t="s">
        <v>27</v>
      </c>
      <c r="H3357" s="4" t="s">
        <v>1991</v>
      </c>
      <c r="K3357" s="4"/>
      <c r="L3357" s="4"/>
    </row>
    <row r="3358">
      <c r="A3358" s="55" t="s">
        <v>13846</v>
      </c>
      <c r="B3358" s="52" t="s">
        <v>13847</v>
      </c>
      <c r="C3358" s="76">
        <v>46070.583333333336</v>
      </c>
      <c r="D3358" s="4"/>
      <c r="E3358" s="76">
        <v>46070.625</v>
      </c>
      <c r="F3358" s="52"/>
      <c r="G3358" s="4" t="s">
        <v>27</v>
      </c>
      <c r="H3358" s="4" t="s">
        <v>1991</v>
      </c>
      <c r="I3358" s="5" t="s">
        <v>13848</v>
      </c>
      <c r="K3358" s="4"/>
      <c r="L3358" s="4"/>
    </row>
    <row r="3359">
      <c r="A3359" s="55" t="s">
        <v>13849</v>
      </c>
      <c r="B3359" s="52" t="s">
        <v>13847</v>
      </c>
      <c r="C3359" s="76">
        <v>46066.4375</v>
      </c>
      <c r="D3359" s="4"/>
      <c r="E3359" s="76">
        <v>46066.479166666664</v>
      </c>
      <c r="F3359" s="52" t="s">
        <v>13736</v>
      </c>
      <c r="G3359" s="4" t="s">
        <v>27</v>
      </c>
      <c r="H3359" s="4" t="s">
        <v>1991</v>
      </c>
      <c r="I3359" s="5" t="s">
        <v>13850</v>
      </c>
      <c r="K3359" s="4"/>
      <c r="L3359" s="4"/>
    </row>
    <row r="3360">
      <c r="A3360" s="55" t="s">
        <v>13851</v>
      </c>
      <c r="B3360" s="52" t="s">
        <v>6057</v>
      </c>
      <c r="C3360" s="76">
        <v>46066.333333333336</v>
      </c>
      <c r="D3360" s="7" t="s">
        <v>2147</v>
      </c>
      <c r="E3360" s="76">
        <v>46066.416666666664</v>
      </c>
      <c r="F3360" s="52" t="s">
        <v>7460</v>
      </c>
      <c r="G3360" s="4" t="s">
        <v>27</v>
      </c>
      <c r="H3360" s="4" t="s">
        <v>1987</v>
      </c>
      <c r="K3360" s="4"/>
      <c r="L3360" s="4" t="s">
        <v>13852</v>
      </c>
    </row>
    <row r="3361">
      <c r="A3361" s="55" t="s">
        <v>13853</v>
      </c>
      <c r="B3361" s="52" t="s">
        <v>6057</v>
      </c>
      <c r="C3361" s="76">
        <v>46066.458333333336</v>
      </c>
      <c r="D3361" s="7" t="s">
        <v>2147</v>
      </c>
      <c r="E3361" s="76">
        <v>46066.583333333336</v>
      </c>
      <c r="F3361" s="52" t="s">
        <v>7460</v>
      </c>
      <c r="G3361" s="4" t="s">
        <v>27</v>
      </c>
      <c r="H3361" s="4" t="s">
        <v>1987</v>
      </c>
      <c r="K3361" s="4" t="s">
        <v>13854</v>
      </c>
      <c r="L3361" s="4" t="s">
        <v>13855</v>
      </c>
    </row>
    <row r="3362">
      <c r="A3362" s="55" t="s">
        <v>13856</v>
      </c>
      <c r="B3362" s="52" t="s">
        <v>5656</v>
      </c>
      <c r="C3362" s="76">
        <v>46066.708333333336</v>
      </c>
      <c r="D3362" s="7" t="s">
        <v>2148</v>
      </c>
      <c r="E3362" s="76">
        <v>46066.833333333336</v>
      </c>
      <c r="F3362" s="52" t="s">
        <v>7424</v>
      </c>
      <c r="G3362" s="4" t="s">
        <v>27</v>
      </c>
      <c r="H3362" s="4" t="s">
        <v>1987</v>
      </c>
      <c r="K3362" s="4" t="s">
        <v>13857</v>
      </c>
      <c r="L3362" s="4" t="s">
        <v>13858</v>
      </c>
    </row>
    <row r="3363">
      <c r="A3363" s="55"/>
      <c r="B3363" s="52"/>
      <c r="C3363" s="76"/>
      <c r="D3363" s="4"/>
      <c r="E3363" s="76"/>
      <c r="F3363" s="52"/>
      <c r="G3363" s="4"/>
      <c r="H3363" s="4"/>
      <c r="K3363" s="4"/>
      <c r="L3363" s="4"/>
    </row>
    <row r="3364">
      <c r="A3364" s="55" t="s">
        <v>13859</v>
      </c>
      <c r="B3364" s="52" t="s">
        <v>5625</v>
      </c>
      <c r="C3364" s="76">
        <v>46065.447916666664</v>
      </c>
      <c r="D3364" s="7" t="s">
        <v>2147</v>
      </c>
      <c r="E3364" s="76">
        <v>46065.489583333336</v>
      </c>
      <c r="F3364" s="52" t="s">
        <v>13860</v>
      </c>
      <c r="G3364" s="4" t="s">
        <v>27</v>
      </c>
      <c r="H3364" s="4" t="s">
        <v>1987</v>
      </c>
      <c r="K3364" s="4" t="s">
        <v>13861</v>
      </c>
      <c r="L3364" s="4"/>
    </row>
    <row r="3365">
      <c r="A3365" s="55" t="s">
        <v>13862</v>
      </c>
      <c r="B3365" s="52" t="s">
        <v>5675</v>
      </c>
      <c r="C3365" s="76">
        <v>46072.427083333336</v>
      </c>
      <c r="D3365" s="7" t="s">
        <v>2147</v>
      </c>
      <c r="E3365" s="76">
        <v>46072.447916666664</v>
      </c>
      <c r="F3365" s="52" t="s">
        <v>13863</v>
      </c>
      <c r="G3365" s="4" t="s">
        <v>110</v>
      </c>
      <c r="H3365" s="4" t="s">
        <v>1987</v>
      </c>
      <c r="K3365" s="4" t="s">
        <v>13864</v>
      </c>
      <c r="L3365" s="4" t="s">
        <v>13865</v>
      </c>
    </row>
    <row r="3366">
      <c r="A3366" s="55"/>
      <c r="B3366" s="52"/>
      <c r="C3366" s="76"/>
      <c r="D3366" s="4"/>
      <c r="E3366" s="76"/>
      <c r="F3366" s="52"/>
      <c r="G3366" s="4"/>
      <c r="H3366" s="4"/>
      <c r="K3366" s="4"/>
      <c r="L3366" s="4"/>
    </row>
    <row r="3367">
      <c r="A3367" s="55"/>
      <c r="B3367" s="52"/>
      <c r="C3367" s="76"/>
      <c r="D3367" s="4"/>
      <c r="E3367" s="76"/>
      <c r="F3367" s="52"/>
      <c r="G3367" s="4"/>
      <c r="H3367" s="4"/>
      <c r="I3367" s="4"/>
      <c r="K3367" s="4"/>
      <c r="L3367" s="4"/>
    </row>
    <row r="3368">
      <c r="A3368" s="55" t="s">
        <v>13866</v>
      </c>
      <c r="B3368" s="52" t="s">
        <v>5678</v>
      </c>
      <c r="C3368" s="76">
        <v>46066.583333333336</v>
      </c>
      <c r="D3368" s="7" t="s">
        <v>2148</v>
      </c>
      <c r="E3368" s="76">
        <v>46066.75</v>
      </c>
      <c r="F3368" s="52" t="s">
        <v>13867</v>
      </c>
      <c r="G3368" s="4" t="s">
        <v>135</v>
      </c>
      <c r="H3368" s="4" t="s">
        <v>1987</v>
      </c>
      <c r="K3368" s="4" t="s">
        <v>13868</v>
      </c>
      <c r="L3368" s="4" t="s">
        <v>13869</v>
      </c>
    </row>
    <row r="3369">
      <c r="A3369" s="55" t="s">
        <v>13870</v>
      </c>
      <c r="B3369" s="52" t="s">
        <v>5801</v>
      </c>
      <c r="C3369" s="76">
        <v>46071.333333333336</v>
      </c>
      <c r="D3369" s="7" t="s">
        <v>2147</v>
      </c>
      <c r="E3369" s="76">
        <v>46071.458333333336</v>
      </c>
      <c r="F3369" s="52" t="s">
        <v>13871</v>
      </c>
      <c r="G3369" s="4" t="s">
        <v>110</v>
      </c>
      <c r="H3369" s="4" t="s">
        <v>1987</v>
      </c>
      <c r="K3369" s="4"/>
      <c r="L3369" s="4" t="s">
        <v>13872</v>
      </c>
    </row>
    <row r="3370">
      <c r="A3370" s="55" t="s">
        <v>13873</v>
      </c>
      <c r="B3370" s="52" t="s">
        <v>1617</v>
      </c>
      <c r="C3370" s="76">
        <v>46066.333333333336</v>
      </c>
      <c r="D3370" s="7" t="s">
        <v>6052</v>
      </c>
      <c r="E3370" s="76">
        <v>46066.4375</v>
      </c>
      <c r="F3370" s="52" t="s">
        <v>13704</v>
      </c>
      <c r="G3370" s="4" t="s">
        <v>110</v>
      </c>
      <c r="H3370" s="4" t="s">
        <v>1987</v>
      </c>
      <c r="K3370" s="4" t="s">
        <v>13874</v>
      </c>
      <c r="L3370" s="4" t="s">
        <v>13794</v>
      </c>
    </row>
    <row r="3371">
      <c r="A3371" s="55" t="s">
        <v>13875</v>
      </c>
      <c r="B3371" s="52" t="s">
        <v>1617</v>
      </c>
      <c r="C3371" s="76">
        <v>46066.5</v>
      </c>
      <c r="D3371" s="7" t="s">
        <v>2154</v>
      </c>
      <c r="E3371" s="76">
        <v>46066.583333333336</v>
      </c>
      <c r="F3371" s="52" t="s">
        <v>13704</v>
      </c>
      <c r="G3371" s="4" t="s">
        <v>110</v>
      </c>
      <c r="H3371" s="4" t="s">
        <v>1987</v>
      </c>
      <c r="K3371" s="4" t="s">
        <v>13876</v>
      </c>
      <c r="L3371" s="4" t="s">
        <v>13794</v>
      </c>
    </row>
    <row r="3372">
      <c r="A3372" s="55" t="s">
        <v>13877</v>
      </c>
      <c r="B3372" s="52" t="s">
        <v>5801</v>
      </c>
      <c r="C3372" s="76">
        <v>46072.333333333336</v>
      </c>
      <c r="D3372" s="7" t="s">
        <v>6052</v>
      </c>
      <c r="E3372" s="76">
        <v>46072.427083333336</v>
      </c>
      <c r="F3372" s="52" t="s">
        <v>13878</v>
      </c>
      <c r="G3372" s="4" t="s">
        <v>110</v>
      </c>
      <c r="H3372" s="4" t="s">
        <v>1987</v>
      </c>
      <c r="K3372" s="4" t="s">
        <v>13879</v>
      </c>
      <c r="L3372" s="4" t="s">
        <v>13880</v>
      </c>
    </row>
    <row r="3373">
      <c r="A3373" s="55" t="s">
        <v>13881</v>
      </c>
      <c r="B3373" s="52" t="s">
        <v>1617</v>
      </c>
      <c r="C3373" s="76">
        <v>46073.458333333336</v>
      </c>
      <c r="D3373" s="7" t="s">
        <v>2147</v>
      </c>
      <c r="E3373" s="76">
        <v>46073.5</v>
      </c>
      <c r="F3373" s="52" t="s">
        <v>13882</v>
      </c>
      <c r="G3373" s="4" t="s">
        <v>110</v>
      </c>
      <c r="H3373" s="4" t="s">
        <v>1991</v>
      </c>
      <c r="K3373" s="4" t="s">
        <v>13883</v>
      </c>
      <c r="L3373" s="4"/>
    </row>
    <row r="3374">
      <c r="A3374" s="55"/>
      <c r="B3374" s="52"/>
      <c r="C3374" s="76"/>
      <c r="D3374" s="4"/>
      <c r="E3374" s="76"/>
      <c r="F3374" s="52"/>
      <c r="G3374" s="4"/>
      <c r="H3374" s="4"/>
      <c r="I3374" s="4"/>
      <c r="K3374" s="4"/>
      <c r="L3374" s="4"/>
    </row>
    <row r="3375">
      <c r="A3375" s="55" t="s">
        <v>13884</v>
      </c>
      <c r="B3375" s="52" t="s">
        <v>5678</v>
      </c>
      <c r="C3375" s="76">
        <v>46066.583333333336</v>
      </c>
      <c r="D3375" s="7" t="s">
        <v>2147</v>
      </c>
      <c r="E3375" s="76">
        <v>46066.625</v>
      </c>
      <c r="F3375" s="52" t="s">
        <v>13885</v>
      </c>
      <c r="G3375" s="4" t="s">
        <v>27</v>
      </c>
      <c r="H3375" s="4" t="s">
        <v>1987</v>
      </c>
      <c r="K3375" s="4" t="s">
        <v>13886</v>
      </c>
      <c r="L3375" s="4"/>
    </row>
    <row r="3376">
      <c r="A3376" s="55" t="s">
        <v>13887</v>
      </c>
      <c r="B3376" s="52" t="s">
        <v>6057</v>
      </c>
      <c r="C3376" s="76">
        <v>46066.625</v>
      </c>
      <c r="D3376" s="7" t="s">
        <v>2147</v>
      </c>
      <c r="E3376" s="76">
        <v>46066.708333333336</v>
      </c>
      <c r="F3376" s="52" t="s">
        <v>7460</v>
      </c>
      <c r="G3376" s="4" t="s">
        <v>27</v>
      </c>
      <c r="H3376" s="4" t="s">
        <v>1987</v>
      </c>
      <c r="K3376" s="4" t="s">
        <v>13888</v>
      </c>
      <c r="L3376" s="4" t="s">
        <v>13889</v>
      </c>
    </row>
    <row r="3377">
      <c r="A3377" s="55"/>
      <c r="B3377" s="52"/>
      <c r="C3377" s="76"/>
      <c r="D3377" s="4"/>
      <c r="E3377" s="76"/>
      <c r="F3377" s="52"/>
      <c r="G3377" s="4"/>
      <c r="H3377" s="4"/>
      <c r="I3377" s="4"/>
      <c r="K3377" s="4"/>
      <c r="L3377" s="4"/>
    </row>
    <row r="3378">
      <c r="A3378" s="55" t="s">
        <v>13890</v>
      </c>
      <c r="B3378" s="52" t="s">
        <v>6057</v>
      </c>
      <c r="C3378" s="76">
        <v>46071.36111111111</v>
      </c>
      <c r="D3378" s="7" t="s">
        <v>2147</v>
      </c>
      <c r="E3378" s="76">
        <v>46071.5</v>
      </c>
      <c r="F3378" s="52" t="s">
        <v>7460</v>
      </c>
      <c r="G3378" s="4" t="s">
        <v>27</v>
      </c>
      <c r="H3378" s="4" t="s">
        <v>1987</v>
      </c>
      <c r="K3378" s="4" t="s">
        <v>13891</v>
      </c>
      <c r="L3378" s="4" t="s">
        <v>13892</v>
      </c>
    </row>
    <row r="3379">
      <c r="A3379" s="55"/>
      <c r="B3379" s="52"/>
      <c r="C3379" s="76"/>
      <c r="D3379" s="4"/>
      <c r="E3379" s="76"/>
      <c r="F3379" s="52"/>
      <c r="G3379" s="4"/>
      <c r="H3379" s="4"/>
      <c r="I3379" s="4"/>
      <c r="K3379" s="4"/>
      <c r="L3379" s="4"/>
    </row>
    <row r="3380">
      <c r="A3380" s="55" t="s">
        <v>13893</v>
      </c>
      <c r="B3380" s="52" t="s">
        <v>1611</v>
      </c>
      <c r="C3380" s="76">
        <v>46071.5</v>
      </c>
      <c r="D3380" s="7" t="s">
        <v>2154</v>
      </c>
      <c r="E3380" s="76">
        <v>46071.666666666664</v>
      </c>
      <c r="F3380" s="52" t="s">
        <v>13894</v>
      </c>
      <c r="G3380" s="4" t="s">
        <v>27</v>
      </c>
      <c r="H3380" s="4" t="s">
        <v>1987</v>
      </c>
      <c r="K3380" s="4" t="s">
        <v>13895</v>
      </c>
      <c r="L3380" s="4" t="s">
        <v>13896</v>
      </c>
    </row>
    <row r="3381">
      <c r="A3381" s="55"/>
      <c r="B3381" s="52"/>
      <c r="C3381" s="76"/>
      <c r="D3381" s="4"/>
      <c r="E3381" s="76"/>
      <c r="F3381" s="52"/>
      <c r="G3381" s="4"/>
      <c r="H3381" s="4"/>
      <c r="K3381" s="4"/>
      <c r="L3381" s="4"/>
    </row>
    <row r="3382">
      <c r="A3382" s="55" t="s">
        <v>13897</v>
      </c>
      <c r="B3382" s="52" t="s">
        <v>5678</v>
      </c>
      <c r="C3382" s="76">
        <v>46071.6875</v>
      </c>
      <c r="D3382" s="7" t="s">
        <v>2147</v>
      </c>
      <c r="E3382" s="76">
        <v>46071.760416666664</v>
      </c>
      <c r="F3382" s="52" t="s">
        <v>13898</v>
      </c>
      <c r="G3382" s="4" t="s">
        <v>27</v>
      </c>
      <c r="H3382" s="4" t="s">
        <v>1987</v>
      </c>
      <c r="K3382" s="4" t="s">
        <v>13899</v>
      </c>
      <c r="L3382" s="4" t="s">
        <v>13900</v>
      </c>
    </row>
    <row r="3383">
      <c r="A3383" s="55"/>
      <c r="B3383" s="52"/>
      <c r="C3383" s="76"/>
      <c r="D3383" s="4"/>
      <c r="E3383" s="76"/>
      <c r="F3383" s="52"/>
      <c r="G3383" s="4"/>
      <c r="H3383" s="4"/>
      <c r="K3383" s="4"/>
      <c r="L3383" s="4"/>
    </row>
    <row r="3384">
      <c r="A3384" s="55"/>
      <c r="B3384" s="52"/>
      <c r="C3384" s="76"/>
      <c r="D3384" s="4"/>
      <c r="E3384" s="76"/>
      <c r="F3384" s="52"/>
      <c r="G3384" s="4"/>
      <c r="H3384" s="4"/>
      <c r="K3384" s="4"/>
      <c r="L3384" s="4"/>
    </row>
    <row r="3385">
      <c r="A3385" s="55" t="s">
        <v>13901</v>
      </c>
      <c r="B3385" s="52" t="s">
        <v>5647</v>
      </c>
      <c r="C3385" s="76">
        <v>46073.5</v>
      </c>
      <c r="D3385" s="7" t="s">
        <v>2147</v>
      </c>
      <c r="E3385" s="76">
        <v>46073.666666666664</v>
      </c>
      <c r="F3385" s="52" t="s">
        <v>13902</v>
      </c>
      <c r="G3385" s="4" t="s">
        <v>27</v>
      </c>
      <c r="H3385" s="4" t="s">
        <v>1987</v>
      </c>
      <c r="K3385" s="4" t="s">
        <v>13903</v>
      </c>
      <c r="L3385" s="4" t="s">
        <v>13904</v>
      </c>
    </row>
    <row r="3386">
      <c r="A3386" s="55"/>
      <c r="B3386" s="52"/>
      <c r="C3386" s="76"/>
      <c r="D3386" s="4"/>
      <c r="E3386" s="76"/>
      <c r="F3386" s="52"/>
      <c r="G3386" s="4"/>
      <c r="H3386" s="4"/>
      <c r="K3386" s="4"/>
      <c r="L3386" s="4"/>
    </row>
    <row r="3387">
      <c r="A3387" s="55" t="s">
        <v>13905</v>
      </c>
      <c r="B3387" s="52" t="s">
        <v>5656</v>
      </c>
      <c r="C3387" s="76">
        <v>46072.5625</v>
      </c>
      <c r="D3387" s="7" t="s">
        <v>6052</v>
      </c>
      <c r="E3387" s="76">
        <v>46072.729166666664</v>
      </c>
      <c r="F3387" s="52" t="s">
        <v>7400</v>
      </c>
      <c r="G3387" s="4" t="s">
        <v>27</v>
      </c>
      <c r="H3387" s="4" t="s">
        <v>1987</v>
      </c>
      <c r="K3387" s="4" t="s">
        <v>13906</v>
      </c>
      <c r="L3387" s="4" t="s">
        <v>13907</v>
      </c>
    </row>
    <row r="3388">
      <c r="A3388" s="55" t="s">
        <v>13908</v>
      </c>
      <c r="B3388" s="52" t="s">
        <v>1657</v>
      </c>
      <c r="C3388" s="76">
        <v>46074.333333333336</v>
      </c>
      <c r="D3388" s="7" t="s">
        <v>2147</v>
      </c>
      <c r="E3388" s="76">
        <v>46074.583333333336</v>
      </c>
      <c r="F3388" s="52" t="s">
        <v>1657</v>
      </c>
      <c r="G3388" s="4" t="s">
        <v>27</v>
      </c>
      <c r="H3388" s="4" t="s">
        <v>1987</v>
      </c>
      <c r="K3388" s="4"/>
      <c r="L3388" s="4" t="s">
        <v>13909</v>
      </c>
    </row>
    <row r="3389">
      <c r="A3389" s="55" t="s">
        <v>13910</v>
      </c>
      <c r="B3389" s="52" t="s">
        <v>6057</v>
      </c>
      <c r="C3389" s="76">
        <v>46073.333333333336</v>
      </c>
      <c r="D3389" s="7" t="s">
        <v>2147</v>
      </c>
      <c r="E3389" s="76">
        <v>46073.458333333336</v>
      </c>
      <c r="F3389" s="52" t="s">
        <v>7460</v>
      </c>
      <c r="G3389" s="4" t="s">
        <v>27</v>
      </c>
      <c r="H3389" s="4" t="s">
        <v>1987</v>
      </c>
      <c r="K3389" s="4"/>
      <c r="L3389" s="4" t="s">
        <v>13911</v>
      </c>
    </row>
    <row r="3390">
      <c r="A3390" s="55" t="s">
        <v>13912</v>
      </c>
      <c r="B3390" s="52" t="s">
        <v>5625</v>
      </c>
      <c r="C3390" s="76">
        <v>46073.458333333336</v>
      </c>
      <c r="D3390" s="7" t="s">
        <v>2154</v>
      </c>
      <c r="E3390" s="76">
        <v>46073.5</v>
      </c>
      <c r="F3390" s="52" t="s">
        <v>13913</v>
      </c>
      <c r="G3390" s="4" t="s">
        <v>27</v>
      </c>
      <c r="H3390" s="4" t="s">
        <v>1987</v>
      </c>
      <c r="K3390" s="4" t="s">
        <v>13914</v>
      </c>
      <c r="L3390" s="4" t="s">
        <v>13915</v>
      </c>
    </row>
    <row r="3391">
      <c r="A3391" s="55"/>
      <c r="B3391" s="52"/>
      <c r="C3391" s="76"/>
      <c r="D3391" s="4"/>
      <c r="E3391" s="76"/>
      <c r="F3391" s="52"/>
      <c r="G3391" s="4"/>
      <c r="H3391" s="4"/>
      <c r="K3391" s="4"/>
      <c r="L3391" s="4"/>
    </row>
    <row r="3392">
      <c r="A3392" s="55"/>
      <c r="B3392" s="52"/>
      <c r="C3392" s="76"/>
      <c r="D3392" s="4"/>
      <c r="E3392" s="76"/>
      <c r="F3392" s="52"/>
      <c r="G3392" s="4"/>
      <c r="H3392" s="4"/>
      <c r="K3392" s="4"/>
      <c r="L3392" s="4"/>
    </row>
    <row r="3393">
      <c r="A3393" s="55" t="s">
        <v>13916</v>
      </c>
      <c r="B3393" s="52" t="s">
        <v>5729</v>
      </c>
      <c r="C3393" s="76">
        <v>46073.333333333336</v>
      </c>
      <c r="D3393" s="7" t="s">
        <v>6052</v>
      </c>
      <c r="E3393" s="76">
        <v>46073.416666666664</v>
      </c>
      <c r="F3393" s="52" t="s">
        <v>13708</v>
      </c>
      <c r="G3393" s="4" t="s">
        <v>110</v>
      </c>
      <c r="H3393" s="4" t="s">
        <v>1987</v>
      </c>
      <c r="K3393" s="4" t="s">
        <v>13917</v>
      </c>
      <c r="L3393" s="4" t="s">
        <v>13918</v>
      </c>
    </row>
    <row r="3394">
      <c r="A3394" s="55" t="s">
        <v>13919</v>
      </c>
      <c r="B3394" s="52" t="s">
        <v>1617</v>
      </c>
      <c r="C3394" s="76">
        <v>46071.572916666664</v>
      </c>
      <c r="D3394" s="7" t="s">
        <v>2147</v>
      </c>
      <c r="E3394" s="76">
        <v>46071.583333333336</v>
      </c>
      <c r="F3394" s="52" t="s">
        <v>13920</v>
      </c>
      <c r="G3394" s="4" t="s">
        <v>110</v>
      </c>
      <c r="H3394" s="4" t="s">
        <v>1987</v>
      </c>
      <c r="K3394" s="4" t="s">
        <v>13921</v>
      </c>
      <c r="L3394" s="4"/>
    </row>
    <row r="3395">
      <c r="A3395" s="55" t="s">
        <v>13922</v>
      </c>
      <c r="B3395" s="52" t="s">
        <v>5678</v>
      </c>
      <c r="C3395" s="76">
        <v>46071.666666666664</v>
      </c>
      <c r="D3395" s="7" t="s">
        <v>2147</v>
      </c>
      <c r="E3395" s="76">
        <v>46071.770833333336</v>
      </c>
      <c r="F3395" s="52" t="s">
        <v>13923</v>
      </c>
      <c r="G3395" s="4" t="s">
        <v>135</v>
      </c>
      <c r="H3395" s="4" t="s">
        <v>1991</v>
      </c>
      <c r="K3395" s="4" t="s">
        <v>13924</v>
      </c>
      <c r="L3395" s="4" t="s">
        <v>13925</v>
      </c>
    </row>
    <row r="3396">
      <c r="A3396" s="55" t="s">
        <v>13926</v>
      </c>
      <c r="B3396" s="52" t="s">
        <v>6057</v>
      </c>
      <c r="C3396" s="76">
        <v>46071.583333333336</v>
      </c>
      <c r="D3396" s="7" t="s">
        <v>6318</v>
      </c>
      <c r="E3396" s="76">
        <v>46071.604166666664</v>
      </c>
      <c r="F3396" s="52" t="s">
        <v>6255</v>
      </c>
      <c r="G3396" s="4" t="s">
        <v>135</v>
      </c>
      <c r="H3396" s="4" t="s">
        <v>1987</v>
      </c>
      <c r="K3396" s="4" t="s">
        <v>13927</v>
      </c>
      <c r="L3396" s="4"/>
    </row>
    <row r="3397">
      <c r="A3397" s="55" t="s">
        <v>13928</v>
      </c>
      <c r="B3397" s="52" t="s">
        <v>5790</v>
      </c>
      <c r="C3397" s="76">
        <v>46071.604166666664</v>
      </c>
      <c r="D3397" s="7" t="s">
        <v>2154</v>
      </c>
      <c r="E3397" s="76">
        <v>46071.666666666664</v>
      </c>
      <c r="F3397" s="52" t="s">
        <v>13929</v>
      </c>
      <c r="G3397" s="4" t="s">
        <v>135</v>
      </c>
      <c r="H3397" s="4" t="s">
        <v>1987</v>
      </c>
      <c r="K3397" s="4" t="s">
        <v>13930</v>
      </c>
      <c r="L3397" s="4"/>
    </row>
    <row r="3398">
      <c r="A3398" s="55" t="s">
        <v>13931</v>
      </c>
      <c r="B3398" s="52" t="s">
        <v>5790</v>
      </c>
      <c r="C3398" s="76">
        <v>46072.583333333336</v>
      </c>
      <c r="D3398" s="7" t="s">
        <v>2148</v>
      </c>
      <c r="E3398" s="76">
        <v>46072.729166666664</v>
      </c>
      <c r="F3398" s="52" t="s">
        <v>13929</v>
      </c>
      <c r="G3398" s="4" t="s">
        <v>135</v>
      </c>
      <c r="H3398" s="4" t="s">
        <v>1987</v>
      </c>
      <c r="K3398" s="4" t="s">
        <v>13932</v>
      </c>
      <c r="L3398" s="4" t="s">
        <v>13933</v>
      </c>
    </row>
    <row r="3399">
      <c r="A3399" s="55" t="s">
        <v>13934</v>
      </c>
      <c r="B3399" s="52" t="s">
        <v>5790</v>
      </c>
      <c r="C3399" s="76">
        <v>46073.583333333336</v>
      </c>
      <c r="D3399" s="7" t="s">
        <v>2148</v>
      </c>
      <c r="E3399" s="76">
        <v>46073.625</v>
      </c>
      <c r="F3399" s="52" t="s">
        <v>13929</v>
      </c>
      <c r="G3399" s="4" t="s">
        <v>135</v>
      </c>
      <c r="H3399" s="4" t="s">
        <v>1987</v>
      </c>
      <c r="K3399" s="4" t="s">
        <v>13935</v>
      </c>
      <c r="L3399" s="4" t="s">
        <v>13936</v>
      </c>
    </row>
    <row r="3400">
      <c r="A3400" s="55"/>
      <c r="B3400" s="52"/>
      <c r="C3400" s="76"/>
      <c r="D3400" s="4"/>
      <c r="E3400" s="76"/>
      <c r="F3400" s="52"/>
      <c r="G3400" s="4"/>
      <c r="H3400" s="4"/>
      <c r="K3400" s="4"/>
      <c r="L3400" s="4"/>
    </row>
    <row r="3401">
      <c r="A3401" s="55" t="s">
        <v>13937</v>
      </c>
      <c r="B3401" s="52" t="s">
        <v>1611</v>
      </c>
      <c r="C3401" s="76">
        <v>46071.868055555555</v>
      </c>
      <c r="D3401" s="7" t="s">
        <v>6318</v>
      </c>
      <c r="E3401" s="76">
        <v>46071.88888888889</v>
      </c>
      <c r="F3401" s="52" t="s">
        <v>13938</v>
      </c>
      <c r="G3401" s="4" t="s">
        <v>27</v>
      </c>
      <c r="H3401" s="4" t="s">
        <v>1987</v>
      </c>
      <c r="K3401" s="4" t="s">
        <v>13939</v>
      </c>
      <c r="L3401" s="4"/>
    </row>
    <row r="3402">
      <c r="A3402" s="55" t="s">
        <v>13940</v>
      </c>
      <c r="B3402" s="52" t="s">
        <v>1611</v>
      </c>
      <c r="C3402" s="76">
        <v>46072.395833333336</v>
      </c>
      <c r="D3402" s="7" t="s">
        <v>2147</v>
      </c>
      <c r="E3402" s="76">
        <v>46072.479166666664</v>
      </c>
      <c r="F3402" s="52" t="s">
        <v>13941</v>
      </c>
      <c r="G3402" s="4" t="s">
        <v>27</v>
      </c>
      <c r="H3402" s="4" t="s">
        <v>1987</v>
      </c>
      <c r="K3402" s="4" t="s">
        <v>13942</v>
      </c>
      <c r="L3402" s="4" t="s">
        <v>13943</v>
      </c>
    </row>
    <row r="3403">
      <c r="A3403" s="55" t="s">
        <v>13944</v>
      </c>
      <c r="B3403" s="77" t="s">
        <v>5596</v>
      </c>
      <c r="C3403" s="76">
        <v>46066.416666666664</v>
      </c>
      <c r="D3403" s="4"/>
      <c r="E3403" s="76">
        <v>46066.541666666664</v>
      </c>
      <c r="F3403" s="52" t="s">
        <v>13781</v>
      </c>
      <c r="G3403" s="4" t="s">
        <v>139</v>
      </c>
      <c r="H3403" s="4" t="s">
        <v>1987</v>
      </c>
      <c r="K3403" s="4" t="s">
        <v>13782</v>
      </c>
      <c r="L3403" s="4"/>
    </row>
    <row r="3404">
      <c r="A3404" s="55" t="s">
        <v>13945</v>
      </c>
      <c r="B3404" s="52" t="s">
        <v>5798</v>
      </c>
      <c r="C3404" s="76">
        <v>46071.333333333336</v>
      </c>
      <c r="D3404" s="7" t="s">
        <v>6052</v>
      </c>
      <c r="E3404" s="76">
        <v>46071.416666666664</v>
      </c>
      <c r="F3404" s="52" t="s">
        <v>13946</v>
      </c>
      <c r="G3404" s="4" t="s">
        <v>139</v>
      </c>
      <c r="H3404" s="4" t="s">
        <v>1987</v>
      </c>
      <c r="K3404" s="4" t="s">
        <v>13947</v>
      </c>
      <c r="L3404" s="4"/>
    </row>
    <row r="3405">
      <c r="A3405" s="55" t="s">
        <v>13948</v>
      </c>
      <c r="B3405" s="77" t="s">
        <v>5596</v>
      </c>
      <c r="C3405" s="76">
        <v>46071.416666666664</v>
      </c>
      <c r="D3405" s="7" t="s">
        <v>6052</v>
      </c>
      <c r="E3405" s="76">
        <v>46071.541666666664</v>
      </c>
      <c r="F3405" s="52" t="s">
        <v>13946</v>
      </c>
      <c r="G3405" s="4" t="s">
        <v>139</v>
      </c>
      <c r="H3405" s="4" t="s">
        <v>1987</v>
      </c>
      <c r="K3405" s="4" t="s">
        <v>13947</v>
      </c>
      <c r="L3405" s="4"/>
    </row>
    <row r="3406">
      <c r="A3406" s="55" t="s">
        <v>13949</v>
      </c>
      <c r="B3406" s="52" t="s">
        <v>5798</v>
      </c>
      <c r="C3406" s="76">
        <v>46072.333333333336</v>
      </c>
      <c r="D3406" s="7" t="s">
        <v>6052</v>
      </c>
      <c r="E3406" s="76">
        <v>46072.375</v>
      </c>
      <c r="F3406" s="52" t="s">
        <v>13950</v>
      </c>
      <c r="G3406" s="4" t="s">
        <v>139</v>
      </c>
      <c r="H3406" s="4" t="s">
        <v>1987</v>
      </c>
      <c r="K3406" s="4" t="s">
        <v>13951</v>
      </c>
      <c r="L3406" s="4" t="s">
        <v>13952</v>
      </c>
    </row>
    <row r="3407">
      <c r="A3407" s="55" t="s">
        <v>13953</v>
      </c>
      <c r="B3407" s="52" t="s">
        <v>5596</v>
      </c>
      <c r="C3407" s="76">
        <v>46072.375</v>
      </c>
      <c r="D3407" s="7" t="s">
        <v>6052</v>
      </c>
      <c r="E3407" s="76">
        <v>46072.541666666664</v>
      </c>
      <c r="F3407" s="52" t="s">
        <v>13946</v>
      </c>
      <c r="G3407" s="4" t="s">
        <v>139</v>
      </c>
      <c r="H3407" s="4" t="s">
        <v>1987</v>
      </c>
      <c r="K3407" s="4" t="s">
        <v>13954</v>
      </c>
      <c r="L3407" s="4"/>
    </row>
    <row r="3408">
      <c r="A3408" s="55" t="s">
        <v>13955</v>
      </c>
      <c r="B3408" s="52" t="s">
        <v>5798</v>
      </c>
      <c r="C3408" s="76">
        <v>46073.333333333336</v>
      </c>
      <c r="D3408" s="7" t="s">
        <v>6052</v>
      </c>
      <c r="E3408" s="76">
        <v>46073.416666666664</v>
      </c>
      <c r="F3408" s="52" t="s">
        <v>13946</v>
      </c>
      <c r="G3408" s="4" t="s">
        <v>139</v>
      </c>
      <c r="H3408" s="4" t="s">
        <v>1987</v>
      </c>
      <c r="K3408" s="4" t="s">
        <v>13956</v>
      </c>
      <c r="L3408" s="4"/>
    </row>
    <row r="3409">
      <c r="A3409" s="55" t="s">
        <v>13957</v>
      </c>
      <c r="B3409" s="52" t="s">
        <v>5596</v>
      </c>
      <c r="C3409" s="76">
        <v>46073.416666666664</v>
      </c>
      <c r="D3409" s="7" t="s">
        <v>6052</v>
      </c>
      <c r="E3409" s="76">
        <v>46073.541666666664</v>
      </c>
      <c r="F3409" s="52" t="s">
        <v>13946</v>
      </c>
      <c r="G3409" s="4" t="s">
        <v>139</v>
      </c>
      <c r="H3409" s="4" t="s">
        <v>1987</v>
      </c>
      <c r="K3409" s="4" t="s">
        <v>13958</v>
      </c>
      <c r="L3409" s="4"/>
    </row>
    <row r="3410">
      <c r="A3410" s="55" t="s">
        <v>13959</v>
      </c>
      <c r="B3410" s="52" t="s">
        <v>6057</v>
      </c>
      <c r="C3410" s="76">
        <v>46072.479166666664</v>
      </c>
      <c r="D3410" s="7" t="s">
        <v>2147</v>
      </c>
      <c r="E3410" s="76">
        <v>46072.5625</v>
      </c>
      <c r="F3410" s="52" t="s">
        <v>6057</v>
      </c>
      <c r="G3410" s="4" t="s">
        <v>27</v>
      </c>
      <c r="H3410" s="4" t="s">
        <v>1987</v>
      </c>
      <c r="K3410" s="4" t="s">
        <v>13960</v>
      </c>
      <c r="L3410" s="4" t="s">
        <v>13961</v>
      </c>
    </row>
    <row r="3411">
      <c r="A3411" s="55" t="s">
        <v>13962</v>
      </c>
      <c r="B3411" s="52" t="s">
        <v>5678</v>
      </c>
      <c r="C3411" s="76">
        <v>46074.333333333336</v>
      </c>
      <c r="D3411" s="7" t="s">
        <v>2148</v>
      </c>
      <c r="E3411" s="76">
        <v>46074.520833333336</v>
      </c>
      <c r="F3411" s="52" t="s">
        <v>13963</v>
      </c>
      <c r="G3411" s="4" t="s">
        <v>135</v>
      </c>
      <c r="H3411" s="4" t="s">
        <v>1987</v>
      </c>
      <c r="K3411" s="4" t="s">
        <v>13964</v>
      </c>
      <c r="L3411" s="4" t="s">
        <v>13965</v>
      </c>
    </row>
    <row r="3412">
      <c r="A3412" s="55" t="s">
        <v>13966</v>
      </c>
      <c r="B3412" s="52" t="s">
        <v>5678</v>
      </c>
      <c r="C3412" s="76">
        <v>46072.5625</v>
      </c>
      <c r="D3412" s="7" t="s">
        <v>6318</v>
      </c>
      <c r="E3412" s="76">
        <v>46072.583333333336</v>
      </c>
      <c r="F3412" s="52" t="s">
        <v>13967</v>
      </c>
      <c r="G3412" s="4" t="s">
        <v>135</v>
      </c>
      <c r="H3412" s="4" t="s">
        <v>1987</v>
      </c>
      <c r="K3412" s="4" t="s">
        <v>13968</v>
      </c>
      <c r="L3412" s="4"/>
    </row>
    <row r="3413">
      <c r="A3413" s="55" t="s">
        <v>13969</v>
      </c>
      <c r="B3413" s="52" t="s">
        <v>5801</v>
      </c>
      <c r="C3413" s="76">
        <v>46072.447916666664</v>
      </c>
      <c r="D3413" s="7" t="s">
        <v>6052</v>
      </c>
      <c r="E3413" s="76">
        <v>46072.5625</v>
      </c>
      <c r="F3413" s="52" t="s">
        <v>13878</v>
      </c>
      <c r="G3413" s="4" t="s">
        <v>110</v>
      </c>
      <c r="H3413" s="4" t="s">
        <v>1987</v>
      </c>
      <c r="K3413" s="4" t="s">
        <v>13879</v>
      </c>
      <c r="L3413" s="4" t="s">
        <v>13970</v>
      </c>
    </row>
    <row r="3414">
      <c r="A3414" s="55" t="s">
        <v>13971</v>
      </c>
      <c r="B3414" s="52" t="s">
        <v>1617</v>
      </c>
      <c r="C3414" s="76">
        <v>46072.5625</v>
      </c>
      <c r="D3414" s="7" t="s">
        <v>2147</v>
      </c>
      <c r="E3414" s="76">
        <v>46072.583333333336</v>
      </c>
      <c r="F3414" s="52" t="s">
        <v>13920</v>
      </c>
      <c r="G3414" s="4" t="s">
        <v>110</v>
      </c>
      <c r="H3414" s="4" t="s">
        <v>1987</v>
      </c>
      <c r="K3414" s="4" t="s">
        <v>13921</v>
      </c>
      <c r="L3414" s="4" t="s">
        <v>13972</v>
      </c>
    </row>
    <row r="3415">
      <c r="A3415" s="55" t="s">
        <v>13973</v>
      </c>
      <c r="B3415" s="52" t="s">
        <v>5675</v>
      </c>
      <c r="C3415" s="76">
        <v>46077.4375</v>
      </c>
      <c r="D3415" s="7" t="s">
        <v>2147</v>
      </c>
      <c r="E3415" s="76">
        <v>46077.5</v>
      </c>
      <c r="F3415" s="52" t="s">
        <v>13974</v>
      </c>
      <c r="G3415" s="4" t="s">
        <v>110</v>
      </c>
      <c r="H3415" s="4" t="s">
        <v>1991</v>
      </c>
      <c r="K3415" s="4" t="s">
        <v>13975</v>
      </c>
      <c r="L3415" s="4" t="s">
        <v>13976</v>
      </c>
    </row>
    <row r="3416">
      <c r="A3416" s="55" t="s">
        <v>13977</v>
      </c>
      <c r="B3416" s="52" t="s">
        <v>5675</v>
      </c>
      <c r="C3416" s="76">
        <v>46077.4375</v>
      </c>
      <c r="D3416" s="4"/>
      <c r="E3416" s="76">
        <v>46077.479166666664</v>
      </c>
      <c r="F3416" s="52" t="s">
        <v>13974</v>
      </c>
      <c r="G3416" s="4" t="s">
        <v>27</v>
      </c>
      <c r="H3416" s="4" t="s">
        <v>1987</v>
      </c>
      <c r="I3416" s="5" t="s">
        <v>13978</v>
      </c>
      <c r="K3416" s="4"/>
      <c r="L3416" s="4" t="s">
        <v>13979</v>
      </c>
    </row>
    <row r="3417">
      <c r="A3417" s="66" t="s">
        <v>13980</v>
      </c>
      <c r="B3417" s="52" t="s">
        <v>1617</v>
      </c>
      <c r="C3417" s="76">
        <v>46073.416666666664</v>
      </c>
      <c r="D3417" s="7" t="s">
        <v>2147</v>
      </c>
      <c r="E3417" s="76">
        <v>46073.458333333336</v>
      </c>
      <c r="F3417" s="52" t="s">
        <v>13981</v>
      </c>
      <c r="G3417" s="4" t="s">
        <v>110</v>
      </c>
      <c r="H3417" s="4" t="s">
        <v>1987</v>
      </c>
      <c r="K3417" s="4" t="s">
        <v>13982</v>
      </c>
      <c r="L3417" s="4"/>
    </row>
    <row r="3418">
      <c r="A3418" s="55" t="s">
        <v>13983</v>
      </c>
      <c r="B3418" s="52" t="s">
        <v>1617</v>
      </c>
      <c r="C3418" s="76">
        <v>46073.5</v>
      </c>
      <c r="D3418" s="7" t="s">
        <v>2147</v>
      </c>
      <c r="E3418" s="76">
        <v>46073.5625</v>
      </c>
      <c r="F3418" s="52" t="s">
        <v>13984</v>
      </c>
      <c r="G3418" s="4" t="s">
        <v>110</v>
      </c>
      <c r="H3418" s="4" t="s">
        <v>1987</v>
      </c>
      <c r="K3418" s="4" t="s">
        <v>13982</v>
      </c>
      <c r="L3418" s="4" t="s">
        <v>13985</v>
      </c>
    </row>
    <row r="3419">
      <c r="A3419" s="55" t="s">
        <v>13986</v>
      </c>
      <c r="B3419" s="52" t="s">
        <v>5729</v>
      </c>
      <c r="C3419" s="76">
        <v>46073.5625</v>
      </c>
      <c r="D3419" s="7" t="s">
        <v>6318</v>
      </c>
      <c r="E3419" s="76">
        <v>46073.583333333336</v>
      </c>
      <c r="F3419" s="52" t="s">
        <v>13708</v>
      </c>
      <c r="G3419" s="4" t="s">
        <v>110</v>
      </c>
      <c r="H3419" s="4" t="s">
        <v>1987</v>
      </c>
      <c r="K3419" s="4" t="s">
        <v>13987</v>
      </c>
      <c r="L3419" s="4" t="s">
        <v>13918</v>
      </c>
    </row>
    <row r="3420">
      <c r="A3420" s="55" t="s">
        <v>13988</v>
      </c>
      <c r="B3420" s="52" t="s">
        <v>5729</v>
      </c>
      <c r="C3420" s="76">
        <v>46077.354166666664</v>
      </c>
      <c r="D3420" s="7" t="s">
        <v>6052</v>
      </c>
      <c r="E3420" s="76">
        <v>46077.4375</v>
      </c>
      <c r="F3420" s="52" t="s">
        <v>13708</v>
      </c>
      <c r="G3420" s="4" t="s">
        <v>110</v>
      </c>
      <c r="H3420" s="4" t="s">
        <v>1987</v>
      </c>
      <c r="K3420" s="4" t="s">
        <v>13989</v>
      </c>
      <c r="L3420" s="4" t="s">
        <v>13990</v>
      </c>
    </row>
    <row r="3421">
      <c r="A3421" s="55" t="s">
        <v>13991</v>
      </c>
      <c r="B3421" s="52" t="s">
        <v>5729</v>
      </c>
      <c r="C3421" s="76">
        <v>46078.354166666664</v>
      </c>
      <c r="D3421" s="7" t="s">
        <v>6052</v>
      </c>
      <c r="E3421" s="76">
        <v>46078.583333333336</v>
      </c>
      <c r="F3421" s="52" t="s">
        <v>13708</v>
      </c>
      <c r="G3421" s="4" t="s">
        <v>110</v>
      </c>
      <c r="H3421" s="4" t="s">
        <v>1987</v>
      </c>
      <c r="K3421" s="4" t="s">
        <v>13992</v>
      </c>
      <c r="L3421" s="4" t="s">
        <v>13993</v>
      </c>
    </row>
    <row r="3422">
      <c r="A3422" s="55" t="s">
        <v>13994</v>
      </c>
      <c r="B3422" s="52" t="s">
        <v>6069</v>
      </c>
      <c r="C3422" s="76">
        <v>46076.333333333336</v>
      </c>
      <c r="D3422" s="7" t="s">
        <v>2147</v>
      </c>
      <c r="E3422" s="76">
        <v>46076.375</v>
      </c>
      <c r="F3422" s="52" t="s">
        <v>7339</v>
      </c>
      <c r="G3422" s="4" t="s">
        <v>110</v>
      </c>
      <c r="H3422" s="4" t="s">
        <v>1987</v>
      </c>
      <c r="K3422" s="4" t="s">
        <v>13995</v>
      </c>
      <c r="L3422" s="4" t="s">
        <v>13996</v>
      </c>
    </row>
    <row r="3423">
      <c r="A3423" s="55" t="s">
        <v>13997</v>
      </c>
      <c r="B3423" s="52" t="s">
        <v>5625</v>
      </c>
      <c r="C3423" s="76">
        <v>46073.625</v>
      </c>
      <c r="D3423" s="7" t="s">
        <v>2147</v>
      </c>
      <c r="E3423" s="76">
        <v>46073.6875</v>
      </c>
      <c r="F3423" s="52" t="s">
        <v>13998</v>
      </c>
      <c r="G3423" s="4" t="s">
        <v>135</v>
      </c>
      <c r="H3423" s="4" t="s">
        <v>1987</v>
      </c>
      <c r="K3423" s="4" t="s">
        <v>13999</v>
      </c>
      <c r="L3423" s="4"/>
    </row>
    <row r="3424">
      <c r="A3424" s="55" t="s">
        <v>14000</v>
      </c>
      <c r="B3424" s="52" t="s">
        <v>5790</v>
      </c>
      <c r="C3424" s="76">
        <v>46073.6875</v>
      </c>
      <c r="D3424" s="7" t="s">
        <v>2147</v>
      </c>
      <c r="E3424" s="76">
        <v>46073.75</v>
      </c>
      <c r="F3424" s="52" t="s">
        <v>5377</v>
      </c>
      <c r="G3424" s="4" t="s">
        <v>135</v>
      </c>
      <c r="H3424" s="4" t="s">
        <v>1987</v>
      </c>
      <c r="K3424" s="4" t="s">
        <v>14001</v>
      </c>
      <c r="L3424" s="4"/>
    </row>
    <row r="3425">
      <c r="A3425" s="55" t="s">
        <v>14002</v>
      </c>
      <c r="B3425" s="52" t="s">
        <v>5596</v>
      </c>
      <c r="C3425" s="76">
        <v>46076.375</v>
      </c>
      <c r="D3425" s="7" t="s">
        <v>2154</v>
      </c>
      <c r="E3425" s="76">
        <v>46076.458333333336</v>
      </c>
      <c r="F3425" s="52" t="s">
        <v>14003</v>
      </c>
      <c r="G3425" s="4" t="s">
        <v>139</v>
      </c>
      <c r="H3425" s="4" t="s">
        <v>1987</v>
      </c>
      <c r="K3425" s="4" t="s">
        <v>14004</v>
      </c>
      <c r="L3425" s="4"/>
    </row>
    <row r="3426">
      <c r="A3426" s="55" t="s">
        <v>14005</v>
      </c>
      <c r="B3426" s="52" t="s">
        <v>5596</v>
      </c>
      <c r="C3426" s="76">
        <v>46076.5</v>
      </c>
      <c r="D3426" s="7" t="s">
        <v>2154</v>
      </c>
      <c r="E3426" s="76">
        <v>46076.583333333336</v>
      </c>
      <c r="F3426" s="52" t="s">
        <v>14006</v>
      </c>
      <c r="G3426" s="4" t="s">
        <v>139</v>
      </c>
      <c r="H3426" s="4" t="s">
        <v>1987</v>
      </c>
      <c r="K3426" s="4" t="s">
        <v>14007</v>
      </c>
      <c r="L3426" s="4"/>
    </row>
    <row r="3427">
      <c r="A3427" s="55" t="s">
        <v>14008</v>
      </c>
      <c r="B3427" s="52" t="s">
        <v>5790</v>
      </c>
      <c r="C3427" s="76">
        <v>46076.583333333336</v>
      </c>
      <c r="D3427" s="7" t="s">
        <v>2147</v>
      </c>
      <c r="E3427" s="76">
        <v>46076.625</v>
      </c>
      <c r="F3427" s="52" t="s">
        <v>14009</v>
      </c>
      <c r="G3427" s="4" t="s">
        <v>135</v>
      </c>
      <c r="H3427" s="4" t="s">
        <v>1987</v>
      </c>
      <c r="K3427" s="4"/>
      <c r="L3427" s="4" t="s">
        <v>14010</v>
      </c>
    </row>
    <row r="3428">
      <c r="A3428" s="55" t="s">
        <v>14011</v>
      </c>
      <c r="B3428" s="52" t="s">
        <v>5678</v>
      </c>
      <c r="C3428" s="76">
        <v>46076.625</v>
      </c>
      <c r="D3428" s="7" t="s">
        <v>2147</v>
      </c>
      <c r="E3428" s="76">
        <v>46076.75</v>
      </c>
      <c r="F3428" s="52" t="s">
        <v>14009</v>
      </c>
      <c r="G3428" s="4" t="s">
        <v>135</v>
      </c>
      <c r="H3428" s="4" t="s">
        <v>1987</v>
      </c>
      <c r="K3428" s="4"/>
      <c r="L3428" s="4" t="s">
        <v>14012</v>
      </c>
    </row>
    <row r="3429">
      <c r="A3429" s="55" t="s">
        <v>14013</v>
      </c>
      <c r="B3429" s="52" t="s">
        <v>5675</v>
      </c>
      <c r="C3429" s="76">
        <v>46077.333333333336</v>
      </c>
      <c r="D3429" s="7" t="s">
        <v>6318</v>
      </c>
      <c r="E3429" s="76">
        <v>46077.354166666664</v>
      </c>
      <c r="F3429" s="52" t="s">
        <v>14014</v>
      </c>
      <c r="G3429" s="4" t="s">
        <v>110</v>
      </c>
      <c r="H3429" s="4" t="s">
        <v>1987</v>
      </c>
      <c r="K3429" s="4" t="s">
        <v>14015</v>
      </c>
      <c r="L3429" s="4"/>
    </row>
    <row r="3430">
      <c r="A3430" s="55" t="s">
        <v>14016</v>
      </c>
      <c r="B3430" s="52" t="s">
        <v>5729</v>
      </c>
      <c r="C3430" s="76">
        <v>46077.5</v>
      </c>
      <c r="D3430" s="7" t="s">
        <v>2154</v>
      </c>
      <c r="E3430" s="76">
        <v>46077.583333333336</v>
      </c>
      <c r="F3430" s="52" t="s">
        <v>13708</v>
      </c>
      <c r="G3430" s="4" t="s">
        <v>110</v>
      </c>
      <c r="H3430" s="4" t="s">
        <v>1987</v>
      </c>
      <c r="K3430" s="4" t="s">
        <v>14017</v>
      </c>
      <c r="L3430" s="4" t="s">
        <v>14018</v>
      </c>
    </row>
    <row r="3431">
      <c r="A3431" s="55" t="s">
        <v>14019</v>
      </c>
      <c r="B3431" s="52" t="s">
        <v>5628</v>
      </c>
      <c r="C3431" s="76">
        <v>46079.333333333336</v>
      </c>
      <c r="D3431" s="7" t="s">
        <v>6052</v>
      </c>
      <c r="E3431" s="76">
        <v>46079.5625</v>
      </c>
      <c r="F3431" s="52" t="s">
        <v>14020</v>
      </c>
      <c r="G3431" s="4" t="s">
        <v>110</v>
      </c>
      <c r="H3431" s="4" t="s">
        <v>1987</v>
      </c>
      <c r="K3431" s="4" t="s">
        <v>14021</v>
      </c>
      <c r="L3431" s="4" t="s">
        <v>14022</v>
      </c>
    </row>
    <row r="3432">
      <c r="A3432" s="55" t="s">
        <v>14023</v>
      </c>
      <c r="B3432" s="52" t="s">
        <v>5628</v>
      </c>
      <c r="C3432" s="76">
        <v>46080.333333333336</v>
      </c>
      <c r="D3432" s="7" t="s">
        <v>6052</v>
      </c>
      <c r="E3432" s="76">
        <v>46080.583333333336</v>
      </c>
      <c r="F3432" s="52" t="s">
        <v>14020</v>
      </c>
      <c r="G3432" s="4" t="s">
        <v>110</v>
      </c>
      <c r="H3432" s="4" t="s">
        <v>1987</v>
      </c>
      <c r="K3432" s="4" t="s">
        <v>14024</v>
      </c>
      <c r="L3432" s="4" t="s">
        <v>13918</v>
      </c>
    </row>
    <row r="3433">
      <c r="A3433" s="55" t="s">
        <v>14025</v>
      </c>
      <c r="B3433" s="52" t="s">
        <v>5647</v>
      </c>
      <c r="C3433" s="76">
        <v>46077.625</v>
      </c>
      <c r="D3433" s="7" t="s">
        <v>2147</v>
      </c>
      <c r="E3433" s="76">
        <v>46077.666666666664</v>
      </c>
      <c r="F3433" s="52" t="s">
        <v>14026</v>
      </c>
      <c r="G3433" s="4" t="s">
        <v>27</v>
      </c>
      <c r="H3433" s="4" t="s">
        <v>1987</v>
      </c>
      <c r="K3433" s="4" t="s">
        <v>14027</v>
      </c>
      <c r="L3433" s="4"/>
    </row>
    <row r="3434">
      <c r="A3434" s="55"/>
      <c r="B3434" s="52"/>
      <c r="C3434" s="76"/>
      <c r="D3434" s="4"/>
      <c r="E3434" s="76"/>
      <c r="F3434" s="52"/>
      <c r="G3434" s="4"/>
      <c r="H3434" s="4"/>
      <c r="I3434" s="4"/>
      <c r="K3434" s="4"/>
      <c r="L3434" s="4"/>
    </row>
    <row r="3435">
      <c r="A3435" s="55" t="s">
        <v>14028</v>
      </c>
      <c r="B3435" s="52" t="s">
        <v>6069</v>
      </c>
      <c r="C3435" s="76">
        <v>46077.583333333336</v>
      </c>
      <c r="D3435" s="7" t="s">
        <v>2147</v>
      </c>
      <c r="E3435" s="76">
        <v>46077.625</v>
      </c>
      <c r="F3435" s="52" t="s">
        <v>6069</v>
      </c>
      <c r="G3435" s="4" t="s">
        <v>135</v>
      </c>
      <c r="H3435" s="4" t="s">
        <v>1987</v>
      </c>
      <c r="K3435" s="4" t="s">
        <v>14029</v>
      </c>
      <c r="L3435" s="4"/>
    </row>
    <row r="3436">
      <c r="A3436" s="55" t="s">
        <v>14030</v>
      </c>
      <c r="B3436" s="52" t="s">
        <v>5625</v>
      </c>
      <c r="C3436" s="76">
        <v>46072.729166666664</v>
      </c>
      <c r="D3436" s="4"/>
      <c r="E3436" s="76">
        <v>46072.99930555555</v>
      </c>
      <c r="F3436" s="52" t="s">
        <v>14031</v>
      </c>
      <c r="G3436" s="4" t="s">
        <v>27</v>
      </c>
      <c r="H3436" s="4" t="s">
        <v>1987</v>
      </c>
      <c r="K3436" s="4" t="s">
        <v>14032</v>
      </c>
      <c r="L3436" s="4" t="s">
        <v>14033</v>
      </c>
    </row>
    <row r="3437">
      <c r="A3437" s="55" t="s">
        <v>14034</v>
      </c>
      <c r="B3437" s="52" t="s">
        <v>1611</v>
      </c>
      <c r="C3437" s="76">
        <v>46073.666666666664</v>
      </c>
      <c r="D3437" s="7" t="s">
        <v>2147</v>
      </c>
      <c r="E3437" s="76">
        <v>46073.791666666664</v>
      </c>
      <c r="F3437" s="52" t="s">
        <v>14035</v>
      </c>
      <c r="G3437" s="4" t="s">
        <v>27</v>
      </c>
      <c r="H3437" s="4" t="s">
        <v>1987</v>
      </c>
      <c r="K3437" s="4" t="s">
        <v>14036</v>
      </c>
      <c r="L3437" s="4" t="s">
        <v>14037</v>
      </c>
    </row>
    <row r="3438">
      <c r="A3438" s="55" t="s">
        <v>14038</v>
      </c>
      <c r="B3438" s="52" t="s">
        <v>5596</v>
      </c>
      <c r="C3438" s="76">
        <v>46077.416666666664</v>
      </c>
      <c r="D3438" s="7" t="s">
        <v>2200</v>
      </c>
      <c r="E3438" s="76">
        <v>46077.541666666664</v>
      </c>
      <c r="F3438" s="52" t="s">
        <v>14006</v>
      </c>
      <c r="G3438" s="4" t="s">
        <v>139</v>
      </c>
      <c r="H3438" s="4" t="s">
        <v>1987</v>
      </c>
      <c r="K3438" s="4" t="s">
        <v>14039</v>
      </c>
      <c r="L3438" s="4"/>
    </row>
    <row r="3439">
      <c r="A3439" s="55" t="s">
        <v>14040</v>
      </c>
      <c r="B3439" s="52" t="s">
        <v>5596</v>
      </c>
      <c r="C3439" s="76">
        <v>46078.333333333336</v>
      </c>
      <c r="D3439" s="7" t="s">
        <v>6052</v>
      </c>
      <c r="E3439" s="76">
        <v>46078.541666666664</v>
      </c>
      <c r="F3439" s="52" t="s">
        <v>14006</v>
      </c>
      <c r="G3439" s="4" t="s">
        <v>139</v>
      </c>
      <c r="H3439" s="4" t="s">
        <v>1987</v>
      </c>
      <c r="K3439" s="4" t="s">
        <v>14041</v>
      </c>
      <c r="L3439" s="4"/>
    </row>
    <row r="3440">
      <c r="A3440" s="55" t="s">
        <v>14042</v>
      </c>
      <c r="B3440" s="52" t="s">
        <v>1611</v>
      </c>
      <c r="C3440" s="76">
        <v>46076.458333333336</v>
      </c>
      <c r="D3440" s="7" t="s">
        <v>2147</v>
      </c>
      <c r="E3440" s="76">
        <v>46076.5</v>
      </c>
      <c r="F3440" s="52" t="s">
        <v>14043</v>
      </c>
      <c r="G3440" s="4" t="s">
        <v>139</v>
      </c>
      <c r="H3440" s="4" t="s">
        <v>1987</v>
      </c>
      <c r="K3440" s="4" t="s">
        <v>14044</v>
      </c>
      <c r="L3440" s="4"/>
    </row>
    <row r="3441">
      <c r="A3441" s="55" t="s">
        <v>14045</v>
      </c>
      <c r="B3441" s="52" t="s">
        <v>1611</v>
      </c>
      <c r="C3441" s="76">
        <v>46077.333333333336</v>
      </c>
      <c r="D3441" s="7" t="s">
        <v>2154</v>
      </c>
      <c r="E3441" s="76">
        <v>46077.416666666664</v>
      </c>
      <c r="F3441" s="52" t="s">
        <v>14043</v>
      </c>
      <c r="G3441" s="4" t="s">
        <v>139</v>
      </c>
      <c r="H3441" s="4" t="s">
        <v>1987</v>
      </c>
      <c r="K3441" s="4"/>
      <c r="L3441" s="4" t="s">
        <v>14046</v>
      </c>
    </row>
    <row r="3442">
      <c r="A3442" s="55" t="s">
        <v>14047</v>
      </c>
      <c r="B3442" s="52" t="s">
        <v>1611</v>
      </c>
      <c r="C3442" s="76">
        <v>46079.333333333336</v>
      </c>
      <c r="D3442" s="7" t="s">
        <v>6052</v>
      </c>
      <c r="E3442" s="76">
        <v>46079.458333333336</v>
      </c>
      <c r="F3442" s="52" t="s">
        <v>14048</v>
      </c>
      <c r="G3442" s="4" t="s">
        <v>139</v>
      </c>
      <c r="H3442" s="4" t="s">
        <v>1987</v>
      </c>
      <c r="K3442" s="4" t="s">
        <v>14049</v>
      </c>
      <c r="L3442" s="4" t="s">
        <v>14050</v>
      </c>
    </row>
    <row r="3443">
      <c r="A3443" s="55" t="s">
        <v>14051</v>
      </c>
      <c r="B3443" s="52" t="s">
        <v>5798</v>
      </c>
      <c r="C3443" s="76">
        <v>46080.458333333336</v>
      </c>
      <c r="D3443" s="7" t="s">
        <v>2154</v>
      </c>
      <c r="E3443" s="76">
        <v>46080.5</v>
      </c>
      <c r="F3443" s="52" t="s">
        <v>14052</v>
      </c>
      <c r="G3443" s="4" t="s">
        <v>139</v>
      </c>
      <c r="H3443" s="4" t="s">
        <v>1987</v>
      </c>
      <c r="K3443" s="4" t="s">
        <v>14053</v>
      </c>
      <c r="L3443" s="4" t="s">
        <v>14054</v>
      </c>
    </row>
    <row r="3444">
      <c r="A3444" s="55" t="s">
        <v>14055</v>
      </c>
      <c r="B3444" s="52" t="s">
        <v>1611</v>
      </c>
      <c r="C3444" s="76">
        <v>46076.333333333336</v>
      </c>
      <c r="D3444" s="7" t="s">
        <v>2154</v>
      </c>
      <c r="E3444" s="76">
        <v>46076.416666666664</v>
      </c>
      <c r="F3444" s="52" t="s">
        <v>14056</v>
      </c>
      <c r="G3444" s="4" t="s">
        <v>27</v>
      </c>
      <c r="H3444" s="4" t="s">
        <v>1987</v>
      </c>
      <c r="K3444" s="4" t="s">
        <v>14057</v>
      </c>
      <c r="L3444" s="4"/>
    </row>
    <row r="3445">
      <c r="A3445" s="55" t="s">
        <v>14058</v>
      </c>
      <c r="B3445" s="52" t="s">
        <v>6057</v>
      </c>
      <c r="C3445" s="76">
        <v>46076.416666666664</v>
      </c>
      <c r="D3445" s="7" t="s">
        <v>2154</v>
      </c>
      <c r="E3445" s="76">
        <v>46076.791666666664</v>
      </c>
      <c r="F3445" s="52" t="s">
        <v>14059</v>
      </c>
      <c r="G3445" s="4" t="s">
        <v>27</v>
      </c>
      <c r="H3445" s="4" t="s">
        <v>1987</v>
      </c>
      <c r="K3445" s="4"/>
      <c r="L3445" s="4" t="s">
        <v>14060</v>
      </c>
    </row>
    <row r="3446">
      <c r="A3446" s="55" t="s">
        <v>14061</v>
      </c>
      <c r="B3446" s="52" t="s">
        <v>1611</v>
      </c>
      <c r="C3446" s="76">
        <v>46077.333333333336</v>
      </c>
      <c r="D3446" s="7" t="s">
        <v>2147</v>
      </c>
      <c r="E3446" s="76">
        <v>46077.375</v>
      </c>
      <c r="F3446" s="52" t="s">
        <v>14062</v>
      </c>
      <c r="G3446" s="4" t="s">
        <v>27</v>
      </c>
      <c r="H3446" s="4" t="s">
        <v>1987</v>
      </c>
      <c r="K3446" s="4"/>
      <c r="L3446" s="4" t="s">
        <v>14063</v>
      </c>
    </row>
    <row r="3447">
      <c r="A3447" s="55" t="s">
        <v>14064</v>
      </c>
      <c r="B3447" s="52" t="s">
        <v>6057</v>
      </c>
      <c r="C3447" s="76">
        <v>46077.375</v>
      </c>
      <c r="D3447" s="7" t="s">
        <v>2147</v>
      </c>
      <c r="E3447" s="76">
        <v>46077.4375</v>
      </c>
      <c r="F3447" s="52" t="s">
        <v>14065</v>
      </c>
      <c r="G3447" s="4" t="s">
        <v>27</v>
      </c>
      <c r="H3447" s="4" t="s">
        <v>1987</v>
      </c>
      <c r="K3447" s="4"/>
      <c r="L3447" s="4" t="s">
        <v>14066</v>
      </c>
    </row>
    <row r="3448">
      <c r="A3448" s="55" t="s">
        <v>14067</v>
      </c>
      <c r="B3448" s="52" t="s">
        <v>6057</v>
      </c>
      <c r="C3448" s="76">
        <v>46077.479166666664</v>
      </c>
      <c r="D3448" s="7" t="s">
        <v>2147</v>
      </c>
      <c r="E3448" s="76">
        <v>46077.625</v>
      </c>
      <c r="F3448" s="52" t="s">
        <v>7460</v>
      </c>
      <c r="G3448" s="4" t="s">
        <v>27</v>
      </c>
      <c r="H3448" s="4" t="s">
        <v>1987</v>
      </c>
      <c r="K3448" s="4"/>
      <c r="L3448" s="4" t="s">
        <v>14068</v>
      </c>
    </row>
    <row r="3449">
      <c r="A3449" s="55" t="s">
        <v>14069</v>
      </c>
      <c r="B3449" s="52" t="s">
        <v>6057</v>
      </c>
      <c r="C3449" s="76">
        <v>46077.666666666664</v>
      </c>
      <c r="D3449" s="7" t="s">
        <v>2147</v>
      </c>
      <c r="E3449" s="76">
        <v>46077.75</v>
      </c>
      <c r="F3449" s="52" t="s">
        <v>7460</v>
      </c>
      <c r="G3449" s="4" t="s">
        <v>27</v>
      </c>
      <c r="H3449" s="4" t="s">
        <v>1987</v>
      </c>
      <c r="K3449" s="4" t="s">
        <v>14070</v>
      </c>
      <c r="L3449" s="4"/>
    </row>
    <row r="3450">
      <c r="A3450" s="55" t="s">
        <v>14071</v>
      </c>
      <c r="B3450" s="52" t="s">
        <v>1611</v>
      </c>
      <c r="C3450" s="76">
        <v>46078.333333333336</v>
      </c>
      <c r="D3450" s="7" t="s">
        <v>2147</v>
      </c>
      <c r="E3450" s="76">
        <v>46078.375</v>
      </c>
      <c r="F3450" s="52" t="s">
        <v>14062</v>
      </c>
      <c r="G3450" s="4" t="s">
        <v>27</v>
      </c>
      <c r="H3450" s="4" t="s">
        <v>1987</v>
      </c>
      <c r="K3450" s="4" t="s">
        <v>14072</v>
      </c>
      <c r="L3450" s="4" t="s">
        <v>14063</v>
      </c>
    </row>
    <row r="3451">
      <c r="A3451" s="55" t="s">
        <v>14073</v>
      </c>
      <c r="B3451" s="52" t="s">
        <v>1657</v>
      </c>
      <c r="C3451" s="76">
        <v>46079.458333333336</v>
      </c>
      <c r="D3451" s="7" t="s">
        <v>2147</v>
      </c>
      <c r="E3451" s="76">
        <v>46079.5</v>
      </c>
      <c r="F3451" s="52" t="s">
        <v>14074</v>
      </c>
      <c r="G3451" s="4" t="s">
        <v>27</v>
      </c>
      <c r="H3451" s="4" t="s">
        <v>1991</v>
      </c>
      <c r="K3451" s="4" t="s">
        <v>14075</v>
      </c>
      <c r="L3451" s="4" t="s">
        <v>14076</v>
      </c>
      <c r="N3451" s="4">
        <v>11.0</v>
      </c>
    </row>
    <row r="3452">
      <c r="A3452" s="55" t="s">
        <v>14077</v>
      </c>
      <c r="B3452" s="52" t="s">
        <v>5656</v>
      </c>
      <c r="C3452" s="76">
        <v>46079.520833333336</v>
      </c>
      <c r="D3452" s="7" t="s">
        <v>6052</v>
      </c>
      <c r="E3452" s="76">
        <v>46079.708333333336</v>
      </c>
      <c r="F3452" s="52" t="s">
        <v>7424</v>
      </c>
      <c r="G3452" s="4" t="s">
        <v>27</v>
      </c>
      <c r="H3452" s="4" t="s">
        <v>1987</v>
      </c>
      <c r="K3452" s="4"/>
      <c r="L3452" s="4" t="s">
        <v>14078</v>
      </c>
    </row>
    <row r="3453">
      <c r="A3453" s="55" t="s">
        <v>14079</v>
      </c>
      <c r="B3453" s="52" t="s">
        <v>5790</v>
      </c>
      <c r="C3453" s="76">
        <v>46078.625</v>
      </c>
      <c r="D3453" s="7" t="s">
        <v>2148</v>
      </c>
      <c r="E3453" s="76">
        <v>46078.729166666664</v>
      </c>
      <c r="F3453" s="52" t="s">
        <v>5377</v>
      </c>
      <c r="G3453" s="4" t="s">
        <v>135</v>
      </c>
      <c r="H3453" s="4" t="s">
        <v>1987</v>
      </c>
      <c r="K3453" s="4" t="s">
        <v>14080</v>
      </c>
      <c r="L3453" s="4" t="s">
        <v>14081</v>
      </c>
    </row>
    <row r="3454">
      <c r="A3454" s="55" t="s">
        <v>14082</v>
      </c>
      <c r="B3454" s="52" t="s">
        <v>5790</v>
      </c>
      <c r="C3454" s="76">
        <v>46079.583333333336</v>
      </c>
      <c r="D3454" s="7" t="s">
        <v>2148</v>
      </c>
      <c r="E3454" s="76">
        <v>46079.75</v>
      </c>
      <c r="F3454" s="52" t="s">
        <v>5377</v>
      </c>
      <c r="G3454" s="4" t="s">
        <v>135</v>
      </c>
      <c r="H3454" s="4" t="s">
        <v>1987</v>
      </c>
      <c r="K3454" s="4" t="s">
        <v>14083</v>
      </c>
      <c r="L3454" s="4"/>
    </row>
    <row r="3455">
      <c r="A3455" s="55" t="s">
        <v>14084</v>
      </c>
      <c r="B3455" s="52" t="s">
        <v>5790</v>
      </c>
      <c r="C3455" s="76">
        <v>46080.583333333336</v>
      </c>
      <c r="D3455" s="7" t="s">
        <v>2148</v>
      </c>
      <c r="E3455" s="76">
        <v>46080.708333333336</v>
      </c>
      <c r="F3455" s="52" t="s">
        <v>5377</v>
      </c>
      <c r="G3455" s="4" t="s">
        <v>135</v>
      </c>
      <c r="H3455" s="4" t="s">
        <v>1987</v>
      </c>
      <c r="K3455" s="4"/>
      <c r="L3455" s="4" t="s">
        <v>14085</v>
      </c>
    </row>
    <row r="3456">
      <c r="A3456" s="55"/>
      <c r="B3456" s="52"/>
      <c r="C3456" s="76"/>
      <c r="D3456" s="4"/>
      <c r="E3456" s="76"/>
      <c r="F3456" s="52"/>
      <c r="G3456" s="4"/>
      <c r="H3456" s="4"/>
      <c r="K3456" s="4"/>
      <c r="L3456" s="4"/>
    </row>
    <row r="3457">
      <c r="A3457" s="55"/>
      <c r="B3457" s="52"/>
      <c r="C3457" s="76"/>
      <c r="D3457" s="4"/>
      <c r="E3457" s="76"/>
      <c r="F3457" s="52"/>
      <c r="G3457" s="4"/>
      <c r="H3457" s="4"/>
      <c r="K3457" s="4"/>
      <c r="L3457" s="4"/>
    </row>
    <row r="3458">
      <c r="A3458" s="55" t="s">
        <v>14086</v>
      </c>
      <c r="B3458" s="52" t="s">
        <v>6057</v>
      </c>
      <c r="C3458" s="76">
        <v>46080.708333333336</v>
      </c>
      <c r="D3458" s="7" t="s">
        <v>2147</v>
      </c>
      <c r="E3458" s="76">
        <v>46080.75</v>
      </c>
      <c r="F3458" s="52" t="s">
        <v>6057</v>
      </c>
      <c r="G3458" s="4" t="s">
        <v>135</v>
      </c>
      <c r="H3458" s="4" t="s">
        <v>1987</v>
      </c>
      <c r="K3458" s="4" t="s">
        <v>14087</v>
      </c>
      <c r="L3458" s="4"/>
    </row>
    <row r="3459">
      <c r="A3459" s="55" t="s">
        <v>14088</v>
      </c>
      <c r="B3459" s="52" t="s">
        <v>5790</v>
      </c>
      <c r="C3459" s="76">
        <v>46081.333333333336</v>
      </c>
      <c r="D3459" s="7" t="s">
        <v>2148</v>
      </c>
      <c r="E3459" s="76">
        <v>46081.5</v>
      </c>
      <c r="F3459" s="52" t="s">
        <v>14089</v>
      </c>
      <c r="G3459" s="4" t="s">
        <v>135</v>
      </c>
      <c r="H3459" s="4" t="s">
        <v>1987</v>
      </c>
      <c r="K3459" s="4"/>
      <c r="L3459" s="4" t="s">
        <v>14090</v>
      </c>
    </row>
    <row r="3460">
      <c r="A3460" s="55" t="s">
        <v>14091</v>
      </c>
      <c r="B3460" s="52" t="s">
        <v>6057</v>
      </c>
      <c r="C3460" s="76">
        <v>46078.375</v>
      </c>
      <c r="D3460" s="7" t="s">
        <v>6052</v>
      </c>
      <c r="E3460" s="76">
        <v>46078.708333333336</v>
      </c>
      <c r="F3460" s="52" t="s">
        <v>7460</v>
      </c>
      <c r="G3460" s="4" t="s">
        <v>27</v>
      </c>
      <c r="H3460" s="4" t="s">
        <v>1987</v>
      </c>
      <c r="K3460" s="4" t="s">
        <v>14092</v>
      </c>
      <c r="L3460" s="4" t="s">
        <v>14093</v>
      </c>
    </row>
    <row r="3461">
      <c r="A3461" s="55" t="s">
        <v>14094</v>
      </c>
      <c r="B3461" s="52" t="s">
        <v>1657</v>
      </c>
      <c r="C3461" s="76">
        <v>46079.375</v>
      </c>
      <c r="D3461" s="7" t="s">
        <v>2200</v>
      </c>
      <c r="E3461" s="76">
        <v>46079.458333333336</v>
      </c>
      <c r="F3461" s="52" t="s">
        <v>14095</v>
      </c>
      <c r="G3461" s="4" t="s">
        <v>27</v>
      </c>
      <c r="H3461" s="4" t="s">
        <v>1987</v>
      </c>
      <c r="K3461" s="4"/>
      <c r="L3461" s="4" t="s">
        <v>14096</v>
      </c>
    </row>
    <row r="3462">
      <c r="A3462" s="55" t="s">
        <v>14097</v>
      </c>
      <c r="B3462" s="52" t="s">
        <v>6057</v>
      </c>
      <c r="C3462" s="76">
        <v>46079.708333333336</v>
      </c>
      <c r="D3462" s="7" t="s">
        <v>2147</v>
      </c>
      <c r="E3462" s="76">
        <v>46079.75</v>
      </c>
      <c r="F3462" s="52" t="s">
        <v>14098</v>
      </c>
      <c r="G3462" s="4" t="s">
        <v>27</v>
      </c>
      <c r="H3462" s="4" t="s">
        <v>1987</v>
      </c>
      <c r="K3462" s="4" t="s">
        <v>14099</v>
      </c>
      <c r="L3462" s="4" t="s">
        <v>14100</v>
      </c>
    </row>
    <row r="3463">
      <c r="A3463" s="55"/>
      <c r="B3463" s="52"/>
      <c r="C3463" s="76"/>
      <c r="D3463" s="4"/>
      <c r="E3463" s="76"/>
      <c r="F3463" s="52"/>
      <c r="G3463" s="4"/>
      <c r="H3463" s="4"/>
      <c r="K3463" s="4"/>
      <c r="L3463" s="4"/>
    </row>
    <row r="3464">
      <c r="A3464" s="55" t="s">
        <v>14101</v>
      </c>
      <c r="B3464" s="52" t="s">
        <v>6057</v>
      </c>
      <c r="C3464" s="76">
        <v>46080.333333333336</v>
      </c>
      <c r="D3464" s="7" t="s">
        <v>2154</v>
      </c>
      <c r="E3464" s="76">
        <v>46080.46875</v>
      </c>
      <c r="F3464" s="52" t="s">
        <v>14102</v>
      </c>
      <c r="G3464" s="4" t="s">
        <v>27</v>
      </c>
      <c r="H3464" s="4" t="s">
        <v>1987</v>
      </c>
      <c r="K3464" s="4" t="s">
        <v>14103</v>
      </c>
      <c r="L3464" s="4" t="s">
        <v>14104</v>
      </c>
    </row>
    <row r="3465">
      <c r="A3465" s="55"/>
      <c r="B3465" s="52"/>
      <c r="C3465" s="76"/>
      <c r="D3465" s="4"/>
      <c r="E3465" s="76"/>
      <c r="F3465" s="52"/>
      <c r="G3465" s="4"/>
      <c r="H3465" s="4"/>
      <c r="K3465" s="4"/>
      <c r="L3465" s="4"/>
    </row>
    <row r="3466">
      <c r="A3466" s="55" t="s">
        <v>14105</v>
      </c>
      <c r="B3466" s="52" t="s">
        <v>6057</v>
      </c>
      <c r="C3466" s="76">
        <v>46078.75</v>
      </c>
      <c r="D3466" s="7" t="s">
        <v>2154</v>
      </c>
      <c r="E3466" s="76">
        <v>46078.791666666664</v>
      </c>
      <c r="F3466" s="52" t="s">
        <v>6057</v>
      </c>
      <c r="G3466" s="4" t="s">
        <v>27</v>
      </c>
      <c r="H3466" s="4" t="s">
        <v>1987</v>
      </c>
      <c r="K3466" s="4"/>
      <c r="L3466" s="4" t="s">
        <v>14106</v>
      </c>
    </row>
    <row r="3467">
      <c r="A3467" s="55" t="s">
        <v>14107</v>
      </c>
      <c r="B3467" s="52" t="s">
        <v>5803</v>
      </c>
      <c r="C3467" s="76">
        <v>46080.541666666664</v>
      </c>
      <c r="D3467" s="7" t="s">
        <v>2147</v>
      </c>
      <c r="E3467" s="76">
        <v>46080.583333333336</v>
      </c>
      <c r="F3467" s="52" t="s">
        <v>14108</v>
      </c>
      <c r="G3467" s="4" t="s">
        <v>27</v>
      </c>
      <c r="H3467" s="4" t="s">
        <v>1987</v>
      </c>
      <c r="K3467" s="4"/>
      <c r="L3467" s="4" t="s">
        <v>14109</v>
      </c>
    </row>
    <row r="3468">
      <c r="A3468" s="55" t="s">
        <v>14110</v>
      </c>
      <c r="B3468" s="52" t="s">
        <v>6057</v>
      </c>
      <c r="C3468" s="76">
        <v>46080.583333333336</v>
      </c>
      <c r="D3468" s="7" t="s">
        <v>6052</v>
      </c>
      <c r="E3468" s="76">
        <v>46080.791666666664</v>
      </c>
      <c r="F3468" s="52" t="s">
        <v>14111</v>
      </c>
      <c r="G3468" s="4" t="s">
        <v>27</v>
      </c>
      <c r="H3468" s="4" t="s">
        <v>1987</v>
      </c>
      <c r="K3468" s="4"/>
      <c r="L3468" s="4" t="s">
        <v>14112</v>
      </c>
    </row>
    <row r="3469">
      <c r="A3469" s="55" t="s">
        <v>14113</v>
      </c>
      <c r="B3469" s="52" t="s">
        <v>1617</v>
      </c>
      <c r="C3469" s="76">
        <v>46078.50347222222</v>
      </c>
      <c r="D3469" s="7" t="s">
        <v>6318</v>
      </c>
      <c r="E3469" s="76">
        <v>46078.524305555555</v>
      </c>
      <c r="F3469" s="52" t="s">
        <v>14114</v>
      </c>
      <c r="G3469" s="4" t="s">
        <v>27</v>
      </c>
      <c r="H3469" s="4" t="s">
        <v>1987</v>
      </c>
      <c r="K3469" s="4" t="s">
        <v>14115</v>
      </c>
      <c r="L3469" s="4"/>
    </row>
    <row r="3470">
      <c r="A3470" s="55" t="s">
        <v>14116</v>
      </c>
      <c r="B3470" s="52" t="s">
        <v>5798</v>
      </c>
      <c r="C3470" s="76">
        <v>46084.375</v>
      </c>
      <c r="D3470" s="7" t="s">
        <v>2147</v>
      </c>
      <c r="E3470" s="76">
        <v>46084.416666666664</v>
      </c>
      <c r="F3470" s="52" t="s">
        <v>14117</v>
      </c>
      <c r="G3470" s="4" t="s">
        <v>27</v>
      </c>
      <c r="H3470" s="4" t="s">
        <v>1991</v>
      </c>
      <c r="K3470" s="4" t="s">
        <v>14118</v>
      </c>
      <c r="L3470" s="4"/>
    </row>
    <row r="3471">
      <c r="A3471" s="55" t="s">
        <v>14119</v>
      </c>
      <c r="B3471" s="52" t="s">
        <v>5675</v>
      </c>
      <c r="C3471" s="76">
        <v>46078.333333333336</v>
      </c>
      <c r="D3471" s="7" t="s">
        <v>6318</v>
      </c>
      <c r="E3471" s="76">
        <v>46078.354166666664</v>
      </c>
      <c r="F3471" s="52" t="s">
        <v>14120</v>
      </c>
      <c r="G3471" s="4" t="s">
        <v>110</v>
      </c>
      <c r="H3471" s="4" t="s">
        <v>1987</v>
      </c>
      <c r="K3471" s="4" t="s">
        <v>14121</v>
      </c>
      <c r="L3471" s="4"/>
    </row>
    <row r="3472">
      <c r="A3472" s="55" t="s">
        <v>14122</v>
      </c>
      <c r="B3472" s="52" t="s">
        <v>5625</v>
      </c>
      <c r="C3472" s="76">
        <v>46078.583333333336</v>
      </c>
      <c r="D3472" s="7" t="s">
        <v>2147</v>
      </c>
      <c r="E3472" s="76">
        <v>46078.625</v>
      </c>
      <c r="F3472" s="52" t="s">
        <v>14123</v>
      </c>
      <c r="G3472" s="4" t="s">
        <v>135</v>
      </c>
      <c r="H3472" s="4" t="s">
        <v>1987</v>
      </c>
      <c r="K3472" s="4" t="s">
        <v>14124</v>
      </c>
      <c r="L3472" s="4"/>
    </row>
    <row r="3473">
      <c r="A3473" s="55" t="s">
        <v>14125</v>
      </c>
      <c r="B3473" s="52" t="s">
        <v>13847</v>
      </c>
      <c r="C3473" s="76">
        <v>46079.458333333336</v>
      </c>
      <c r="D3473" s="4"/>
      <c r="E3473" s="76">
        <v>46079.5</v>
      </c>
      <c r="F3473" s="52" t="s">
        <v>14126</v>
      </c>
      <c r="G3473" s="4" t="s">
        <v>27</v>
      </c>
      <c r="H3473" s="4" t="s">
        <v>1991</v>
      </c>
      <c r="I3473" s="5" t="s">
        <v>14127</v>
      </c>
      <c r="K3473" s="4"/>
      <c r="L3473" s="4"/>
    </row>
    <row r="3474">
      <c r="A3474" s="55" t="s">
        <v>14128</v>
      </c>
      <c r="B3474" s="52" t="s">
        <v>13847</v>
      </c>
      <c r="C3474" s="76">
        <v>46080.729166666664</v>
      </c>
      <c r="D3474" s="4"/>
      <c r="E3474" s="76">
        <v>46080.770833333336</v>
      </c>
      <c r="F3474" s="52"/>
      <c r="G3474" s="4" t="s">
        <v>27</v>
      </c>
      <c r="H3474" s="4" t="s">
        <v>1991</v>
      </c>
      <c r="I3474" s="5" t="s">
        <v>14129</v>
      </c>
      <c r="K3474" s="4"/>
      <c r="L3474" s="4"/>
    </row>
    <row r="3475">
      <c r="A3475" s="55"/>
      <c r="B3475" s="52"/>
      <c r="C3475" s="76"/>
      <c r="D3475" s="4"/>
      <c r="E3475" s="76"/>
      <c r="F3475" s="52"/>
      <c r="G3475" s="4"/>
      <c r="H3475" s="4"/>
      <c r="I3475" s="4"/>
      <c r="K3475" s="4"/>
      <c r="L3475" s="4"/>
    </row>
    <row r="3476">
      <c r="A3476" s="55" t="s">
        <v>14130</v>
      </c>
      <c r="B3476" s="52" t="s">
        <v>5625</v>
      </c>
      <c r="C3476" s="76">
        <v>46078.729166666664</v>
      </c>
      <c r="D3476" s="7" t="s">
        <v>2147</v>
      </c>
      <c r="E3476" s="76">
        <v>46078.75</v>
      </c>
      <c r="F3476" s="52" t="s">
        <v>14123</v>
      </c>
      <c r="G3476" s="4" t="s">
        <v>135</v>
      </c>
      <c r="H3476" s="4" t="s">
        <v>1987</v>
      </c>
      <c r="K3476" s="4" t="s">
        <v>14131</v>
      </c>
      <c r="L3476" s="4"/>
    </row>
    <row r="3477">
      <c r="A3477" s="55" t="s">
        <v>14132</v>
      </c>
      <c r="B3477" s="52" t="s">
        <v>1611</v>
      </c>
      <c r="C3477" s="76">
        <v>46078.708333333336</v>
      </c>
      <c r="D3477" s="7" t="s">
        <v>2147</v>
      </c>
      <c r="E3477" s="76">
        <v>46078.75</v>
      </c>
      <c r="F3477" s="52" t="s">
        <v>14133</v>
      </c>
      <c r="G3477" s="4" t="s">
        <v>27</v>
      </c>
      <c r="H3477" s="4" t="s">
        <v>1987</v>
      </c>
      <c r="K3477" s="4" t="s">
        <v>14134</v>
      </c>
      <c r="L3477" s="4"/>
    </row>
    <row r="3478">
      <c r="A3478" s="55" t="s">
        <v>14135</v>
      </c>
      <c r="B3478" s="52" t="s">
        <v>5675</v>
      </c>
      <c r="C3478" s="76">
        <v>46079.5625</v>
      </c>
      <c r="D3478" s="7" t="s">
        <v>6318</v>
      </c>
      <c r="E3478" s="76">
        <v>46079.583333333336</v>
      </c>
      <c r="F3478" s="52" t="s">
        <v>14136</v>
      </c>
      <c r="G3478" s="4" t="s">
        <v>110</v>
      </c>
      <c r="H3478" s="4" t="s">
        <v>1987</v>
      </c>
      <c r="K3478" s="4" t="s">
        <v>14137</v>
      </c>
      <c r="L3478" s="4"/>
    </row>
    <row r="3479">
      <c r="A3479" s="55" t="s">
        <v>14138</v>
      </c>
      <c r="B3479" s="52" t="s">
        <v>1611</v>
      </c>
      <c r="C3479" s="76">
        <v>46080.333333333336</v>
      </c>
      <c r="D3479" s="7" t="s">
        <v>2200</v>
      </c>
      <c r="E3479" s="76">
        <v>46080.416666666664</v>
      </c>
      <c r="F3479" s="52" t="s">
        <v>14139</v>
      </c>
      <c r="G3479" s="4" t="s">
        <v>139</v>
      </c>
      <c r="H3479" s="4" t="s">
        <v>1987</v>
      </c>
      <c r="K3479" s="4" t="s">
        <v>14140</v>
      </c>
      <c r="L3479" s="4" t="s">
        <v>14141</v>
      </c>
    </row>
    <row r="3480">
      <c r="A3480" s="55" t="s">
        <v>14142</v>
      </c>
      <c r="B3480" s="52" t="s">
        <v>1516</v>
      </c>
      <c r="C3480" s="76">
        <v>46080.46875</v>
      </c>
      <c r="D3480" s="7" t="s">
        <v>2147</v>
      </c>
      <c r="E3480" s="76">
        <v>46080.510416666664</v>
      </c>
      <c r="F3480" s="52" t="s">
        <v>14143</v>
      </c>
      <c r="G3480" s="4" t="s">
        <v>27</v>
      </c>
      <c r="H3480" s="4" t="s">
        <v>1987</v>
      </c>
      <c r="K3480" s="4" t="s">
        <v>14144</v>
      </c>
      <c r="L3480" s="4"/>
    </row>
    <row r="3481">
      <c r="A3481" s="55" t="s">
        <v>14145</v>
      </c>
      <c r="B3481" s="52" t="s">
        <v>5628</v>
      </c>
      <c r="C3481" s="76">
        <v>46083.333333333336</v>
      </c>
      <c r="D3481" s="7" t="s">
        <v>6052</v>
      </c>
      <c r="E3481" s="76">
        <v>46083.458333333336</v>
      </c>
      <c r="F3481" s="52" t="s">
        <v>14146</v>
      </c>
      <c r="G3481" s="4" t="s">
        <v>110</v>
      </c>
      <c r="H3481" s="4" t="s">
        <v>1987</v>
      </c>
      <c r="K3481" s="4" t="s">
        <v>14147</v>
      </c>
      <c r="L3481" s="4" t="s">
        <v>14148</v>
      </c>
    </row>
    <row r="3482">
      <c r="A3482" s="55" t="s">
        <v>14149</v>
      </c>
      <c r="B3482" s="52" t="s">
        <v>5675</v>
      </c>
      <c r="C3482" s="76">
        <v>46083.458333333336</v>
      </c>
      <c r="D3482" s="7" t="s">
        <v>2200</v>
      </c>
      <c r="E3482" s="76">
        <v>46083.583333333336</v>
      </c>
      <c r="F3482" s="52" t="s">
        <v>14150</v>
      </c>
      <c r="G3482" s="4" t="s">
        <v>110</v>
      </c>
      <c r="H3482" s="4" t="s">
        <v>1987</v>
      </c>
      <c r="K3482" s="4" t="s">
        <v>14151</v>
      </c>
      <c r="L3482" s="4"/>
    </row>
    <row r="3483">
      <c r="A3483" s="55" t="s">
        <v>14152</v>
      </c>
      <c r="B3483" s="52" t="s">
        <v>5675</v>
      </c>
      <c r="C3483" s="76">
        <v>46084.333333333336</v>
      </c>
      <c r="D3483" s="7" t="s">
        <v>2200</v>
      </c>
      <c r="E3483" s="76">
        <v>46084.430555555555</v>
      </c>
      <c r="F3483" s="52" t="s">
        <v>14153</v>
      </c>
      <c r="G3483" s="4" t="s">
        <v>110</v>
      </c>
      <c r="H3483" s="4" t="s">
        <v>1987</v>
      </c>
      <c r="K3483" s="4" t="s">
        <v>14151</v>
      </c>
      <c r="L3483" s="4" t="s">
        <v>14154</v>
      </c>
    </row>
    <row r="3484">
      <c r="A3484" s="55" t="s">
        <v>14155</v>
      </c>
      <c r="B3484" s="52" t="s">
        <v>5790</v>
      </c>
      <c r="C3484" s="76">
        <v>46083.583333333336</v>
      </c>
      <c r="D3484" s="7" t="s">
        <v>2148</v>
      </c>
      <c r="E3484" s="76">
        <v>46083.75</v>
      </c>
      <c r="F3484" s="52" t="s">
        <v>14156</v>
      </c>
      <c r="G3484" s="4" t="s">
        <v>135</v>
      </c>
      <c r="H3484" s="4" t="s">
        <v>1987</v>
      </c>
      <c r="K3484" s="4" t="s">
        <v>14157</v>
      </c>
      <c r="L3484" s="4"/>
    </row>
    <row r="3485">
      <c r="A3485" s="55" t="s">
        <v>14158</v>
      </c>
      <c r="B3485" s="52" t="s">
        <v>5790</v>
      </c>
      <c r="C3485" s="76">
        <v>46084.625</v>
      </c>
      <c r="D3485" s="7" t="s">
        <v>2148</v>
      </c>
      <c r="E3485" s="76">
        <v>46084.666666666664</v>
      </c>
      <c r="F3485" s="52" t="s">
        <v>14159</v>
      </c>
      <c r="G3485" s="4" t="s">
        <v>135</v>
      </c>
      <c r="H3485" s="4" t="s">
        <v>1987</v>
      </c>
      <c r="K3485" s="4" t="s">
        <v>14160</v>
      </c>
      <c r="L3485" s="4" t="s">
        <v>14161</v>
      </c>
    </row>
    <row r="3486">
      <c r="A3486" s="55" t="s">
        <v>14162</v>
      </c>
      <c r="B3486" s="52" t="s">
        <v>5790</v>
      </c>
      <c r="C3486" s="76">
        <v>46084.666666666664</v>
      </c>
      <c r="D3486" s="7" t="s">
        <v>2147</v>
      </c>
      <c r="E3486" s="76">
        <v>46084.708333333336</v>
      </c>
      <c r="F3486" s="52" t="s">
        <v>11617</v>
      </c>
      <c r="G3486" s="4" t="s">
        <v>135</v>
      </c>
      <c r="H3486" s="4" t="s">
        <v>1991</v>
      </c>
      <c r="K3486" s="4" t="s">
        <v>14163</v>
      </c>
      <c r="L3486" s="4"/>
    </row>
    <row r="3487">
      <c r="A3487" s="55" t="s">
        <v>14164</v>
      </c>
      <c r="B3487" s="52" t="s">
        <v>5790</v>
      </c>
      <c r="C3487" s="76">
        <v>46084.708333333336</v>
      </c>
      <c r="D3487" s="7" t="s">
        <v>2148</v>
      </c>
      <c r="E3487" s="76">
        <v>46084.75</v>
      </c>
      <c r="F3487" s="52" t="s">
        <v>14159</v>
      </c>
      <c r="G3487" s="4" t="s">
        <v>135</v>
      </c>
      <c r="H3487" s="4" t="s">
        <v>1987</v>
      </c>
      <c r="K3487" s="4" t="s">
        <v>14165</v>
      </c>
      <c r="L3487" s="4"/>
    </row>
    <row r="3488">
      <c r="A3488" s="55" t="s">
        <v>14166</v>
      </c>
      <c r="B3488" s="52" t="s">
        <v>5801</v>
      </c>
      <c r="C3488" s="76">
        <v>46086.4375</v>
      </c>
      <c r="D3488" s="7" t="s">
        <v>2147</v>
      </c>
      <c r="E3488" s="76">
        <v>46086.479166666664</v>
      </c>
      <c r="F3488" s="52" t="s">
        <v>14167</v>
      </c>
      <c r="G3488" s="4" t="s">
        <v>110</v>
      </c>
      <c r="H3488" s="4" t="s">
        <v>1991</v>
      </c>
      <c r="K3488" s="4" t="s">
        <v>14168</v>
      </c>
      <c r="L3488" s="4"/>
    </row>
    <row r="3489">
      <c r="A3489" s="55" t="s">
        <v>14169</v>
      </c>
      <c r="B3489" s="52" t="s">
        <v>13847</v>
      </c>
      <c r="C3489" s="76">
        <v>46086.4375</v>
      </c>
      <c r="D3489" s="4"/>
      <c r="E3489" s="76">
        <v>46086.479166666664</v>
      </c>
      <c r="F3489" s="52" t="s">
        <v>6189</v>
      </c>
      <c r="G3489" s="4" t="s">
        <v>27</v>
      </c>
      <c r="H3489" s="4" t="s">
        <v>1991</v>
      </c>
      <c r="I3489" s="5" t="s">
        <v>14170</v>
      </c>
      <c r="K3489" s="4"/>
      <c r="L3489" s="4"/>
    </row>
    <row r="3490">
      <c r="A3490" s="55" t="s">
        <v>14171</v>
      </c>
      <c r="B3490" s="52" t="s">
        <v>5729</v>
      </c>
      <c r="C3490" s="76">
        <v>46084.430555555555</v>
      </c>
      <c r="D3490" s="7" t="s">
        <v>2147</v>
      </c>
      <c r="E3490" s="76">
        <v>46084.47222222222</v>
      </c>
      <c r="F3490" s="52" t="s">
        <v>14172</v>
      </c>
      <c r="G3490" s="4" t="s">
        <v>110</v>
      </c>
      <c r="H3490" s="4" t="s">
        <v>1987</v>
      </c>
      <c r="K3490" s="4" t="s">
        <v>14173</v>
      </c>
      <c r="L3490" s="4"/>
    </row>
    <row r="3491">
      <c r="A3491" s="55" t="s">
        <v>14174</v>
      </c>
      <c r="B3491" s="52" t="s">
        <v>6057</v>
      </c>
      <c r="C3491" s="76">
        <v>46084.47222222222</v>
      </c>
      <c r="D3491" s="7" t="s">
        <v>2147</v>
      </c>
      <c r="E3491" s="76">
        <v>46084.51388888889</v>
      </c>
      <c r="F3491" s="52" t="s">
        <v>14175</v>
      </c>
      <c r="G3491" s="4" t="s">
        <v>110</v>
      </c>
      <c r="H3491" s="4" t="s">
        <v>1987</v>
      </c>
      <c r="K3491" s="4"/>
      <c r="L3491" s="4" t="s">
        <v>14176</v>
      </c>
    </row>
    <row r="3492">
      <c r="A3492" s="55" t="s">
        <v>14177</v>
      </c>
      <c r="B3492" s="52" t="s">
        <v>5729</v>
      </c>
      <c r="C3492" s="76">
        <v>46086.333333333336</v>
      </c>
      <c r="D3492" s="7" t="s">
        <v>2147</v>
      </c>
      <c r="E3492" s="76">
        <v>46086.395833333336</v>
      </c>
      <c r="F3492" s="52" t="s">
        <v>14178</v>
      </c>
      <c r="G3492" s="4" t="s">
        <v>110</v>
      </c>
      <c r="H3492" s="4" t="s">
        <v>1991</v>
      </c>
      <c r="K3492" s="4" t="s">
        <v>14179</v>
      </c>
      <c r="L3492" s="4" t="s">
        <v>14180</v>
      </c>
      <c r="M3492" s="4" t="s">
        <v>1846</v>
      </c>
    </row>
    <row r="3493">
      <c r="A3493" s="55"/>
      <c r="B3493" s="52"/>
      <c r="C3493" s="76"/>
      <c r="D3493" s="4"/>
      <c r="E3493" s="76"/>
      <c r="F3493" s="52"/>
      <c r="G3493" s="4"/>
      <c r="H3493" s="4"/>
      <c r="K3493" s="4"/>
      <c r="L3493" s="4"/>
    </row>
    <row r="3494">
      <c r="A3494" s="55" t="s">
        <v>14181</v>
      </c>
      <c r="B3494" s="52" t="s">
        <v>5801</v>
      </c>
      <c r="C3494" s="76">
        <v>46086.395833333336</v>
      </c>
      <c r="D3494" s="7" t="s">
        <v>2147</v>
      </c>
      <c r="E3494" s="76">
        <v>46086.4375</v>
      </c>
      <c r="F3494" s="52" t="s">
        <v>14167</v>
      </c>
      <c r="G3494" s="4" t="s">
        <v>110</v>
      </c>
      <c r="H3494" s="4" t="s">
        <v>1987</v>
      </c>
      <c r="K3494" s="4" t="s">
        <v>14182</v>
      </c>
      <c r="L3494" s="4"/>
    </row>
    <row r="3495">
      <c r="A3495" s="55" t="s">
        <v>14183</v>
      </c>
      <c r="B3495" s="52" t="s">
        <v>1617</v>
      </c>
      <c r="C3495" s="76">
        <v>46084.51388888889</v>
      </c>
      <c r="D3495" s="7" t="s">
        <v>2154</v>
      </c>
      <c r="E3495" s="76">
        <v>46084.583333333336</v>
      </c>
      <c r="F3495" s="52" t="s">
        <v>14184</v>
      </c>
      <c r="G3495" s="4" t="s">
        <v>110</v>
      </c>
      <c r="H3495" s="4" t="s">
        <v>1987</v>
      </c>
      <c r="K3495" s="4" t="s">
        <v>14185</v>
      </c>
      <c r="L3495" s="4" t="s">
        <v>14186</v>
      </c>
    </row>
    <row r="3496">
      <c r="A3496" s="55" t="s">
        <v>14187</v>
      </c>
      <c r="B3496" s="52" t="s">
        <v>1617</v>
      </c>
      <c r="C3496" s="76">
        <v>46085.333333333336</v>
      </c>
      <c r="D3496" s="7" t="s">
        <v>2154</v>
      </c>
      <c r="E3496" s="76">
        <v>46085.583333333336</v>
      </c>
      <c r="F3496" s="52" t="s">
        <v>1617</v>
      </c>
      <c r="G3496" s="4" t="s">
        <v>110</v>
      </c>
      <c r="H3496" s="4" t="s">
        <v>1987</v>
      </c>
      <c r="K3496" s="4" t="s">
        <v>14188</v>
      </c>
      <c r="L3496" s="4"/>
    </row>
    <row r="3497">
      <c r="A3497" s="55"/>
      <c r="B3497" s="52"/>
      <c r="C3497" s="76"/>
      <c r="D3497" s="4"/>
      <c r="E3497" s="76"/>
      <c r="F3497" s="52"/>
      <c r="G3497" s="4"/>
      <c r="H3497" s="4"/>
      <c r="K3497" s="4"/>
      <c r="L3497" s="4"/>
    </row>
    <row r="3498">
      <c r="A3498" s="55" t="s">
        <v>14189</v>
      </c>
      <c r="B3498" s="52" t="s">
        <v>5801</v>
      </c>
      <c r="C3498" s="76">
        <v>46086.479166666664</v>
      </c>
      <c r="D3498" s="7" t="s">
        <v>2147</v>
      </c>
      <c r="E3498" s="76">
        <v>46086.59722222222</v>
      </c>
      <c r="F3498" s="52" t="s">
        <v>14190</v>
      </c>
      <c r="G3498" s="4" t="s">
        <v>110</v>
      </c>
      <c r="H3498" s="4" t="s">
        <v>1987</v>
      </c>
      <c r="K3498" s="4"/>
      <c r="L3498" s="4" t="s">
        <v>14191</v>
      </c>
    </row>
    <row r="3499">
      <c r="A3499" s="55" t="s">
        <v>14192</v>
      </c>
      <c r="B3499" s="52" t="s">
        <v>5628</v>
      </c>
      <c r="C3499" s="76">
        <v>46087.4375</v>
      </c>
      <c r="D3499" s="7" t="s">
        <v>6052</v>
      </c>
      <c r="E3499" s="76">
        <v>46087.59722222222</v>
      </c>
      <c r="F3499" s="52" t="s">
        <v>14193</v>
      </c>
      <c r="G3499" s="4" t="s">
        <v>110</v>
      </c>
      <c r="H3499" s="4" t="s">
        <v>1987</v>
      </c>
      <c r="K3499" s="4" t="s">
        <v>14194</v>
      </c>
      <c r="L3499" s="4" t="s">
        <v>14195</v>
      </c>
    </row>
    <row r="3500">
      <c r="A3500" s="55" t="s">
        <v>14196</v>
      </c>
      <c r="B3500" s="52" t="s">
        <v>5596</v>
      </c>
      <c r="C3500" s="76">
        <v>46079.458333333336</v>
      </c>
      <c r="D3500" s="7" t="s">
        <v>2200</v>
      </c>
      <c r="E3500" s="76">
        <v>46079.541666666664</v>
      </c>
      <c r="F3500" s="52" t="s">
        <v>14197</v>
      </c>
      <c r="G3500" s="4" t="s">
        <v>139</v>
      </c>
      <c r="H3500" s="4" t="s">
        <v>1987</v>
      </c>
      <c r="K3500" s="4" t="s">
        <v>14198</v>
      </c>
      <c r="L3500" s="4" t="s">
        <v>14199</v>
      </c>
    </row>
    <row r="3501">
      <c r="A3501" s="55" t="s">
        <v>14200</v>
      </c>
      <c r="B3501" s="52" t="s">
        <v>5596</v>
      </c>
      <c r="C3501" s="76">
        <v>46080.416666666664</v>
      </c>
      <c r="D3501" s="7" t="s">
        <v>2200</v>
      </c>
      <c r="E3501" s="76">
        <v>46080.458333333336</v>
      </c>
      <c r="F3501" s="52" t="s">
        <v>14197</v>
      </c>
      <c r="G3501" s="4" t="s">
        <v>139</v>
      </c>
      <c r="H3501" s="4" t="s">
        <v>1987</v>
      </c>
      <c r="K3501" s="4" t="s">
        <v>14201</v>
      </c>
      <c r="L3501" s="4"/>
    </row>
    <row r="3502">
      <c r="A3502" s="55" t="s">
        <v>14202</v>
      </c>
      <c r="B3502" s="52" t="s">
        <v>5596</v>
      </c>
      <c r="C3502" s="76">
        <v>46080.5</v>
      </c>
      <c r="D3502" s="7" t="s">
        <v>2200</v>
      </c>
      <c r="E3502" s="76">
        <v>46080.541666666664</v>
      </c>
      <c r="F3502" s="52" t="s">
        <v>14203</v>
      </c>
      <c r="G3502" s="4" t="s">
        <v>139</v>
      </c>
      <c r="H3502" s="4" t="s">
        <v>1987</v>
      </c>
      <c r="K3502" s="4" t="s">
        <v>14204</v>
      </c>
      <c r="L3502" s="4"/>
    </row>
    <row r="3503">
      <c r="A3503" s="55" t="s">
        <v>14205</v>
      </c>
      <c r="B3503" s="52" t="s">
        <v>1611</v>
      </c>
      <c r="C3503" s="76">
        <v>46083.333333333336</v>
      </c>
      <c r="D3503" s="7" t="s">
        <v>2147</v>
      </c>
      <c r="E3503" s="76">
        <v>46083.416666666664</v>
      </c>
      <c r="F3503" s="52" t="s">
        <v>14206</v>
      </c>
      <c r="G3503" s="4" t="s">
        <v>139</v>
      </c>
      <c r="H3503" s="4" t="s">
        <v>1987</v>
      </c>
      <c r="K3503" s="4"/>
      <c r="L3503" s="4" t="s">
        <v>14207</v>
      </c>
    </row>
    <row r="3504">
      <c r="A3504" s="55" t="s">
        <v>14208</v>
      </c>
      <c r="B3504" s="52" t="s">
        <v>5798</v>
      </c>
      <c r="C3504" s="76">
        <v>46083.416666666664</v>
      </c>
      <c r="D3504" s="7" t="s">
        <v>2147</v>
      </c>
      <c r="E3504" s="76">
        <v>46083.458333333336</v>
      </c>
      <c r="F3504" s="52" t="s">
        <v>14206</v>
      </c>
      <c r="G3504" s="4" t="s">
        <v>139</v>
      </c>
      <c r="H3504" s="4" t="s">
        <v>1987</v>
      </c>
      <c r="K3504" s="4" t="s">
        <v>14209</v>
      </c>
      <c r="L3504" s="4"/>
    </row>
    <row r="3505">
      <c r="A3505" s="55" t="s">
        <v>14210</v>
      </c>
      <c r="B3505" s="52" t="s">
        <v>5596</v>
      </c>
      <c r="C3505" s="76">
        <v>46083.458333333336</v>
      </c>
      <c r="D3505" s="7" t="s">
        <v>2154</v>
      </c>
      <c r="E3505" s="76">
        <v>46083.541666666664</v>
      </c>
      <c r="F3505" s="52" t="s">
        <v>8952</v>
      </c>
      <c r="G3505" s="4" t="s">
        <v>139</v>
      </c>
      <c r="H3505" s="4" t="s">
        <v>1987</v>
      </c>
      <c r="K3505" s="4"/>
      <c r="L3505" s="4" t="s">
        <v>14211</v>
      </c>
    </row>
    <row r="3506">
      <c r="A3506" s="55" t="s">
        <v>14212</v>
      </c>
      <c r="B3506" s="52" t="s">
        <v>5798</v>
      </c>
      <c r="C3506" s="76">
        <v>46084.333333333336</v>
      </c>
      <c r="D3506" s="7" t="s">
        <v>2154</v>
      </c>
      <c r="E3506" s="76">
        <v>46084.416666666664</v>
      </c>
      <c r="F3506" s="52" t="s">
        <v>14213</v>
      </c>
      <c r="G3506" s="4" t="s">
        <v>139</v>
      </c>
      <c r="H3506" s="4" t="s">
        <v>1987</v>
      </c>
      <c r="K3506" s="4" t="s">
        <v>14214</v>
      </c>
      <c r="L3506" s="4"/>
    </row>
    <row r="3507">
      <c r="A3507" s="66" t="s">
        <v>14215</v>
      </c>
      <c r="B3507" s="52" t="s">
        <v>5596</v>
      </c>
      <c r="C3507" s="76">
        <v>46084.416666666664</v>
      </c>
      <c r="D3507" s="7" t="s">
        <v>2154</v>
      </c>
      <c r="E3507" s="76">
        <v>46084.541666666664</v>
      </c>
      <c r="F3507" s="52" t="s">
        <v>8952</v>
      </c>
      <c r="G3507" s="4" t="s">
        <v>139</v>
      </c>
      <c r="H3507" s="4" t="s">
        <v>1987</v>
      </c>
      <c r="K3507" s="4"/>
      <c r="L3507" s="4" t="s">
        <v>14216</v>
      </c>
    </row>
    <row r="3508">
      <c r="A3508" s="55"/>
      <c r="B3508" s="52"/>
      <c r="C3508" s="76"/>
      <c r="D3508" s="4"/>
      <c r="E3508" s="76"/>
      <c r="F3508" s="52"/>
      <c r="G3508" s="4"/>
      <c r="H3508" s="4"/>
      <c r="I3508" s="4"/>
      <c r="K3508" s="4"/>
      <c r="L3508" s="4"/>
    </row>
    <row r="3509">
      <c r="A3509" s="55" t="s">
        <v>14217</v>
      </c>
      <c r="B3509" s="52" t="s">
        <v>6057</v>
      </c>
      <c r="C3509" s="76">
        <v>46083.333333333336</v>
      </c>
      <c r="D3509" s="7" t="s">
        <v>6052</v>
      </c>
      <c r="E3509" s="76">
        <v>46083.5</v>
      </c>
      <c r="F3509" s="52" t="s">
        <v>6057</v>
      </c>
      <c r="G3509" s="4" t="s">
        <v>27</v>
      </c>
      <c r="H3509" s="4" t="s">
        <v>1987</v>
      </c>
      <c r="K3509" s="4" t="s">
        <v>14218</v>
      </c>
      <c r="L3509" s="4"/>
    </row>
    <row r="3510">
      <c r="A3510" s="55" t="s">
        <v>14219</v>
      </c>
      <c r="B3510" s="52" t="s">
        <v>6057</v>
      </c>
      <c r="C3510" s="76">
        <v>46084.416666666664</v>
      </c>
      <c r="D3510" s="7" t="s">
        <v>6052</v>
      </c>
      <c r="E3510" s="76">
        <v>46084.833333333336</v>
      </c>
      <c r="F3510" s="52" t="s">
        <v>7460</v>
      </c>
      <c r="G3510" s="4" t="s">
        <v>27</v>
      </c>
      <c r="H3510" s="4" t="s">
        <v>1987</v>
      </c>
      <c r="K3510" s="4" t="s">
        <v>14220</v>
      </c>
      <c r="L3510" s="4" t="s">
        <v>14221</v>
      </c>
    </row>
    <row r="3511">
      <c r="A3511" s="55" t="s">
        <v>14222</v>
      </c>
      <c r="B3511" s="52" t="s">
        <v>6057</v>
      </c>
      <c r="C3511" s="76">
        <v>46085.333333333336</v>
      </c>
      <c r="D3511" s="7" t="s">
        <v>2148</v>
      </c>
      <c r="E3511" s="76">
        <v>46085.416666666664</v>
      </c>
      <c r="F3511" s="52" t="s">
        <v>7460</v>
      </c>
      <c r="G3511" s="4" t="s">
        <v>27</v>
      </c>
      <c r="H3511" s="4" t="s">
        <v>1987</v>
      </c>
      <c r="K3511" s="4"/>
      <c r="L3511" s="4" t="s">
        <v>14223</v>
      </c>
    </row>
    <row r="3512">
      <c r="A3512" s="55" t="s">
        <v>14224</v>
      </c>
      <c r="B3512" s="52" t="s">
        <v>1611</v>
      </c>
      <c r="C3512" s="76">
        <v>46085.645833333336</v>
      </c>
      <c r="D3512" s="7" t="s">
        <v>2154</v>
      </c>
      <c r="E3512" s="76">
        <v>46085.833333333336</v>
      </c>
      <c r="F3512" s="52" t="s">
        <v>14225</v>
      </c>
      <c r="G3512" s="4" t="s">
        <v>27</v>
      </c>
      <c r="H3512" s="4" t="s">
        <v>1987</v>
      </c>
      <c r="K3512" s="4"/>
      <c r="L3512" s="4" t="s">
        <v>14226</v>
      </c>
    </row>
    <row r="3513">
      <c r="A3513" s="55" t="s">
        <v>14227</v>
      </c>
      <c r="B3513" s="52" t="s">
        <v>5803</v>
      </c>
      <c r="C3513" s="76">
        <v>46085.833333333336</v>
      </c>
      <c r="D3513" s="7" t="s">
        <v>2148</v>
      </c>
      <c r="E3513" s="76">
        <v>46085.99930555555</v>
      </c>
      <c r="F3513" s="52" t="s">
        <v>14228</v>
      </c>
      <c r="G3513" s="4" t="s">
        <v>27</v>
      </c>
      <c r="H3513" s="4" t="s">
        <v>1987</v>
      </c>
      <c r="K3513" s="4"/>
      <c r="L3513" s="4" t="s">
        <v>14229</v>
      </c>
      <c r="M3513" s="4" t="s">
        <v>1895</v>
      </c>
      <c r="N3513" s="4">
        <v>5.0</v>
      </c>
    </row>
    <row r="3514">
      <c r="A3514" s="55" t="s">
        <v>14230</v>
      </c>
      <c r="B3514" s="52" t="s">
        <v>5801</v>
      </c>
      <c r="C3514" s="76">
        <v>46086.4375</v>
      </c>
      <c r="D3514" s="7" t="s">
        <v>2147</v>
      </c>
      <c r="E3514" s="76">
        <v>46086.479166666664</v>
      </c>
      <c r="F3514" s="52" t="s">
        <v>14231</v>
      </c>
      <c r="G3514" s="4" t="s">
        <v>27</v>
      </c>
      <c r="H3514" s="4" t="s">
        <v>1987</v>
      </c>
      <c r="K3514" s="4"/>
      <c r="L3514" s="4" t="s">
        <v>14232</v>
      </c>
    </row>
    <row r="3515">
      <c r="A3515" s="55" t="s">
        <v>14233</v>
      </c>
      <c r="B3515" s="52" t="s">
        <v>5729</v>
      </c>
      <c r="C3515" s="76">
        <v>46086.354166666664</v>
      </c>
      <c r="D3515" s="7" t="s">
        <v>2147</v>
      </c>
      <c r="E3515" s="76">
        <v>46086.395833333336</v>
      </c>
      <c r="F3515" s="52" t="s">
        <v>9290</v>
      </c>
      <c r="G3515" s="4" t="s">
        <v>27</v>
      </c>
      <c r="H3515" s="4" t="s">
        <v>1987</v>
      </c>
      <c r="K3515" s="4" t="s">
        <v>14234</v>
      </c>
      <c r="L3515" s="4"/>
    </row>
    <row r="3516">
      <c r="A3516" s="55" t="s">
        <v>14235</v>
      </c>
      <c r="B3516" s="52" t="s">
        <v>6057</v>
      </c>
      <c r="C3516" s="76">
        <v>46086.395833333336</v>
      </c>
      <c r="D3516" s="7" t="s">
        <v>2147</v>
      </c>
      <c r="E3516" s="76">
        <v>46086.4375</v>
      </c>
      <c r="F3516" s="52" t="s">
        <v>6057</v>
      </c>
      <c r="G3516" s="4" t="s">
        <v>27</v>
      </c>
      <c r="H3516" s="4" t="s">
        <v>1987</v>
      </c>
      <c r="K3516" s="4" t="s">
        <v>14236</v>
      </c>
      <c r="L3516" s="4"/>
    </row>
    <row r="3517">
      <c r="A3517" s="68" t="s">
        <v>13687</v>
      </c>
      <c r="B3517" s="69" t="s">
        <v>5675</v>
      </c>
      <c r="C3517" s="70">
        <v>46082.0</v>
      </c>
      <c r="D3517" s="71"/>
      <c r="E3517" s="70">
        <v>46082.125</v>
      </c>
      <c r="F3517" s="69" t="s">
        <v>10321</v>
      </c>
      <c r="G3517" s="72" t="s">
        <v>5795</v>
      </c>
      <c r="H3517" s="4" t="s">
        <v>1987</v>
      </c>
      <c r="K3517" s="4" t="s">
        <v>14237</v>
      </c>
      <c r="L3517" s="4"/>
    </row>
    <row r="3518">
      <c r="A3518" s="68" t="s">
        <v>13688</v>
      </c>
      <c r="B3518" s="69" t="s">
        <v>5625</v>
      </c>
      <c r="C3518" s="70">
        <v>46082.0</v>
      </c>
      <c r="D3518" s="71"/>
      <c r="E3518" s="70">
        <v>46082.166666666664</v>
      </c>
      <c r="F3518" s="69" t="s">
        <v>10321</v>
      </c>
      <c r="G3518" s="72" t="s">
        <v>5795</v>
      </c>
      <c r="H3518" s="4" t="s">
        <v>1987</v>
      </c>
      <c r="K3518" s="4" t="s">
        <v>14238</v>
      </c>
      <c r="L3518" s="4"/>
    </row>
    <row r="3519">
      <c r="A3519" s="68" t="s">
        <v>13689</v>
      </c>
      <c r="B3519" s="69" t="s">
        <v>5790</v>
      </c>
      <c r="C3519" s="70">
        <v>46082.0</v>
      </c>
      <c r="D3519" s="71"/>
      <c r="E3519" s="70">
        <v>46082.291666666664</v>
      </c>
      <c r="F3519" s="69" t="s">
        <v>10321</v>
      </c>
      <c r="G3519" s="72" t="s">
        <v>5795</v>
      </c>
      <c r="H3519" s="4" t="s">
        <v>1987</v>
      </c>
      <c r="K3519" s="4" t="s">
        <v>14239</v>
      </c>
      <c r="L3519" s="4"/>
    </row>
    <row r="3520">
      <c r="A3520" s="68" t="s">
        <v>13690</v>
      </c>
      <c r="B3520" s="69" t="s">
        <v>5656</v>
      </c>
      <c r="C3520" s="75">
        <v>46082.0</v>
      </c>
      <c r="D3520" s="74"/>
      <c r="E3520" s="75">
        <v>46082.5</v>
      </c>
      <c r="F3520" s="69" t="s">
        <v>10321</v>
      </c>
      <c r="G3520" s="72" t="s">
        <v>5795</v>
      </c>
      <c r="H3520" s="4" t="s">
        <v>1987</v>
      </c>
      <c r="K3520" s="4" t="s">
        <v>14240</v>
      </c>
      <c r="L3520" s="4"/>
    </row>
    <row r="3521">
      <c r="A3521" s="68" t="s">
        <v>13691</v>
      </c>
      <c r="B3521" s="69" t="s">
        <v>5729</v>
      </c>
      <c r="C3521" s="75">
        <v>46082.0</v>
      </c>
      <c r="D3521" s="74"/>
      <c r="E3521" s="75">
        <v>46082.083333333336</v>
      </c>
      <c r="F3521" s="69" t="s">
        <v>10321</v>
      </c>
      <c r="G3521" s="72" t="s">
        <v>5795</v>
      </c>
      <c r="H3521" s="4" t="s">
        <v>1987</v>
      </c>
      <c r="K3521" s="4" t="s">
        <v>14241</v>
      </c>
      <c r="L3521" s="4"/>
    </row>
    <row r="3522">
      <c r="A3522" s="68" t="s">
        <v>13692</v>
      </c>
      <c r="B3522" s="69" t="s">
        <v>1611</v>
      </c>
      <c r="C3522" s="75">
        <v>46082.0</v>
      </c>
      <c r="D3522" s="74"/>
      <c r="E3522" s="75">
        <v>46082.333333333336</v>
      </c>
      <c r="F3522" s="69" t="s">
        <v>10321</v>
      </c>
      <c r="G3522" s="72" t="s">
        <v>5795</v>
      </c>
      <c r="H3522" s="4" t="s">
        <v>1987</v>
      </c>
      <c r="K3522" s="4" t="s">
        <v>14242</v>
      </c>
      <c r="L3522" s="4"/>
    </row>
    <row r="3523">
      <c r="A3523" s="68" t="s">
        <v>13693</v>
      </c>
      <c r="B3523" s="69" t="s">
        <v>1617</v>
      </c>
      <c r="C3523" s="75">
        <v>46082.0</v>
      </c>
      <c r="D3523" s="74"/>
      <c r="E3523" s="75">
        <v>46082.125</v>
      </c>
      <c r="F3523" s="69" t="s">
        <v>10321</v>
      </c>
      <c r="G3523" s="72" t="s">
        <v>5795</v>
      </c>
      <c r="H3523" s="4" t="s">
        <v>1987</v>
      </c>
      <c r="K3523" s="4" t="s">
        <v>14243</v>
      </c>
      <c r="L3523" s="4"/>
    </row>
    <row r="3524">
      <c r="A3524" s="55" t="s">
        <v>14244</v>
      </c>
      <c r="B3524" s="52" t="s">
        <v>5678</v>
      </c>
      <c r="C3524" s="76">
        <v>46084.583333333336</v>
      </c>
      <c r="D3524" s="7" t="s">
        <v>6318</v>
      </c>
      <c r="E3524" s="76">
        <v>46084.604166666664</v>
      </c>
      <c r="F3524" s="52" t="s">
        <v>14245</v>
      </c>
      <c r="G3524" s="4" t="s">
        <v>135</v>
      </c>
      <c r="H3524" s="4" t="s">
        <v>1987</v>
      </c>
      <c r="K3524" s="4" t="s">
        <v>14246</v>
      </c>
      <c r="L3524" s="4"/>
    </row>
    <row r="3525">
      <c r="A3525" s="55" t="s">
        <v>14247</v>
      </c>
      <c r="B3525" s="52" t="s">
        <v>1617</v>
      </c>
      <c r="C3525" s="76">
        <v>46085.583333333336</v>
      </c>
      <c r="D3525" s="7" t="s">
        <v>2148</v>
      </c>
      <c r="E3525" s="76">
        <v>46085.75</v>
      </c>
      <c r="F3525" s="52" t="s">
        <v>14248</v>
      </c>
      <c r="G3525" s="4" t="s">
        <v>135</v>
      </c>
      <c r="H3525" s="4" t="s">
        <v>1987</v>
      </c>
      <c r="K3525" s="4" t="s">
        <v>14249</v>
      </c>
      <c r="L3525" s="4"/>
    </row>
    <row r="3526">
      <c r="A3526" s="55" t="s">
        <v>14250</v>
      </c>
      <c r="B3526" s="52" t="s">
        <v>1617</v>
      </c>
      <c r="C3526" s="76">
        <v>46086.666666666664</v>
      </c>
      <c r="D3526" s="7" t="s">
        <v>2148</v>
      </c>
      <c r="E3526" s="76">
        <v>46086.75</v>
      </c>
      <c r="F3526" s="52" t="s">
        <v>14248</v>
      </c>
      <c r="G3526" s="4" t="s">
        <v>135</v>
      </c>
      <c r="H3526" s="4" t="s">
        <v>1987</v>
      </c>
      <c r="K3526" s="4" t="s">
        <v>14251</v>
      </c>
      <c r="L3526" s="4" t="s">
        <v>14252</v>
      </c>
    </row>
    <row r="3527">
      <c r="A3527" s="55" t="s">
        <v>14253</v>
      </c>
      <c r="B3527" s="52" t="s">
        <v>5790</v>
      </c>
      <c r="C3527" s="76">
        <v>46087.666666666664</v>
      </c>
      <c r="D3527" s="7" t="s">
        <v>2148</v>
      </c>
      <c r="E3527" s="76">
        <v>46087.75</v>
      </c>
      <c r="F3527" s="52" t="s">
        <v>14254</v>
      </c>
      <c r="G3527" s="4" t="s">
        <v>135</v>
      </c>
      <c r="H3527" s="4" t="s">
        <v>1987</v>
      </c>
      <c r="K3527" s="4" t="s">
        <v>14255</v>
      </c>
      <c r="L3527" s="4" t="s">
        <v>14256</v>
      </c>
    </row>
    <row r="3528">
      <c r="A3528" s="55" t="s">
        <v>14257</v>
      </c>
      <c r="B3528" s="52" t="s">
        <v>5625</v>
      </c>
      <c r="C3528" s="76">
        <v>46084.604166666664</v>
      </c>
      <c r="D3528" s="7" t="s">
        <v>6318</v>
      </c>
      <c r="E3528" s="76">
        <v>46084.625</v>
      </c>
      <c r="F3528" s="52" t="s">
        <v>14258</v>
      </c>
      <c r="G3528" s="4" t="s">
        <v>135</v>
      </c>
      <c r="H3528" s="4" t="s">
        <v>1987</v>
      </c>
      <c r="K3528" s="4" t="s">
        <v>14259</v>
      </c>
      <c r="L3528" s="4"/>
    </row>
    <row r="3529">
      <c r="A3529" s="55" t="s">
        <v>14260</v>
      </c>
      <c r="B3529" s="52" t="s">
        <v>5656</v>
      </c>
      <c r="C3529" s="76">
        <v>46086.520833333336</v>
      </c>
      <c r="D3529" s="7" t="s">
        <v>6052</v>
      </c>
      <c r="E3529" s="76">
        <v>46086.729166666664</v>
      </c>
      <c r="F3529" s="52" t="s">
        <v>14261</v>
      </c>
      <c r="G3529" s="4" t="s">
        <v>27</v>
      </c>
      <c r="H3529" s="4" t="s">
        <v>1987</v>
      </c>
      <c r="K3529" s="4" t="s">
        <v>14262</v>
      </c>
      <c r="L3529" s="4"/>
      <c r="M3529" s="4" t="s">
        <v>14263</v>
      </c>
      <c r="N3529" s="4">
        <v>1.0</v>
      </c>
    </row>
    <row r="3530">
      <c r="A3530" s="55"/>
      <c r="B3530" s="52"/>
      <c r="C3530" s="76"/>
      <c r="D3530" s="4"/>
      <c r="E3530" s="76"/>
      <c r="F3530" s="52"/>
      <c r="G3530" s="4"/>
      <c r="H3530" s="4"/>
      <c r="K3530" s="4"/>
      <c r="L3530" s="4"/>
      <c r="M3530" s="4"/>
      <c r="N3530" s="4"/>
    </row>
    <row r="3531">
      <c r="A3531" s="55"/>
      <c r="B3531" s="52"/>
      <c r="C3531" s="76"/>
      <c r="D3531" s="4"/>
      <c r="E3531" s="76"/>
      <c r="F3531" s="52"/>
      <c r="G3531" s="4"/>
      <c r="H3531" s="4"/>
      <c r="K3531" s="4"/>
      <c r="L3531" s="4"/>
      <c r="M3531" s="4"/>
      <c r="N3531" s="4"/>
    </row>
    <row r="3532">
      <c r="A3532" s="55" t="s">
        <v>14264</v>
      </c>
      <c r="B3532" s="52" t="s">
        <v>5625</v>
      </c>
      <c r="C3532" s="76">
        <v>46087.333333333336</v>
      </c>
      <c r="D3532" s="7" t="s">
        <v>2200</v>
      </c>
      <c r="E3532" s="76">
        <v>46087.458333333336</v>
      </c>
      <c r="F3532" s="52" t="s">
        <v>14265</v>
      </c>
      <c r="G3532" s="4" t="s">
        <v>27</v>
      </c>
      <c r="H3532" s="4" t="s">
        <v>1987</v>
      </c>
      <c r="K3532" s="4" t="s">
        <v>14266</v>
      </c>
      <c r="L3532" s="4" t="s">
        <v>14267</v>
      </c>
      <c r="M3532" s="4" t="s">
        <v>14268</v>
      </c>
      <c r="N3532" s="4">
        <v>1.0</v>
      </c>
    </row>
    <row r="3533">
      <c r="A3533" s="55" t="s">
        <v>14269</v>
      </c>
      <c r="B3533" s="52" t="s">
        <v>5795</v>
      </c>
      <c r="C3533" s="76">
        <v>46087.625</v>
      </c>
      <c r="D3533" s="7" t="s">
        <v>6052</v>
      </c>
      <c r="E3533" s="76">
        <v>46087.875</v>
      </c>
      <c r="F3533" s="52" t="s">
        <v>14270</v>
      </c>
      <c r="G3533" s="4" t="s">
        <v>27</v>
      </c>
      <c r="H3533" s="4" t="s">
        <v>1987</v>
      </c>
      <c r="K3533" s="4"/>
      <c r="L3533" s="4" t="s">
        <v>14271</v>
      </c>
      <c r="M3533" s="4" t="s">
        <v>14272</v>
      </c>
      <c r="N3533" s="4">
        <v>1.0</v>
      </c>
    </row>
    <row r="3534">
      <c r="A3534" s="55" t="s">
        <v>14273</v>
      </c>
      <c r="B3534" s="52" t="s">
        <v>6057</v>
      </c>
      <c r="C3534" s="76">
        <v>46088.625</v>
      </c>
      <c r="D3534" s="7" t="s">
        <v>6052</v>
      </c>
      <c r="E3534" s="76">
        <v>46088.833333333336</v>
      </c>
      <c r="F3534" s="52" t="s">
        <v>14270</v>
      </c>
      <c r="G3534" s="4" t="s">
        <v>27</v>
      </c>
      <c r="H3534" s="4" t="s">
        <v>1987</v>
      </c>
      <c r="K3534" s="4" t="s">
        <v>14274</v>
      </c>
      <c r="L3534" s="4"/>
      <c r="M3534" s="4" t="s">
        <v>14272</v>
      </c>
      <c r="N3534" s="4">
        <v>1.0</v>
      </c>
    </row>
    <row r="3535">
      <c r="A3535" s="55" t="s">
        <v>14275</v>
      </c>
      <c r="B3535" s="52" t="s">
        <v>13847</v>
      </c>
      <c r="C3535" s="76">
        <v>46086.354166666664</v>
      </c>
      <c r="D3535" s="4"/>
      <c r="E3535" s="76">
        <v>46086.395833333336</v>
      </c>
      <c r="F3535" s="52" t="s">
        <v>14276</v>
      </c>
      <c r="G3535" s="4" t="s">
        <v>27</v>
      </c>
      <c r="H3535" s="4" t="s">
        <v>1991</v>
      </c>
      <c r="I3535" s="5" t="s">
        <v>14277</v>
      </c>
      <c r="K3535" s="4"/>
      <c r="L3535" s="4"/>
    </row>
    <row r="3536">
      <c r="A3536" s="55" t="s">
        <v>14278</v>
      </c>
      <c r="B3536" s="52" t="s">
        <v>5625</v>
      </c>
      <c r="C3536" s="76">
        <v>46085.416666666664</v>
      </c>
      <c r="D3536" s="7" t="s">
        <v>2147</v>
      </c>
      <c r="E3536" s="76">
        <v>46085.458333333336</v>
      </c>
      <c r="F3536" s="52" t="s">
        <v>14279</v>
      </c>
      <c r="G3536" s="4" t="s">
        <v>27</v>
      </c>
      <c r="H3536" s="4" t="s">
        <v>1987</v>
      </c>
      <c r="K3536" s="4" t="s">
        <v>14280</v>
      </c>
      <c r="L3536" s="4"/>
      <c r="M3536" s="4" t="s">
        <v>14272</v>
      </c>
      <c r="N3536" s="4">
        <v>1.0</v>
      </c>
    </row>
    <row r="3537">
      <c r="A3537" s="55" t="s">
        <v>14281</v>
      </c>
      <c r="B3537" s="52" t="s">
        <v>6057</v>
      </c>
      <c r="C3537" s="76">
        <v>46085.458333333336</v>
      </c>
      <c r="D3537" s="7" t="s">
        <v>2148</v>
      </c>
      <c r="E3537" s="76">
        <v>46085.645833333336</v>
      </c>
      <c r="F3537" s="52" t="s">
        <v>14282</v>
      </c>
      <c r="G3537" s="4" t="s">
        <v>27</v>
      </c>
      <c r="H3537" s="4" t="s">
        <v>1987</v>
      </c>
      <c r="K3537" s="4" t="s">
        <v>14283</v>
      </c>
      <c r="L3537" s="4" t="s">
        <v>14284</v>
      </c>
      <c r="M3537" s="4" t="s">
        <v>14272</v>
      </c>
    </row>
    <row r="3538">
      <c r="A3538" s="55" t="s">
        <v>14285</v>
      </c>
      <c r="B3538" s="52" t="s">
        <v>5628</v>
      </c>
      <c r="C3538" s="76">
        <v>46087.375</v>
      </c>
      <c r="D3538" s="7" t="s">
        <v>6052</v>
      </c>
      <c r="E3538" s="76">
        <v>46087.4375</v>
      </c>
      <c r="F3538" s="52" t="s">
        <v>14286</v>
      </c>
      <c r="G3538" s="4" t="s">
        <v>110</v>
      </c>
      <c r="H3538" s="4" t="s">
        <v>1991</v>
      </c>
      <c r="K3538" s="4" t="s">
        <v>14287</v>
      </c>
      <c r="L3538" s="4" t="s">
        <v>14288</v>
      </c>
      <c r="M3538" s="4" t="s">
        <v>14289</v>
      </c>
    </row>
    <row r="3539">
      <c r="A3539" s="55" t="s">
        <v>14290</v>
      </c>
      <c r="B3539" s="52" t="s">
        <v>5625</v>
      </c>
      <c r="C3539" s="76">
        <v>46087.458333333336</v>
      </c>
      <c r="D3539" s="7" t="s">
        <v>2147</v>
      </c>
      <c r="E3539" s="76">
        <v>46087.5</v>
      </c>
      <c r="F3539" s="52" t="s">
        <v>14291</v>
      </c>
      <c r="G3539" s="4" t="s">
        <v>27</v>
      </c>
      <c r="H3539" s="4" t="s">
        <v>1991</v>
      </c>
      <c r="K3539" s="4" t="s">
        <v>14292</v>
      </c>
      <c r="L3539" s="4"/>
      <c r="M3539" s="4" t="s">
        <v>14293</v>
      </c>
      <c r="N3539" s="4">
        <v>1.0</v>
      </c>
    </row>
    <row r="3540">
      <c r="A3540" s="55" t="s">
        <v>14294</v>
      </c>
      <c r="B3540" s="52" t="s">
        <v>13847</v>
      </c>
      <c r="C3540" s="76">
        <v>46087.458333333336</v>
      </c>
      <c r="D3540" s="4"/>
      <c r="E3540" s="76">
        <v>46087.5</v>
      </c>
      <c r="F3540" s="52" t="s">
        <v>14295</v>
      </c>
      <c r="G3540" s="4" t="s">
        <v>27</v>
      </c>
      <c r="H3540" s="4" t="s">
        <v>1991</v>
      </c>
      <c r="I3540" s="5" t="s">
        <v>14296</v>
      </c>
      <c r="K3540" s="4"/>
      <c r="L3540" s="4"/>
    </row>
    <row r="3541">
      <c r="A3541" s="55" t="s">
        <v>14297</v>
      </c>
      <c r="B3541" s="52" t="s">
        <v>5798</v>
      </c>
      <c r="C3541" s="76">
        <v>46085.375</v>
      </c>
      <c r="D3541" s="7" t="s">
        <v>2148</v>
      </c>
      <c r="E3541" s="76">
        <v>46085.541666666664</v>
      </c>
      <c r="F3541" s="52" t="s">
        <v>14298</v>
      </c>
      <c r="G3541" s="4" t="s">
        <v>139</v>
      </c>
      <c r="H3541" s="4" t="s">
        <v>1987</v>
      </c>
      <c r="K3541" s="4" t="s">
        <v>14299</v>
      </c>
      <c r="L3541" s="4" t="s">
        <v>14300</v>
      </c>
      <c r="M3541" s="4" t="s">
        <v>1895</v>
      </c>
      <c r="N3541" s="4">
        <v>0.66</v>
      </c>
    </row>
    <row r="3542">
      <c r="A3542" s="55" t="s">
        <v>14301</v>
      </c>
      <c r="B3542" s="52" t="s">
        <v>5596</v>
      </c>
      <c r="C3542" s="76">
        <v>46085.333333333336</v>
      </c>
      <c r="D3542" s="7" t="s">
        <v>2147</v>
      </c>
      <c r="E3542" s="76">
        <v>46085.354166666664</v>
      </c>
      <c r="F3542" s="52" t="s">
        <v>14302</v>
      </c>
      <c r="G3542" s="4" t="s">
        <v>139</v>
      </c>
      <c r="H3542" s="4" t="s">
        <v>1987</v>
      </c>
      <c r="K3542" s="4" t="s">
        <v>14303</v>
      </c>
      <c r="L3542" s="4" t="s">
        <v>14304</v>
      </c>
      <c r="M3542" s="4" t="s">
        <v>1895</v>
      </c>
      <c r="N3542" s="4">
        <v>1.0</v>
      </c>
    </row>
    <row r="3543">
      <c r="A3543" s="55" t="s">
        <v>14305</v>
      </c>
      <c r="B3543" s="52" t="s">
        <v>1611</v>
      </c>
      <c r="C3543" s="76">
        <v>46085.354166666664</v>
      </c>
      <c r="D3543" s="7" t="s">
        <v>6318</v>
      </c>
      <c r="E3543" s="76">
        <v>46085.375</v>
      </c>
      <c r="F3543" s="52" t="s">
        <v>14306</v>
      </c>
      <c r="G3543" s="4" t="s">
        <v>139</v>
      </c>
      <c r="H3543" s="4" t="s">
        <v>1987</v>
      </c>
      <c r="K3543" s="4" t="s">
        <v>14307</v>
      </c>
      <c r="L3543" s="4"/>
      <c r="M3543" s="4" t="s">
        <v>14289</v>
      </c>
      <c r="N3543" s="4">
        <v>1.0</v>
      </c>
    </row>
    <row r="3544">
      <c r="A3544" s="55" t="s">
        <v>14308</v>
      </c>
      <c r="B3544" s="52" t="s">
        <v>6057</v>
      </c>
      <c r="C3544" s="76">
        <v>46086.479166666664</v>
      </c>
      <c r="D3544" s="7" t="s">
        <v>2147</v>
      </c>
      <c r="E3544" s="76">
        <v>46086.520833333336</v>
      </c>
      <c r="F3544" s="52" t="s">
        <v>14309</v>
      </c>
      <c r="G3544" s="4" t="s">
        <v>27</v>
      </c>
      <c r="H3544" s="4" t="s">
        <v>1987</v>
      </c>
      <c r="K3544" s="4" t="s">
        <v>14310</v>
      </c>
      <c r="L3544" s="4"/>
      <c r="M3544" s="4" t="s">
        <v>14272</v>
      </c>
    </row>
    <row r="3545">
      <c r="A3545" s="55" t="s">
        <v>14311</v>
      </c>
      <c r="B3545" s="52" t="s">
        <v>5801</v>
      </c>
      <c r="C3545" s="76">
        <v>46093.4375</v>
      </c>
      <c r="D3545" s="7" t="s">
        <v>2147</v>
      </c>
      <c r="E3545" s="76">
        <v>46093.59375</v>
      </c>
      <c r="F3545" s="52" t="s">
        <v>14312</v>
      </c>
      <c r="G3545" s="4" t="s">
        <v>110</v>
      </c>
      <c r="H3545" s="4" t="s">
        <v>1991</v>
      </c>
      <c r="K3545" s="4" t="s">
        <v>14313</v>
      </c>
      <c r="L3545" s="4" t="s">
        <v>14314</v>
      </c>
      <c r="M3545" s="4" t="s">
        <v>14289</v>
      </c>
      <c r="N3545" s="4">
        <v>1.0</v>
      </c>
    </row>
    <row r="3546">
      <c r="A3546" s="55" t="s">
        <v>14315</v>
      </c>
      <c r="B3546" s="52" t="s">
        <v>5625</v>
      </c>
      <c r="C3546" s="76">
        <v>46086.583333333336</v>
      </c>
      <c r="D3546" s="7" t="s">
        <v>6318</v>
      </c>
      <c r="E3546" s="76">
        <v>46086.666666666664</v>
      </c>
      <c r="F3546" s="52" t="s">
        <v>14316</v>
      </c>
      <c r="G3546" s="4" t="s">
        <v>135</v>
      </c>
      <c r="H3546" s="4" t="s">
        <v>1987</v>
      </c>
      <c r="K3546" s="4" t="s">
        <v>14259</v>
      </c>
      <c r="L3546" s="4" t="s">
        <v>14317</v>
      </c>
      <c r="M3546" s="4" t="s">
        <v>14289</v>
      </c>
    </row>
    <row r="3547">
      <c r="A3547" s="55" t="s">
        <v>14318</v>
      </c>
      <c r="B3547" s="52" t="s">
        <v>6069</v>
      </c>
      <c r="C3547" s="76">
        <v>46090.583333333336</v>
      </c>
      <c r="D3547" s="7" t="s">
        <v>2148</v>
      </c>
      <c r="E3547" s="76">
        <v>46090.625</v>
      </c>
      <c r="F3547" s="52" t="s">
        <v>14319</v>
      </c>
      <c r="G3547" s="4" t="s">
        <v>135</v>
      </c>
      <c r="H3547" s="4" t="s">
        <v>1987</v>
      </c>
      <c r="K3547" s="4" t="s">
        <v>14320</v>
      </c>
      <c r="L3547" s="4" t="s">
        <v>14321</v>
      </c>
      <c r="M3547" s="4" t="s">
        <v>14272</v>
      </c>
      <c r="N3547" s="4">
        <v>1.0</v>
      </c>
    </row>
    <row r="3548">
      <c r="A3548" s="55" t="s">
        <v>14322</v>
      </c>
      <c r="B3548" s="52" t="s">
        <v>6069</v>
      </c>
      <c r="C3548" s="76">
        <v>46097.583333333336</v>
      </c>
      <c r="D3548" s="7" t="s">
        <v>2148</v>
      </c>
      <c r="E3548" s="76">
        <v>46097.625</v>
      </c>
      <c r="F3548" s="52" t="s">
        <v>14319</v>
      </c>
      <c r="G3548" s="4" t="s">
        <v>135</v>
      </c>
      <c r="H3548" s="4" t="s">
        <v>1987</v>
      </c>
      <c r="K3548" s="4" t="s">
        <v>14323</v>
      </c>
      <c r="L3548" s="4" t="s">
        <v>14324</v>
      </c>
      <c r="M3548" s="4" t="s">
        <v>14272</v>
      </c>
      <c r="N3548" s="4">
        <v>1.0</v>
      </c>
    </row>
    <row r="3549">
      <c r="A3549" s="55" t="s">
        <v>14325</v>
      </c>
      <c r="B3549" s="52" t="s">
        <v>6069</v>
      </c>
      <c r="C3549" s="76">
        <v>46111.583333333336</v>
      </c>
      <c r="D3549" s="7" t="s">
        <v>2148</v>
      </c>
      <c r="E3549" s="76">
        <v>46111.75</v>
      </c>
      <c r="F3549" s="52" t="s">
        <v>14319</v>
      </c>
      <c r="G3549" s="4" t="s">
        <v>135</v>
      </c>
      <c r="H3549" s="4" t="s">
        <v>1987</v>
      </c>
      <c r="K3549" s="4" t="s">
        <v>14326</v>
      </c>
      <c r="L3549" s="4"/>
      <c r="M3549" s="4" t="s">
        <v>14272</v>
      </c>
      <c r="N3549" s="4">
        <v>1.0</v>
      </c>
    </row>
    <row r="3550">
      <c r="A3550" s="55" t="s">
        <v>14327</v>
      </c>
      <c r="B3550" s="52" t="s">
        <v>5795</v>
      </c>
      <c r="C3550" s="76">
        <v>46086.770833333336</v>
      </c>
      <c r="D3550" s="7" t="s">
        <v>2147</v>
      </c>
      <c r="E3550" s="76">
        <v>46086.8125</v>
      </c>
      <c r="F3550" s="52" t="s">
        <v>14328</v>
      </c>
      <c r="G3550" s="4" t="s">
        <v>27</v>
      </c>
      <c r="H3550" s="4" t="s">
        <v>1987</v>
      </c>
      <c r="K3550" s="4" t="s">
        <v>14329</v>
      </c>
      <c r="L3550" s="4" t="s">
        <v>14330</v>
      </c>
      <c r="M3550" s="4" t="s">
        <v>14293</v>
      </c>
      <c r="N3550" s="4">
        <v>1.0</v>
      </c>
    </row>
    <row r="3551">
      <c r="A3551" s="55" t="s">
        <v>14331</v>
      </c>
      <c r="B3551" s="52" t="s">
        <v>5798</v>
      </c>
      <c r="C3551" s="76">
        <v>46086.8125</v>
      </c>
      <c r="D3551" s="7" t="s">
        <v>2200</v>
      </c>
      <c r="E3551" s="76">
        <v>46086.875</v>
      </c>
      <c r="F3551" s="52" t="s">
        <v>14332</v>
      </c>
      <c r="G3551" s="4" t="s">
        <v>27</v>
      </c>
      <c r="H3551" s="4" t="s">
        <v>1987</v>
      </c>
      <c r="K3551" s="4"/>
      <c r="L3551" s="4" t="s">
        <v>14333</v>
      </c>
      <c r="M3551" s="4" t="s">
        <v>14272</v>
      </c>
      <c r="N3551" s="4">
        <v>1.0</v>
      </c>
    </row>
    <row r="3552">
      <c r="A3552" s="55" t="s">
        <v>14334</v>
      </c>
      <c r="B3552" s="52" t="s">
        <v>5801</v>
      </c>
      <c r="C3552" s="76">
        <v>46087.333333333336</v>
      </c>
      <c r="D3552" s="7" t="s">
        <v>2147</v>
      </c>
      <c r="E3552" s="76">
        <v>46087.375</v>
      </c>
      <c r="F3552" s="52" t="s">
        <v>14335</v>
      </c>
      <c r="G3552" s="4" t="s">
        <v>110</v>
      </c>
      <c r="H3552" s="4" t="s">
        <v>1987</v>
      </c>
      <c r="K3552" s="4" t="s">
        <v>14336</v>
      </c>
      <c r="L3552" s="4" t="s">
        <v>14191</v>
      </c>
      <c r="M3552" s="4" t="s">
        <v>14289</v>
      </c>
    </row>
    <row r="3553">
      <c r="A3553" s="55" t="s">
        <v>14337</v>
      </c>
      <c r="B3553" s="52" t="s">
        <v>13847</v>
      </c>
      <c r="C3553" s="76">
        <v>46093.729166666664</v>
      </c>
      <c r="D3553" s="4"/>
      <c r="E3553" s="76">
        <v>46093.770833333336</v>
      </c>
      <c r="F3553" s="52"/>
      <c r="G3553" s="4" t="s">
        <v>27</v>
      </c>
      <c r="H3553" s="4" t="s">
        <v>1991</v>
      </c>
      <c r="I3553" s="5" t="s">
        <v>14338</v>
      </c>
      <c r="K3553" s="4"/>
      <c r="L3553" s="4"/>
    </row>
    <row r="3554">
      <c r="A3554" s="55"/>
      <c r="B3554" s="52"/>
      <c r="C3554" s="76"/>
      <c r="D3554" s="4"/>
      <c r="E3554" s="76"/>
      <c r="F3554" s="52"/>
      <c r="G3554" s="4"/>
      <c r="H3554" s="4"/>
      <c r="I3554" s="4"/>
      <c r="K3554" s="4"/>
      <c r="L3554" s="4"/>
    </row>
    <row r="3555">
      <c r="A3555" s="55" t="s">
        <v>14339</v>
      </c>
      <c r="B3555" s="52" t="s">
        <v>5625</v>
      </c>
      <c r="C3555" s="76">
        <v>46087.583333333336</v>
      </c>
      <c r="D3555" s="7" t="s">
        <v>6318</v>
      </c>
      <c r="E3555" s="76">
        <v>46087.666666666664</v>
      </c>
      <c r="F3555" s="52" t="s">
        <v>14340</v>
      </c>
      <c r="G3555" s="4" t="s">
        <v>135</v>
      </c>
      <c r="H3555" s="4" t="s">
        <v>1987</v>
      </c>
      <c r="K3555" s="4" t="s">
        <v>14259</v>
      </c>
      <c r="L3555" s="4" t="s">
        <v>14341</v>
      </c>
      <c r="M3555" s="4" t="s">
        <v>14289</v>
      </c>
    </row>
    <row r="3556">
      <c r="A3556" s="55" t="s">
        <v>14342</v>
      </c>
      <c r="B3556" s="52" t="s">
        <v>5798</v>
      </c>
      <c r="C3556" s="76">
        <v>46086.333333333336</v>
      </c>
      <c r="D3556" s="4"/>
      <c r="E3556" s="76">
        <v>46086.541666666664</v>
      </c>
      <c r="F3556" s="52"/>
      <c r="G3556" s="4"/>
      <c r="H3556" s="4" t="s">
        <v>1987</v>
      </c>
      <c r="K3556" s="4" t="s">
        <v>14343</v>
      </c>
      <c r="L3556" s="4"/>
      <c r="M3556" s="4" t="s">
        <v>1895</v>
      </c>
      <c r="N3556" s="4">
        <v>1.0</v>
      </c>
    </row>
    <row r="3557">
      <c r="A3557" s="55"/>
      <c r="B3557" s="52"/>
      <c r="C3557" s="76"/>
      <c r="D3557" s="4"/>
      <c r="E3557" s="76"/>
      <c r="F3557" s="52"/>
      <c r="G3557" s="4"/>
      <c r="H3557" s="4"/>
      <c r="K3557" s="4"/>
      <c r="L3557" s="4"/>
      <c r="M3557" s="4"/>
      <c r="N3557" s="4"/>
    </row>
    <row r="3558">
      <c r="A3558" s="55" t="s">
        <v>14344</v>
      </c>
      <c r="B3558" s="52" t="s">
        <v>5798</v>
      </c>
      <c r="C3558" s="76">
        <v>46087.333333333336</v>
      </c>
      <c r="D3558" s="7" t="s">
        <v>6052</v>
      </c>
      <c r="E3558" s="76">
        <v>46087.541666666664</v>
      </c>
      <c r="F3558" s="52"/>
      <c r="G3558" s="4"/>
      <c r="H3558" s="4" t="s">
        <v>1987</v>
      </c>
      <c r="K3558" s="4" t="s">
        <v>14345</v>
      </c>
      <c r="L3558" s="4"/>
      <c r="M3558" s="4" t="s">
        <v>1895</v>
      </c>
      <c r="N3558" s="4">
        <v>1.0</v>
      </c>
    </row>
    <row r="3559">
      <c r="A3559" s="66" t="s">
        <v>14346</v>
      </c>
      <c r="B3559" s="52" t="s">
        <v>5798</v>
      </c>
      <c r="C3559" s="76">
        <v>46086.333333333336</v>
      </c>
      <c r="D3559" s="4"/>
      <c r="E3559" s="76">
        <v>46086.541666666664</v>
      </c>
      <c r="F3559" s="52" t="s">
        <v>14347</v>
      </c>
      <c r="G3559" s="4" t="s">
        <v>139</v>
      </c>
      <c r="H3559" s="4" t="s">
        <v>1987</v>
      </c>
      <c r="K3559" s="4" t="s">
        <v>14348</v>
      </c>
      <c r="L3559" s="4" t="s">
        <v>14349</v>
      </c>
      <c r="M3559" s="4" t="s">
        <v>1895</v>
      </c>
      <c r="N3559" s="4">
        <v>0.66</v>
      </c>
    </row>
    <row r="3560">
      <c r="A3560" s="55" t="s">
        <v>14350</v>
      </c>
      <c r="B3560" s="52" t="s">
        <v>5798</v>
      </c>
      <c r="C3560" s="76">
        <v>46087.333333333336</v>
      </c>
      <c r="D3560" s="4"/>
      <c r="E3560" s="76">
        <v>46087.541666666664</v>
      </c>
      <c r="F3560" s="52" t="s">
        <v>14347</v>
      </c>
      <c r="G3560" s="4" t="s">
        <v>139</v>
      </c>
      <c r="H3560" s="4" t="s">
        <v>1987</v>
      </c>
      <c r="K3560" s="4" t="s">
        <v>14351</v>
      </c>
      <c r="L3560" s="4" t="s">
        <v>14352</v>
      </c>
      <c r="M3560" s="4" t="s">
        <v>1895</v>
      </c>
      <c r="N3560" s="4">
        <v>0.66</v>
      </c>
    </row>
    <row r="3561">
      <c r="A3561" s="55" t="s">
        <v>14353</v>
      </c>
      <c r="B3561" s="52" t="s">
        <v>5803</v>
      </c>
      <c r="C3561" s="76">
        <v>46090.333333333336</v>
      </c>
      <c r="D3561" s="7" t="s">
        <v>6052</v>
      </c>
      <c r="E3561" s="76">
        <v>46090.541666666664</v>
      </c>
      <c r="F3561" s="52" t="s">
        <v>14354</v>
      </c>
      <c r="G3561" s="4" t="s">
        <v>139</v>
      </c>
      <c r="H3561" s="4" t="s">
        <v>1987</v>
      </c>
      <c r="K3561" s="4" t="s">
        <v>14355</v>
      </c>
      <c r="L3561" s="4" t="s">
        <v>14356</v>
      </c>
      <c r="M3561" s="4" t="s">
        <v>14272</v>
      </c>
      <c r="N3561" s="4">
        <v>0.66</v>
      </c>
    </row>
    <row r="3562">
      <c r="A3562" s="55" t="s">
        <v>14357</v>
      </c>
      <c r="B3562" s="52" t="s">
        <v>1611</v>
      </c>
      <c r="C3562" s="76">
        <v>46091.458333333336</v>
      </c>
      <c r="D3562" s="7" t="s">
        <v>6052</v>
      </c>
      <c r="E3562" s="76">
        <v>46091.479166666664</v>
      </c>
      <c r="F3562" s="52" t="s">
        <v>14358</v>
      </c>
      <c r="G3562" s="4" t="s">
        <v>139</v>
      </c>
      <c r="H3562" s="4" t="s">
        <v>1987</v>
      </c>
      <c r="K3562" s="4"/>
      <c r="L3562" s="4" t="s">
        <v>14359</v>
      </c>
      <c r="M3562" s="4" t="s">
        <v>14360</v>
      </c>
      <c r="N3562" s="4">
        <v>0.66</v>
      </c>
    </row>
    <row r="3563">
      <c r="A3563" s="55" t="s">
        <v>14361</v>
      </c>
      <c r="B3563" s="52" t="s">
        <v>5729</v>
      </c>
      <c r="C3563" s="76">
        <v>46090.333333333336</v>
      </c>
      <c r="D3563" s="7" t="s">
        <v>6052</v>
      </c>
      <c r="E3563" s="76">
        <v>46090.541666666664</v>
      </c>
      <c r="F3563" s="52" t="s">
        <v>14362</v>
      </c>
      <c r="G3563" s="4" t="s">
        <v>110</v>
      </c>
      <c r="H3563" s="4" t="s">
        <v>1987</v>
      </c>
      <c r="K3563" s="4" t="s">
        <v>14363</v>
      </c>
      <c r="L3563" s="4" t="s">
        <v>14364</v>
      </c>
      <c r="M3563" s="4" t="s">
        <v>2353</v>
      </c>
      <c r="N3563" s="4">
        <v>1.0</v>
      </c>
    </row>
    <row r="3564">
      <c r="A3564" s="55" t="s">
        <v>14365</v>
      </c>
      <c r="B3564" s="52" t="s">
        <v>5729</v>
      </c>
      <c r="C3564" s="76">
        <v>46091.333333333336</v>
      </c>
      <c r="D3564" s="7" t="s">
        <v>6052</v>
      </c>
      <c r="E3564" s="76">
        <v>46091.4375</v>
      </c>
      <c r="F3564" s="52" t="s">
        <v>14362</v>
      </c>
      <c r="G3564" s="4" t="s">
        <v>110</v>
      </c>
      <c r="H3564" s="4" t="s">
        <v>1987</v>
      </c>
      <c r="K3564" s="4" t="s">
        <v>14366</v>
      </c>
      <c r="L3564" s="4" t="s">
        <v>14367</v>
      </c>
      <c r="M3564" s="4" t="s">
        <v>2353</v>
      </c>
      <c r="N3564" s="4">
        <v>1.0</v>
      </c>
    </row>
    <row r="3565">
      <c r="A3565" s="55" t="s">
        <v>14368</v>
      </c>
      <c r="B3565" s="52" t="s">
        <v>1617</v>
      </c>
      <c r="C3565" s="76">
        <v>46097.333333333336</v>
      </c>
      <c r="D3565" s="7" t="s">
        <v>6052</v>
      </c>
      <c r="E3565" s="76">
        <v>46097.458333333336</v>
      </c>
      <c r="F3565" s="52" t="s">
        <v>14369</v>
      </c>
      <c r="G3565" s="4" t="s">
        <v>110</v>
      </c>
      <c r="H3565" s="4" t="s">
        <v>1987</v>
      </c>
      <c r="K3565" s="4" t="s">
        <v>14370</v>
      </c>
      <c r="L3565" s="4" t="s">
        <v>14371</v>
      </c>
      <c r="M3565" s="4" t="s">
        <v>2353</v>
      </c>
      <c r="N3565" s="4">
        <v>1.0</v>
      </c>
    </row>
    <row r="3566">
      <c r="A3566" s="66" t="s">
        <v>14372</v>
      </c>
      <c r="B3566" s="52" t="s">
        <v>5801</v>
      </c>
      <c r="C3566" s="76">
        <v>46092.333333333336</v>
      </c>
      <c r="D3566" s="7" t="s">
        <v>2154</v>
      </c>
      <c r="E3566" s="76">
        <v>46092.625</v>
      </c>
      <c r="F3566" s="52" t="s">
        <v>14373</v>
      </c>
      <c r="G3566" s="4" t="s">
        <v>110</v>
      </c>
      <c r="H3566" s="4" t="s">
        <v>1987</v>
      </c>
      <c r="K3566" s="4" t="s">
        <v>14374</v>
      </c>
      <c r="L3566" s="4" t="s">
        <v>14375</v>
      </c>
      <c r="M3566" s="4" t="s">
        <v>14289</v>
      </c>
      <c r="N3566" s="4">
        <v>1.0</v>
      </c>
    </row>
    <row r="3567">
      <c r="A3567" s="55" t="s">
        <v>14376</v>
      </c>
      <c r="B3567" s="52" t="s">
        <v>5801</v>
      </c>
      <c r="C3567" s="76">
        <v>46093.333333333336</v>
      </c>
      <c r="D3567" s="7" t="s">
        <v>2154</v>
      </c>
      <c r="E3567" s="76">
        <v>46093.4375</v>
      </c>
      <c r="F3567" s="52" t="s">
        <v>14373</v>
      </c>
      <c r="G3567" s="4" t="s">
        <v>110</v>
      </c>
      <c r="H3567" s="4" t="s">
        <v>1987</v>
      </c>
      <c r="K3567" s="4" t="s">
        <v>14377</v>
      </c>
      <c r="L3567" s="4"/>
      <c r="M3567" s="4" t="s">
        <v>14289</v>
      </c>
      <c r="N3567" s="4">
        <v>1.0</v>
      </c>
    </row>
    <row r="3568">
      <c r="A3568" s="55"/>
      <c r="B3568" s="52"/>
      <c r="C3568" s="76"/>
      <c r="D3568" s="4"/>
      <c r="E3568" s="76"/>
      <c r="F3568" s="52"/>
      <c r="G3568" s="4"/>
      <c r="H3568" s="4"/>
      <c r="K3568" s="4"/>
      <c r="L3568" s="4"/>
      <c r="M3568" s="4"/>
      <c r="N3568" s="4"/>
    </row>
    <row r="3569">
      <c r="A3569" s="55"/>
      <c r="B3569" s="52"/>
      <c r="C3569" s="76"/>
      <c r="D3569" s="4"/>
      <c r="E3569" s="76"/>
      <c r="F3569" s="52"/>
      <c r="G3569" s="4"/>
      <c r="H3569" s="4"/>
      <c r="K3569" s="4"/>
      <c r="L3569" s="4"/>
      <c r="M3569" s="4"/>
      <c r="N3569" s="4"/>
    </row>
    <row r="3570">
      <c r="A3570" s="55"/>
      <c r="B3570" s="52"/>
      <c r="C3570" s="76"/>
      <c r="D3570" s="4"/>
      <c r="E3570" s="76"/>
      <c r="F3570" s="52"/>
      <c r="G3570" s="4"/>
      <c r="H3570" s="4"/>
      <c r="K3570" s="4"/>
      <c r="L3570" s="4"/>
      <c r="M3570" s="4"/>
      <c r="N3570" s="4"/>
    </row>
    <row r="3571">
      <c r="A3571" s="55" t="s">
        <v>14378</v>
      </c>
      <c r="B3571" s="52" t="s">
        <v>5675</v>
      </c>
      <c r="C3571" s="76">
        <v>46104.430555555555</v>
      </c>
      <c r="D3571" s="7" t="s">
        <v>6052</v>
      </c>
      <c r="E3571" s="76">
        <v>46104.541666666664</v>
      </c>
      <c r="F3571" s="52" t="s">
        <v>14379</v>
      </c>
      <c r="G3571" s="4" t="s">
        <v>110</v>
      </c>
      <c r="H3571" s="4" t="s">
        <v>1987</v>
      </c>
      <c r="K3571" s="4" t="s">
        <v>14380</v>
      </c>
      <c r="L3571" s="4" t="s">
        <v>14381</v>
      </c>
      <c r="M3571" s="4" t="s">
        <v>1895</v>
      </c>
      <c r="N3571" s="4">
        <v>1.0</v>
      </c>
    </row>
    <row r="3572">
      <c r="A3572" s="55" t="s">
        <v>14382</v>
      </c>
      <c r="B3572" s="52" t="s">
        <v>5675</v>
      </c>
      <c r="C3572" s="76">
        <v>46101.5</v>
      </c>
      <c r="D3572" s="7" t="s">
        <v>6052</v>
      </c>
      <c r="E3572" s="76">
        <v>46101.555555555555</v>
      </c>
      <c r="F3572" s="52" t="s">
        <v>14383</v>
      </c>
      <c r="G3572" s="4" t="s">
        <v>110</v>
      </c>
      <c r="H3572" s="4" t="s">
        <v>1987</v>
      </c>
      <c r="K3572" s="4" t="s">
        <v>14384</v>
      </c>
      <c r="L3572" s="4" t="s">
        <v>14385</v>
      </c>
      <c r="M3572" s="4" t="s">
        <v>1895</v>
      </c>
      <c r="N3572" s="4">
        <v>1.0</v>
      </c>
    </row>
    <row r="3573">
      <c r="A3573" s="55" t="s">
        <v>14386</v>
      </c>
      <c r="B3573" s="52" t="s">
        <v>5678</v>
      </c>
      <c r="C3573" s="76">
        <v>46092.708333333336</v>
      </c>
      <c r="D3573" s="7" t="s">
        <v>2147</v>
      </c>
      <c r="E3573" s="76">
        <v>46092.75</v>
      </c>
      <c r="F3573" s="52" t="s">
        <v>14387</v>
      </c>
      <c r="G3573" s="4" t="s">
        <v>27</v>
      </c>
      <c r="H3573" s="4" t="s">
        <v>1991</v>
      </c>
      <c r="K3573" s="4" t="s">
        <v>14388</v>
      </c>
      <c r="L3573" s="4" t="s">
        <v>14389</v>
      </c>
      <c r="M3573" s="4" t="s">
        <v>14272</v>
      </c>
      <c r="N3573" s="4">
        <v>1.0</v>
      </c>
    </row>
    <row r="3574">
      <c r="A3574" s="55" t="s">
        <v>14390</v>
      </c>
      <c r="B3574" s="52" t="s">
        <v>5798</v>
      </c>
      <c r="C3574" s="76">
        <v>46099.375</v>
      </c>
      <c r="D3574" s="7" t="s">
        <v>2147</v>
      </c>
      <c r="E3574" s="76">
        <v>46099.416666666664</v>
      </c>
      <c r="F3574" s="52" t="s">
        <v>14391</v>
      </c>
      <c r="G3574" s="4" t="s">
        <v>27</v>
      </c>
      <c r="H3574" s="4" t="s">
        <v>1991</v>
      </c>
      <c r="K3574" s="4" t="s">
        <v>14392</v>
      </c>
      <c r="L3574" s="4"/>
      <c r="M3574" s="4" t="s">
        <v>14272</v>
      </c>
      <c r="N3574" s="4">
        <v>1.0</v>
      </c>
    </row>
    <row r="3575">
      <c r="A3575" s="55"/>
      <c r="B3575" s="52"/>
      <c r="C3575" s="76"/>
      <c r="D3575" s="4"/>
      <c r="E3575" s="76"/>
      <c r="F3575" s="52"/>
      <c r="G3575" s="4"/>
      <c r="H3575" s="4"/>
      <c r="K3575" s="4"/>
      <c r="L3575" s="4"/>
      <c r="M3575" s="4"/>
      <c r="N3575" s="4"/>
    </row>
    <row r="3576">
      <c r="A3576" s="55" t="s">
        <v>14393</v>
      </c>
      <c r="B3576" s="52" t="s">
        <v>5803</v>
      </c>
      <c r="C3576" s="76">
        <v>46091.333333333336</v>
      </c>
      <c r="D3576" s="7" t="s">
        <v>6052</v>
      </c>
      <c r="E3576" s="76">
        <v>46091.416666666664</v>
      </c>
      <c r="F3576" s="52" t="s">
        <v>14354</v>
      </c>
      <c r="G3576" s="4" t="s">
        <v>139</v>
      </c>
      <c r="H3576" s="4" t="s">
        <v>1987</v>
      </c>
      <c r="K3576" s="4" t="s">
        <v>14394</v>
      </c>
      <c r="L3576" s="4" t="s">
        <v>14395</v>
      </c>
      <c r="M3576" s="4" t="s">
        <v>14272</v>
      </c>
      <c r="N3576" s="4">
        <v>0.66</v>
      </c>
    </row>
    <row r="3577">
      <c r="A3577" s="55" t="s">
        <v>14396</v>
      </c>
      <c r="B3577" s="52" t="s">
        <v>13847</v>
      </c>
      <c r="C3577" s="76">
        <v>46092.708333333336</v>
      </c>
      <c r="D3577" s="4"/>
      <c r="E3577" s="76">
        <v>46092.75</v>
      </c>
      <c r="F3577" s="52" t="s">
        <v>14387</v>
      </c>
      <c r="G3577" s="4" t="s">
        <v>27</v>
      </c>
      <c r="H3577" s="4" t="s">
        <v>1991</v>
      </c>
      <c r="I3577" s="5" t="s">
        <v>14397</v>
      </c>
      <c r="K3577" s="4"/>
      <c r="L3577" s="4"/>
    </row>
    <row r="3578">
      <c r="A3578" s="55" t="s">
        <v>14398</v>
      </c>
      <c r="B3578" s="52" t="s">
        <v>5801</v>
      </c>
      <c r="C3578" s="76">
        <v>46090.541666666664</v>
      </c>
      <c r="D3578" s="7" t="s">
        <v>2154</v>
      </c>
      <c r="E3578" s="76">
        <v>46090.583333333336</v>
      </c>
      <c r="F3578" s="52" t="s">
        <v>14399</v>
      </c>
      <c r="G3578" s="4" t="s">
        <v>110</v>
      </c>
      <c r="H3578" s="4" t="s">
        <v>1987</v>
      </c>
      <c r="K3578" s="4" t="s">
        <v>14400</v>
      </c>
      <c r="L3578" s="4"/>
      <c r="M3578" s="4" t="s">
        <v>14289</v>
      </c>
      <c r="N3578" s="4">
        <v>1.0</v>
      </c>
    </row>
    <row r="3579">
      <c r="A3579" s="55" t="s">
        <v>14401</v>
      </c>
      <c r="B3579" s="52" t="s">
        <v>1617</v>
      </c>
      <c r="C3579" s="76">
        <v>46091.4375</v>
      </c>
      <c r="D3579" s="7" t="s">
        <v>6052</v>
      </c>
      <c r="E3579" s="76">
        <v>46091.479166666664</v>
      </c>
      <c r="F3579" s="52" t="s">
        <v>14402</v>
      </c>
      <c r="G3579" s="4" t="s">
        <v>110</v>
      </c>
      <c r="H3579" s="4" t="s">
        <v>1987</v>
      </c>
      <c r="K3579" s="4" t="s">
        <v>14370</v>
      </c>
      <c r="L3579" s="4" t="s">
        <v>14403</v>
      </c>
      <c r="M3579" s="4" t="s">
        <v>14404</v>
      </c>
      <c r="N3579" s="4">
        <v>1.0</v>
      </c>
    </row>
    <row r="3580">
      <c r="A3580" s="55" t="s">
        <v>14405</v>
      </c>
      <c r="B3580" s="52" t="s">
        <v>5801</v>
      </c>
      <c r="C3580" s="76">
        <v>46091.479166666664</v>
      </c>
      <c r="D3580" s="7" t="s">
        <v>2200</v>
      </c>
      <c r="E3580" s="76">
        <v>46091.583333333336</v>
      </c>
      <c r="F3580" s="52" t="s">
        <v>14406</v>
      </c>
      <c r="G3580" s="4" t="s">
        <v>110</v>
      </c>
      <c r="H3580" s="4" t="s">
        <v>1987</v>
      </c>
      <c r="K3580" s="4" t="s">
        <v>14407</v>
      </c>
      <c r="L3580" s="4" t="s">
        <v>14408</v>
      </c>
      <c r="M3580" s="4" t="s">
        <v>14289</v>
      </c>
      <c r="N3580" s="4">
        <v>1.0</v>
      </c>
    </row>
    <row r="3581">
      <c r="A3581" s="55" t="s">
        <v>14409</v>
      </c>
      <c r="B3581" s="52" t="s">
        <v>5596</v>
      </c>
      <c r="C3581" s="76">
        <v>46091.416666666664</v>
      </c>
      <c r="D3581" s="7" t="s">
        <v>2147</v>
      </c>
      <c r="E3581" s="76">
        <v>46091.458333333336</v>
      </c>
      <c r="F3581" s="52" t="s">
        <v>14410</v>
      </c>
      <c r="G3581" s="4" t="s">
        <v>139</v>
      </c>
      <c r="H3581" s="4" t="s">
        <v>1987</v>
      </c>
      <c r="K3581" s="4" t="s">
        <v>14411</v>
      </c>
      <c r="L3581" s="4"/>
      <c r="M3581" s="4" t="s">
        <v>2353</v>
      </c>
      <c r="N3581" s="4">
        <v>1.0</v>
      </c>
    </row>
    <row r="3582">
      <c r="A3582" s="55" t="s">
        <v>14412</v>
      </c>
      <c r="B3582" s="52" t="s">
        <v>5656</v>
      </c>
      <c r="C3582" s="76">
        <v>46091.479166666664</v>
      </c>
      <c r="D3582" s="7" t="s">
        <v>2154</v>
      </c>
      <c r="E3582" s="76">
        <v>46091.541666666664</v>
      </c>
      <c r="F3582" s="52" t="s">
        <v>14413</v>
      </c>
      <c r="G3582" s="4" t="s">
        <v>139</v>
      </c>
      <c r="H3582" s="4" t="s">
        <v>1987</v>
      </c>
      <c r="K3582" s="4" t="s">
        <v>14414</v>
      </c>
      <c r="L3582" s="4" t="s">
        <v>14415</v>
      </c>
      <c r="M3582" s="4" t="s">
        <v>1895</v>
      </c>
      <c r="N3582" s="4">
        <v>3.0</v>
      </c>
      <c r="O3582" s="4" t="s">
        <v>14416</v>
      </c>
    </row>
    <row r="3583">
      <c r="A3583" s="55" t="s">
        <v>14417</v>
      </c>
      <c r="B3583" s="52" t="s">
        <v>5625</v>
      </c>
      <c r="C3583" s="76">
        <v>46091.583333333336</v>
      </c>
      <c r="D3583" s="7" t="s">
        <v>2147</v>
      </c>
      <c r="E3583" s="76">
        <v>46091.645833333336</v>
      </c>
      <c r="F3583" s="52" t="s">
        <v>14418</v>
      </c>
      <c r="G3583" s="4" t="s">
        <v>135</v>
      </c>
      <c r="H3583" s="4" t="s">
        <v>1991</v>
      </c>
      <c r="K3583" s="4"/>
      <c r="L3583" s="4" t="s">
        <v>14419</v>
      </c>
      <c r="M3583" s="4" t="s">
        <v>1846</v>
      </c>
      <c r="N3583" s="4">
        <v>1.0</v>
      </c>
    </row>
    <row r="3584">
      <c r="A3584" s="55" t="s">
        <v>14420</v>
      </c>
      <c r="B3584" s="52" t="s">
        <v>5790</v>
      </c>
      <c r="C3584" s="76">
        <v>46091.645833333336</v>
      </c>
      <c r="D3584" s="7" t="s">
        <v>2147</v>
      </c>
      <c r="E3584" s="76">
        <v>46091.75</v>
      </c>
      <c r="F3584" s="52" t="s">
        <v>14421</v>
      </c>
      <c r="G3584" s="4" t="s">
        <v>135</v>
      </c>
      <c r="H3584" s="4" t="s">
        <v>1987</v>
      </c>
      <c r="K3584" s="4"/>
      <c r="L3584" s="4" t="s">
        <v>14422</v>
      </c>
      <c r="M3584" s="4" t="s">
        <v>14289</v>
      </c>
      <c r="N3584" s="4">
        <v>1.0</v>
      </c>
    </row>
    <row r="3585">
      <c r="A3585" s="55" t="s">
        <v>14423</v>
      </c>
      <c r="B3585" s="52" t="s">
        <v>13847</v>
      </c>
      <c r="C3585" s="76">
        <v>46098.583333333336</v>
      </c>
      <c r="D3585" s="4"/>
      <c r="E3585" s="76">
        <v>46098.625</v>
      </c>
      <c r="F3585" s="52"/>
      <c r="G3585" s="4" t="s">
        <v>27</v>
      </c>
      <c r="H3585" s="4" t="s">
        <v>1991</v>
      </c>
      <c r="I3585" s="5" t="s">
        <v>14424</v>
      </c>
      <c r="K3585" s="4"/>
      <c r="L3585" s="4"/>
    </row>
    <row r="3586">
      <c r="A3586" s="55" t="s">
        <v>14425</v>
      </c>
      <c r="B3586" s="52" t="s">
        <v>5790</v>
      </c>
      <c r="C3586" s="76">
        <v>46092.625</v>
      </c>
      <c r="D3586" s="7" t="s">
        <v>2147</v>
      </c>
      <c r="E3586" s="76">
        <v>46092.75</v>
      </c>
      <c r="F3586" s="52" t="s">
        <v>14421</v>
      </c>
      <c r="G3586" s="4" t="s">
        <v>135</v>
      </c>
      <c r="H3586" s="4" t="s">
        <v>1987</v>
      </c>
      <c r="K3586" s="4" t="s">
        <v>14426</v>
      </c>
      <c r="L3586" s="4" t="s">
        <v>14427</v>
      </c>
      <c r="M3586" s="4" t="s">
        <v>14289</v>
      </c>
      <c r="N3586" s="4">
        <v>1.0</v>
      </c>
    </row>
    <row r="3587">
      <c r="A3587" s="55"/>
      <c r="B3587" s="52"/>
      <c r="C3587" s="76"/>
      <c r="D3587" s="4"/>
      <c r="E3587" s="76"/>
      <c r="F3587" s="52"/>
      <c r="G3587" s="4"/>
      <c r="H3587" s="4"/>
      <c r="K3587" s="4"/>
      <c r="L3587" s="4"/>
      <c r="M3587" s="4"/>
      <c r="N3587" s="4"/>
    </row>
    <row r="3588">
      <c r="A3588" s="55" t="s">
        <v>14428</v>
      </c>
      <c r="B3588" s="52" t="s">
        <v>5625</v>
      </c>
      <c r="C3588" s="76">
        <v>46094.635416666664</v>
      </c>
      <c r="D3588" s="7" t="s">
        <v>2147</v>
      </c>
      <c r="E3588" s="76">
        <v>46094.6875</v>
      </c>
      <c r="F3588" s="52" t="s">
        <v>14429</v>
      </c>
      <c r="G3588" s="4" t="s">
        <v>135</v>
      </c>
      <c r="H3588" s="4" t="s">
        <v>1987</v>
      </c>
      <c r="K3588" s="4" t="s">
        <v>14430</v>
      </c>
      <c r="L3588" s="4" t="s">
        <v>14431</v>
      </c>
      <c r="M3588" s="4" t="s">
        <v>1846</v>
      </c>
      <c r="N3588" s="4">
        <v>1.0</v>
      </c>
    </row>
    <row r="3589">
      <c r="A3589" s="55" t="s">
        <v>14432</v>
      </c>
      <c r="B3589" s="52" t="s">
        <v>6069</v>
      </c>
      <c r="C3589" s="76">
        <v>46118.583333333336</v>
      </c>
      <c r="D3589" s="7" t="s">
        <v>2148</v>
      </c>
      <c r="E3589" s="76">
        <v>46118.75</v>
      </c>
      <c r="F3589" s="52" t="s">
        <v>14319</v>
      </c>
      <c r="G3589" s="4" t="s">
        <v>135</v>
      </c>
      <c r="H3589" s="4" t="s">
        <v>1987</v>
      </c>
      <c r="K3589" s="4" t="s">
        <v>14433</v>
      </c>
      <c r="L3589" s="4"/>
      <c r="M3589" s="4" t="s">
        <v>14272</v>
      </c>
      <c r="N3589" s="4">
        <v>1.0</v>
      </c>
    </row>
    <row r="3590">
      <c r="A3590" s="55" t="s">
        <v>14434</v>
      </c>
      <c r="B3590" s="52" t="s">
        <v>1611</v>
      </c>
      <c r="C3590" s="76">
        <v>46091.89236111111</v>
      </c>
      <c r="D3590" s="7" t="s">
        <v>6318</v>
      </c>
      <c r="E3590" s="76">
        <v>46091.913194444445</v>
      </c>
      <c r="F3590" s="52" t="s">
        <v>14435</v>
      </c>
      <c r="G3590" s="4" t="s">
        <v>27</v>
      </c>
      <c r="H3590" s="4" t="s">
        <v>1987</v>
      </c>
      <c r="K3590" s="4" t="s">
        <v>14436</v>
      </c>
      <c r="L3590" s="4"/>
      <c r="M3590" s="4" t="s">
        <v>1723</v>
      </c>
      <c r="N3590" s="4">
        <v>1.0</v>
      </c>
    </row>
    <row r="3591">
      <c r="A3591" s="55" t="s">
        <v>14437</v>
      </c>
      <c r="B3591" s="52" t="s">
        <v>1611</v>
      </c>
      <c r="C3591" s="76">
        <v>46092.333333333336</v>
      </c>
      <c r="D3591" s="7" t="s">
        <v>2147</v>
      </c>
      <c r="E3591" s="76">
        <v>46092.416666666664</v>
      </c>
      <c r="F3591" s="52" t="s">
        <v>14435</v>
      </c>
      <c r="G3591" s="4" t="s">
        <v>27</v>
      </c>
      <c r="H3591" s="4" t="s">
        <v>1987</v>
      </c>
      <c r="K3591" s="4" t="s">
        <v>14438</v>
      </c>
      <c r="L3591" s="4" t="s">
        <v>14439</v>
      </c>
      <c r="M3591" s="4" t="s">
        <v>1723</v>
      </c>
      <c r="N3591" s="4">
        <v>1.0</v>
      </c>
    </row>
    <row r="3592">
      <c r="A3592" s="55"/>
      <c r="B3592" s="52"/>
      <c r="C3592" s="76"/>
      <c r="D3592" s="4"/>
      <c r="E3592" s="76"/>
      <c r="F3592" s="52"/>
      <c r="G3592" s="4"/>
      <c r="H3592" s="4"/>
      <c r="I3592" s="4"/>
      <c r="K3592" s="4"/>
      <c r="L3592" s="4"/>
    </row>
    <row r="3593">
      <c r="A3593" s="55" t="s">
        <v>14440</v>
      </c>
      <c r="B3593" s="52" t="s">
        <v>6057</v>
      </c>
      <c r="C3593" s="76">
        <v>46092.416666666664</v>
      </c>
      <c r="D3593" s="7" t="s">
        <v>2154</v>
      </c>
      <c r="E3593" s="76">
        <v>46092.520833333336</v>
      </c>
      <c r="F3593" s="52" t="s">
        <v>14441</v>
      </c>
      <c r="G3593" s="4" t="s">
        <v>27</v>
      </c>
      <c r="H3593" s="4" t="s">
        <v>1987</v>
      </c>
      <c r="K3593" s="4"/>
      <c r="L3593" s="4" t="s">
        <v>14442</v>
      </c>
      <c r="M3593" s="4" t="s">
        <v>14272</v>
      </c>
      <c r="N3593" s="4">
        <v>1.0</v>
      </c>
    </row>
    <row r="3594">
      <c r="A3594" s="55" t="s">
        <v>14443</v>
      </c>
      <c r="B3594" s="52" t="s">
        <v>1611</v>
      </c>
      <c r="C3594" s="76">
        <v>46092.520833333336</v>
      </c>
      <c r="D3594" s="7" t="s">
        <v>2147</v>
      </c>
      <c r="E3594" s="76">
        <v>46092.6875</v>
      </c>
      <c r="F3594" s="52" t="s">
        <v>14435</v>
      </c>
      <c r="G3594" s="4" t="s">
        <v>27</v>
      </c>
      <c r="H3594" s="4" t="s">
        <v>1987</v>
      </c>
      <c r="K3594" s="4" t="s">
        <v>14444</v>
      </c>
      <c r="L3594" s="4" t="s">
        <v>14445</v>
      </c>
      <c r="M3594" s="4" t="s">
        <v>1723</v>
      </c>
      <c r="N3594" s="4">
        <v>1.0</v>
      </c>
    </row>
    <row r="3595">
      <c r="A3595" s="55" t="s">
        <v>14446</v>
      </c>
      <c r="B3595" s="52" t="s">
        <v>5729</v>
      </c>
      <c r="C3595" s="76">
        <v>46094.375</v>
      </c>
      <c r="D3595" s="7" t="s">
        <v>2147</v>
      </c>
      <c r="E3595" s="76">
        <v>46094.4375</v>
      </c>
      <c r="F3595" s="52" t="s">
        <v>14447</v>
      </c>
      <c r="G3595" s="4" t="s">
        <v>110</v>
      </c>
      <c r="H3595" s="4" t="s">
        <v>1987</v>
      </c>
      <c r="K3595" s="4" t="s">
        <v>14448</v>
      </c>
      <c r="L3595" s="4" t="s">
        <v>14449</v>
      </c>
      <c r="M3595" s="4" t="s">
        <v>14404</v>
      </c>
      <c r="N3595" s="4">
        <v>1.0</v>
      </c>
    </row>
    <row r="3596">
      <c r="A3596" s="55" t="s">
        <v>14450</v>
      </c>
      <c r="B3596" s="52" t="s">
        <v>5656</v>
      </c>
      <c r="C3596" s="76">
        <v>46092.333333333336</v>
      </c>
      <c r="D3596" s="7" t="s">
        <v>6052</v>
      </c>
      <c r="E3596" s="76">
        <v>46092.5</v>
      </c>
      <c r="F3596" s="52" t="s">
        <v>14451</v>
      </c>
      <c r="G3596" s="4" t="s">
        <v>139</v>
      </c>
      <c r="H3596" s="4" t="s">
        <v>1987</v>
      </c>
      <c r="K3596" s="4" t="s">
        <v>14452</v>
      </c>
      <c r="L3596" s="4" t="s">
        <v>14453</v>
      </c>
      <c r="M3596" s="4" t="s">
        <v>1895</v>
      </c>
      <c r="N3596" s="4">
        <v>3.0</v>
      </c>
      <c r="O3596" s="4" t="s">
        <v>14416</v>
      </c>
    </row>
    <row r="3597">
      <c r="A3597" s="55" t="s">
        <v>14454</v>
      </c>
      <c r="B3597" s="52" t="s">
        <v>5596</v>
      </c>
      <c r="C3597" s="76">
        <v>46092.5</v>
      </c>
      <c r="D3597" s="7" t="s">
        <v>2147</v>
      </c>
      <c r="E3597" s="76">
        <v>46092.541666666664</v>
      </c>
      <c r="F3597" s="52" t="s">
        <v>14455</v>
      </c>
      <c r="G3597" s="4" t="s">
        <v>139</v>
      </c>
      <c r="H3597" s="4" t="s">
        <v>1987</v>
      </c>
      <c r="K3597" s="4" t="s">
        <v>14456</v>
      </c>
      <c r="L3597" s="4"/>
      <c r="M3597" s="4" t="s">
        <v>1895</v>
      </c>
      <c r="N3597" s="4">
        <v>1.0</v>
      </c>
    </row>
    <row r="3598">
      <c r="A3598" s="55" t="s">
        <v>14457</v>
      </c>
      <c r="B3598" s="52" t="s">
        <v>5803</v>
      </c>
      <c r="C3598" s="76">
        <v>46094.416666666664</v>
      </c>
      <c r="D3598" s="7" t="s">
        <v>2147</v>
      </c>
      <c r="E3598" s="76">
        <v>46094.458333333336</v>
      </c>
      <c r="F3598" s="52" t="s">
        <v>14458</v>
      </c>
      <c r="G3598" s="4" t="s">
        <v>139</v>
      </c>
      <c r="H3598" s="4" t="s">
        <v>1991</v>
      </c>
      <c r="K3598" s="4" t="s">
        <v>14459</v>
      </c>
      <c r="L3598" s="4" t="s">
        <v>14460</v>
      </c>
      <c r="M3598" s="4" t="s">
        <v>1895</v>
      </c>
      <c r="N3598" s="4">
        <v>1.0</v>
      </c>
    </row>
    <row r="3599">
      <c r="A3599" s="55" t="s">
        <v>14461</v>
      </c>
      <c r="B3599" s="52" t="s">
        <v>5625</v>
      </c>
      <c r="C3599" s="76">
        <v>46092.583333333336</v>
      </c>
      <c r="D3599" s="7" t="s">
        <v>2147</v>
      </c>
      <c r="E3599" s="76">
        <v>46092.625</v>
      </c>
      <c r="F3599" s="52" t="s">
        <v>14462</v>
      </c>
      <c r="G3599" s="4" t="s">
        <v>135</v>
      </c>
      <c r="H3599" s="4" t="s">
        <v>1987</v>
      </c>
      <c r="K3599" s="4" t="s">
        <v>14463</v>
      </c>
      <c r="L3599" s="4" t="s">
        <v>14419</v>
      </c>
      <c r="M3599" s="4" t="s">
        <v>1846</v>
      </c>
      <c r="N3599" s="4">
        <v>1.0</v>
      </c>
    </row>
    <row r="3600">
      <c r="A3600" s="55" t="s">
        <v>14464</v>
      </c>
      <c r="B3600" s="52" t="s">
        <v>5678</v>
      </c>
      <c r="C3600" s="76">
        <v>46095.583333333336</v>
      </c>
      <c r="D3600" s="7" t="s">
        <v>2148</v>
      </c>
      <c r="E3600" s="76">
        <v>46095.75</v>
      </c>
      <c r="F3600" s="52" t="s">
        <v>14465</v>
      </c>
      <c r="G3600" s="4" t="s">
        <v>135</v>
      </c>
      <c r="H3600" s="4" t="s">
        <v>1987</v>
      </c>
      <c r="K3600" s="4"/>
      <c r="L3600" s="4" t="s">
        <v>14466</v>
      </c>
      <c r="M3600" s="4" t="s">
        <v>14289</v>
      </c>
      <c r="N3600" s="4">
        <v>1.0</v>
      </c>
    </row>
    <row r="3601">
      <c r="A3601" s="55"/>
      <c r="B3601" s="52"/>
      <c r="C3601" s="76"/>
      <c r="D3601" s="4"/>
      <c r="E3601" s="76"/>
      <c r="F3601" s="52"/>
      <c r="G3601" s="4"/>
      <c r="H3601" s="4"/>
      <c r="I3601" s="4"/>
      <c r="K3601" s="4"/>
      <c r="L3601" s="4"/>
    </row>
    <row r="3602">
      <c r="A3602" s="55" t="s">
        <v>14467</v>
      </c>
      <c r="B3602" s="52" t="s">
        <v>5656</v>
      </c>
      <c r="C3602" s="76">
        <v>46093.333333333336</v>
      </c>
      <c r="D3602" s="7" t="s">
        <v>2154</v>
      </c>
      <c r="E3602" s="76">
        <v>46093.416666666664</v>
      </c>
      <c r="F3602" s="52" t="s">
        <v>14468</v>
      </c>
      <c r="G3602" s="4" t="s">
        <v>139</v>
      </c>
      <c r="H3602" s="4" t="s">
        <v>1987</v>
      </c>
      <c r="K3602" s="4" t="s">
        <v>14469</v>
      </c>
      <c r="L3602" s="4" t="s">
        <v>14470</v>
      </c>
      <c r="M3602" s="4" t="s">
        <v>1895</v>
      </c>
      <c r="N3602" s="4">
        <v>3.0</v>
      </c>
      <c r="O3602" s="4" t="s">
        <v>14416</v>
      </c>
    </row>
    <row r="3603">
      <c r="A3603" s="55" t="s">
        <v>14471</v>
      </c>
      <c r="B3603" s="52" t="s">
        <v>5596</v>
      </c>
      <c r="C3603" s="76">
        <v>46093.416666666664</v>
      </c>
      <c r="D3603" s="7" t="s">
        <v>2200</v>
      </c>
      <c r="E3603" s="76">
        <v>46093.541666666664</v>
      </c>
      <c r="F3603" s="52" t="s">
        <v>14472</v>
      </c>
      <c r="G3603" s="4" t="s">
        <v>139</v>
      </c>
      <c r="H3603" s="4" t="s">
        <v>1987</v>
      </c>
      <c r="K3603" s="4" t="s">
        <v>14473</v>
      </c>
      <c r="L3603" s="4"/>
      <c r="M3603" s="4" t="s">
        <v>14474</v>
      </c>
      <c r="N3603" s="4">
        <v>1.0</v>
      </c>
    </row>
    <row r="3604">
      <c r="A3604" s="55" t="s">
        <v>14475</v>
      </c>
      <c r="B3604" s="52" t="s">
        <v>5803</v>
      </c>
      <c r="C3604" s="76">
        <v>46094.416666666664</v>
      </c>
      <c r="D3604" s="7" t="s">
        <v>2147</v>
      </c>
      <c r="E3604" s="76">
        <v>46094.46875</v>
      </c>
      <c r="F3604" s="52" t="s">
        <v>14476</v>
      </c>
      <c r="G3604" s="4" t="s">
        <v>27</v>
      </c>
      <c r="H3604" s="4" t="s">
        <v>1991</v>
      </c>
      <c r="K3604" s="4" t="s">
        <v>14477</v>
      </c>
      <c r="L3604" s="4" t="s">
        <v>14478</v>
      </c>
      <c r="M3604" s="4" t="s">
        <v>14272</v>
      </c>
      <c r="N3604" s="4">
        <v>1.0</v>
      </c>
    </row>
    <row r="3605">
      <c r="A3605" s="55" t="s">
        <v>14479</v>
      </c>
      <c r="B3605" s="52" t="s">
        <v>1611</v>
      </c>
      <c r="C3605" s="76">
        <v>46093.4375</v>
      </c>
      <c r="D3605" s="7" t="s">
        <v>2147</v>
      </c>
      <c r="E3605" s="76">
        <v>46093.479166666664</v>
      </c>
      <c r="F3605" s="52" t="s">
        <v>14480</v>
      </c>
      <c r="G3605" s="4" t="s">
        <v>27</v>
      </c>
      <c r="H3605" s="4" t="s">
        <v>1987</v>
      </c>
      <c r="K3605" s="4" t="s">
        <v>14481</v>
      </c>
      <c r="L3605" s="4"/>
      <c r="M3605" s="4" t="s">
        <v>14272</v>
      </c>
      <c r="N3605" s="4">
        <v>1.0</v>
      </c>
    </row>
    <row r="3606">
      <c r="A3606" s="55" t="s">
        <v>14482</v>
      </c>
      <c r="B3606" s="52" t="s">
        <v>1657</v>
      </c>
      <c r="C3606" s="76">
        <v>46094.46875</v>
      </c>
      <c r="D3606" s="7" t="s">
        <v>2147</v>
      </c>
      <c r="E3606" s="76">
        <v>46094.520833333336</v>
      </c>
      <c r="F3606" s="52" t="s">
        <v>14483</v>
      </c>
      <c r="G3606" s="4" t="s">
        <v>27</v>
      </c>
      <c r="H3606" s="4" t="s">
        <v>1991</v>
      </c>
      <c r="K3606" s="4" t="s">
        <v>14484</v>
      </c>
      <c r="L3606" s="4" t="s">
        <v>14485</v>
      </c>
      <c r="M3606" s="4" t="s">
        <v>14272</v>
      </c>
      <c r="N3606" s="4">
        <v>1.0</v>
      </c>
    </row>
    <row r="3607">
      <c r="A3607" s="55" t="s">
        <v>14486</v>
      </c>
      <c r="B3607" s="52" t="s">
        <v>6057</v>
      </c>
      <c r="C3607" s="76">
        <v>46090.333333333336</v>
      </c>
      <c r="D3607" s="7" t="s">
        <v>6052</v>
      </c>
      <c r="E3607" s="76">
        <v>46090.791666666664</v>
      </c>
      <c r="F3607" s="52" t="s">
        <v>14487</v>
      </c>
      <c r="G3607" s="4" t="s">
        <v>27</v>
      </c>
      <c r="H3607" s="4" t="s">
        <v>1987</v>
      </c>
      <c r="K3607" s="4"/>
      <c r="L3607" s="4" t="s">
        <v>14488</v>
      </c>
      <c r="M3607" s="4" t="s">
        <v>14272</v>
      </c>
      <c r="N3607" s="4">
        <v>1.0</v>
      </c>
    </row>
    <row r="3608">
      <c r="A3608" s="55" t="s">
        <v>14489</v>
      </c>
      <c r="B3608" s="52" t="s">
        <v>5801</v>
      </c>
      <c r="C3608" s="76">
        <v>46091.333333333336</v>
      </c>
      <c r="D3608" s="7" t="s">
        <v>2147</v>
      </c>
      <c r="E3608" s="76">
        <v>46091.375</v>
      </c>
      <c r="F3608" s="52" t="s">
        <v>14490</v>
      </c>
      <c r="G3608" s="4" t="s">
        <v>27</v>
      </c>
      <c r="H3608" s="4" t="s">
        <v>1987</v>
      </c>
      <c r="K3608" s="4"/>
      <c r="L3608" s="4" t="s">
        <v>14491</v>
      </c>
      <c r="M3608" s="4" t="s">
        <v>14272</v>
      </c>
      <c r="N3608" s="4">
        <v>1.0</v>
      </c>
    </row>
    <row r="3609">
      <c r="A3609" s="55" t="s">
        <v>14492</v>
      </c>
      <c r="B3609" s="52" t="s">
        <v>6057</v>
      </c>
      <c r="C3609" s="76">
        <v>46091.375</v>
      </c>
      <c r="D3609" s="7" t="s">
        <v>6052</v>
      </c>
      <c r="E3609" s="76">
        <v>46091.791666666664</v>
      </c>
      <c r="F3609" s="52" t="s">
        <v>14487</v>
      </c>
      <c r="G3609" s="4" t="s">
        <v>27</v>
      </c>
      <c r="H3609" s="4" t="s">
        <v>1987</v>
      </c>
      <c r="K3609" s="4"/>
      <c r="L3609" s="4" t="s">
        <v>14493</v>
      </c>
      <c r="M3609" s="4" t="s">
        <v>14272</v>
      </c>
      <c r="N3609" s="4">
        <v>1.0</v>
      </c>
    </row>
    <row r="3610">
      <c r="A3610" s="55" t="s">
        <v>14494</v>
      </c>
      <c r="B3610" s="52" t="s">
        <v>6057</v>
      </c>
      <c r="C3610" s="76">
        <v>46093.333333333336</v>
      </c>
      <c r="D3610" s="7" t="s">
        <v>2154</v>
      </c>
      <c r="E3610" s="76">
        <v>46093.4375</v>
      </c>
      <c r="F3610" s="52" t="s">
        <v>14495</v>
      </c>
      <c r="G3610" s="4" t="s">
        <v>27</v>
      </c>
      <c r="H3610" s="4" t="s">
        <v>1987</v>
      </c>
      <c r="K3610" s="4" t="s">
        <v>14496</v>
      </c>
      <c r="L3610" s="4"/>
      <c r="M3610" s="4" t="s">
        <v>14272</v>
      </c>
      <c r="N3610" s="4">
        <v>1.0</v>
      </c>
    </row>
    <row r="3611">
      <c r="A3611" s="55" t="s">
        <v>14497</v>
      </c>
      <c r="B3611" s="52" t="s">
        <v>6057</v>
      </c>
      <c r="C3611" s="76">
        <v>46093.479166666664</v>
      </c>
      <c r="D3611" s="7" t="s">
        <v>2154</v>
      </c>
      <c r="E3611" s="76">
        <v>46093.666666666664</v>
      </c>
      <c r="F3611" s="52" t="s">
        <v>14495</v>
      </c>
      <c r="G3611" s="4" t="s">
        <v>27</v>
      </c>
      <c r="H3611" s="4" t="s">
        <v>1987</v>
      </c>
      <c r="K3611" s="4" t="s">
        <v>14498</v>
      </c>
      <c r="L3611" s="4"/>
      <c r="M3611" s="4" t="s">
        <v>14272</v>
      </c>
      <c r="N3611" s="4">
        <v>1.0</v>
      </c>
    </row>
    <row r="3612">
      <c r="A3612" s="55" t="s">
        <v>14499</v>
      </c>
      <c r="B3612" s="52" t="s">
        <v>1657</v>
      </c>
      <c r="C3612" s="76">
        <v>46093.666666666664</v>
      </c>
      <c r="D3612" s="7" t="s">
        <v>2147</v>
      </c>
      <c r="E3612" s="76">
        <v>46093.708333333336</v>
      </c>
      <c r="F3612" s="52" t="s">
        <v>14500</v>
      </c>
      <c r="G3612" s="4" t="s">
        <v>27</v>
      </c>
      <c r="H3612" s="4" t="s">
        <v>1987</v>
      </c>
      <c r="K3612" s="4" t="s">
        <v>14501</v>
      </c>
      <c r="L3612" s="4"/>
      <c r="M3612" s="4" t="s">
        <v>14474</v>
      </c>
      <c r="N3612" s="4">
        <v>1.0</v>
      </c>
    </row>
    <row r="3613">
      <c r="A3613" s="55" t="s">
        <v>14502</v>
      </c>
      <c r="B3613" s="52" t="s">
        <v>1657</v>
      </c>
      <c r="C3613" s="76">
        <v>46093.833333333336</v>
      </c>
      <c r="D3613" s="7" t="s">
        <v>2154</v>
      </c>
      <c r="E3613" s="76">
        <v>46093.895833333336</v>
      </c>
      <c r="F3613" s="52" t="s">
        <v>14500</v>
      </c>
      <c r="G3613" s="4" t="s">
        <v>27</v>
      </c>
      <c r="H3613" s="4" t="s">
        <v>1987</v>
      </c>
      <c r="K3613" s="4" t="s">
        <v>14503</v>
      </c>
      <c r="L3613" s="4" t="s">
        <v>14504</v>
      </c>
      <c r="M3613" s="4" t="s">
        <v>14474</v>
      </c>
      <c r="N3613" s="4">
        <v>1.0</v>
      </c>
    </row>
    <row r="3614">
      <c r="A3614" s="55" t="s">
        <v>14505</v>
      </c>
      <c r="B3614" s="52" t="s">
        <v>1657</v>
      </c>
      <c r="C3614" s="76">
        <v>46094.333333333336</v>
      </c>
      <c r="D3614" s="7" t="s">
        <v>2154</v>
      </c>
      <c r="E3614" s="76">
        <v>46094.416666666664</v>
      </c>
      <c r="F3614" s="52" t="s">
        <v>14500</v>
      </c>
      <c r="G3614" s="4" t="s">
        <v>27</v>
      </c>
      <c r="H3614" s="4" t="s">
        <v>1987</v>
      </c>
      <c r="K3614" s="4" t="s">
        <v>14503</v>
      </c>
      <c r="L3614" s="4" t="s">
        <v>14506</v>
      </c>
      <c r="M3614" s="4" t="s">
        <v>14474</v>
      </c>
      <c r="N3614" s="4">
        <v>1.0</v>
      </c>
    </row>
    <row r="3615">
      <c r="A3615" s="55" t="s">
        <v>14507</v>
      </c>
      <c r="B3615" s="52" t="s">
        <v>5656</v>
      </c>
      <c r="C3615" s="76">
        <v>46094.520833333336</v>
      </c>
      <c r="D3615" s="7" t="s">
        <v>6052</v>
      </c>
      <c r="E3615" s="76">
        <v>46094.6875</v>
      </c>
      <c r="F3615" s="52" t="s">
        <v>14508</v>
      </c>
      <c r="G3615" s="4" t="s">
        <v>27</v>
      </c>
      <c r="H3615" s="4" t="s">
        <v>1987</v>
      </c>
      <c r="K3615" s="4" t="s">
        <v>14509</v>
      </c>
      <c r="L3615" s="4"/>
      <c r="M3615" s="4" t="s">
        <v>14272</v>
      </c>
      <c r="N3615" s="4">
        <v>1.0</v>
      </c>
    </row>
    <row r="3616">
      <c r="A3616" s="55" t="s">
        <v>14510</v>
      </c>
      <c r="B3616" s="52" t="s">
        <v>5801</v>
      </c>
      <c r="C3616" s="76">
        <v>46094.333333333336</v>
      </c>
      <c r="D3616" s="7" t="s">
        <v>2154</v>
      </c>
      <c r="E3616" s="76">
        <v>46094.375</v>
      </c>
      <c r="F3616" s="52" t="s">
        <v>14511</v>
      </c>
      <c r="G3616" s="4" t="s">
        <v>110</v>
      </c>
      <c r="H3616" s="4" t="s">
        <v>1987</v>
      </c>
      <c r="I3616" s="4"/>
      <c r="K3616" s="4" t="s">
        <v>14377</v>
      </c>
      <c r="L3616" s="4" t="s">
        <v>14512</v>
      </c>
      <c r="M3616" s="4" t="s">
        <v>14289</v>
      </c>
      <c r="N3616" s="4">
        <v>1.0</v>
      </c>
    </row>
    <row r="3617">
      <c r="A3617" s="55" t="s">
        <v>14513</v>
      </c>
      <c r="B3617" s="52" t="s">
        <v>5801</v>
      </c>
      <c r="C3617" s="76">
        <v>46094.4375</v>
      </c>
      <c r="D3617" s="7" t="s">
        <v>2154</v>
      </c>
      <c r="E3617" s="76">
        <v>46094.635416666664</v>
      </c>
      <c r="F3617" s="52" t="s">
        <v>14511</v>
      </c>
      <c r="G3617" s="4" t="s">
        <v>110</v>
      </c>
      <c r="H3617" s="4" t="s">
        <v>1987</v>
      </c>
      <c r="I3617" s="4"/>
      <c r="K3617" s="4" t="s">
        <v>14514</v>
      </c>
      <c r="L3617" s="4" t="s">
        <v>14515</v>
      </c>
      <c r="M3617" s="4" t="s">
        <v>14289</v>
      </c>
      <c r="N3617" s="4">
        <v>1.0</v>
      </c>
    </row>
    <row r="3618">
      <c r="A3618" s="55"/>
      <c r="B3618" s="52"/>
      <c r="C3618" s="76"/>
      <c r="D3618" s="4"/>
      <c r="E3618" s="76"/>
      <c r="F3618" s="52"/>
      <c r="G3618" s="4"/>
      <c r="H3618" s="4"/>
      <c r="I3618" s="4"/>
      <c r="K3618" s="4"/>
      <c r="L3618" s="4"/>
    </row>
    <row r="3619">
      <c r="A3619" s="55" t="s">
        <v>14516</v>
      </c>
      <c r="B3619" s="52" t="s">
        <v>5678</v>
      </c>
      <c r="C3619" s="76">
        <v>46096.583333333336</v>
      </c>
      <c r="D3619" s="7" t="s">
        <v>2147</v>
      </c>
      <c r="E3619" s="76">
        <v>46096.635416666664</v>
      </c>
      <c r="F3619" s="52" t="s">
        <v>14517</v>
      </c>
      <c r="G3619" s="4" t="s">
        <v>135</v>
      </c>
      <c r="H3619" s="4" t="s">
        <v>1987</v>
      </c>
      <c r="K3619" s="4" t="s">
        <v>14518</v>
      </c>
      <c r="L3619" s="4" t="s">
        <v>14519</v>
      </c>
      <c r="M3619" s="4" t="s">
        <v>14289</v>
      </c>
      <c r="N3619" s="4">
        <v>1.0</v>
      </c>
    </row>
    <row r="3620">
      <c r="A3620" s="55" t="s">
        <v>14520</v>
      </c>
      <c r="B3620" s="52" t="s">
        <v>5790</v>
      </c>
      <c r="C3620" s="76">
        <v>46094.6875</v>
      </c>
      <c r="D3620" s="7" t="s">
        <v>2147</v>
      </c>
      <c r="E3620" s="76">
        <v>46094.75</v>
      </c>
      <c r="F3620" s="52" t="s">
        <v>14421</v>
      </c>
      <c r="G3620" s="4" t="s">
        <v>135</v>
      </c>
      <c r="H3620" s="4" t="s">
        <v>1987</v>
      </c>
      <c r="K3620" s="4" t="s">
        <v>14426</v>
      </c>
      <c r="L3620" s="4" t="s">
        <v>14521</v>
      </c>
      <c r="M3620" s="4" t="s">
        <v>14289</v>
      </c>
      <c r="N3620" s="4">
        <v>1.0</v>
      </c>
    </row>
    <row r="3621">
      <c r="A3621" s="55" t="s">
        <v>14522</v>
      </c>
      <c r="B3621" s="52" t="s">
        <v>5798</v>
      </c>
      <c r="C3621" s="76">
        <v>46097.333333333336</v>
      </c>
      <c r="D3621" s="4"/>
      <c r="E3621" s="76">
        <v>46097.375</v>
      </c>
      <c r="F3621" s="52" t="s">
        <v>14523</v>
      </c>
      <c r="G3621" s="4" t="s">
        <v>139</v>
      </c>
      <c r="H3621" s="4" t="s">
        <v>1987</v>
      </c>
      <c r="K3621" s="4" t="s">
        <v>14524</v>
      </c>
      <c r="L3621" s="4"/>
      <c r="M3621" s="4" t="s">
        <v>1895</v>
      </c>
      <c r="N3621" s="4">
        <v>1.0</v>
      </c>
    </row>
    <row r="3622">
      <c r="A3622" s="55" t="s">
        <v>14525</v>
      </c>
      <c r="B3622" s="52" t="s">
        <v>1611</v>
      </c>
      <c r="C3622" s="76">
        <v>46094.375</v>
      </c>
      <c r="D3622" s="7" t="s">
        <v>2148</v>
      </c>
      <c r="E3622" s="76">
        <v>46094.416666666664</v>
      </c>
      <c r="F3622" s="52" t="s">
        <v>14526</v>
      </c>
      <c r="G3622" s="4" t="s">
        <v>139</v>
      </c>
      <c r="H3622" s="4" t="s">
        <v>1987</v>
      </c>
      <c r="K3622" s="4" t="s">
        <v>14527</v>
      </c>
      <c r="L3622" s="4" t="s">
        <v>14528</v>
      </c>
      <c r="M3622" s="4" t="s">
        <v>1723</v>
      </c>
      <c r="N3622" s="4">
        <v>0.3</v>
      </c>
    </row>
    <row r="3623">
      <c r="A3623" s="55" t="s">
        <v>14529</v>
      </c>
      <c r="B3623" s="52" t="s">
        <v>1611</v>
      </c>
      <c r="C3623" s="76">
        <v>46097.375</v>
      </c>
      <c r="D3623" s="7" t="s">
        <v>6052</v>
      </c>
      <c r="E3623" s="76">
        <v>46097.541666666664</v>
      </c>
      <c r="F3623" s="52" t="s">
        <v>14530</v>
      </c>
      <c r="G3623" s="4" t="s">
        <v>139</v>
      </c>
      <c r="H3623" s="4" t="s">
        <v>1987</v>
      </c>
      <c r="K3623" s="4" t="s">
        <v>14531</v>
      </c>
      <c r="L3623" s="4" t="s">
        <v>14532</v>
      </c>
      <c r="M3623" s="4" t="s">
        <v>1723</v>
      </c>
      <c r="N3623" s="4">
        <v>0.3</v>
      </c>
    </row>
    <row r="3624">
      <c r="A3624" s="55" t="s">
        <v>14533</v>
      </c>
      <c r="B3624" s="52" t="s">
        <v>1611</v>
      </c>
      <c r="C3624" s="76">
        <v>46094.416666666664</v>
      </c>
      <c r="D3624" s="7" t="s">
        <v>2200</v>
      </c>
      <c r="E3624" s="76">
        <v>46094.541666666664</v>
      </c>
      <c r="F3624" s="52" t="s">
        <v>14530</v>
      </c>
      <c r="G3624" s="4" t="s">
        <v>139</v>
      </c>
      <c r="H3624" s="4" t="s">
        <v>1987</v>
      </c>
      <c r="K3624" s="4"/>
      <c r="L3624" s="4" t="s">
        <v>14534</v>
      </c>
      <c r="M3624" s="4" t="s">
        <v>1723</v>
      </c>
      <c r="N3624" s="4">
        <v>0.3</v>
      </c>
    </row>
    <row r="3625">
      <c r="A3625" s="55" t="s">
        <v>14535</v>
      </c>
      <c r="B3625" s="52" t="s">
        <v>5798</v>
      </c>
      <c r="C3625" s="76">
        <v>46099.354166666664</v>
      </c>
      <c r="D3625" s="7" t="s">
        <v>2147</v>
      </c>
      <c r="E3625" s="76">
        <v>46099.458333333336</v>
      </c>
      <c r="F3625" s="52" t="s">
        <v>14536</v>
      </c>
      <c r="G3625" s="4" t="s">
        <v>139</v>
      </c>
      <c r="H3625" s="4" t="s">
        <v>1991</v>
      </c>
      <c r="K3625" s="4" t="s">
        <v>14537</v>
      </c>
      <c r="L3625" s="4" t="s">
        <v>14538</v>
      </c>
      <c r="M3625" s="4" t="s">
        <v>14272</v>
      </c>
      <c r="N3625" s="4">
        <v>1.0</v>
      </c>
    </row>
    <row r="3626">
      <c r="A3626" s="55" t="s">
        <v>14539</v>
      </c>
      <c r="B3626" s="52" t="s">
        <v>5801</v>
      </c>
      <c r="C3626" s="76">
        <v>46097.458333333336</v>
      </c>
      <c r="D3626" s="7" t="s">
        <v>6318</v>
      </c>
      <c r="E3626" s="76">
        <v>46097.489583333336</v>
      </c>
      <c r="F3626" s="52" t="s">
        <v>14540</v>
      </c>
      <c r="G3626" s="4" t="s">
        <v>110</v>
      </c>
      <c r="H3626" s="4" t="s">
        <v>1987</v>
      </c>
      <c r="K3626" s="4" t="s">
        <v>14541</v>
      </c>
      <c r="L3626" s="4"/>
      <c r="M3626" s="4" t="s">
        <v>14289</v>
      </c>
      <c r="N3626" s="4">
        <v>1.0</v>
      </c>
    </row>
    <row r="3627">
      <c r="A3627" s="55" t="s">
        <v>14542</v>
      </c>
      <c r="B3627" s="52" t="s">
        <v>5729</v>
      </c>
      <c r="C3627" s="76">
        <v>46097.489583333336</v>
      </c>
      <c r="D3627" s="7" t="s">
        <v>2154</v>
      </c>
      <c r="E3627" s="76">
        <v>46097.583333333336</v>
      </c>
      <c r="F3627" s="52" t="s">
        <v>14543</v>
      </c>
      <c r="G3627" s="4" t="s">
        <v>110</v>
      </c>
      <c r="H3627" s="4" t="s">
        <v>1987</v>
      </c>
      <c r="K3627" s="4" t="s">
        <v>14544</v>
      </c>
      <c r="L3627" s="4" t="s">
        <v>14545</v>
      </c>
      <c r="M3627" s="4" t="s">
        <v>14404</v>
      </c>
      <c r="N3627" s="4">
        <v>1.0</v>
      </c>
    </row>
    <row r="3628">
      <c r="A3628" s="55" t="s">
        <v>14546</v>
      </c>
      <c r="B3628" s="52" t="s">
        <v>5729</v>
      </c>
      <c r="C3628" s="76">
        <v>46098.333333333336</v>
      </c>
      <c r="D3628" s="7" t="s">
        <v>2154</v>
      </c>
      <c r="E3628" s="76">
        <v>46098.5</v>
      </c>
      <c r="F3628" s="52" t="s">
        <v>14543</v>
      </c>
      <c r="G3628" s="4" t="s">
        <v>110</v>
      </c>
      <c r="H3628" s="4" t="s">
        <v>1987</v>
      </c>
      <c r="K3628" s="4" t="s">
        <v>14547</v>
      </c>
      <c r="L3628" s="4" t="s">
        <v>14548</v>
      </c>
      <c r="M3628" s="4" t="s">
        <v>14404</v>
      </c>
      <c r="N3628" s="4">
        <v>1.0</v>
      </c>
    </row>
    <row r="3629">
      <c r="A3629" s="55" t="s">
        <v>14549</v>
      </c>
      <c r="B3629" s="52" t="s">
        <v>1617</v>
      </c>
      <c r="C3629" s="76">
        <v>46099.333333333336</v>
      </c>
      <c r="D3629" s="7" t="s">
        <v>6052</v>
      </c>
      <c r="E3629" s="76">
        <v>46099.583333333336</v>
      </c>
      <c r="F3629" s="52" t="s">
        <v>14369</v>
      </c>
      <c r="G3629" s="4" t="s">
        <v>110</v>
      </c>
      <c r="H3629" s="4" t="s">
        <v>1987</v>
      </c>
      <c r="K3629" s="4" t="s">
        <v>14550</v>
      </c>
      <c r="L3629" s="4" t="s">
        <v>14551</v>
      </c>
      <c r="M3629" s="4" t="s">
        <v>14404</v>
      </c>
      <c r="N3629" s="4">
        <v>1.0</v>
      </c>
    </row>
    <row r="3630">
      <c r="A3630" s="55"/>
      <c r="B3630" s="52"/>
      <c r="C3630" s="76"/>
      <c r="D3630" s="4"/>
      <c r="E3630" s="76"/>
      <c r="F3630" s="52"/>
      <c r="G3630" s="4"/>
      <c r="H3630" s="4"/>
      <c r="I3630" s="4"/>
      <c r="K3630" s="4"/>
      <c r="L3630" s="4"/>
    </row>
    <row r="3631">
      <c r="A3631" s="55" t="s">
        <v>14552</v>
      </c>
      <c r="B3631" s="52" t="s">
        <v>6216</v>
      </c>
      <c r="C3631" s="76">
        <v>46098.333333333336</v>
      </c>
      <c r="D3631" s="7" t="s">
        <v>2148</v>
      </c>
      <c r="E3631" s="76">
        <v>46098.5</v>
      </c>
      <c r="F3631" s="52" t="s">
        <v>14553</v>
      </c>
      <c r="G3631" s="4" t="s">
        <v>143</v>
      </c>
      <c r="H3631" s="4" t="s">
        <v>1987</v>
      </c>
      <c r="K3631" s="4" t="s">
        <v>14554</v>
      </c>
      <c r="L3631" s="4"/>
      <c r="M3631" s="4" t="s">
        <v>1723</v>
      </c>
      <c r="N3631" s="4">
        <v>1.0</v>
      </c>
    </row>
    <row r="3632">
      <c r="A3632" s="55" t="s">
        <v>14555</v>
      </c>
      <c r="B3632" s="52" t="s">
        <v>6216</v>
      </c>
      <c r="C3632" s="76">
        <v>46099.333333333336</v>
      </c>
      <c r="D3632" s="7" t="s">
        <v>2148</v>
      </c>
      <c r="E3632" s="76">
        <v>46099.5</v>
      </c>
      <c r="F3632" s="52" t="s">
        <v>14556</v>
      </c>
      <c r="G3632" s="4" t="s">
        <v>143</v>
      </c>
      <c r="H3632" s="4" t="s">
        <v>1987</v>
      </c>
      <c r="K3632" s="4"/>
      <c r="L3632" s="4" t="s">
        <v>14557</v>
      </c>
      <c r="M3632" s="4" t="s">
        <v>1723</v>
      </c>
      <c r="N3632" s="4">
        <v>1.0</v>
      </c>
    </row>
    <row r="3633">
      <c r="A3633" s="55" t="s">
        <v>14558</v>
      </c>
      <c r="B3633" s="52" t="s">
        <v>6216</v>
      </c>
      <c r="C3633" s="76">
        <v>46100.333333333336</v>
      </c>
      <c r="D3633" s="7" t="s">
        <v>2148</v>
      </c>
      <c r="E3633" s="76">
        <v>46100.5</v>
      </c>
      <c r="F3633" s="52" t="s">
        <v>14559</v>
      </c>
      <c r="G3633" s="4" t="s">
        <v>143</v>
      </c>
      <c r="H3633" s="4" t="s">
        <v>1987</v>
      </c>
      <c r="K3633" s="4"/>
      <c r="L3633" s="4" t="s">
        <v>14560</v>
      </c>
      <c r="M3633" s="4" t="s">
        <v>1723</v>
      </c>
      <c r="N3633" s="4">
        <v>1.0</v>
      </c>
    </row>
    <row r="3634">
      <c r="A3634" s="55" t="s">
        <v>14561</v>
      </c>
      <c r="B3634" s="52" t="s">
        <v>6216</v>
      </c>
      <c r="C3634" s="76">
        <v>46101.333333333336</v>
      </c>
      <c r="D3634" s="7" t="s">
        <v>2148</v>
      </c>
      <c r="E3634" s="76">
        <v>46101.5</v>
      </c>
      <c r="F3634" s="52" t="s">
        <v>14562</v>
      </c>
      <c r="G3634" s="4" t="s">
        <v>143</v>
      </c>
      <c r="H3634" s="4" t="s">
        <v>1987</v>
      </c>
      <c r="K3634" s="4" t="s">
        <v>14563</v>
      </c>
      <c r="L3634" s="4"/>
      <c r="M3634" s="4" t="s">
        <v>1723</v>
      </c>
      <c r="N3634" s="4">
        <v>1.0</v>
      </c>
    </row>
    <row r="3635">
      <c r="A3635" s="55" t="s">
        <v>14564</v>
      </c>
      <c r="B3635" s="52" t="s">
        <v>6216</v>
      </c>
      <c r="C3635" s="76">
        <v>46104.333333333336</v>
      </c>
      <c r="D3635" s="7" t="s">
        <v>2148</v>
      </c>
      <c r="E3635" s="76">
        <v>46104.5</v>
      </c>
      <c r="F3635" s="52" t="s">
        <v>14565</v>
      </c>
      <c r="G3635" s="4" t="s">
        <v>143</v>
      </c>
      <c r="H3635" s="4" t="s">
        <v>1987</v>
      </c>
      <c r="K3635" s="4" t="s">
        <v>14566</v>
      </c>
      <c r="L3635" s="4"/>
      <c r="M3635" s="4" t="s">
        <v>1723</v>
      </c>
      <c r="N3635" s="4">
        <v>1.0</v>
      </c>
    </row>
    <row r="3636">
      <c r="A3636" s="55" t="s">
        <v>14567</v>
      </c>
      <c r="B3636" s="52" t="s">
        <v>6216</v>
      </c>
      <c r="C3636" s="76">
        <v>46106.333333333336</v>
      </c>
      <c r="D3636" s="7" t="s">
        <v>2148</v>
      </c>
      <c r="E3636" s="76">
        <v>46106.5</v>
      </c>
      <c r="F3636" s="52" t="s">
        <v>14568</v>
      </c>
      <c r="G3636" s="4" t="s">
        <v>143</v>
      </c>
      <c r="H3636" s="4" t="s">
        <v>1987</v>
      </c>
      <c r="K3636" s="4" t="s">
        <v>14569</v>
      </c>
      <c r="L3636" s="4"/>
      <c r="M3636" s="4" t="s">
        <v>1723</v>
      </c>
      <c r="N3636" s="4">
        <v>1.0</v>
      </c>
    </row>
    <row r="3637">
      <c r="A3637" s="55" t="s">
        <v>14570</v>
      </c>
      <c r="B3637" s="52" t="s">
        <v>6216</v>
      </c>
      <c r="C3637" s="76">
        <v>46107.333333333336</v>
      </c>
      <c r="D3637" s="7" t="s">
        <v>2148</v>
      </c>
      <c r="E3637" s="76">
        <v>46107.5</v>
      </c>
      <c r="F3637" s="52" t="s">
        <v>14571</v>
      </c>
      <c r="G3637" s="4" t="s">
        <v>143</v>
      </c>
      <c r="H3637" s="4" t="s">
        <v>1987</v>
      </c>
      <c r="K3637" s="4" t="s">
        <v>14572</v>
      </c>
      <c r="L3637" s="4"/>
      <c r="M3637" s="4" t="s">
        <v>1723</v>
      </c>
      <c r="N3637" s="4">
        <v>1.0</v>
      </c>
    </row>
    <row r="3638">
      <c r="A3638" s="55" t="s">
        <v>14573</v>
      </c>
      <c r="B3638" s="52" t="s">
        <v>6216</v>
      </c>
      <c r="C3638" s="76">
        <v>46108.333333333336</v>
      </c>
      <c r="D3638" s="7" t="s">
        <v>2148</v>
      </c>
      <c r="E3638" s="76">
        <v>46108.5</v>
      </c>
      <c r="F3638" s="52" t="s">
        <v>14574</v>
      </c>
      <c r="G3638" s="4" t="s">
        <v>143</v>
      </c>
      <c r="H3638" s="4" t="s">
        <v>1987</v>
      </c>
      <c r="K3638" s="4" t="s">
        <v>14575</v>
      </c>
      <c r="L3638" s="4"/>
      <c r="M3638" s="4" t="s">
        <v>1723</v>
      </c>
      <c r="N3638" s="4">
        <v>1.0</v>
      </c>
    </row>
    <row r="3639">
      <c r="A3639" s="55" t="s">
        <v>14576</v>
      </c>
      <c r="B3639" s="52" t="s">
        <v>6216</v>
      </c>
      <c r="C3639" s="76">
        <v>46111.333333333336</v>
      </c>
      <c r="D3639" s="7" t="s">
        <v>2148</v>
      </c>
      <c r="E3639" s="76">
        <v>46111.5</v>
      </c>
      <c r="F3639" s="52" t="s">
        <v>14577</v>
      </c>
      <c r="G3639" s="4" t="s">
        <v>143</v>
      </c>
      <c r="H3639" s="4" t="s">
        <v>1987</v>
      </c>
      <c r="K3639" s="4" t="s">
        <v>14578</v>
      </c>
      <c r="L3639" s="4" t="s">
        <v>14579</v>
      </c>
      <c r="M3639" s="4" t="s">
        <v>1723</v>
      </c>
      <c r="N3639" s="4">
        <v>1.0</v>
      </c>
    </row>
    <row r="3640">
      <c r="A3640" s="55" t="s">
        <v>14580</v>
      </c>
      <c r="B3640" s="52" t="s">
        <v>1617</v>
      </c>
      <c r="C3640" s="76">
        <v>46098.5</v>
      </c>
      <c r="D3640" s="7" t="s">
        <v>6052</v>
      </c>
      <c r="E3640" s="76">
        <v>46098.583333333336</v>
      </c>
      <c r="F3640" s="52" t="s">
        <v>14369</v>
      </c>
      <c r="G3640" s="4" t="s">
        <v>110</v>
      </c>
      <c r="H3640" s="4" t="s">
        <v>1987</v>
      </c>
      <c r="K3640" s="4" t="s">
        <v>14581</v>
      </c>
      <c r="L3640" s="4" t="s">
        <v>14371</v>
      </c>
      <c r="M3640" s="4" t="s">
        <v>2353</v>
      </c>
      <c r="N3640" s="4">
        <v>1.0</v>
      </c>
    </row>
    <row r="3641">
      <c r="A3641" s="55" t="s">
        <v>14582</v>
      </c>
      <c r="B3641" s="52" t="s">
        <v>13847</v>
      </c>
      <c r="C3641" s="76">
        <v>46105.583333333336</v>
      </c>
      <c r="D3641" s="4"/>
      <c r="E3641" s="76">
        <v>46105.666666666664</v>
      </c>
      <c r="F3641" s="52"/>
      <c r="G3641" s="4" t="s">
        <v>27</v>
      </c>
      <c r="H3641" s="4" t="s">
        <v>1991</v>
      </c>
      <c r="I3641" s="5" t="s">
        <v>14583</v>
      </c>
      <c r="K3641" s="4"/>
      <c r="L3641" s="4" t="s">
        <v>14584</v>
      </c>
    </row>
    <row r="3642">
      <c r="A3642" s="55" t="s">
        <v>14585</v>
      </c>
      <c r="B3642" s="52" t="s">
        <v>5625</v>
      </c>
      <c r="C3642" s="76">
        <v>46098.583333333336</v>
      </c>
      <c r="D3642" s="7" t="s">
        <v>2154</v>
      </c>
      <c r="E3642" s="76">
        <v>46098.666666666664</v>
      </c>
      <c r="F3642" s="52" t="s">
        <v>14586</v>
      </c>
      <c r="G3642" s="4" t="s">
        <v>135</v>
      </c>
      <c r="H3642" s="4" t="s">
        <v>1987</v>
      </c>
      <c r="K3642" s="4" t="s">
        <v>14587</v>
      </c>
      <c r="L3642" s="4"/>
      <c r="M3642" s="4" t="s">
        <v>14289</v>
      </c>
      <c r="N3642" s="4">
        <v>1.0</v>
      </c>
    </row>
    <row r="3643">
      <c r="A3643" s="55" t="s">
        <v>14588</v>
      </c>
      <c r="B3643" s="52" t="s">
        <v>5790</v>
      </c>
      <c r="C3643" s="76">
        <v>46098.666666666664</v>
      </c>
      <c r="D3643" s="7" t="s">
        <v>2154</v>
      </c>
      <c r="E3643" s="76">
        <v>46098.75</v>
      </c>
      <c r="F3643" s="52" t="s">
        <v>14589</v>
      </c>
      <c r="G3643" s="4" t="s">
        <v>135</v>
      </c>
      <c r="H3643" s="4" t="s">
        <v>1987</v>
      </c>
      <c r="K3643" s="4" t="s">
        <v>14590</v>
      </c>
      <c r="L3643" s="4"/>
      <c r="M3643" s="4" t="s">
        <v>14289</v>
      </c>
      <c r="N3643" s="4">
        <v>1.0</v>
      </c>
    </row>
    <row r="3644">
      <c r="A3644" s="55"/>
      <c r="B3644" s="52"/>
      <c r="C3644" s="76"/>
      <c r="D3644" s="4"/>
      <c r="E3644" s="76"/>
      <c r="F3644" s="52"/>
      <c r="G3644" s="4"/>
      <c r="H3644" s="4"/>
      <c r="K3644" s="4"/>
      <c r="L3644" s="4"/>
      <c r="M3644" s="4"/>
      <c r="N3644" s="4"/>
    </row>
    <row r="3645">
      <c r="A3645" s="55" t="s">
        <v>14591</v>
      </c>
      <c r="B3645" s="52" t="s">
        <v>5625</v>
      </c>
      <c r="C3645" s="76">
        <v>46099.583333333336</v>
      </c>
      <c r="D3645" s="7" t="s">
        <v>2154</v>
      </c>
      <c r="E3645" s="76">
        <v>46099.75</v>
      </c>
      <c r="F3645" s="52" t="s">
        <v>14592</v>
      </c>
      <c r="G3645" s="4" t="s">
        <v>135</v>
      </c>
      <c r="H3645" s="4" t="s">
        <v>1987</v>
      </c>
      <c r="K3645" s="4" t="s">
        <v>14593</v>
      </c>
      <c r="L3645" s="4" t="s">
        <v>14594</v>
      </c>
      <c r="M3645" s="4" t="s">
        <v>14289</v>
      </c>
      <c r="N3645" s="4">
        <v>1.0</v>
      </c>
    </row>
    <row r="3646">
      <c r="A3646" s="55" t="s">
        <v>14595</v>
      </c>
      <c r="B3646" s="52" t="s">
        <v>5625</v>
      </c>
      <c r="C3646" s="76">
        <v>46100.6875</v>
      </c>
      <c r="D3646" s="7" t="s">
        <v>2154</v>
      </c>
      <c r="E3646" s="76">
        <v>46100.75</v>
      </c>
      <c r="F3646" s="52" t="s">
        <v>14592</v>
      </c>
      <c r="G3646" s="4" t="s">
        <v>135</v>
      </c>
      <c r="H3646" s="4" t="s">
        <v>1987</v>
      </c>
      <c r="K3646" s="4" t="s">
        <v>14587</v>
      </c>
      <c r="L3646" s="4" t="s">
        <v>14596</v>
      </c>
      <c r="M3646" s="4" t="s">
        <v>14289</v>
      </c>
      <c r="N3646" s="4">
        <v>1.0</v>
      </c>
    </row>
    <row r="3647">
      <c r="A3647" s="55" t="s">
        <v>14597</v>
      </c>
      <c r="B3647" s="52" t="s">
        <v>6069</v>
      </c>
      <c r="C3647" s="76">
        <v>46104.583333333336</v>
      </c>
      <c r="D3647" s="7" t="s">
        <v>2148</v>
      </c>
      <c r="E3647" s="76">
        <v>46104.625</v>
      </c>
      <c r="F3647" s="52" t="s">
        <v>14598</v>
      </c>
      <c r="G3647" s="4" t="s">
        <v>135</v>
      </c>
      <c r="H3647" s="4" t="s">
        <v>1987</v>
      </c>
      <c r="K3647" s="4" t="s">
        <v>14599</v>
      </c>
      <c r="L3647" s="4" t="s">
        <v>14324</v>
      </c>
      <c r="M3647" s="4" t="s">
        <v>14272</v>
      </c>
      <c r="N3647" s="4">
        <v>1.0</v>
      </c>
    </row>
    <row r="3648">
      <c r="A3648" s="55" t="s">
        <v>14600</v>
      </c>
      <c r="B3648" s="52" t="s">
        <v>1657</v>
      </c>
      <c r="C3648" s="76">
        <v>46099.416666666664</v>
      </c>
      <c r="D3648" s="7" t="s">
        <v>2147</v>
      </c>
      <c r="E3648" s="76">
        <v>46099.5</v>
      </c>
      <c r="F3648" s="52" t="s">
        <v>14601</v>
      </c>
      <c r="G3648" s="4" t="s">
        <v>27</v>
      </c>
      <c r="H3648" s="4" t="s">
        <v>1991</v>
      </c>
      <c r="K3648" s="4" t="s">
        <v>14602</v>
      </c>
      <c r="L3648" s="4" t="s">
        <v>14603</v>
      </c>
      <c r="M3648" s="4" t="s">
        <v>14272</v>
      </c>
      <c r="N3648" s="4">
        <v>1.0</v>
      </c>
    </row>
    <row r="3649">
      <c r="A3649" s="55"/>
      <c r="B3649" s="52"/>
      <c r="C3649" s="76"/>
      <c r="D3649" s="4"/>
      <c r="E3649" s="76"/>
      <c r="F3649" s="52"/>
      <c r="G3649" s="4"/>
      <c r="H3649" s="4"/>
      <c r="I3649" s="4"/>
      <c r="K3649" s="4"/>
      <c r="L3649" s="4"/>
    </row>
    <row r="3650">
      <c r="A3650" s="55" t="s">
        <v>14604</v>
      </c>
      <c r="B3650" s="52" t="s">
        <v>1611</v>
      </c>
      <c r="C3650" s="76">
        <v>46099.333333333336</v>
      </c>
      <c r="D3650" s="7" t="s">
        <v>6318</v>
      </c>
      <c r="E3650" s="76">
        <v>46099.354166666664</v>
      </c>
      <c r="F3650" s="52" t="s">
        <v>14605</v>
      </c>
      <c r="G3650" s="4" t="s">
        <v>139</v>
      </c>
      <c r="H3650" s="4" t="s">
        <v>1987</v>
      </c>
      <c r="K3650" s="4" t="s">
        <v>14606</v>
      </c>
      <c r="L3650" s="4" t="s">
        <v>14607</v>
      </c>
      <c r="M3650" s="4" t="s">
        <v>1723</v>
      </c>
      <c r="N3650" s="4">
        <v>1.0</v>
      </c>
    </row>
    <row r="3651">
      <c r="A3651" s="55" t="s">
        <v>14608</v>
      </c>
      <c r="B3651" s="52" t="s">
        <v>1611</v>
      </c>
      <c r="C3651" s="76">
        <v>46099.458333333336</v>
      </c>
      <c r="D3651" s="7" t="s">
        <v>2154</v>
      </c>
      <c r="E3651" s="76">
        <v>46099.541666666664</v>
      </c>
      <c r="F3651" s="52" t="s">
        <v>14605</v>
      </c>
      <c r="G3651" s="4" t="s">
        <v>139</v>
      </c>
      <c r="H3651" s="4" t="s">
        <v>1987</v>
      </c>
      <c r="K3651" s="4" t="s">
        <v>14609</v>
      </c>
      <c r="L3651" s="4" t="s">
        <v>14610</v>
      </c>
      <c r="M3651" s="4" t="s">
        <v>1723</v>
      </c>
      <c r="N3651" s="4">
        <v>0.3</v>
      </c>
      <c r="O3651" s="4" t="s">
        <v>14611</v>
      </c>
    </row>
    <row r="3652">
      <c r="A3652" s="55" t="s">
        <v>14612</v>
      </c>
      <c r="B3652" s="52" t="s">
        <v>1611</v>
      </c>
      <c r="C3652" s="76">
        <v>46098.333333333336</v>
      </c>
      <c r="D3652" s="7" t="s">
        <v>6052</v>
      </c>
      <c r="E3652" s="76">
        <v>46098.541666666664</v>
      </c>
      <c r="F3652" s="52" t="s">
        <v>14613</v>
      </c>
      <c r="G3652" s="4" t="s">
        <v>139</v>
      </c>
      <c r="H3652" s="4" t="s">
        <v>1987</v>
      </c>
      <c r="K3652" s="4" t="s">
        <v>14614</v>
      </c>
      <c r="L3652" s="4" t="s">
        <v>14615</v>
      </c>
      <c r="M3652" s="4" t="s">
        <v>1723</v>
      </c>
      <c r="N3652" s="4">
        <v>0.3</v>
      </c>
    </row>
    <row r="3653">
      <c r="A3653" s="66" t="s">
        <v>14616</v>
      </c>
      <c r="B3653" s="52" t="s">
        <v>1617</v>
      </c>
      <c r="C3653" s="76">
        <v>46100.458333333336</v>
      </c>
      <c r="D3653" s="7" t="s">
        <v>2147</v>
      </c>
      <c r="E3653" s="76">
        <v>46100.5</v>
      </c>
      <c r="F3653" s="52" t="s">
        <v>14617</v>
      </c>
      <c r="G3653" s="4" t="s">
        <v>110</v>
      </c>
      <c r="H3653" s="4" t="s">
        <v>1991</v>
      </c>
      <c r="K3653" s="4" t="s">
        <v>14618</v>
      </c>
      <c r="L3653" s="4"/>
      <c r="M3653" s="4" t="s">
        <v>1846</v>
      </c>
      <c r="N3653" s="4">
        <v>1.0</v>
      </c>
    </row>
    <row r="3654">
      <c r="A3654" s="55" t="s">
        <v>14619</v>
      </c>
      <c r="B3654" s="52" t="s">
        <v>12413</v>
      </c>
      <c r="C3654" s="76">
        <v>46101.6875</v>
      </c>
      <c r="D3654" s="4"/>
      <c r="E3654" s="76">
        <v>46101.729166666664</v>
      </c>
      <c r="F3654" s="52" t="s">
        <v>14620</v>
      </c>
      <c r="G3654" s="4" t="s">
        <v>27</v>
      </c>
      <c r="H3654" s="4" t="s">
        <v>1991</v>
      </c>
      <c r="K3654" s="4"/>
      <c r="L3654" s="4"/>
    </row>
    <row r="3655">
      <c r="A3655" s="55" t="s">
        <v>14621</v>
      </c>
      <c r="B3655" s="52" t="s">
        <v>1611</v>
      </c>
      <c r="C3655" s="76">
        <v>46100.333333333336</v>
      </c>
      <c r="D3655" s="7" t="s">
        <v>2154</v>
      </c>
      <c r="E3655" s="76">
        <v>46100.416666666664</v>
      </c>
      <c r="F3655" s="52" t="s">
        <v>14622</v>
      </c>
      <c r="G3655" s="4" t="s">
        <v>139</v>
      </c>
      <c r="H3655" s="4" t="s">
        <v>1987</v>
      </c>
      <c r="K3655" s="4"/>
      <c r="L3655" s="4" t="s">
        <v>14623</v>
      </c>
      <c r="M3655" s="4" t="s">
        <v>1723</v>
      </c>
      <c r="N3655" s="4">
        <v>0.3</v>
      </c>
    </row>
    <row r="3656">
      <c r="A3656" s="55" t="s">
        <v>14624</v>
      </c>
      <c r="B3656" s="52" t="s">
        <v>1611</v>
      </c>
      <c r="C3656" s="76">
        <v>46100.416666666664</v>
      </c>
      <c r="D3656" s="7" t="s">
        <v>6318</v>
      </c>
      <c r="E3656" s="76">
        <v>46100.4375</v>
      </c>
      <c r="F3656" s="52" t="s">
        <v>14625</v>
      </c>
      <c r="G3656" s="4" t="s">
        <v>139</v>
      </c>
      <c r="H3656" s="4" t="s">
        <v>1987</v>
      </c>
      <c r="K3656" s="4" t="s">
        <v>14626</v>
      </c>
      <c r="L3656" s="4" t="s">
        <v>14627</v>
      </c>
      <c r="M3656" s="4" t="s">
        <v>1723</v>
      </c>
      <c r="N3656" s="4">
        <v>0.3</v>
      </c>
    </row>
    <row r="3657">
      <c r="A3657" s="55" t="s">
        <v>14628</v>
      </c>
      <c r="B3657" s="52" t="s">
        <v>5596</v>
      </c>
      <c r="C3657" s="76">
        <v>46100.4375</v>
      </c>
      <c r="D3657" s="7" t="s">
        <v>2147</v>
      </c>
      <c r="E3657" s="76">
        <v>46100.520833333336</v>
      </c>
      <c r="F3657" s="52" t="s">
        <v>14629</v>
      </c>
      <c r="G3657" s="4" t="s">
        <v>139</v>
      </c>
      <c r="H3657" s="4" t="s">
        <v>1987</v>
      </c>
      <c r="K3657" s="4" t="s">
        <v>14630</v>
      </c>
      <c r="L3657" s="4" t="s">
        <v>14631</v>
      </c>
      <c r="M3657" s="4" t="s">
        <v>1723</v>
      </c>
      <c r="N3657" s="4">
        <v>1.0</v>
      </c>
    </row>
    <row r="3658">
      <c r="A3658" s="55" t="s">
        <v>14632</v>
      </c>
      <c r="B3658" s="52" t="s">
        <v>5656</v>
      </c>
      <c r="C3658" s="76">
        <v>46100.520833333336</v>
      </c>
      <c r="D3658" s="7" t="s">
        <v>6052</v>
      </c>
      <c r="E3658" s="76">
        <v>46100.729166666664</v>
      </c>
      <c r="F3658" s="52" t="s">
        <v>14633</v>
      </c>
      <c r="G3658" s="4" t="s">
        <v>27</v>
      </c>
      <c r="H3658" s="4" t="s">
        <v>1987</v>
      </c>
      <c r="K3658" s="4" t="s">
        <v>14634</v>
      </c>
      <c r="L3658" s="4"/>
      <c r="M3658" s="4" t="s">
        <v>14289</v>
      </c>
      <c r="N3658" s="4">
        <v>1.0</v>
      </c>
    </row>
    <row r="3659">
      <c r="A3659" s="55" t="s">
        <v>14635</v>
      </c>
      <c r="B3659" s="52" t="s">
        <v>6057</v>
      </c>
      <c r="C3659" s="76">
        <v>46097.333333333336</v>
      </c>
      <c r="D3659" s="7" t="s">
        <v>6052</v>
      </c>
      <c r="E3659" s="76">
        <v>46097.791666666664</v>
      </c>
      <c r="F3659" s="52" t="s">
        <v>14636</v>
      </c>
      <c r="G3659" s="4" t="s">
        <v>27</v>
      </c>
      <c r="H3659" s="4" t="s">
        <v>1987</v>
      </c>
      <c r="K3659" s="4"/>
      <c r="L3659" s="4" t="s">
        <v>14637</v>
      </c>
      <c r="M3659" s="4" t="s">
        <v>14272</v>
      </c>
      <c r="N3659" s="4">
        <v>1.0</v>
      </c>
    </row>
    <row r="3660">
      <c r="A3660" s="55" t="s">
        <v>14638</v>
      </c>
      <c r="B3660" s="52" t="s">
        <v>6057</v>
      </c>
      <c r="C3660" s="76">
        <v>46098.333333333336</v>
      </c>
      <c r="D3660" s="7" t="s">
        <v>6052</v>
      </c>
      <c r="E3660" s="76">
        <v>46098.583333333336</v>
      </c>
      <c r="F3660" s="52" t="s">
        <v>14636</v>
      </c>
      <c r="G3660" s="4" t="s">
        <v>27</v>
      </c>
      <c r="H3660" s="4" t="s">
        <v>1987</v>
      </c>
      <c r="K3660" s="4" t="s">
        <v>14639</v>
      </c>
      <c r="L3660" s="4"/>
      <c r="M3660" s="4" t="s">
        <v>14272</v>
      </c>
      <c r="N3660" s="4">
        <v>1.0</v>
      </c>
    </row>
    <row r="3661">
      <c r="A3661" s="55" t="s">
        <v>14640</v>
      </c>
      <c r="B3661" s="52" t="s">
        <v>6057</v>
      </c>
      <c r="C3661" s="76">
        <v>46098.625</v>
      </c>
      <c r="D3661" s="7" t="s">
        <v>6052</v>
      </c>
      <c r="E3661" s="76">
        <v>46098.791666666664</v>
      </c>
      <c r="F3661" s="52" t="s">
        <v>14636</v>
      </c>
      <c r="G3661" s="4" t="s">
        <v>27</v>
      </c>
      <c r="H3661" s="4" t="s">
        <v>1987</v>
      </c>
      <c r="K3661" s="4" t="s">
        <v>14641</v>
      </c>
      <c r="L3661" s="4"/>
      <c r="M3661" s="4" t="s">
        <v>14272</v>
      </c>
      <c r="N3661" s="4">
        <v>1.0</v>
      </c>
    </row>
    <row r="3662">
      <c r="A3662" s="55" t="s">
        <v>14642</v>
      </c>
      <c r="B3662" s="52" t="s">
        <v>6057</v>
      </c>
      <c r="C3662" s="76">
        <v>46099.333333333336</v>
      </c>
      <c r="D3662" s="7" t="s">
        <v>6052</v>
      </c>
      <c r="E3662" s="76">
        <v>46099.375</v>
      </c>
      <c r="F3662" s="52" t="s">
        <v>14636</v>
      </c>
      <c r="G3662" s="4" t="s">
        <v>27</v>
      </c>
      <c r="H3662" s="4" t="s">
        <v>1987</v>
      </c>
      <c r="K3662" s="4" t="s">
        <v>14641</v>
      </c>
      <c r="L3662" s="4" t="s">
        <v>14643</v>
      </c>
      <c r="M3662" s="4" t="s">
        <v>14272</v>
      </c>
      <c r="N3662" s="4">
        <v>1.0</v>
      </c>
    </row>
    <row r="3663">
      <c r="A3663" s="55" t="s">
        <v>14644</v>
      </c>
      <c r="B3663" s="52" t="s">
        <v>6057</v>
      </c>
      <c r="C3663" s="76">
        <v>46099.5</v>
      </c>
      <c r="D3663" s="7" t="s">
        <v>6052</v>
      </c>
      <c r="E3663" s="76">
        <v>46099.791666666664</v>
      </c>
      <c r="F3663" s="52" t="s">
        <v>14636</v>
      </c>
      <c r="G3663" s="4" t="s">
        <v>27</v>
      </c>
      <c r="H3663" s="4" t="s">
        <v>1987</v>
      </c>
      <c r="K3663" s="4" t="s">
        <v>14645</v>
      </c>
      <c r="L3663" s="4"/>
      <c r="M3663" s="4" t="s">
        <v>14272</v>
      </c>
      <c r="N3663" s="4">
        <v>1.0</v>
      </c>
    </row>
    <row r="3664">
      <c r="A3664" s="55" t="s">
        <v>14646</v>
      </c>
      <c r="B3664" s="52" t="s">
        <v>1611</v>
      </c>
      <c r="C3664" s="76">
        <v>46100.520833333336</v>
      </c>
      <c r="D3664" s="7" t="s">
        <v>6318</v>
      </c>
      <c r="E3664" s="76">
        <v>46100.541666666664</v>
      </c>
      <c r="F3664" s="52" t="s">
        <v>14647</v>
      </c>
      <c r="G3664" s="4" t="s">
        <v>139</v>
      </c>
      <c r="H3664" s="4" t="s">
        <v>1987</v>
      </c>
      <c r="K3664" s="4" t="s">
        <v>14648</v>
      </c>
      <c r="L3664" s="4" t="s">
        <v>14649</v>
      </c>
      <c r="M3664" s="4" t="s">
        <v>1723</v>
      </c>
      <c r="N3664" s="4">
        <v>0.3</v>
      </c>
    </row>
    <row r="3665">
      <c r="A3665" s="55" t="s">
        <v>14650</v>
      </c>
      <c r="B3665" s="52" t="s">
        <v>6057</v>
      </c>
      <c r="C3665" s="76">
        <v>46100.333333333336</v>
      </c>
      <c r="D3665" s="7" t="s">
        <v>6052</v>
      </c>
      <c r="E3665" s="76">
        <v>46100.520833333336</v>
      </c>
      <c r="F3665" s="52" t="s">
        <v>14636</v>
      </c>
      <c r="G3665" s="4" t="s">
        <v>27</v>
      </c>
      <c r="H3665" s="4" t="s">
        <v>1987</v>
      </c>
      <c r="K3665" s="4" t="s">
        <v>14651</v>
      </c>
      <c r="L3665" s="4"/>
      <c r="M3665" s="4" t="s">
        <v>14272</v>
      </c>
      <c r="N3665" s="4">
        <v>1.0</v>
      </c>
    </row>
    <row r="3666">
      <c r="A3666" s="55"/>
      <c r="B3666" s="52"/>
      <c r="C3666" s="76"/>
      <c r="D3666" s="4"/>
      <c r="E3666" s="76"/>
      <c r="F3666" s="52"/>
      <c r="G3666" s="4"/>
      <c r="H3666" s="4"/>
      <c r="K3666" s="4"/>
      <c r="L3666" s="4"/>
      <c r="M3666" s="4"/>
      <c r="N3666" s="4"/>
    </row>
    <row r="3667">
      <c r="A3667" s="55" t="s">
        <v>14652</v>
      </c>
      <c r="B3667" s="52" t="s">
        <v>6057</v>
      </c>
      <c r="C3667" s="76">
        <v>46101.333333333336</v>
      </c>
      <c r="D3667" s="7" t="s">
        <v>6052</v>
      </c>
      <c r="E3667" s="76">
        <v>46101.458333333336</v>
      </c>
      <c r="F3667" s="52" t="s">
        <v>14636</v>
      </c>
      <c r="G3667" s="4" t="s">
        <v>27</v>
      </c>
      <c r="H3667" s="4" t="s">
        <v>1987</v>
      </c>
      <c r="K3667" s="4" t="s">
        <v>14653</v>
      </c>
      <c r="L3667" s="4"/>
      <c r="M3667" s="4" t="s">
        <v>14272</v>
      </c>
      <c r="N3667" s="4">
        <v>1.0</v>
      </c>
    </row>
    <row r="3668">
      <c r="A3668" s="55" t="s">
        <v>14654</v>
      </c>
      <c r="B3668" s="52" t="s">
        <v>6057</v>
      </c>
      <c r="C3668" s="76">
        <v>46101.458333333336</v>
      </c>
      <c r="D3668" s="7" t="s">
        <v>6052</v>
      </c>
      <c r="E3668" s="76">
        <v>46101.6875</v>
      </c>
      <c r="F3668" s="52" t="s">
        <v>14636</v>
      </c>
      <c r="G3668" s="4" t="s">
        <v>27</v>
      </c>
      <c r="H3668" s="4" t="s">
        <v>1987</v>
      </c>
      <c r="K3668" s="4" t="s">
        <v>14655</v>
      </c>
      <c r="L3668" s="4" t="s">
        <v>14656</v>
      </c>
      <c r="M3668" s="4" t="s">
        <v>14272</v>
      </c>
      <c r="N3668" s="4">
        <v>1.0</v>
      </c>
    </row>
    <row r="3669">
      <c r="A3669" s="55" t="s">
        <v>14657</v>
      </c>
      <c r="B3669" s="52" t="s">
        <v>6057</v>
      </c>
      <c r="C3669" s="76">
        <v>46101.729166666664</v>
      </c>
      <c r="D3669" s="7" t="s">
        <v>6052</v>
      </c>
      <c r="E3669" s="76">
        <v>46101.8125</v>
      </c>
      <c r="F3669" s="52" t="s">
        <v>14636</v>
      </c>
      <c r="G3669" s="4" t="s">
        <v>27</v>
      </c>
      <c r="H3669" s="4" t="s">
        <v>1987</v>
      </c>
      <c r="K3669" s="4" t="s">
        <v>14658</v>
      </c>
      <c r="L3669" s="4"/>
      <c r="M3669" s="4" t="s">
        <v>14272</v>
      </c>
      <c r="N3669" s="4">
        <v>1.0</v>
      </c>
    </row>
    <row r="3670">
      <c r="A3670" s="55" t="s">
        <v>14659</v>
      </c>
      <c r="B3670" s="52" t="s">
        <v>1617</v>
      </c>
      <c r="C3670" s="76">
        <v>46100.333333333336</v>
      </c>
      <c r="D3670" s="7" t="s">
        <v>6052</v>
      </c>
      <c r="E3670" s="76">
        <v>46100.458333333336</v>
      </c>
      <c r="F3670" s="52" t="s">
        <v>14369</v>
      </c>
      <c r="G3670" s="4" t="s">
        <v>110</v>
      </c>
      <c r="H3670" s="4" t="s">
        <v>1987</v>
      </c>
      <c r="K3670" s="4" t="s">
        <v>14550</v>
      </c>
      <c r="L3670" s="4" t="s">
        <v>14660</v>
      </c>
      <c r="M3670" s="4" t="s">
        <v>1846</v>
      </c>
      <c r="N3670" s="4">
        <v>1.0</v>
      </c>
    </row>
    <row r="3671">
      <c r="A3671" s="55" t="s">
        <v>14661</v>
      </c>
      <c r="B3671" s="52" t="s">
        <v>1617</v>
      </c>
      <c r="C3671" s="76">
        <v>46100.5</v>
      </c>
      <c r="D3671" s="7" t="s">
        <v>6052</v>
      </c>
      <c r="E3671" s="76">
        <v>46100.520833333336</v>
      </c>
      <c r="F3671" s="52" t="s">
        <v>14369</v>
      </c>
      <c r="G3671" s="4" t="s">
        <v>110</v>
      </c>
      <c r="H3671" s="4" t="s">
        <v>1987</v>
      </c>
      <c r="K3671" s="4" t="s">
        <v>14662</v>
      </c>
      <c r="L3671" s="4" t="s">
        <v>14371</v>
      </c>
      <c r="M3671" s="4" t="s">
        <v>2353</v>
      </c>
      <c r="N3671" s="4">
        <v>1.0</v>
      </c>
    </row>
    <row r="3672">
      <c r="A3672" s="55" t="s">
        <v>14663</v>
      </c>
      <c r="B3672" s="52" t="s">
        <v>5795</v>
      </c>
      <c r="C3672" s="76">
        <v>46100.520833333336</v>
      </c>
      <c r="D3672" s="7" t="s">
        <v>6318</v>
      </c>
      <c r="E3672" s="76">
        <v>46100.541666666664</v>
      </c>
      <c r="F3672" s="52" t="s">
        <v>14664</v>
      </c>
      <c r="G3672" s="4" t="s">
        <v>110</v>
      </c>
      <c r="H3672" s="4" t="s">
        <v>1987</v>
      </c>
      <c r="K3672" s="4" t="s">
        <v>14665</v>
      </c>
      <c r="L3672" s="4"/>
      <c r="M3672" s="4" t="s">
        <v>14289</v>
      </c>
      <c r="N3672" s="4">
        <v>1.0</v>
      </c>
    </row>
    <row r="3673">
      <c r="A3673" s="55" t="s">
        <v>14666</v>
      </c>
      <c r="B3673" s="52" t="s">
        <v>5729</v>
      </c>
      <c r="C3673" s="76">
        <v>46100.541666666664</v>
      </c>
      <c r="D3673" s="7" t="s">
        <v>2147</v>
      </c>
      <c r="E3673" s="76">
        <v>46100.583333333336</v>
      </c>
      <c r="F3673" s="52" t="s">
        <v>14667</v>
      </c>
      <c r="G3673" s="4" t="s">
        <v>110</v>
      </c>
      <c r="H3673" s="4" t="s">
        <v>1987</v>
      </c>
      <c r="K3673" s="4" t="s">
        <v>14668</v>
      </c>
      <c r="L3673" s="4" t="s">
        <v>14371</v>
      </c>
      <c r="M3673" s="4" t="s">
        <v>14404</v>
      </c>
      <c r="N3673" s="4">
        <v>1.0</v>
      </c>
    </row>
    <row r="3674">
      <c r="A3674" s="55" t="s">
        <v>14669</v>
      </c>
      <c r="B3674" s="52" t="s">
        <v>5790</v>
      </c>
      <c r="C3674" s="76">
        <v>46100.583333333336</v>
      </c>
      <c r="D3674" s="7" t="s">
        <v>2154</v>
      </c>
      <c r="E3674" s="76">
        <v>46100.645833333336</v>
      </c>
      <c r="F3674" s="52" t="s">
        <v>14670</v>
      </c>
      <c r="G3674" s="4" t="s">
        <v>135</v>
      </c>
      <c r="H3674" s="4" t="s">
        <v>1987</v>
      </c>
      <c r="K3674" s="4" t="s">
        <v>14671</v>
      </c>
      <c r="L3674" s="4"/>
      <c r="M3674" s="4" t="s">
        <v>14289</v>
      </c>
      <c r="N3674" s="4">
        <v>1.0</v>
      </c>
    </row>
    <row r="3675">
      <c r="A3675" s="66" t="s">
        <v>14672</v>
      </c>
      <c r="B3675" s="52" t="s">
        <v>1617</v>
      </c>
      <c r="C3675" s="76">
        <v>46100.645833333336</v>
      </c>
      <c r="D3675" s="7" t="s">
        <v>6318</v>
      </c>
      <c r="E3675" s="76">
        <v>46100.6875</v>
      </c>
      <c r="F3675" s="52" t="s">
        <v>14673</v>
      </c>
      <c r="G3675" s="4" t="s">
        <v>135</v>
      </c>
      <c r="H3675" s="4" t="s">
        <v>1987</v>
      </c>
      <c r="K3675" s="4" t="s">
        <v>14674</v>
      </c>
      <c r="L3675" s="4"/>
      <c r="M3675" s="4" t="s">
        <v>14289</v>
      </c>
      <c r="N3675" s="4">
        <v>1.0</v>
      </c>
    </row>
    <row r="3676">
      <c r="A3676" s="55" t="s">
        <v>14675</v>
      </c>
      <c r="B3676" s="52" t="s">
        <v>13847</v>
      </c>
      <c r="C3676" s="76">
        <v>46107.729166666664</v>
      </c>
      <c r="D3676" s="4"/>
      <c r="E3676" s="76">
        <v>46107.770833333336</v>
      </c>
      <c r="F3676" s="52"/>
      <c r="G3676" s="4" t="s">
        <v>27</v>
      </c>
      <c r="H3676" s="4" t="s">
        <v>1991</v>
      </c>
      <c r="I3676" s="5" t="s">
        <v>14676</v>
      </c>
      <c r="K3676" s="4"/>
      <c r="L3676" s="4"/>
    </row>
    <row r="3677">
      <c r="A3677" s="55" t="s">
        <v>14677</v>
      </c>
      <c r="B3677" s="52" t="s">
        <v>5729</v>
      </c>
      <c r="C3677" s="76">
        <v>46101.333333333336</v>
      </c>
      <c r="D3677" s="7" t="s">
        <v>2147</v>
      </c>
      <c r="E3677" s="76">
        <v>46101.447916666664</v>
      </c>
      <c r="F3677" s="52" t="s">
        <v>14667</v>
      </c>
      <c r="G3677" s="4" t="s">
        <v>110</v>
      </c>
      <c r="H3677" s="4" t="s">
        <v>1987</v>
      </c>
      <c r="K3677" s="4" t="s">
        <v>14678</v>
      </c>
      <c r="L3677" s="4" t="s">
        <v>14679</v>
      </c>
      <c r="M3677" s="4" t="s">
        <v>14404</v>
      </c>
      <c r="N3677" s="4">
        <v>1.0</v>
      </c>
    </row>
    <row r="3678">
      <c r="A3678" s="55"/>
      <c r="B3678" s="52"/>
      <c r="C3678" s="76"/>
      <c r="D3678" s="4"/>
      <c r="E3678" s="76"/>
      <c r="F3678" s="52"/>
      <c r="G3678" s="4"/>
      <c r="H3678" s="4"/>
      <c r="K3678" s="4"/>
      <c r="L3678" s="4"/>
      <c r="M3678" s="4"/>
      <c r="N3678" s="4"/>
    </row>
    <row r="3679">
      <c r="A3679" s="55" t="s">
        <v>14680</v>
      </c>
      <c r="B3679" s="52" t="s">
        <v>5596</v>
      </c>
      <c r="C3679" s="76">
        <v>46101.333333333336</v>
      </c>
      <c r="D3679" s="7" t="s">
        <v>2154</v>
      </c>
      <c r="E3679" s="76">
        <v>46101.458333333336</v>
      </c>
      <c r="F3679" s="52" t="s">
        <v>14681</v>
      </c>
      <c r="G3679" s="4" t="s">
        <v>139</v>
      </c>
      <c r="H3679" s="4" t="s">
        <v>1987</v>
      </c>
      <c r="K3679" s="4" t="s">
        <v>14682</v>
      </c>
      <c r="L3679" s="4" t="s">
        <v>14683</v>
      </c>
      <c r="M3679" s="4" t="s">
        <v>1723</v>
      </c>
      <c r="N3679" s="4">
        <v>1.0</v>
      </c>
    </row>
    <row r="3680">
      <c r="A3680" s="55" t="s">
        <v>14684</v>
      </c>
      <c r="B3680" s="52" t="s">
        <v>5675</v>
      </c>
      <c r="C3680" s="76">
        <v>46106.333333333336</v>
      </c>
      <c r="D3680" s="7" t="s">
        <v>6052</v>
      </c>
      <c r="E3680" s="76">
        <v>46106.572916666664</v>
      </c>
      <c r="F3680" s="52" t="s">
        <v>14379</v>
      </c>
      <c r="G3680" s="4" t="s">
        <v>110</v>
      </c>
      <c r="H3680" s="4" t="s">
        <v>1987</v>
      </c>
      <c r="K3680" s="4" t="s">
        <v>14685</v>
      </c>
      <c r="L3680" s="4" t="s">
        <v>14686</v>
      </c>
      <c r="M3680" s="4" t="s">
        <v>1895</v>
      </c>
      <c r="N3680" s="4">
        <v>1.0</v>
      </c>
    </row>
    <row r="3681">
      <c r="A3681" s="55" t="s">
        <v>14687</v>
      </c>
      <c r="B3681" s="52" t="s">
        <v>5675</v>
      </c>
      <c r="C3681" s="76">
        <v>46107.333333333336</v>
      </c>
      <c r="D3681" s="7" t="s">
        <v>6052</v>
      </c>
      <c r="E3681" s="76">
        <v>46107.541666666664</v>
      </c>
      <c r="F3681" s="52" t="s">
        <v>14379</v>
      </c>
      <c r="G3681" s="4" t="s">
        <v>110</v>
      </c>
      <c r="H3681" s="4" t="s">
        <v>1987</v>
      </c>
      <c r="K3681" s="4" t="s">
        <v>14688</v>
      </c>
      <c r="L3681" s="4" t="s">
        <v>14689</v>
      </c>
      <c r="M3681" s="4" t="s">
        <v>1895</v>
      </c>
      <c r="N3681" s="4">
        <v>1.0</v>
      </c>
    </row>
    <row r="3682">
      <c r="A3682" s="55" t="s">
        <v>14690</v>
      </c>
      <c r="B3682" s="52" t="s">
        <v>6057</v>
      </c>
      <c r="C3682" s="76">
        <v>46101.458333333336</v>
      </c>
      <c r="D3682" s="7" t="s">
        <v>2147</v>
      </c>
      <c r="E3682" s="76">
        <v>46101.5</v>
      </c>
      <c r="F3682" s="52" t="s">
        <v>14691</v>
      </c>
      <c r="G3682" s="4" t="s">
        <v>110</v>
      </c>
      <c r="H3682" s="4" t="s">
        <v>1987</v>
      </c>
      <c r="K3682" s="4" t="s">
        <v>14692</v>
      </c>
      <c r="L3682" s="4"/>
      <c r="M3682" s="4" t="s">
        <v>14272</v>
      </c>
      <c r="N3682" s="4">
        <v>1.0</v>
      </c>
    </row>
    <row r="3683">
      <c r="A3683" s="55" t="s">
        <v>14693</v>
      </c>
      <c r="B3683" s="52" t="s">
        <v>5798</v>
      </c>
      <c r="C3683" s="76">
        <v>46101.458333333336</v>
      </c>
      <c r="D3683" s="7" t="s">
        <v>6318</v>
      </c>
      <c r="E3683" s="76">
        <v>46101.479166666664</v>
      </c>
      <c r="F3683" s="52" t="s">
        <v>14694</v>
      </c>
      <c r="G3683" s="4" t="s">
        <v>139</v>
      </c>
      <c r="H3683" s="4" t="s">
        <v>1987</v>
      </c>
      <c r="K3683" s="4" t="s">
        <v>14695</v>
      </c>
      <c r="L3683" s="4"/>
      <c r="M3683" s="4" t="s">
        <v>1895</v>
      </c>
      <c r="N3683" s="4">
        <v>1.0</v>
      </c>
    </row>
    <row r="3684">
      <c r="A3684" s="55" t="s">
        <v>14696</v>
      </c>
      <c r="B3684" s="52" t="s">
        <v>1611</v>
      </c>
      <c r="C3684" s="76">
        <v>46101.479166666664</v>
      </c>
      <c r="D3684" s="7" t="s">
        <v>2147</v>
      </c>
      <c r="E3684" s="76">
        <v>46101.541666666664</v>
      </c>
      <c r="F3684" s="52" t="s">
        <v>14697</v>
      </c>
      <c r="G3684" s="4" t="s">
        <v>139</v>
      </c>
      <c r="H3684" s="4" t="s">
        <v>1987</v>
      </c>
      <c r="K3684" s="4" t="s">
        <v>14698</v>
      </c>
      <c r="L3684" s="4" t="s">
        <v>14699</v>
      </c>
      <c r="M3684" s="4" t="s">
        <v>1723</v>
      </c>
      <c r="N3684" s="4">
        <v>0.3</v>
      </c>
    </row>
    <row r="3685">
      <c r="A3685" s="55" t="s">
        <v>14700</v>
      </c>
      <c r="B3685" s="52" t="s">
        <v>5656</v>
      </c>
      <c r="C3685" s="76">
        <v>46101.555555555555</v>
      </c>
      <c r="D3685" s="7" t="s">
        <v>2147</v>
      </c>
      <c r="E3685" s="76">
        <v>46101.583333333336</v>
      </c>
      <c r="F3685" s="52" t="s">
        <v>14701</v>
      </c>
      <c r="G3685" s="4" t="s">
        <v>110</v>
      </c>
      <c r="H3685" s="4" t="s">
        <v>1987</v>
      </c>
      <c r="K3685" s="4" t="s">
        <v>14702</v>
      </c>
      <c r="L3685" s="4"/>
      <c r="M3685" s="4" t="s">
        <v>14289</v>
      </c>
      <c r="N3685" s="4">
        <v>1.0</v>
      </c>
    </row>
    <row r="3686">
      <c r="A3686" s="55" t="s">
        <v>14703</v>
      </c>
      <c r="B3686" s="52" t="s">
        <v>5795</v>
      </c>
      <c r="C3686" s="76">
        <v>46101.447916666664</v>
      </c>
      <c r="D3686" s="7" t="s">
        <v>6318</v>
      </c>
      <c r="E3686" s="76">
        <v>46101.458333333336</v>
      </c>
      <c r="F3686" s="52" t="s">
        <v>14704</v>
      </c>
      <c r="G3686" s="4" t="s">
        <v>110</v>
      </c>
      <c r="H3686" s="4" t="s">
        <v>1987</v>
      </c>
      <c r="K3686" s="4" t="s">
        <v>14705</v>
      </c>
      <c r="L3686" s="4"/>
      <c r="M3686" s="4" t="s">
        <v>14289</v>
      </c>
      <c r="N3686" s="4">
        <v>1.0</v>
      </c>
    </row>
    <row r="3687">
      <c r="A3687" s="55" t="s">
        <v>14706</v>
      </c>
      <c r="B3687" s="52" t="s">
        <v>5625</v>
      </c>
      <c r="C3687" s="76">
        <v>46101.583333333336</v>
      </c>
      <c r="D3687" s="7" t="s">
        <v>2154</v>
      </c>
      <c r="E3687" s="76">
        <v>46101.645833333336</v>
      </c>
      <c r="F3687" s="52" t="s">
        <v>14592</v>
      </c>
      <c r="G3687" s="4" t="s">
        <v>135</v>
      </c>
      <c r="H3687" s="4" t="s">
        <v>1987</v>
      </c>
      <c r="K3687" s="4" t="s">
        <v>14707</v>
      </c>
      <c r="L3687" s="4" t="s">
        <v>14708</v>
      </c>
      <c r="M3687" s="4" t="s">
        <v>14289</v>
      </c>
      <c r="N3687" s="4">
        <v>1.0</v>
      </c>
    </row>
    <row r="3688">
      <c r="A3688" s="55" t="s">
        <v>14709</v>
      </c>
      <c r="B3688" s="52" t="s">
        <v>5625</v>
      </c>
      <c r="C3688" s="76">
        <v>46101.6875</v>
      </c>
      <c r="D3688" s="7" t="s">
        <v>2154</v>
      </c>
      <c r="E3688" s="76">
        <v>46101.75</v>
      </c>
      <c r="F3688" s="52" t="s">
        <v>14592</v>
      </c>
      <c r="G3688" s="4" t="s">
        <v>135</v>
      </c>
      <c r="H3688" s="4" t="s">
        <v>1987</v>
      </c>
      <c r="K3688" s="4" t="s">
        <v>14710</v>
      </c>
      <c r="L3688" s="4" t="s">
        <v>14711</v>
      </c>
      <c r="M3688" s="4" t="s">
        <v>14289</v>
      </c>
      <c r="N3688" s="4">
        <v>1.0</v>
      </c>
    </row>
    <row r="3689">
      <c r="A3689" s="55" t="s">
        <v>14712</v>
      </c>
      <c r="B3689" s="52" t="s">
        <v>6057</v>
      </c>
      <c r="C3689" s="76">
        <v>46101.645833333336</v>
      </c>
      <c r="D3689" s="7" t="s">
        <v>6318</v>
      </c>
      <c r="E3689" s="76">
        <v>46101.6875</v>
      </c>
      <c r="F3689" s="52" t="s">
        <v>14713</v>
      </c>
      <c r="G3689" s="4" t="s">
        <v>135</v>
      </c>
      <c r="H3689" s="4" t="s">
        <v>1987</v>
      </c>
      <c r="K3689" s="4" t="s">
        <v>14674</v>
      </c>
      <c r="L3689" s="4" t="s">
        <v>14714</v>
      </c>
      <c r="M3689" s="4" t="s">
        <v>14289</v>
      </c>
      <c r="N3689" s="4">
        <v>1.0</v>
      </c>
    </row>
    <row r="3690">
      <c r="A3690" s="55" t="s">
        <v>14715</v>
      </c>
      <c r="B3690" s="52" t="s">
        <v>6057</v>
      </c>
      <c r="C3690" s="76">
        <v>46104.5</v>
      </c>
      <c r="D3690" s="7" t="s">
        <v>6052</v>
      </c>
      <c r="E3690" s="76">
        <v>46104.625</v>
      </c>
      <c r="F3690" s="52" t="s">
        <v>14716</v>
      </c>
      <c r="G3690" s="4" t="s">
        <v>27</v>
      </c>
      <c r="H3690" s="4" t="s">
        <v>1987</v>
      </c>
      <c r="K3690" s="4" t="s">
        <v>14717</v>
      </c>
      <c r="L3690" s="4" t="s">
        <v>14718</v>
      </c>
      <c r="M3690" s="4" t="s">
        <v>14272</v>
      </c>
      <c r="N3690" s="4">
        <v>1.0</v>
      </c>
    </row>
    <row r="3691">
      <c r="A3691" s="55" t="s">
        <v>14719</v>
      </c>
      <c r="B3691" s="52" t="s">
        <v>1611</v>
      </c>
      <c r="C3691" s="76">
        <v>46104.770833333336</v>
      </c>
      <c r="D3691" s="7" t="s">
        <v>6052</v>
      </c>
      <c r="E3691" s="76">
        <v>46104.8125</v>
      </c>
      <c r="F3691" s="52" t="s">
        <v>14720</v>
      </c>
      <c r="G3691" s="4" t="s">
        <v>27</v>
      </c>
      <c r="H3691" s="4" t="s">
        <v>1987</v>
      </c>
      <c r="K3691" s="4" t="s">
        <v>14721</v>
      </c>
      <c r="L3691" s="4" t="s">
        <v>14722</v>
      </c>
      <c r="M3691" s="4" t="s">
        <v>1723</v>
      </c>
      <c r="N3691" s="4">
        <v>1.0</v>
      </c>
    </row>
    <row r="3692">
      <c r="A3692" s="55"/>
      <c r="B3692" s="52"/>
      <c r="C3692" s="76"/>
      <c r="D3692" s="4"/>
      <c r="E3692" s="76"/>
      <c r="F3692" s="52"/>
      <c r="G3692" s="4"/>
      <c r="H3692" s="4"/>
      <c r="K3692" s="4"/>
      <c r="L3692" s="4"/>
      <c r="M3692" s="4"/>
      <c r="N3692" s="4"/>
    </row>
    <row r="3693">
      <c r="A3693" s="55"/>
      <c r="B3693" s="52"/>
      <c r="C3693" s="76"/>
      <c r="D3693" s="4"/>
      <c r="E3693" s="76"/>
      <c r="F3693" s="52"/>
      <c r="G3693" s="4"/>
      <c r="H3693" s="4"/>
      <c r="K3693" s="4"/>
      <c r="L3693" s="4"/>
      <c r="M3693" s="4"/>
      <c r="N3693" s="4"/>
    </row>
    <row r="3694">
      <c r="A3694" s="55"/>
      <c r="B3694" s="52"/>
      <c r="C3694" s="76"/>
      <c r="D3694" s="4"/>
      <c r="E3694" s="76"/>
      <c r="F3694" s="52"/>
      <c r="G3694" s="4"/>
      <c r="H3694" s="4"/>
      <c r="K3694" s="4"/>
      <c r="L3694" s="4"/>
      <c r="M3694" s="4"/>
      <c r="N3694" s="4"/>
    </row>
    <row r="3695">
      <c r="A3695" s="55"/>
      <c r="B3695" s="52"/>
      <c r="C3695" s="76"/>
      <c r="D3695" s="4"/>
      <c r="E3695" s="76"/>
      <c r="F3695" s="52"/>
      <c r="G3695" s="4"/>
      <c r="H3695" s="4"/>
      <c r="K3695" s="4"/>
      <c r="L3695" s="4"/>
      <c r="M3695" s="4"/>
      <c r="N3695" s="4"/>
    </row>
    <row r="3696">
      <c r="A3696" s="55"/>
      <c r="B3696" s="52"/>
      <c r="C3696" s="76"/>
      <c r="D3696" s="4"/>
      <c r="E3696" s="76"/>
      <c r="F3696" s="52"/>
      <c r="G3696" s="4"/>
      <c r="H3696" s="4"/>
      <c r="K3696" s="4"/>
      <c r="L3696" s="4"/>
      <c r="M3696" s="4"/>
      <c r="N3696" s="4"/>
    </row>
    <row r="3697">
      <c r="A3697" s="55"/>
      <c r="B3697" s="52"/>
      <c r="C3697" s="76"/>
      <c r="D3697" s="4"/>
      <c r="E3697" s="76"/>
      <c r="F3697" s="52"/>
      <c r="G3697" s="4"/>
      <c r="H3697" s="4"/>
      <c r="K3697" s="4"/>
      <c r="L3697" s="4"/>
      <c r="M3697" s="4"/>
      <c r="N3697" s="4"/>
    </row>
    <row r="3698">
      <c r="A3698" s="55" t="s">
        <v>14723</v>
      </c>
      <c r="B3698" s="52" t="s">
        <v>5625</v>
      </c>
      <c r="C3698" s="76">
        <v>46106.583333333336</v>
      </c>
      <c r="D3698" s="7" t="s">
        <v>2148</v>
      </c>
      <c r="E3698" s="76">
        <v>46106.645833333336</v>
      </c>
      <c r="F3698" s="52" t="s">
        <v>14724</v>
      </c>
      <c r="G3698" s="4" t="s">
        <v>135</v>
      </c>
      <c r="H3698" s="4" t="s">
        <v>1987</v>
      </c>
      <c r="K3698" s="4" t="s">
        <v>14725</v>
      </c>
      <c r="L3698" s="4" t="s">
        <v>14726</v>
      </c>
      <c r="M3698" s="4" t="s">
        <v>14272</v>
      </c>
      <c r="N3698" s="4">
        <v>1.0</v>
      </c>
    </row>
    <row r="3699">
      <c r="A3699" s="55"/>
      <c r="B3699" s="52"/>
      <c r="C3699" s="76"/>
      <c r="D3699" s="4"/>
      <c r="E3699" s="76"/>
      <c r="F3699" s="52"/>
      <c r="G3699" s="4"/>
      <c r="H3699" s="4"/>
      <c r="K3699" s="4"/>
      <c r="L3699" s="4"/>
      <c r="M3699" s="4"/>
      <c r="N3699" s="4"/>
    </row>
    <row r="3700">
      <c r="A3700" s="55" t="s">
        <v>14727</v>
      </c>
      <c r="B3700" s="52" t="s">
        <v>5625</v>
      </c>
      <c r="C3700" s="76">
        <v>46108.583333333336</v>
      </c>
      <c r="D3700" s="7" t="s">
        <v>2148</v>
      </c>
      <c r="E3700" s="76">
        <v>46108.75</v>
      </c>
      <c r="F3700" s="52" t="s">
        <v>14728</v>
      </c>
      <c r="G3700" s="4" t="s">
        <v>135</v>
      </c>
      <c r="H3700" s="4" t="s">
        <v>1987</v>
      </c>
      <c r="K3700" s="4"/>
      <c r="L3700" s="4" t="s">
        <v>14729</v>
      </c>
      <c r="M3700" s="4" t="s">
        <v>14272</v>
      </c>
      <c r="N3700" s="4">
        <v>1.0</v>
      </c>
    </row>
    <row r="3701">
      <c r="A3701" s="55"/>
      <c r="B3701" s="52"/>
      <c r="C3701" s="76"/>
      <c r="D3701" s="4"/>
      <c r="E3701" s="76"/>
      <c r="F3701" s="52"/>
      <c r="G3701" s="4"/>
      <c r="H3701" s="4"/>
      <c r="K3701" s="4"/>
      <c r="L3701" s="4"/>
      <c r="M3701" s="4"/>
      <c r="N3701" s="4"/>
    </row>
    <row r="3702">
      <c r="A3702" s="55"/>
      <c r="B3702" s="52"/>
      <c r="C3702" s="76"/>
      <c r="D3702" s="4"/>
      <c r="E3702" s="76"/>
      <c r="F3702" s="52"/>
      <c r="G3702" s="4"/>
      <c r="H3702" s="4"/>
      <c r="K3702" s="4"/>
      <c r="L3702" s="4"/>
      <c r="M3702" s="4"/>
      <c r="N3702" s="4"/>
    </row>
    <row r="3703">
      <c r="A3703" s="55"/>
      <c r="B3703" s="52"/>
      <c r="C3703" s="76"/>
      <c r="D3703" s="4"/>
      <c r="E3703" s="76"/>
      <c r="F3703" s="52"/>
      <c r="G3703" s="4"/>
      <c r="H3703" s="4"/>
      <c r="K3703" s="4"/>
      <c r="L3703" s="4"/>
      <c r="M3703" s="4"/>
      <c r="N3703" s="4"/>
    </row>
    <row r="3704">
      <c r="A3704" s="55" t="s">
        <v>14730</v>
      </c>
      <c r="B3704" s="52" t="s">
        <v>1657</v>
      </c>
      <c r="C3704" s="76">
        <v>46107.583333333336</v>
      </c>
      <c r="D3704" s="7" t="s">
        <v>2147</v>
      </c>
      <c r="E3704" s="76">
        <v>46107.708333333336</v>
      </c>
      <c r="F3704" s="52" t="s">
        <v>14731</v>
      </c>
      <c r="G3704" s="4" t="s">
        <v>27</v>
      </c>
      <c r="H3704" s="4" t="s">
        <v>1987</v>
      </c>
      <c r="K3704" s="4"/>
      <c r="L3704" s="4" t="s">
        <v>14732</v>
      </c>
      <c r="M3704" s="4" t="s">
        <v>14272</v>
      </c>
      <c r="N3704" s="4">
        <v>3.0</v>
      </c>
      <c r="O3704" s="4" t="s">
        <v>14733</v>
      </c>
    </row>
    <row r="3705">
      <c r="A3705" s="55"/>
      <c r="B3705" s="52"/>
      <c r="C3705" s="76"/>
      <c r="D3705" s="4"/>
      <c r="E3705" s="76"/>
      <c r="F3705" s="52"/>
      <c r="G3705" s="4"/>
      <c r="H3705" s="4"/>
      <c r="K3705" s="4"/>
      <c r="L3705" s="4"/>
      <c r="M3705" s="4"/>
      <c r="N3705" s="4"/>
    </row>
    <row r="3706">
      <c r="A3706" s="55" t="s">
        <v>14734</v>
      </c>
      <c r="B3706" s="52" t="s">
        <v>6057</v>
      </c>
      <c r="C3706" s="76">
        <v>46106.333333333336</v>
      </c>
      <c r="D3706" s="7" t="s">
        <v>6052</v>
      </c>
      <c r="E3706" s="76">
        <v>46106.51388888889</v>
      </c>
      <c r="F3706" s="52" t="s">
        <v>14735</v>
      </c>
      <c r="G3706" s="4" t="s">
        <v>27</v>
      </c>
      <c r="H3706" s="4" t="s">
        <v>1987</v>
      </c>
      <c r="K3706" s="4" t="s">
        <v>14717</v>
      </c>
      <c r="L3706" s="4" t="s">
        <v>14736</v>
      </c>
      <c r="M3706" s="4" t="s">
        <v>14272</v>
      </c>
      <c r="N3706" s="4">
        <v>1.0</v>
      </c>
    </row>
    <row r="3707">
      <c r="A3707" s="55"/>
      <c r="B3707" s="52"/>
      <c r="C3707" s="76"/>
      <c r="D3707" s="4"/>
      <c r="E3707" s="76"/>
      <c r="F3707" s="52"/>
      <c r="G3707" s="4"/>
      <c r="H3707" s="4"/>
      <c r="K3707" s="4"/>
      <c r="L3707" s="4"/>
      <c r="M3707" s="4"/>
      <c r="N3707" s="4"/>
    </row>
    <row r="3708">
      <c r="A3708" s="55" t="s">
        <v>14737</v>
      </c>
      <c r="B3708" s="52" t="s">
        <v>5656</v>
      </c>
      <c r="C3708" s="76">
        <v>46104.333333333336</v>
      </c>
      <c r="D3708" s="7" t="s">
        <v>2147</v>
      </c>
      <c r="E3708" s="76">
        <v>46104.430555555555</v>
      </c>
      <c r="F3708" s="52" t="s">
        <v>14738</v>
      </c>
      <c r="G3708" s="4" t="s">
        <v>110</v>
      </c>
      <c r="H3708" s="4" t="s">
        <v>1987</v>
      </c>
      <c r="K3708" s="4" t="s">
        <v>14739</v>
      </c>
      <c r="L3708" s="4"/>
      <c r="M3708" s="4" t="s">
        <v>14289</v>
      </c>
      <c r="N3708" s="4">
        <v>1.0</v>
      </c>
    </row>
    <row r="3709">
      <c r="A3709" s="55" t="s">
        <v>14740</v>
      </c>
      <c r="B3709" s="52" t="s">
        <v>1611</v>
      </c>
      <c r="C3709" s="76">
        <v>46104.4375</v>
      </c>
      <c r="D3709" s="7" t="s">
        <v>6052</v>
      </c>
      <c r="E3709" s="76">
        <v>46104.5</v>
      </c>
      <c r="F3709" s="52" t="s">
        <v>14720</v>
      </c>
      <c r="G3709" s="4" t="s">
        <v>27</v>
      </c>
      <c r="H3709" s="4" t="s">
        <v>1987</v>
      </c>
      <c r="K3709" s="4" t="s">
        <v>14721</v>
      </c>
      <c r="L3709" s="4" t="s">
        <v>14741</v>
      </c>
      <c r="M3709" s="4" t="s">
        <v>1723</v>
      </c>
      <c r="N3709" s="4">
        <v>1.0</v>
      </c>
    </row>
    <row r="3710">
      <c r="A3710" s="55" t="s">
        <v>14742</v>
      </c>
      <c r="B3710" s="52" t="s">
        <v>6057</v>
      </c>
      <c r="C3710" s="76">
        <v>46104.333333333336</v>
      </c>
      <c r="D3710" s="7" t="s">
        <v>6052</v>
      </c>
      <c r="E3710" s="76">
        <v>46104.4375</v>
      </c>
      <c r="F3710" s="52" t="s">
        <v>14716</v>
      </c>
      <c r="G3710" s="4" t="s">
        <v>27</v>
      </c>
      <c r="H3710" s="4" t="s">
        <v>1987</v>
      </c>
      <c r="K3710" s="4" t="s">
        <v>14743</v>
      </c>
      <c r="L3710" s="4"/>
      <c r="M3710" s="4" t="s">
        <v>14272</v>
      </c>
      <c r="N3710" s="4">
        <v>1.0</v>
      </c>
    </row>
    <row r="3711">
      <c r="A3711" s="55" t="s">
        <v>14744</v>
      </c>
      <c r="B3711" s="52" t="s">
        <v>1611</v>
      </c>
      <c r="C3711" s="76">
        <v>46104.333333333336</v>
      </c>
      <c r="D3711" s="7" t="s">
        <v>6052</v>
      </c>
      <c r="E3711" s="76">
        <v>46104.541666666664</v>
      </c>
      <c r="F3711" s="52" t="s">
        <v>14745</v>
      </c>
      <c r="G3711" s="4" t="s">
        <v>139</v>
      </c>
      <c r="H3711" s="4" t="s">
        <v>1987</v>
      </c>
      <c r="K3711" s="4" t="s">
        <v>14746</v>
      </c>
      <c r="L3711" s="4" t="s">
        <v>14747</v>
      </c>
      <c r="M3711" s="4" t="s">
        <v>1723</v>
      </c>
      <c r="N3711" s="4">
        <v>0.6</v>
      </c>
    </row>
    <row r="3712">
      <c r="A3712" s="55" t="s">
        <v>14748</v>
      </c>
      <c r="B3712" s="52" t="s">
        <v>5790</v>
      </c>
      <c r="C3712" s="76">
        <v>46104.625</v>
      </c>
      <c r="D3712" s="7" t="s">
        <v>2154</v>
      </c>
      <c r="E3712" s="76">
        <v>46104.708333333336</v>
      </c>
      <c r="F3712" s="52" t="s">
        <v>14749</v>
      </c>
      <c r="G3712" s="4" t="s">
        <v>27</v>
      </c>
      <c r="H3712" s="4" t="s">
        <v>1987</v>
      </c>
      <c r="K3712" s="4" t="s">
        <v>14750</v>
      </c>
      <c r="L3712" s="4"/>
      <c r="M3712" s="4" t="s">
        <v>14272</v>
      </c>
      <c r="N3712" s="4">
        <v>1.0</v>
      </c>
    </row>
    <row r="3713">
      <c r="A3713" s="55" t="s">
        <v>14751</v>
      </c>
      <c r="B3713" s="52" t="s">
        <v>1611</v>
      </c>
      <c r="C3713" s="76">
        <v>46105.4375</v>
      </c>
      <c r="D3713" s="7" t="s">
        <v>2154</v>
      </c>
      <c r="E3713" s="76">
        <v>46105.510416666664</v>
      </c>
      <c r="F3713" s="52" t="s">
        <v>14752</v>
      </c>
      <c r="G3713" s="4" t="s">
        <v>27</v>
      </c>
      <c r="H3713" s="4" t="s">
        <v>1987</v>
      </c>
      <c r="K3713" s="4" t="s">
        <v>14753</v>
      </c>
      <c r="L3713" s="4" t="s">
        <v>14754</v>
      </c>
      <c r="M3713" s="4" t="s">
        <v>14272</v>
      </c>
      <c r="N3713" s="4">
        <v>1.0</v>
      </c>
    </row>
    <row r="3714">
      <c r="A3714" s="55" t="s">
        <v>14755</v>
      </c>
      <c r="B3714" s="52" t="s">
        <v>1611</v>
      </c>
      <c r="C3714" s="76">
        <v>46105.552083333336</v>
      </c>
      <c r="D3714" s="7" t="s">
        <v>2147</v>
      </c>
      <c r="E3714" s="76">
        <v>46105.583333333336</v>
      </c>
      <c r="F3714" s="52" t="s">
        <v>14756</v>
      </c>
      <c r="G3714" s="4" t="s">
        <v>27</v>
      </c>
      <c r="H3714" s="4" t="s">
        <v>1987</v>
      </c>
      <c r="K3714" s="4" t="s">
        <v>14757</v>
      </c>
      <c r="L3714" s="4"/>
      <c r="M3714" s="4" t="s">
        <v>1723</v>
      </c>
      <c r="N3714" s="4">
        <v>1.0</v>
      </c>
    </row>
    <row r="3715">
      <c r="A3715" s="55"/>
      <c r="B3715" s="52"/>
      <c r="C3715" s="76"/>
      <c r="D3715" s="4"/>
      <c r="E3715" s="76"/>
      <c r="F3715" s="52"/>
      <c r="G3715" s="4"/>
      <c r="H3715" s="4"/>
      <c r="I3715" s="4"/>
      <c r="K3715" s="4"/>
      <c r="L3715" s="4"/>
    </row>
    <row r="3716">
      <c r="A3716" s="55" t="s">
        <v>14758</v>
      </c>
      <c r="B3716" s="52" t="s">
        <v>1611</v>
      </c>
      <c r="C3716" s="76">
        <v>46105.666666666664</v>
      </c>
      <c r="D3716" s="7" t="s">
        <v>2147</v>
      </c>
      <c r="E3716" s="76">
        <v>46105.708333333336</v>
      </c>
      <c r="F3716" s="52" t="s">
        <v>14756</v>
      </c>
      <c r="G3716" s="4" t="s">
        <v>27</v>
      </c>
      <c r="H3716" s="4" t="s">
        <v>1987</v>
      </c>
      <c r="K3716" s="4" t="s">
        <v>14759</v>
      </c>
      <c r="L3716" s="4"/>
      <c r="M3716" s="4" t="s">
        <v>1723</v>
      </c>
      <c r="N3716" s="4">
        <v>1.0</v>
      </c>
    </row>
    <row r="3717">
      <c r="A3717" s="55" t="s">
        <v>14760</v>
      </c>
      <c r="B3717" s="52" t="s">
        <v>5675</v>
      </c>
      <c r="C3717" s="76">
        <v>46108.333333333336</v>
      </c>
      <c r="D3717" s="7" t="s">
        <v>6052</v>
      </c>
      <c r="E3717" s="76">
        <v>46108.583333333336</v>
      </c>
      <c r="F3717" s="52" t="s">
        <v>14379</v>
      </c>
      <c r="G3717" s="4" t="s">
        <v>110</v>
      </c>
      <c r="H3717" s="4" t="s">
        <v>1987</v>
      </c>
      <c r="K3717" s="4" t="s">
        <v>14761</v>
      </c>
      <c r="L3717" s="4" t="s">
        <v>14762</v>
      </c>
      <c r="M3717" s="4" t="s">
        <v>1895</v>
      </c>
      <c r="N3717" s="4">
        <v>1.0</v>
      </c>
    </row>
    <row r="3718">
      <c r="A3718" s="55" t="s">
        <v>14763</v>
      </c>
      <c r="B3718" s="52" t="s">
        <v>5801</v>
      </c>
      <c r="C3718" s="76">
        <v>46111.458333333336</v>
      </c>
      <c r="D3718" s="7" t="s">
        <v>2147</v>
      </c>
      <c r="E3718" s="76">
        <v>46111.552083333336</v>
      </c>
      <c r="F3718" s="52" t="s">
        <v>14764</v>
      </c>
      <c r="G3718" s="4" t="s">
        <v>110</v>
      </c>
      <c r="H3718" s="4" t="s">
        <v>1991</v>
      </c>
      <c r="K3718" s="4" t="s">
        <v>14765</v>
      </c>
      <c r="L3718" s="4" t="s">
        <v>14766</v>
      </c>
      <c r="M3718" s="4" t="s">
        <v>14289</v>
      </c>
      <c r="N3718" s="4">
        <v>1.0</v>
      </c>
    </row>
    <row r="3719">
      <c r="A3719" s="55"/>
      <c r="B3719" s="52"/>
      <c r="C3719" s="76"/>
      <c r="D3719" s="4"/>
      <c r="E3719" s="76"/>
      <c r="F3719" s="52"/>
      <c r="G3719" s="4"/>
      <c r="H3719" s="4"/>
      <c r="K3719" s="4"/>
      <c r="L3719" s="4"/>
      <c r="M3719" s="4"/>
      <c r="N3719" s="4"/>
    </row>
    <row r="3720">
      <c r="A3720" s="55"/>
      <c r="B3720" s="52"/>
      <c r="C3720" s="76"/>
      <c r="D3720" s="4"/>
      <c r="E3720" s="76"/>
      <c r="F3720" s="52"/>
      <c r="G3720" s="4"/>
      <c r="H3720" s="4"/>
      <c r="K3720" s="4"/>
      <c r="L3720" s="4"/>
      <c r="M3720" s="4"/>
      <c r="N3720" s="4"/>
    </row>
    <row r="3721">
      <c r="A3721" s="55" t="s">
        <v>14767</v>
      </c>
      <c r="B3721" s="52" t="s">
        <v>5684</v>
      </c>
      <c r="C3721" s="76">
        <v>46106.51388888889</v>
      </c>
      <c r="D3721" s="7" t="s">
        <v>2147</v>
      </c>
      <c r="E3721" s="76">
        <v>46106.59722222222</v>
      </c>
      <c r="F3721" s="52" t="s">
        <v>14768</v>
      </c>
      <c r="G3721" s="4" t="s">
        <v>27</v>
      </c>
      <c r="H3721" s="4" t="s">
        <v>1987</v>
      </c>
      <c r="K3721" s="4" t="s">
        <v>14769</v>
      </c>
      <c r="L3721" s="4" t="s">
        <v>14770</v>
      </c>
      <c r="M3721" s="4" t="s">
        <v>14272</v>
      </c>
      <c r="N3721" s="4">
        <v>1.0</v>
      </c>
    </row>
    <row r="3722">
      <c r="A3722" s="55" t="s">
        <v>14771</v>
      </c>
      <c r="B3722" s="52" t="s">
        <v>5801</v>
      </c>
      <c r="C3722" s="76">
        <v>46106.572916666664</v>
      </c>
      <c r="D3722" s="7" t="s">
        <v>6318</v>
      </c>
      <c r="E3722" s="76">
        <v>46106.583333333336</v>
      </c>
      <c r="F3722" s="52" t="s">
        <v>14772</v>
      </c>
      <c r="G3722" s="4" t="s">
        <v>110</v>
      </c>
      <c r="H3722" s="4" t="s">
        <v>1987</v>
      </c>
      <c r="K3722" s="4" t="s">
        <v>14773</v>
      </c>
      <c r="L3722" s="4"/>
      <c r="M3722" s="4" t="s">
        <v>14289</v>
      </c>
      <c r="N3722" s="4">
        <v>1.0</v>
      </c>
    </row>
    <row r="3723">
      <c r="A3723" s="55" t="s">
        <v>14774</v>
      </c>
      <c r="B3723" s="52" t="s">
        <v>1611</v>
      </c>
      <c r="C3723" s="76">
        <v>46106.333333333336</v>
      </c>
      <c r="D3723" s="7" t="s">
        <v>6052</v>
      </c>
      <c r="E3723" s="76">
        <v>46106.541666666664</v>
      </c>
      <c r="F3723" s="52" t="s">
        <v>14775</v>
      </c>
      <c r="G3723" s="4" t="s">
        <v>139</v>
      </c>
      <c r="H3723" s="4" t="s">
        <v>1987</v>
      </c>
      <c r="K3723" s="4" t="s">
        <v>14776</v>
      </c>
      <c r="L3723" s="4" t="s">
        <v>14777</v>
      </c>
      <c r="M3723" s="4" t="s">
        <v>1723</v>
      </c>
      <c r="N3723" s="4">
        <v>0.6</v>
      </c>
    </row>
    <row r="3724">
      <c r="A3724" s="55"/>
      <c r="B3724" s="52"/>
      <c r="C3724" s="76"/>
      <c r="D3724" s="4"/>
      <c r="E3724" s="76"/>
      <c r="F3724" s="52"/>
      <c r="G3724" s="4"/>
      <c r="H3724" s="4"/>
      <c r="I3724" s="4"/>
      <c r="K3724" s="4"/>
      <c r="L3724" s="4"/>
    </row>
    <row r="3725">
      <c r="A3725" s="55"/>
      <c r="B3725" s="52"/>
      <c r="C3725" s="76"/>
      <c r="D3725" s="4"/>
      <c r="E3725" s="76"/>
      <c r="F3725" s="52"/>
      <c r="G3725" s="4"/>
      <c r="H3725" s="4"/>
      <c r="I3725" s="4"/>
      <c r="K3725" s="4"/>
      <c r="L3725" s="4"/>
    </row>
    <row r="3726">
      <c r="A3726" s="55" t="s">
        <v>14778</v>
      </c>
      <c r="B3726" s="52" t="s">
        <v>5790</v>
      </c>
      <c r="C3726" s="76">
        <v>46106.645833333336</v>
      </c>
      <c r="D3726" s="7" t="s">
        <v>2154</v>
      </c>
      <c r="E3726" s="76">
        <v>46106.75</v>
      </c>
      <c r="F3726" s="52" t="s">
        <v>14779</v>
      </c>
      <c r="G3726" s="4" t="s">
        <v>135</v>
      </c>
      <c r="H3726" s="4" t="s">
        <v>1987</v>
      </c>
      <c r="K3726" s="4" t="s">
        <v>14780</v>
      </c>
      <c r="L3726" s="4" t="s">
        <v>14781</v>
      </c>
      <c r="M3726" s="4" t="s">
        <v>14272</v>
      </c>
      <c r="N3726" s="4">
        <v>1.0</v>
      </c>
    </row>
    <row r="3727">
      <c r="A3727" s="55" t="s">
        <v>14782</v>
      </c>
      <c r="B3727" s="52" t="s">
        <v>1611</v>
      </c>
      <c r="C3727" s="76">
        <v>46107.333333333336</v>
      </c>
      <c r="D3727" s="7" t="s">
        <v>2147</v>
      </c>
      <c r="E3727" s="76">
        <v>46107.5</v>
      </c>
      <c r="F3727" s="52" t="s">
        <v>14756</v>
      </c>
      <c r="G3727" s="4" t="s">
        <v>27</v>
      </c>
      <c r="H3727" s="4" t="s">
        <v>1987</v>
      </c>
      <c r="K3727" s="4" t="s">
        <v>14783</v>
      </c>
      <c r="L3727" s="4" t="s">
        <v>14784</v>
      </c>
      <c r="M3727" s="4" t="s">
        <v>1723</v>
      </c>
      <c r="N3727" s="4">
        <v>1.0</v>
      </c>
    </row>
    <row r="3728">
      <c r="A3728" s="55" t="s">
        <v>14785</v>
      </c>
      <c r="B3728" s="52" t="s">
        <v>5729</v>
      </c>
      <c r="C3728" s="76">
        <v>46112.375</v>
      </c>
      <c r="D3728" s="7" t="s">
        <v>2147</v>
      </c>
      <c r="E3728" s="76">
        <v>46112.416666666664</v>
      </c>
      <c r="F3728" s="52" t="s">
        <v>14786</v>
      </c>
      <c r="G3728" s="4" t="s">
        <v>110</v>
      </c>
      <c r="H3728" s="4" t="s">
        <v>1987</v>
      </c>
      <c r="K3728" s="4" t="s">
        <v>14787</v>
      </c>
      <c r="L3728" s="4"/>
      <c r="M3728" s="4" t="s">
        <v>1846</v>
      </c>
      <c r="N3728" s="4">
        <v>1.0</v>
      </c>
    </row>
    <row r="3729">
      <c r="A3729" s="55" t="s">
        <v>14788</v>
      </c>
      <c r="B3729" s="52" t="s">
        <v>1657</v>
      </c>
      <c r="C3729" s="76">
        <v>46108.333333333336</v>
      </c>
      <c r="D3729" s="7" t="s">
        <v>2147</v>
      </c>
      <c r="E3729" s="76">
        <v>46108.458333333336</v>
      </c>
      <c r="F3729" s="52" t="s">
        <v>14731</v>
      </c>
      <c r="G3729" s="4" t="s">
        <v>27</v>
      </c>
      <c r="H3729" s="4" t="s">
        <v>1987</v>
      </c>
      <c r="K3729" s="4" t="s">
        <v>14789</v>
      </c>
      <c r="L3729" s="4" t="s">
        <v>14790</v>
      </c>
      <c r="M3729" s="4" t="s">
        <v>14272</v>
      </c>
      <c r="N3729" s="4">
        <v>2.0</v>
      </c>
    </row>
    <row r="3730">
      <c r="A3730" s="55" t="s">
        <v>14791</v>
      </c>
      <c r="B3730" s="52" t="s">
        <v>5656</v>
      </c>
      <c r="C3730" s="76">
        <v>46107.541666666664</v>
      </c>
      <c r="D3730" s="7" t="s">
        <v>2147</v>
      </c>
      <c r="E3730" s="76">
        <v>46107.583333333336</v>
      </c>
      <c r="F3730" s="52" t="s">
        <v>14738</v>
      </c>
      <c r="G3730" s="4" t="s">
        <v>110</v>
      </c>
      <c r="H3730" s="4" t="s">
        <v>1987</v>
      </c>
      <c r="K3730" s="4" t="s">
        <v>14792</v>
      </c>
      <c r="L3730" s="4"/>
      <c r="M3730" s="4" t="s">
        <v>14289</v>
      </c>
      <c r="N3730" s="4">
        <v>1.0</v>
      </c>
    </row>
    <row r="3731">
      <c r="A3731" s="55" t="s">
        <v>14793</v>
      </c>
      <c r="B3731" s="52" t="s">
        <v>5790</v>
      </c>
      <c r="C3731" s="76">
        <v>46107.583333333336</v>
      </c>
      <c r="D3731" s="7" t="s">
        <v>2154</v>
      </c>
      <c r="E3731" s="76">
        <v>46107.75</v>
      </c>
      <c r="F3731" s="52" t="s">
        <v>14779</v>
      </c>
      <c r="G3731" s="4" t="s">
        <v>135</v>
      </c>
      <c r="H3731" s="4" t="s">
        <v>1987</v>
      </c>
      <c r="K3731" s="4" t="s">
        <v>14794</v>
      </c>
      <c r="L3731" s="4" t="s">
        <v>14795</v>
      </c>
      <c r="M3731" s="4" t="s">
        <v>14272</v>
      </c>
      <c r="N3731" s="4">
        <v>1.0</v>
      </c>
    </row>
    <row r="3732">
      <c r="A3732" s="55" t="s">
        <v>14796</v>
      </c>
      <c r="B3732" s="52" t="s">
        <v>5798</v>
      </c>
      <c r="C3732" s="76">
        <v>46107.375</v>
      </c>
      <c r="D3732" s="7" t="s">
        <v>2148</v>
      </c>
      <c r="E3732" s="76">
        <v>46107.541666666664</v>
      </c>
      <c r="F3732" s="52" t="s">
        <v>14797</v>
      </c>
      <c r="G3732" s="4" t="s">
        <v>139</v>
      </c>
      <c r="H3732" s="4" t="s">
        <v>1987</v>
      </c>
      <c r="K3732" s="4" t="s">
        <v>14798</v>
      </c>
      <c r="L3732" s="4"/>
      <c r="M3732" s="4" t="s">
        <v>2353</v>
      </c>
      <c r="N3732" s="4">
        <v>1.0</v>
      </c>
    </row>
    <row r="3733">
      <c r="A3733" s="55" t="s">
        <v>14799</v>
      </c>
      <c r="B3733" s="52" t="s">
        <v>5596</v>
      </c>
      <c r="C3733" s="76">
        <v>46107.333333333336</v>
      </c>
      <c r="D3733" s="7" t="s">
        <v>2147</v>
      </c>
      <c r="E3733" s="76">
        <v>46107.375</v>
      </c>
      <c r="F3733" s="52" t="s">
        <v>14800</v>
      </c>
      <c r="G3733" s="4" t="s">
        <v>139</v>
      </c>
      <c r="H3733" s="4" t="s">
        <v>1987</v>
      </c>
      <c r="K3733" s="4"/>
      <c r="L3733" s="4" t="s">
        <v>14801</v>
      </c>
      <c r="M3733" s="4" t="s">
        <v>1723</v>
      </c>
      <c r="N3733" s="4">
        <v>1.0</v>
      </c>
    </row>
    <row r="3734">
      <c r="A3734" s="55" t="s">
        <v>14802</v>
      </c>
      <c r="B3734" s="52" t="s">
        <v>5798</v>
      </c>
      <c r="C3734" s="76">
        <v>46108.333333333336</v>
      </c>
      <c r="D3734" s="7" t="s">
        <v>2154</v>
      </c>
      <c r="E3734" s="76">
        <v>46108.416666666664</v>
      </c>
      <c r="F3734" s="52" t="s">
        <v>14803</v>
      </c>
      <c r="G3734" s="4" t="s">
        <v>139</v>
      </c>
      <c r="H3734" s="4" t="s">
        <v>1987</v>
      </c>
      <c r="K3734" s="4" t="s">
        <v>14804</v>
      </c>
      <c r="L3734" s="4" t="s">
        <v>14805</v>
      </c>
      <c r="M3734" s="4" t="s">
        <v>1895</v>
      </c>
      <c r="N3734" s="4">
        <v>3.0</v>
      </c>
    </row>
    <row r="3735">
      <c r="A3735" s="55" t="s">
        <v>14806</v>
      </c>
      <c r="B3735" s="52" t="s">
        <v>5596</v>
      </c>
      <c r="C3735" s="76">
        <v>46108.416666666664</v>
      </c>
      <c r="D3735" s="7" t="s">
        <v>2147</v>
      </c>
      <c r="E3735" s="76">
        <v>46108.479166666664</v>
      </c>
      <c r="F3735" s="52" t="s">
        <v>14807</v>
      </c>
      <c r="G3735" s="4" t="s">
        <v>139</v>
      </c>
      <c r="H3735" s="4" t="s">
        <v>1987</v>
      </c>
      <c r="K3735" s="4" t="s">
        <v>14808</v>
      </c>
      <c r="L3735" s="4"/>
      <c r="M3735" s="4" t="s">
        <v>1895</v>
      </c>
      <c r="N3735" s="4">
        <v>1.0</v>
      </c>
    </row>
    <row r="3736">
      <c r="A3736" s="55" t="s">
        <v>14809</v>
      </c>
      <c r="B3736" s="52" t="s">
        <v>5798</v>
      </c>
      <c r="C3736" s="76">
        <v>46108.479166666664</v>
      </c>
      <c r="D3736" s="7" t="s">
        <v>2154</v>
      </c>
      <c r="E3736" s="76">
        <v>46108.541666666664</v>
      </c>
      <c r="F3736" s="52" t="s">
        <v>14810</v>
      </c>
      <c r="G3736" s="4" t="s">
        <v>139</v>
      </c>
      <c r="H3736" s="4" t="s">
        <v>1987</v>
      </c>
      <c r="K3736" s="4" t="s">
        <v>14811</v>
      </c>
      <c r="L3736" s="4" t="s">
        <v>14812</v>
      </c>
      <c r="M3736" s="4" t="s">
        <v>1895</v>
      </c>
      <c r="N3736" s="4">
        <v>3.0</v>
      </c>
    </row>
    <row r="3737">
      <c r="A3737" s="55" t="s">
        <v>14813</v>
      </c>
      <c r="B3737" s="52" t="s">
        <v>5798</v>
      </c>
      <c r="C3737" s="76">
        <v>46113.375</v>
      </c>
      <c r="D3737" s="7" t="s">
        <v>2147</v>
      </c>
      <c r="E3737" s="76">
        <v>46113.416666666664</v>
      </c>
      <c r="F3737" s="52" t="s">
        <v>14814</v>
      </c>
      <c r="G3737" s="4" t="s">
        <v>139</v>
      </c>
      <c r="H3737" s="4" t="s">
        <v>1991</v>
      </c>
      <c r="K3737" s="4" t="s">
        <v>14815</v>
      </c>
      <c r="L3737" s="4" t="s">
        <v>14816</v>
      </c>
      <c r="M3737" s="4" t="s">
        <v>14272</v>
      </c>
      <c r="N3737" s="4">
        <v>1.0</v>
      </c>
    </row>
    <row r="3738">
      <c r="A3738" s="55" t="s">
        <v>14817</v>
      </c>
      <c r="B3738" s="52" t="s">
        <v>5801</v>
      </c>
      <c r="C3738" s="76">
        <v>46108.583333333336</v>
      </c>
      <c r="D3738" s="7" t="s">
        <v>6318</v>
      </c>
      <c r="E3738" s="76">
        <v>46108.59375</v>
      </c>
      <c r="F3738" s="52" t="s">
        <v>14818</v>
      </c>
      <c r="G3738" s="4" t="s">
        <v>110</v>
      </c>
      <c r="H3738" s="4" t="s">
        <v>1987</v>
      </c>
      <c r="K3738" s="4" t="s">
        <v>14819</v>
      </c>
      <c r="L3738" s="4"/>
      <c r="M3738" s="4" t="s">
        <v>14820</v>
      </c>
      <c r="N3738" s="4">
        <v>1.0</v>
      </c>
    </row>
    <row r="3739">
      <c r="A3739" s="55" t="s">
        <v>14821</v>
      </c>
      <c r="B3739" s="52" t="s">
        <v>13847</v>
      </c>
      <c r="C3739" s="76">
        <v>46113.375</v>
      </c>
      <c r="D3739" s="4"/>
      <c r="E3739" s="76">
        <v>46113.416666666664</v>
      </c>
      <c r="F3739" s="52" t="s">
        <v>14814</v>
      </c>
      <c r="G3739" s="4" t="s">
        <v>27</v>
      </c>
      <c r="H3739" s="4" t="s">
        <v>1991</v>
      </c>
      <c r="I3739" s="5" t="s">
        <v>14822</v>
      </c>
      <c r="K3739" s="4"/>
      <c r="L3739" s="4"/>
    </row>
    <row r="3740">
      <c r="A3740" s="55" t="s">
        <v>14823</v>
      </c>
      <c r="B3740" s="52" t="s">
        <v>1657</v>
      </c>
      <c r="C3740" s="76">
        <v>46108.75</v>
      </c>
      <c r="D3740" s="7" t="s">
        <v>2147</v>
      </c>
      <c r="E3740" s="76">
        <v>46108.791666666664</v>
      </c>
      <c r="F3740" s="52" t="s">
        <v>14731</v>
      </c>
      <c r="G3740" s="4" t="s">
        <v>27</v>
      </c>
      <c r="H3740" s="4" t="s">
        <v>1987</v>
      </c>
      <c r="K3740" s="4" t="s">
        <v>14824</v>
      </c>
      <c r="L3740" s="4" t="s">
        <v>14825</v>
      </c>
      <c r="M3740" s="4" t="s">
        <v>14272</v>
      </c>
      <c r="N3740" s="4">
        <v>1.0</v>
      </c>
    </row>
    <row r="3741">
      <c r="A3741" s="55" t="s">
        <v>14826</v>
      </c>
      <c r="B3741" s="52" t="s">
        <v>1657</v>
      </c>
      <c r="C3741" s="76">
        <v>46111.333333333336</v>
      </c>
      <c r="D3741" s="7" t="s">
        <v>2154</v>
      </c>
      <c r="E3741" s="76">
        <v>46111.416666666664</v>
      </c>
      <c r="F3741" s="52" t="s">
        <v>14827</v>
      </c>
      <c r="G3741" s="4" t="s">
        <v>27</v>
      </c>
      <c r="H3741" s="4" t="s">
        <v>1987</v>
      </c>
      <c r="K3741" s="4" t="s">
        <v>14828</v>
      </c>
      <c r="L3741" s="4" t="s">
        <v>14829</v>
      </c>
      <c r="M3741" s="4" t="s">
        <v>14272</v>
      </c>
      <c r="N3741" s="4">
        <v>2.0</v>
      </c>
    </row>
    <row r="3742">
      <c r="A3742" s="55" t="s">
        <v>14830</v>
      </c>
      <c r="B3742" s="52" t="s">
        <v>5675</v>
      </c>
      <c r="C3742" s="76">
        <v>46111.333333333336</v>
      </c>
      <c r="D3742" s="7" t="s">
        <v>2147</v>
      </c>
      <c r="E3742" s="76">
        <v>46111.458333333336</v>
      </c>
      <c r="F3742" s="52" t="s">
        <v>14831</v>
      </c>
      <c r="G3742" s="4" t="s">
        <v>110</v>
      </c>
      <c r="H3742" s="4" t="s">
        <v>1987</v>
      </c>
      <c r="K3742" s="4" t="s">
        <v>14832</v>
      </c>
      <c r="L3742" s="4"/>
      <c r="M3742" s="4" t="s">
        <v>1895</v>
      </c>
      <c r="N3742" s="4">
        <v>1.0</v>
      </c>
    </row>
    <row r="3743">
      <c r="A3743" s="55" t="s">
        <v>14833</v>
      </c>
      <c r="B3743" s="52" t="s">
        <v>5675</v>
      </c>
      <c r="C3743" s="76">
        <v>46111.552083333336</v>
      </c>
      <c r="D3743" s="7" t="s">
        <v>2147</v>
      </c>
      <c r="E3743" s="76">
        <v>46111.583333333336</v>
      </c>
      <c r="F3743" s="52" t="s">
        <v>14831</v>
      </c>
      <c r="G3743" s="4" t="s">
        <v>110</v>
      </c>
      <c r="H3743" s="4" t="s">
        <v>1987</v>
      </c>
      <c r="K3743" s="4" t="s">
        <v>14834</v>
      </c>
      <c r="L3743" s="4" t="s">
        <v>14835</v>
      </c>
      <c r="M3743" s="4" t="s">
        <v>1895</v>
      </c>
      <c r="N3743" s="4">
        <v>1.0</v>
      </c>
    </row>
    <row r="3744">
      <c r="A3744" s="55" t="s">
        <v>14836</v>
      </c>
      <c r="B3744" s="52" t="s">
        <v>5596</v>
      </c>
      <c r="C3744" s="76">
        <v>46111.333333333336</v>
      </c>
      <c r="D3744" s="7" t="s">
        <v>2147</v>
      </c>
      <c r="E3744" s="76">
        <v>46111.375</v>
      </c>
      <c r="F3744" s="52" t="s">
        <v>14837</v>
      </c>
      <c r="G3744" s="4" t="s">
        <v>139</v>
      </c>
      <c r="H3744" s="4" t="s">
        <v>1987</v>
      </c>
      <c r="K3744" s="4" t="s">
        <v>14838</v>
      </c>
      <c r="L3744" s="4"/>
      <c r="M3744" s="4" t="s">
        <v>1895</v>
      </c>
      <c r="N3744" s="4">
        <v>1.0</v>
      </c>
    </row>
    <row r="3745">
      <c r="A3745" s="55" t="s">
        <v>14839</v>
      </c>
      <c r="B3745" s="52" t="s">
        <v>5798</v>
      </c>
      <c r="C3745" s="76">
        <v>46111.375</v>
      </c>
      <c r="D3745" s="7" t="s">
        <v>2148</v>
      </c>
      <c r="E3745" s="76">
        <v>46111.541666666664</v>
      </c>
      <c r="F3745" s="52" t="s">
        <v>14840</v>
      </c>
      <c r="G3745" s="4" t="s">
        <v>139</v>
      </c>
      <c r="H3745" s="4" t="s">
        <v>1987</v>
      </c>
      <c r="K3745" s="4" t="s">
        <v>14841</v>
      </c>
      <c r="L3745" s="4"/>
      <c r="M3745" s="4" t="s">
        <v>1723</v>
      </c>
      <c r="N3745" s="4">
        <v>1.0</v>
      </c>
    </row>
    <row r="3746">
      <c r="A3746" s="55" t="s">
        <v>14842</v>
      </c>
      <c r="B3746" s="52" t="s">
        <v>1657</v>
      </c>
      <c r="C3746" s="76">
        <v>46111.5</v>
      </c>
      <c r="D3746" s="7" t="s">
        <v>2154</v>
      </c>
      <c r="E3746" s="76">
        <v>46111.541666666664</v>
      </c>
      <c r="F3746" s="52" t="s">
        <v>14827</v>
      </c>
      <c r="G3746" s="4" t="s">
        <v>27</v>
      </c>
      <c r="H3746" s="4" t="s">
        <v>1991</v>
      </c>
      <c r="K3746" s="4" t="s">
        <v>14843</v>
      </c>
      <c r="L3746" s="4" t="s">
        <v>14844</v>
      </c>
      <c r="M3746" s="4" t="s">
        <v>14272</v>
      </c>
      <c r="N3746" s="4">
        <v>3.0</v>
      </c>
    </row>
    <row r="3747">
      <c r="A3747" s="55" t="s">
        <v>14845</v>
      </c>
      <c r="B3747" s="52" t="s">
        <v>1657</v>
      </c>
      <c r="C3747" s="76">
        <v>46111.625</v>
      </c>
      <c r="D3747" s="7" t="s">
        <v>2147</v>
      </c>
      <c r="E3747" s="76">
        <v>46111.833333333336</v>
      </c>
      <c r="F3747" s="52" t="s">
        <v>14846</v>
      </c>
      <c r="G3747" s="4" t="s">
        <v>27</v>
      </c>
      <c r="H3747" s="4" t="s">
        <v>1987</v>
      </c>
      <c r="K3747" s="4" t="s">
        <v>14847</v>
      </c>
      <c r="L3747" s="4" t="s">
        <v>14848</v>
      </c>
      <c r="M3747" s="4" t="s">
        <v>14474</v>
      </c>
      <c r="N3747" s="4">
        <v>1.0</v>
      </c>
    </row>
    <row r="3748">
      <c r="A3748" s="55" t="s">
        <v>14849</v>
      </c>
      <c r="B3748" s="52" t="s">
        <v>5801</v>
      </c>
      <c r="C3748" s="76">
        <v>46111.458333333336</v>
      </c>
      <c r="D3748" s="7" t="s">
        <v>2147</v>
      </c>
      <c r="E3748" s="76">
        <v>46111.5</v>
      </c>
      <c r="F3748" s="52" t="s">
        <v>14764</v>
      </c>
      <c r="G3748" s="4" t="s">
        <v>27</v>
      </c>
      <c r="H3748" s="4" t="s">
        <v>1987</v>
      </c>
      <c r="K3748" s="4" t="s">
        <v>14765</v>
      </c>
      <c r="L3748" s="4" t="s">
        <v>14850</v>
      </c>
      <c r="M3748" s="4" t="s">
        <v>14272</v>
      </c>
      <c r="N3748" s="4">
        <v>1.0</v>
      </c>
    </row>
    <row r="3749">
      <c r="A3749" s="55"/>
      <c r="B3749" s="52"/>
      <c r="C3749" s="76"/>
      <c r="D3749" s="4"/>
      <c r="E3749" s="76"/>
      <c r="F3749" s="52"/>
      <c r="G3749" s="4"/>
      <c r="H3749" s="4"/>
      <c r="K3749" s="4"/>
      <c r="L3749" s="4"/>
      <c r="M3749" s="4"/>
      <c r="N3749" s="4"/>
    </row>
    <row r="3750">
      <c r="A3750" s="55" t="s">
        <v>14851</v>
      </c>
      <c r="B3750" s="52" t="s">
        <v>5675</v>
      </c>
      <c r="C3750" s="76">
        <v>46112.333333333336</v>
      </c>
      <c r="D3750" s="7" t="s">
        <v>2147</v>
      </c>
      <c r="E3750" s="76">
        <v>46112.375</v>
      </c>
      <c r="F3750" s="52" t="s">
        <v>14831</v>
      </c>
      <c r="G3750" s="4" t="s">
        <v>110</v>
      </c>
      <c r="H3750" s="4" t="s">
        <v>1987</v>
      </c>
      <c r="K3750" s="4" t="s">
        <v>14834</v>
      </c>
      <c r="L3750" s="4" t="s">
        <v>14852</v>
      </c>
      <c r="M3750" s="4" t="s">
        <v>1895</v>
      </c>
      <c r="N3750" s="4">
        <v>1.0</v>
      </c>
    </row>
    <row r="3751">
      <c r="A3751" s="55" t="s">
        <v>14853</v>
      </c>
      <c r="B3751" s="52" t="s">
        <v>5675</v>
      </c>
      <c r="C3751" s="76">
        <v>46112.416666666664</v>
      </c>
      <c r="D3751" s="7" t="s">
        <v>2148</v>
      </c>
      <c r="E3751" s="76">
        <v>46112.52777777778</v>
      </c>
      <c r="F3751" s="52" t="s">
        <v>14831</v>
      </c>
      <c r="G3751" s="4" t="s">
        <v>110</v>
      </c>
      <c r="H3751" s="4" t="s">
        <v>1987</v>
      </c>
      <c r="K3751" s="4" t="s">
        <v>14854</v>
      </c>
      <c r="L3751" s="4" t="s">
        <v>14855</v>
      </c>
      <c r="M3751" s="4" t="s">
        <v>1895</v>
      </c>
      <c r="N3751" s="4">
        <v>1.0</v>
      </c>
    </row>
    <row r="3752">
      <c r="A3752" s="55" t="s">
        <v>14856</v>
      </c>
      <c r="B3752" s="52" t="s">
        <v>5801</v>
      </c>
      <c r="C3752" s="76">
        <v>46113.333333333336</v>
      </c>
      <c r="D3752" s="7" t="s">
        <v>2147</v>
      </c>
      <c r="E3752" s="76">
        <v>46113.625</v>
      </c>
      <c r="F3752" s="52" t="s">
        <v>14857</v>
      </c>
      <c r="G3752" s="4" t="s">
        <v>110</v>
      </c>
      <c r="H3752" s="4" t="s">
        <v>1987</v>
      </c>
      <c r="K3752" s="4" t="s">
        <v>14858</v>
      </c>
      <c r="L3752" s="4" t="s">
        <v>14859</v>
      </c>
      <c r="M3752" s="4" t="s">
        <v>1723</v>
      </c>
      <c r="N3752" s="4">
        <v>1.0</v>
      </c>
    </row>
    <row r="3753">
      <c r="A3753" s="55"/>
      <c r="B3753" s="52"/>
      <c r="C3753" s="76"/>
      <c r="D3753" s="4"/>
      <c r="E3753" s="76"/>
      <c r="F3753" s="52"/>
      <c r="G3753" s="4"/>
      <c r="H3753" s="4"/>
      <c r="K3753" s="4"/>
      <c r="L3753" s="4"/>
      <c r="M3753" s="4"/>
      <c r="N3753" s="4"/>
    </row>
    <row r="3754">
      <c r="A3754" s="55" t="s">
        <v>14860</v>
      </c>
      <c r="B3754" s="52" t="s">
        <v>1617</v>
      </c>
      <c r="C3754" s="76">
        <v>46118.333333333336</v>
      </c>
      <c r="D3754" s="7" t="s">
        <v>2147</v>
      </c>
      <c r="E3754" s="76">
        <v>46118.61111111111</v>
      </c>
      <c r="F3754" s="52" t="s">
        <v>14861</v>
      </c>
      <c r="G3754" s="4" t="s">
        <v>110</v>
      </c>
      <c r="H3754" s="4" t="s">
        <v>1987</v>
      </c>
      <c r="K3754" s="4" t="s">
        <v>14862</v>
      </c>
      <c r="L3754" s="4" t="s">
        <v>14863</v>
      </c>
      <c r="M3754" s="4" t="s">
        <v>14272</v>
      </c>
      <c r="N3754" s="4">
        <v>1.0</v>
      </c>
    </row>
    <row r="3755">
      <c r="A3755" s="55" t="s">
        <v>14864</v>
      </c>
      <c r="B3755" s="52" t="s">
        <v>5675</v>
      </c>
      <c r="C3755" s="76">
        <v>46125.375</v>
      </c>
      <c r="D3755" s="7" t="s">
        <v>6052</v>
      </c>
      <c r="E3755" s="76">
        <v>46125.53125</v>
      </c>
      <c r="F3755" s="52" t="s">
        <v>14865</v>
      </c>
      <c r="G3755" s="4" t="s">
        <v>110</v>
      </c>
      <c r="H3755" s="4" t="s">
        <v>1987</v>
      </c>
      <c r="K3755" s="4"/>
      <c r="L3755" s="4" t="s">
        <v>14866</v>
      </c>
      <c r="M3755" s="4" t="s">
        <v>14293</v>
      </c>
      <c r="N3755" s="4">
        <v>1.0</v>
      </c>
    </row>
    <row r="3756">
      <c r="A3756" s="55" t="s">
        <v>14867</v>
      </c>
      <c r="B3756" s="52" t="s">
        <v>5729</v>
      </c>
      <c r="C3756" s="76">
        <v>46120.333333333336</v>
      </c>
      <c r="D3756" s="7" t="s">
        <v>6052</v>
      </c>
      <c r="E3756" s="76">
        <v>46120.583333333336</v>
      </c>
      <c r="F3756" s="52" t="s">
        <v>14868</v>
      </c>
      <c r="G3756" s="4" t="s">
        <v>110</v>
      </c>
      <c r="H3756" s="4" t="s">
        <v>1987</v>
      </c>
      <c r="K3756" s="4" t="s">
        <v>14869</v>
      </c>
      <c r="L3756" s="4" t="s">
        <v>14870</v>
      </c>
      <c r="M3756" s="4" t="s">
        <v>14871</v>
      </c>
      <c r="N3756" s="4">
        <v>1.0</v>
      </c>
    </row>
    <row r="3757">
      <c r="A3757" s="55" t="s">
        <v>14872</v>
      </c>
      <c r="B3757" s="52" t="s">
        <v>5729</v>
      </c>
      <c r="C3757" s="76">
        <v>46122.291666666664</v>
      </c>
      <c r="D3757" s="7" t="s">
        <v>6052</v>
      </c>
      <c r="E3757" s="76">
        <v>46122.427083333336</v>
      </c>
      <c r="F3757" s="52" t="s">
        <v>14868</v>
      </c>
      <c r="G3757" s="4" t="s">
        <v>110</v>
      </c>
      <c r="H3757" s="4" t="s">
        <v>1987</v>
      </c>
      <c r="K3757" s="4" t="s">
        <v>14873</v>
      </c>
      <c r="L3757" s="4" t="s">
        <v>14874</v>
      </c>
      <c r="M3757" s="4" t="s">
        <v>14871</v>
      </c>
      <c r="N3757" s="4">
        <v>1.0</v>
      </c>
    </row>
    <row r="3758">
      <c r="A3758" s="55" t="s">
        <v>14875</v>
      </c>
      <c r="B3758" s="52" t="s">
        <v>5803</v>
      </c>
      <c r="C3758" s="76">
        <v>46112.375</v>
      </c>
      <c r="D3758" s="7" t="s">
        <v>2148</v>
      </c>
      <c r="E3758" s="76">
        <v>46112.541666666664</v>
      </c>
      <c r="F3758" s="52" t="s">
        <v>14876</v>
      </c>
      <c r="G3758" s="4" t="s">
        <v>139</v>
      </c>
      <c r="H3758" s="4" t="s">
        <v>1987</v>
      </c>
      <c r="K3758" s="4" t="s">
        <v>14877</v>
      </c>
      <c r="L3758" s="4" t="s">
        <v>14878</v>
      </c>
      <c r="M3758" s="4" t="s">
        <v>1723</v>
      </c>
      <c r="N3758" s="4">
        <v>1.25</v>
      </c>
    </row>
    <row r="3759">
      <c r="A3759" s="55" t="s">
        <v>14879</v>
      </c>
      <c r="B3759" s="52" t="s">
        <v>5596</v>
      </c>
      <c r="C3759" s="76">
        <v>46112.333333333336</v>
      </c>
      <c r="D3759" s="7" t="s">
        <v>2147</v>
      </c>
      <c r="E3759" s="76">
        <v>46112.375</v>
      </c>
      <c r="F3759" s="52" t="s">
        <v>14880</v>
      </c>
      <c r="G3759" s="4" t="s">
        <v>139</v>
      </c>
      <c r="H3759" s="4" t="s">
        <v>1987</v>
      </c>
      <c r="K3759" s="4" t="s">
        <v>14881</v>
      </c>
      <c r="L3759" s="4"/>
      <c r="M3759" s="4" t="s">
        <v>14272</v>
      </c>
      <c r="N3759" s="4">
        <v>1.0</v>
      </c>
    </row>
    <row r="3760">
      <c r="A3760" s="55" t="s">
        <v>14882</v>
      </c>
      <c r="B3760" s="52" t="s">
        <v>1617</v>
      </c>
      <c r="C3760" s="76">
        <v>46112.555555555555</v>
      </c>
      <c r="D3760" s="7" t="s">
        <v>2147</v>
      </c>
      <c r="E3760" s="76">
        <v>46112.59722222222</v>
      </c>
      <c r="F3760" s="52" t="s">
        <v>14883</v>
      </c>
      <c r="G3760" s="4" t="s">
        <v>110</v>
      </c>
      <c r="H3760" s="4" t="s">
        <v>1987</v>
      </c>
      <c r="K3760" s="4" t="s">
        <v>14884</v>
      </c>
      <c r="L3760" s="4" t="s">
        <v>14885</v>
      </c>
      <c r="M3760" s="4" t="s">
        <v>1846</v>
      </c>
      <c r="N3760" s="4">
        <v>1.0</v>
      </c>
    </row>
    <row r="3761">
      <c r="A3761" s="55" t="s">
        <v>14886</v>
      </c>
      <c r="B3761" s="52" t="s">
        <v>6057</v>
      </c>
      <c r="C3761" s="76">
        <v>46112.52777777778</v>
      </c>
      <c r="D3761" s="7" t="s">
        <v>6318</v>
      </c>
      <c r="E3761" s="76">
        <v>46112.555555555555</v>
      </c>
      <c r="F3761" s="52" t="s">
        <v>14887</v>
      </c>
      <c r="G3761" s="4" t="s">
        <v>110</v>
      </c>
      <c r="H3761" s="4" t="s">
        <v>1987</v>
      </c>
      <c r="K3761" s="4"/>
      <c r="L3761" s="4" t="s">
        <v>14888</v>
      </c>
      <c r="M3761" s="4" t="s">
        <v>14272</v>
      </c>
      <c r="N3761" s="4">
        <v>1.0</v>
      </c>
    </row>
    <row r="3762">
      <c r="A3762" s="55"/>
      <c r="B3762" s="52"/>
      <c r="C3762" s="76"/>
      <c r="D3762" s="4"/>
      <c r="E3762" s="76"/>
      <c r="F3762" s="52"/>
      <c r="G3762" s="4"/>
      <c r="H3762" s="4"/>
      <c r="I3762" s="4"/>
      <c r="K3762" s="4"/>
      <c r="L3762" s="4"/>
    </row>
    <row r="3763">
      <c r="A3763" s="55" t="s">
        <v>14889</v>
      </c>
      <c r="B3763" s="52" t="s">
        <v>5625</v>
      </c>
      <c r="C3763" s="76">
        <v>46112.583333333336</v>
      </c>
      <c r="D3763" s="7" t="s">
        <v>2154</v>
      </c>
      <c r="E3763" s="76">
        <v>46112.645833333336</v>
      </c>
      <c r="F3763" s="52" t="s">
        <v>14890</v>
      </c>
      <c r="G3763" s="4" t="s">
        <v>135</v>
      </c>
      <c r="H3763" s="4" t="s">
        <v>1987</v>
      </c>
      <c r="K3763" s="4" t="s">
        <v>14891</v>
      </c>
      <c r="L3763" s="4"/>
      <c r="M3763" s="4" t="s">
        <v>14892</v>
      </c>
      <c r="N3763" s="4">
        <v>1.0</v>
      </c>
    </row>
    <row r="3764">
      <c r="A3764" s="55" t="s">
        <v>14893</v>
      </c>
      <c r="B3764" s="52" t="s">
        <v>1617</v>
      </c>
      <c r="C3764" s="76">
        <v>46112.645833333336</v>
      </c>
      <c r="D3764" s="7" t="s">
        <v>2147</v>
      </c>
      <c r="E3764" s="76">
        <v>46112.697916666664</v>
      </c>
      <c r="F3764" s="52" t="s">
        <v>14894</v>
      </c>
      <c r="G3764" s="4" t="s">
        <v>135</v>
      </c>
      <c r="H3764" s="4" t="s">
        <v>1987</v>
      </c>
      <c r="K3764" s="4" t="s">
        <v>14895</v>
      </c>
      <c r="L3764" s="4" t="s">
        <v>14896</v>
      </c>
      <c r="M3764" s="4" t="s">
        <v>14897</v>
      </c>
      <c r="N3764" s="4">
        <v>1.0</v>
      </c>
    </row>
    <row r="3765">
      <c r="A3765" s="55" t="s">
        <v>14898</v>
      </c>
      <c r="B3765" s="52" t="s">
        <v>5678</v>
      </c>
      <c r="C3765" s="76">
        <v>46112.697916666664</v>
      </c>
      <c r="D3765" s="7" t="s">
        <v>2147</v>
      </c>
      <c r="E3765" s="76">
        <v>46112.75</v>
      </c>
      <c r="F3765" s="52" t="s">
        <v>14899</v>
      </c>
      <c r="G3765" s="4" t="s">
        <v>135</v>
      </c>
      <c r="H3765" s="4" t="s">
        <v>1987</v>
      </c>
      <c r="K3765" s="4" t="s">
        <v>14900</v>
      </c>
      <c r="L3765" s="4" t="s">
        <v>14901</v>
      </c>
      <c r="M3765" s="4" t="s">
        <v>14897</v>
      </c>
      <c r="N3765" s="4">
        <v>1.0</v>
      </c>
    </row>
    <row r="3766">
      <c r="A3766" s="55" t="s">
        <v>14902</v>
      </c>
      <c r="B3766" s="52" t="s">
        <v>5678</v>
      </c>
      <c r="C3766" s="76">
        <v>46113.583333333336</v>
      </c>
      <c r="D3766" s="7" t="s">
        <v>2154</v>
      </c>
      <c r="E3766" s="76">
        <v>46113.75</v>
      </c>
      <c r="F3766" s="52" t="s">
        <v>14903</v>
      </c>
      <c r="G3766" s="4" t="s">
        <v>135</v>
      </c>
      <c r="H3766" s="4" t="s">
        <v>1987</v>
      </c>
      <c r="K3766" s="4"/>
      <c r="L3766" s="4" t="s">
        <v>14904</v>
      </c>
      <c r="M3766" s="4" t="s">
        <v>14289</v>
      </c>
      <c r="N3766" s="4">
        <v>1.0</v>
      </c>
    </row>
    <row r="3767">
      <c r="A3767" s="55"/>
      <c r="B3767" s="52"/>
      <c r="C3767" s="76"/>
      <c r="D3767" s="4"/>
      <c r="E3767" s="76"/>
      <c r="F3767" s="52"/>
      <c r="G3767" s="4"/>
      <c r="H3767" s="4"/>
      <c r="K3767" s="4"/>
      <c r="L3767" s="4"/>
      <c r="M3767" s="4"/>
      <c r="N3767" s="4"/>
    </row>
    <row r="3768">
      <c r="A3768" s="55" t="s">
        <v>14905</v>
      </c>
      <c r="B3768" s="52" t="s">
        <v>6057</v>
      </c>
      <c r="C3768" s="76">
        <v>46112.333333333336</v>
      </c>
      <c r="D3768" s="7" t="s">
        <v>6052</v>
      </c>
      <c r="E3768" s="76">
        <v>46112.625</v>
      </c>
      <c r="F3768" s="52" t="s">
        <v>14906</v>
      </c>
      <c r="G3768" s="4" t="s">
        <v>27</v>
      </c>
      <c r="H3768" s="4" t="s">
        <v>1987</v>
      </c>
      <c r="K3768" s="4" t="s">
        <v>14907</v>
      </c>
      <c r="L3768" s="4"/>
      <c r="M3768" s="4" t="s">
        <v>14272</v>
      </c>
      <c r="N3768" s="4">
        <v>1.0</v>
      </c>
    </row>
    <row r="3769">
      <c r="A3769" s="55" t="s">
        <v>14908</v>
      </c>
      <c r="B3769" s="52" t="s">
        <v>5596</v>
      </c>
      <c r="C3769" s="76">
        <v>46113.416666666664</v>
      </c>
      <c r="D3769" s="7" t="s">
        <v>2147</v>
      </c>
      <c r="E3769" s="76">
        <v>46113.458333333336</v>
      </c>
      <c r="F3769" s="52" t="s">
        <v>14909</v>
      </c>
      <c r="G3769" s="4" t="s">
        <v>139</v>
      </c>
      <c r="H3769" s="4" t="s">
        <v>1987</v>
      </c>
      <c r="K3769" s="4" t="s">
        <v>14910</v>
      </c>
      <c r="L3769" s="4"/>
      <c r="M3769" s="4" t="s">
        <v>14272</v>
      </c>
      <c r="N3769" s="4">
        <v>1.0</v>
      </c>
    </row>
    <row r="3770">
      <c r="A3770" s="55" t="s">
        <v>14911</v>
      </c>
      <c r="B3770" s="52" t="s">
        <v>5803</v>
      </c>
      <c r="C3770" s="76">
        <v>46113.458333333336</v>
      </c>
      <c r="D3770" s="7" t="s">
        <v>2154</v>
      </c>
      <c r="E3770" s="76">
        <v>46113.541666666664</v>
      </c>
      <c r="F3770" s="52" t="s">
        <v>14912</v>
      </c>
      <c r="G3770" s="4" t="s">
        <v>139</v>
      </c>
      <c r="H3770" s="4" t="s">
        <v>1987</v>
      </c>
      <c r="K3770" s="4" t="s">
        <v>14913</v>
      </c>
      <c r="L3770" s="4" t="s">
        <v>14914</v>
      </c>
      <c r="M3770" s="4" t="s">
        <v>1895</v>
      </c>
      <c r="N3770" s="4">
        <v>1.25</v>
      </c>
    </row>
    <row r="3771">
      <c r="A3771" s="55" t="s">
        <v>14915</v>
      </c>
      <c r="B3771" s="52" t="s">
        <v>5798</v>
      </c>
      <c r="C3771" s="76">
        <v>46113.333333333336</v>
      </c>
      <c r="D3771" s="7" t="s">
        <v>2147</v>
      </c>
      <c r="E3771" s="76">
        <v>46113.375</v>
      </c>
      <c r="F3771" s="52" t="s">
        <v>14916</v>
      </c>
      <c r="G3771" s="4" t="s">
        <v>139</v>
      </c>
      <c r="H3771" s="4" t="s">
        <v>1987</v>
      </c>
      <c r="K3771" s="4" t="s">
        <v>14917</v>
      </c>
      <c r="L3771" s="4"/>
      <c r="M3771" s="4" t="s">
        <v>2353</v>
      </c>
      <c r="N3771" s="4">
        <v>1.0</v>
      </c>
    </row>
    <row r="3772">
      <c r="A3772" s="55" t="s">
        <v>14918</v>
      </c>
      <c r="B3772" s="52" t="s">
        <v>1611</v>
      </c>
      <c r="C3772" s="76">
        <v>46113.729166666664</v>
      </c>
      <c r="D3772" s="7" t="s">
        <v>2154</v>
      </c>
      <c r="E3772" s="76">
        <v>46113.8125</v>
      </c>
      <c r="F3772" s="52" t="s">
        <v>14919</v>
      </c>
      <c r="G3772" s="4" t="s">
        <v>27</v>
      </c>
      <c r="H3772" s="4" t="s">
        <v>1987</v>
      </c>
      <c r="K3772" s="4" t="s">
        <v>14920</v>
      </c>
      <c r="L3772" s="4"/>
      <c r="M3772" s="4" t="s">
        <v>14272</v>
      </c>
      <c r="N3772" s="4">
        <v>1.0</v>
      </c>
    </row>
    <row r="3773">
      <c r="A3773" s="55" t="s">
        <v>14921</v>
      </c>
      <c r="B3773" s="52" t="s">
        <v>1611</v>
      </c>
      <c r="C3773" s="76">
        <v>46114.4375</v>
      </c>
      <c r="D3773" s="7" t="s">
        <v>2154</v>
      </c>
      <c r="E3773" s="76">
        <v>46114.479166666664</v>
      </c>
      <c r="F3773" s="52" t="s">
        <v>14919</v>
      </c>
      <c r="G3773" s="4" t="s">
        <v>27</v>
      </c>
      <c r="H3773" s="4" t="s">
        <v>1987</v>
      </c>
      <c r="K3773" s="4" t="s">
        <v>14922</v>
      </c>
      <c r="L3773" s="4" t="s">
        <v>14923</v>
      </c>
      <c r="M3773" s="4" t="s">
        <v>14272</v>
      </c>
      <c r="N3773" s="4">
        <v>1.0</v>
      </c>
    </row>
    <row r="3774">
      <c r="A3774" s="55" t="s">
        <v>14924</v>
      </c>
      <c r="B3774" s="52" t="s">
        <v>5801</v>
      </c>
      <c r="C3774" s="76">
        <v>46114.479166666664</v>
      </c>
      <c r="D3774" s="4"/>
      <c r="E3774" s="76">
        <v>46114.604166666664</v>
      </c>
      <c r="F3774" s="52" t="s">
        <v>14925</v>
      </c>
      <c r="G3774" s="4" t="s">
        <v>27</v>
      </c>
      <c r="H3774" s="4" t="s">
        <v>1987</v>
      </c>
      <c r="K3774" s="4"/>
      <c r="L3774" s="4" t="s">
        <v>14926</v>
      </c>
      <c r="M3774" s="4" t="s">
        <v>14272</v>
      </c>
      <c r="N3774" s="4">
        <v>1.0</v>
      </c>
    </row>
    <row r="3775">
      <c r="A3775" s="55"/>
      <c r="B3775" s="52"/>
      <c r="C3775" s="76"/>
      <c r="D3775" s="4"/>
      <c r="E3775" s="76"/>
      <c r="F3775" s="52"/>
      <c r="G3775" s="4"/>
      <c r="H3775" s="4"/>
      <c r="K3775" s="4"/>
      <c r="L3775" s="4"/>
      <c r="M3775" s="4"/>
      <c r="N3775" s="4"/>
    </row>
    <row r="3776">
      <c r="A3776" s="55"/>
      <c r="B3776" s="52"/>
      <c r="C3776" s="76"/>
      <c r="D3776" s="4"/>
      <c r="E3776" s="76"/>
      <c r="F3776" s="52"/>
      <c r="G3776" s="4"/>
      <c r="H3776" s="4"/>
      <c r="K3776" s="4"/>
      <c r="L3776" s="4"/>
      <c r="M3776" s="4"/>
      <c r="N3776" s="4"/>
    </row>
    <row r="3777">
      <c r="A3777" s="55" t="s">
        <v>14927</v>
      </c>
      <c r="B3777" s="52" t="s">
        <v>1617</v>
      </c>
      <c r="C3777" s="76">
        <v>46121.625</v>
      </c>
      <c r="D3777" s="7" t="s">
        <v>2154</v>
      </c>
      <c r="E3777" s="76">
        <v>46121.6875</v>
      </c>
      <c r="F3777" s="52" t="s">
        <v>14928</v>
      </c>
      <c r="G3777" s="4" t="s">
        <v>110</v>
      </c>
      <c r="H3777" s="4" t="s">
        <v>1991</v>
      </c>
      <c r="K3777" s="4" t="s">
        <v>14929</v>
      </c>
      <c r="L3777" s="4" t="s">
        <v>14930</v>
      </c>
      <c r="M3777" s="4" t="s">
        <v>14272</v>
      </c>
      <c r="N3777" s="4">
        <v>1.0</v>
      </c>
    </row>
    <row r="3778">
      <c r="A3778" s="55" t="s">
        <v>14931</v>
      </c>
      <c r="B3778" s="52" t="s">
        <v>5801</v>
      </c>
      <c r="C3778" s="76">
        <v>46121.375</v>
      </c>
      <c r="D3778" s="7" t="s">
        <v>2147</v>
      </c>
      <c r="E3778" s="76">
        <v>46121.416666666664</v>
      </c>
      <c r="F3778" s="52" t="s">
        <v>14932</v>
      </c>
      <c r="G3778" s="4" t="s">
        <v>110</v>
      </c>
      <c r="H3778" s="4" t="s">
        <v>1987</v>
      </c>
      <c r="K3778" s="4" t="s">
        <v>14933</v>
      </c>
      <c r="L3778" s="4" t="s">
        <v>14934</v>
      </c>
      <c r="M3778" s="4" t="s">
        <v>1723</v>
      </c>
      <c r="N3778" s="4">
        <v>1.0</v>
      </c>
    </row>
    <row r="3779">
      <c r="A3779" s="55" t="s">
        <v>14935</v>
      </c>
      <c r="B3779" s="52" t="s">
        <v>5795</v>
      </c>
      <c r="C3779" s="76">
        <v>46118.416666666664</v>
      </c>
      <c r="D3779" s="7" t="s">
        <v>2154</v>
      </c>
      <c r="E3779" s="76">
        <v>46118.479166666664</v>
      </c>
      <c r="F3779" s="52" t="s">
        <v>14936</v>
      </c>
      <c r="G3779" s="4" t="s">
        <v>27</v>
      </c>
      <c r="H3779" s="4" t="s">
        <v>1987</v>
      </c>
      <c r="K3779" s="4" t="s">
        <v>14937</v>
      </c>
      <c r="L3779" s="4" t="s">
        <v>14938</v>
      </c>
      <c r="M3779" s="4" t="s">
        <v>14272</v>
      </c>
      <c r="N3779" s="4">
        <v>1.0</v>
      </c>
    </row>
    <row r="3780">
      <c r="A3780" s="55" t="s">
        <v>14939</v>
      </c>
      <c r="B3780" s="52" t="s">
        <v>6057</v>
      </c>
      <c r="C3780" s="76">
        <v>46118.479166666664</v>
      </c>
      <c r="D3780" s="7" t="s">
        <v>2154</v>
      </c>
      <c r="E3780" s="76">
        <v>46118.770833333336</v>
      </c>
      <c r="F3780" s="52" t="s">
        <v>14940</v>
      </c>
      <c r="G3780" s="4" t="s">
        <v>27</v>
      </c>
      <c r="H3780" s="4" t="s">
        <v>1987</v>
      </c>
      <c r="K3780" s="4" t="s">
        <v>14941</v>
      </c>
      <c r="L3780" s="4" t="s">
        <v>14942</v>
      </c>
      <c r="M3780" s="4" t="s">
        <v>14272</v>
      </c>
      <c r="N3780" s="4">
        <v>1.0</v>
      </c>
    </row>
    <row r="3781">
      <c r="A3781" s="55"/>
      <c r="B3781" s="52"/>
      <c r="C3781" s="76"/>
      <c r="D3781" s="4"/>
      <c r="E3781" s="76"/>
      <c r="F3781" s="52"/>
      <c r="G3781" s="4"/>
      <c r="H3781" s="4"/>
      <c r="K3781" s="4"/>
      <c r="L3781" s="4"/>
      <c r="M3781" s="4"/>
      <c r="N3781" s="4"/>
    </row>
    <row r="3782">
      <c r="A3782" s="55" t="s">
        <v>14943</v>
      </c>
      <c r="B3782" s="52" t="s">
        <v>1611</v>
      </c>
      <c r="C3782" s="76">
        <v>46120.375</v>
      </c>
      <c r="D3782" s="7" t="s">
        <v>6052</v>
      </c>
      <c r="E3782" s="76">
        <v>46120.520833333336</v>
      </c>
      <c r="F3782" s="52" t="s">
        <v>14944</v>
      </c>
      <c r="G3782" s="4" t="s">
        <v>27</v>
      </c>
      <c r="H3782" s="4" t="s">
        <v>1987</v>
      </c>
      <c r="K3782" s="4" t="s">
        <v>14945</v>
      </c>
      <c r="L3782" s="4" t="s">
        <v>14946</v>
      </c>
      <c r="M3782" s="4" t="s">
        <v>14272</v>
      </c>
      <c r="N3782" s="4">
        <v>1.0</v>
      </c>
    </row>
    <row r="3783">
      <c r="A3783" s="55" t="s">
        <v>14947</v>
      </c>
      <c r="B3783" s="52" t="s">
        <v>6057</v>
      </c>
      <c r="C3783" s="76">
        <v>46118.333333333336</v>
      </c>
      <c r="D3783" s="7" t="s">
        <v>2154</v>
      </c>
      <c r="E3783" s="76">
        <v>46118.416666666664</v>
      </c>
      <c r="F3783" s="52" t="s">
        <v>14940</v>
      </c>
      <c r="G3783" s="4" t="s">
        <v>27</v>
      </c>
      <c r="H3783" s="4" t="s">
        <v>1987</v>
      </c>
      <c r="K3783" s="4" t="s">
        <v>14948</v>
      </c>
      <c r="L3783" s="4" t="s">
        <v>14949</v>
      </c>
      <c r="M3783" s="4" t="s">
        <v>14272</v>
      </c>
      <c r="N3783" s="4">
        <v>1.0</v>
      </c>
    </row>
    <row r="3784">
      <c r="A3784" s="66" t="s">
        <v>14950</v>
      </c>
      <c r="B3784" s="52" t="s">
        <v>5656</v>
      </c>
      <c r="C3784" s="76">
        <v>46120.666666666664</v>
      </c>
      <c r="D3784" s="7" t="s">
        <v>6052</v>
      </c>
      <c r="E3784" s="76">
        <v>46120.708333333336</v>
      </c>
      <c r="F3784" s="52" t="s">
        <v>14951</v>
      </c>
      <c r="G3784" s="4" t="s">
        <v>27</v>
      </c>
      <c r="H3784" s="4" t="s">
        <v>1987</v>
      </c>
      <c r="K3784" s="4" t="s">
        <v>14952</v>
      </c>
      <c r="L3784" s="4" t="s">
        <v>14953</v>
      </c>
      <c r="M3784" s="4" t="s">
        <v>14272</v>
      </c>
      <c r="N3784" s="4">
        <v>1.0</v>
      </c>
    </row>
    <row r="3785">
      <c r="A3785" s="55"/>
      <c r="B3785" s="52"/>
      <c r="C3785" s="76"/>
      <c r="D3785" s="4"/>
      <c r="E3785" s="76"/>
      <c r="F3785" s="52"/>
      <c r="G3785" s="4"/>
      <c r="H3785" s="4"/>
      <c r="K3785" s="4"/>
      <c r="L3785" s="4"/>
      <c r="M3785" s="4"/>
      <c r="N3785" s="4"/>
    </row>
    <row r="3786">
      <c r="A3786" s="55" t="s">
        <v>14954</v>
      </c>
      <c r="B3786" s="52" t="s">
        <v>5803</v>
      </c>
      <c r="C3786" s="76">
        <v>46119.458333333336</v>
      </c>
      <c r="D3786" s="7" t="s">
        <v>2154</v>
      </c>
      <c r="E3786" s="76">
        <v>46119.541666666664</v>
      </c>
      <c r="F3786" s="52" t="s">
        <v>14955</v>
      </c>
      <c r="G3786" s="4" t="s">
        <v>139</v>
      </c>
      <c r="H3786" s="4" t="s">
        <v>1987</v>
      </c>
      <c r="K3786" s="4" t="s">
        <v>14956</v>
      </c>
      <c r="L3786" s="4" t="s">
        <v>14957</v>
      </c>
      <c r="M3786" s="4" t="s">
        <v>14272</v>
      </c>
      <c r="N3786" s="4">
        <v>1.25</v>
      </c>
    </row>
    <row r="3787">
      <c r="A3787" s="55" t="s">
        <v>14958</v>
      </c>
      <c r="B3787" s="52" t="s">
        <v>5625</v>
      </c>
      <c r="C3787" s="76">
        <v>46120.375</v>
      </c>
      <c r="D3787" s="7" t="s">
        <v>2148</v>
      </c>
      <c r="E3787" s="76">
        <v>46120.541666666664</v>
      </c>
      <c r="F3787" s="52" t="s">
        <v>14959</v>
      </c>
      <c r="G3787" s="4" t="s">
        <v>139</v>
      </c>
      <c r="H3787" s="4" t="s">
        <v>1987</v>
      </c>
      <c r="K3787" s="4" t="s">
        <v>14960</v>
      </c>
      <c r="L3787" s="4" t="s">
        <v>14961</v>
      </c>
      <c r="M3787" s="4" t="s">
        <v>14272</v>
      </c>
      <c r="N3787" s="4">
        <v>1.35</v>
      </c>
    </row>
    <row r="3788">
      <c r="A3788" s="55" t="s">
        <v>14962</v>
      </c>
      <c r="B3788" s="52" t="s">
        <v>5803</v>
      </c>
      <c r="C3788" s="76">
        <v>46118.333333333336</v>
      </c>
      <c r="D3788" s="7" t="s">
        <v>6052</v>
      </c>
      <c r="E3788" s="76">
        <v>46118.520833333336</v>
      </c>
      <c r="F3788" s="52" t="s">
        <v>14963</v>
      </c>
      <c r="G3788" s="4" t="s">
        <v>139</v>
      </c>
      <c r="H3788" s="4" t="s">
        <v>1987</v>
      </c>
      <c r="K3788" s="4" t="s">
        <v>14964</v>
      </c>
      <c r="L3788" s="4" t="s">
        <v>14965</v>
      </c>
      <c r="M3788" s="4" t="s">
        <v>1895</v>
      </c>
      <c r="N3788" s="4">
        <v>1.25</v>
      </c>
    </row>
    <row r="3789">
      <c r="A3789" s="55" t="s">
        <v>14966</v>
      </c>
      <c r="B3789" s="52" t="s">
        <v>5803</v>
      </c>
      <c r="C3789" s="76">
        <v>46119.333333333336</v>
      </c>
      <c r="D3789" s="7" t="s">
        <v>6052</v>
      </c>
      <c r="E3789" s="76">
        <v>46119.4375</v>
      </c>
      <c r="F3789" s="52" t="s">
        <v>14967</v>
      </c>
      <c r="G3789" s="4" t="s">
        <v>139</v>
      </c>
      <c r="H3789" s="4" t="s">
        <v>1987</v>
      </c>
      <c r="K3789" s="4" t="s">
        <v>14968</v>
      </c>
      <c r="L3789" s="4" t="s">
        <v>14969</v>
      </c>
      <c r="M3789" s="4" t="s">
        <v>1895</v>
      </c>
      <c r="N3789" s="4">
        <v>1.25</v>
      </c>
    </row>
    <row r="3790">
      <c r="A3790" s="55" t="s">
        <v>14970</v>
      </c>
      <c r="B3790" s="52" t="s">
        <v>6216</v>
      </c>
      <c r="C3790" s="76">
        <v>46112.333333333336</v>
      </c>
      <c r="D3790" s="7" t="s">
        <v>2148</v>
      </c>
      <c r="E3790" s="76">
        <v>46112.5</v>
      </c>
      <c r="F3790" s="52" t="s">
        <v>14577</v>
      </c>
      <c r="G3790" s="4" t="s">
        <v>143</v>
      </c>
      <c r="H3790" s="4" t="s">
        <v>1987</v>
      </c>
      <c r="K3790" s="4" t="s">
        <v>14971</v>
      </c>
      <c r="L3790" s="4" t="s">
        <v>14579</v>
      </c>
      <c r="M3790" s="4" t="s">
        <v>1723</v>
      </c>
      <c r="N3790" s="4">
        <v>1.0</v>
      </c>
    </row>
    <row r="3791">
      <c r="A3791" s="55" t="s">
        <v>14972</v>
      </c>
      <c r="B3791" s="52" t="s">
        <v>5684</v>
      </c>
      <c r="C3791" s="76">
        <v>46113.333333333336</v>
      </c>
      <c r="D3791" s="4"/>
      <c r="E3791" s="76">
        <v>46113.5</v>
      </c>
      <c r="F3791" s="52" t="s">
        <v>14973</v>
      </c>
      <c r="G3791" s="4" t="s">
        <v>143</v>
      </c>
      <c r="H3791" s="4" t="s">
        <v>1987</v>
      </c>
      <c r="K3791" s="4"/>
      <c r="L3791" s="4" t="s">
        <v>14974</v>
      </c>
      <c r="M3791" s="4" t="s">
        <v>1723</v>
      </c>
      <c r="N3791" s="4">
        <v>0.3</v>
      </c>
      <c r="O3791" s="4" t="s">
        <v>14975</v>
      </c>
    </row>
    <row r="3792">
      <c r="A3792" s="55" t="s">
        <v>14976</v>
      </c>
      <c r="B3792" s="52" t="s">
        <v>5684</v>
      </c>
      <c r="C3792" s="76">
        <v>46118.333333333336</v>
      </c>
      <c r="D3792" s="4"/>
      <c r="E3792" s="76">
        <v>46118.5</v>
      </c>
      <c r="F3792" s="52" t="s">
        <v>14973</v>
      </c>
      <c r="G3792" s="4" t="s">
        <v>143</v>
      </c>
      <c r="H3792" s="4" t="s">
        <v>1987</v>
      </c>
      <c r="K3792" s="4" t="s">
        <v>14977</v>
      </c>
      <c r="L3792" s="4" t="s">
        <v>14974</v>
      </c>
      <c r="M3792" s="4" t="s">
        <v>1723</v>
      </c>
      <c r="N3792" s="4">
        <v>0.3</v>
      </c>
      <c r="O3792" s="4" t="s">
        <v>14975</v>
      </c>
    </row>
    <row r="3793">
      <c r="A3793" s="55" t="s">
        <v>14978</v>
      </c>
      <c r="B3793" s="52" t="s">
        <v>5684</v>
      </c>
      <c r="C3793" s="76">
        <v>46119.333333333336</v>
      </c>
      <c r="D3793" s="4"/>
      <c r="E3793" s="76">
        <v>46119.5</v>
      </c>
      <c r="F3793" s="52" t="s">
        <v>14973</v>
      </c>
      <c r="G3793" s="4" t="s">
        <v>143</v>
      </c>
      <c r="H3793" s="4" t="s">
        <v>1987</v>
      </c>
      <c r="K3793" s="4" t="s">
        <v>14979</v>
      </c>
      <c r="L3793" s="4" t="s">
        <v>14974</v>
      </c>
      <c r="M3793" s="4" t="s">
        <v>1723</v>
      </c>
      <c r="N3793" s="4">
        <v>0.3</v>
      </c>
      <c r="O3793" s="4" t="s">
        <v>14975</v>
      </c>
    </row>
    <row r="3794">
      <c r="A3794" s="55" t="s">
        <v>14980</v>
      </c>
      <c r="B3794" s="52" t="s">
        <v>5790</v>
      </c>
      <c r="C3794" s="76">
        <v>46120.6875</v>
      </c>
      <c r="D3794" s="7" t="s">
        <v>2148</v>
      </c>
      <c r="E3794" s="76">
        <v>46120.8125</v>
      </c>
      <c r="F3794" s="52" t="s">
        <v>14981</v>
      </c>
      <c r="G3794" s="4" t="s">
        <v>143</v>
      </c>
      <c r="H3794" s="4" t="s">
        <v>1987</v>
      </c>
      <c r="K3794" s="4" t="s">
        <v>14982</v>
      </c>
      <c r="L3794" s="4" t="s">
        <v>14983</v>
      </c>
      <c r="M3794" s="4" t="s">
        <v>14272</v>
      </c>
      <c r="N3794" s="4">
        <v>0.3</v>
      </c>
      <c r="O3794" s="4"/>
    </row>
    <row r="3795">
      <c r="A3795" s="55"/>
      <c r="B3795" s="52"/>
      <c r="C3795" s="76"/>
      <c r="D3795" s="4"/>
      <c r="E3795" s="76"/>
      <c r="F3795" s="52"/>
      <c r="G3795" s="4"/>
      <c r="H3795" s="4"/>
      <c r="K3795" s="4"/>
      <c r="L3795" s="4"/>
      <c r="M3795" s="4"/>
      <c r="N3795" s="4"/>
    </row>
    <row r="3796">
      <c r="A3796" s="55"/>
      <c r="B3796" s="52"/>
      <c r="C3796" s="76"/>
      <c r="D3796" s="4"/>
      <c r="E3796" s="76"/>
      <c r="F3796" s="52"/>
      <c r="G3796" s="4"/>
      <c r="H3796" s="4"/>
      <c r="K3796" s="4"/>
      <c r="L3796" s="4"/>
      <c r="M3796" s="4"/>
      <c r="N3796" s="4"/>
    </row>
    <row r="3797">
      <c r="A3797" s="55" t="s">
        <v>14984</v>
      </c>
      <c r="B3797" s="52" t="s">
        <v>5790</v>
      </c>
      <c r="C3797" s="76">
        <v>46120.708333333336</v>
      </c>
      <c r="D3797" s="7" t="s">
        <v>2154</v>
      </c>
      <c r="E3797" s="76">
        <v>46120.8125</v>
      </c>
      <c r="F3797" s="52" t="s">
        <v>14985</v>
      </c>
      <c r="G3797" s="4" t="s">
        <v>27</v>
      </c>
      <c r="H3797" s="4" t="s">
        <v>1991</v>
      </c>
      <c r="K3797" s="4" t="s">
        <v>14986</v>
      </c>
      <c r="L3797" s="4" t="s">
        <v>14987</v>
      </c>
      <c r="M3797" s="4" t="s">
        <v>14272</v>
      </c>
      <c r="N3797" s="4">
        <v>1.0</v>
      </c>
    </row>
    <row r="3798">
      <c r="A3798" s="55" t="s">
        <v>14988</v>
      </c>
      <c r="B3798" s="52" t="s">
        <v>5625</v>
      </c>
      <c r="C3798" s="76">
        <v>46118.770833333336</v>
      </c>
      <c r="D3798" s="7" t="s">
        <v>2147</v>
      </c>
      <c r="E3798" s="76">
        <v>46118.8125</v>
      </c>
      <c r="F3798" s="52" t="s">
        <v>14989</v>
      </c>
      <c r="G3798" s="4" t="s">
        <v>27</v>
      </c>
      <c r="H3798" s="4" t="s">
        <v>1987</v>
      </c>
      <c r="K3798" s="4" t="s">
        <v>14990</v>
      </c>
      <c r="L3798" s="4" t="s">
        <v>14991</v>
      </c>
      <c r="M3798" s="4" t="s">
        <v>14272</v>
      </c>
      <c r="N3798" s="4">
        <v>1.35</v>
      </c>
    </row>
    <row r="3799">
      <c r="A3799" s="55" t="s">
        <v>14992</v>
      </c>
      <c r="B3799" s="52" t="s">
        <v>5795</v>
      </c>
      <c r="C3799" s="76">
        <v>46118.61111111111</v>
      </c>
      <c r="D3799" s="7" t="s">
        <v>6318</v>
      </c>
      <c r="E3799" s="76">
        <v>46118.625</v>
      </c>
      <c r="F3799" s="52" t="s">
        <v>14993</v>
      </c>
      <c r="G3799" s="4" t="s">
        <v>110</v>
      </c>
      <c r="H3799" s="4" t="s">
        <v>1987</v>
      </c>
      <c r="K3799" s="4" t="s">
        <v>14994</v>
      </c>
      <c r="L3799" s="4"/>
      <c r="M3799" s="4" t="s">
        <v>14289</v>
      </c>
      <c r="N3799" s="4">
        <v>1.0</v>
      </c>
    </row>
    <row r="3800">
      <c r="A3800" s="55" t="s">
        <v>14995</v>
      </c>
      <c r="B3800" s="52" t="s">
        <v>6057</v>
      </c>
      <c r="C3800" s="76">
        <v>46119.333333333336</v>
      </c>
      <c r="D3800" s="7" t="s">
        <v>2154</v>
      </c>
      <c r="E3800" s="76">
        <v>46119.8125</v>
      </c>
      <c r="F3800" s="52" t="s">
        <v>14940</v>
      </c>
      <c r="G3800" s="4" t="s">
        <v>27</v>
      </c>
      <c r="H3800" s="4" t="s">
        <v>1987</v>
      </c>
      <c r="K3800" s="4" t="s">
        <v>14996</v>
      </c>
      <c r="L3800" s="4" t="s">
        <v>14997</v>
      </c>
      <c r="M3800" s="4" t="s">
        <v>14272</v>
      </c>
      <c r="N3800" s="4">
        <v>1.0</v>
      </c>
    </row>
    <row r="3801">
      <c r="A3801" s="55"/>
      <c r="B3801" s="52"/>
      <c r="C3801" s="76"/>
      <c r="D3801" s="4"/>
      <c r="E3801" s="76"/>
      <c r="F3801" s="52"/>
      <c r="G3801" s="4"/>
      <c r="H3801" s="4"/>
      <c r="I3801" s="4"/>
      <c r="K3801" s="4"/>
      <c r="L3801" s="4"/>
    </row>
    <row r="3802">
      <c r="A3802" s="68" t="s">
        <v>13687</v>
      </c>
      <c r="B3802" s="69" t="s">
        <v>5675</v>
      </c>
      <c r="C3802" s="70">
        <v>46113.0</v>
      </c>
      <c r="D3802" s="71"/>
      <c r="E3802" s="70">
        <v>46113.125</v>
      </c>
      <c r="F3802" s="69" t="s">
        <v>10321</v>
      </c>
      <c r="G3802" s="72" t="s">
        <v>5795</v>
      </c>
      <c r="H3802" s="4"/>
      <c r="K3802" s="4"/>
      <c r="L3802" s="4"/>
    </row>
    <row r="3803">
      <c r="A3803" s="68" t="s">
        <v>13688</v>
      </c>
      <c r="B3803" s="69" t="s">
        <v>5625</v>
      </c>
      <c r="C3803" s="70">
        <v>46113.0</v>
      </c>
      <c r="D3803" s="71"/>
      <c r="E3803" s="70">
        <v>46113.166666666664</v>
      </c>
      <c r="F3803" s="69" t="s">
        <v>10321</v>
      </c>
      <c r="G3803" s="72" t="s">
        <v>5795</v>
      </c>
      <c r="H3803" s="4"/>
      <c r="K3803" s="4"/>
      <c r="L3803" s="4"/>
    </row>
    <row r="3804">
      <c r="A3804" s="68" t="s">
        <v>13689</v>
      </c>
      <c r="B3804" s="69" t="s">
        <v>5790</v>
      </c>
      <c r="C3804" s="70">
        <v>46113.0</v>
      </c>
      <c r="D3804" s="71"/>
      <c r="E3804" s="70">
        <v>46113.291666666664</v>
      </c>
      <c r="F3804" s="69" t="s">
        <v>10321</v>
      </c>
      <c r="G3804" s="72" t="s">
        <v>5795</v>
      </c>
      <c r="H3804" s="4"/>
      <c r="K3804" s="4"/>
      <c r="L3804" s="4"/>
    </row>
    <row r="3805">
      <c r="A3805" s="68" t="s">
        <v>13690</v>
      </c>
      <c r="B3805" s="69" t="s">
        <v>5656</v>
      </c>
      <c r="C3805" s="75">
        <v>46113.0</v>
      </c>
      <c r="D3805" s="74"/>
      <c r="E3805" s="75">
        <v>46113.5</v>
      </c>
      <c r="F3805" s="69" t="s">
        <v>10321</v>
      </c>
      <c r="G3805" s="72" t="s">
        <v>5795</v>
      </c>
      <c r="H3805" s="4"/>
      <c r="K3805" s="4"/>
      <c r="L3805" s="4"/>
    </row>
    <row r="3806">
      <c r="A3806" s="68" t="s">
        <v>13691</v>
      </c>
      <c r="B3806" s="69" t="s">
        <v>5729</v>
      </c>
      <c r="C3806" s="75">
        <v>46113.0</v>
      </c>
      <c r="D3806" s="74"/>
      <c r="E3806" s="75">
        <v>46113.083333333336</v>
      </c>
      <c r="F3806" s="69" t="s">
        <v>10321</v>
      </c>
      <c r="G3806" s="72" t="s">
        <v>5795</v>
      </c>
      <c r="H3806" s="4"/>
      <c r="K3806" s="4"/>
      <c r="L3806" s="4"/>
    </row>
    <row r="3807">
      <c r="A3807" s="68" t="s">
        <v>13692</v>
      </c>
      <c r="B3807" s="69" t="s">
        <v>1611</v>
      </c>
      <c r="C3807" s="75">
        <v>46113.0</v>
      </c>
      <c r="D3807" s="74"/>
      <c r="E3807" s="75">
        <v>46113.333333333336</v>
      </c>
      <c r="F3807" s="69" t="s">
        <v>10321</v>
      </c>
      <c r="G3807" s="72" t="s">
        <v>5795</v>
      </c>
      <c r="H3807" s="4"/>
      <c r="K3807" s="4"/>
      <c r="L3807" s="4"/>
    </row>
    <row r="3808">
      <c r="A3808" s="68" t="s">
        <v>13693</v>
      </c>
      <c r="B3808" s="69" t="s">
        <v>1617</v>
      </c>
      <c r="C3808" s="75">
        <v>46113.0</v>
      </c>
      <c r="D3808" s="74"/>
      <c r="E3808" s="75">
        <v>46113.125</v>
      </c>
      <c r="F3808" s="69" t="s">
        <v>10321</v>
      </c>
      <c r="G3808" s="72" t="s">
        <v>5795</v>
      </c>
      <c r="H3808" s="4"/>
      <c r="K3808" s="4"/>
      <c r="L3808" s="4"/>
    </row>
    <row r="3809">
      <c r="A3809" s="55" t="s">
        <v>14998</v>
      </c>
      <c r="B3809" s="52" t="s">
        <v>5798</v>
      </c>
      <c r="C3809" s="76">
        <v>46118.520833333336</v>
      </c>
      <c r="D3809" s="7" t="s">
        <v>6318</v>
      </c>
      <c r="E3809" s="76">
        <v>46118.541666666664</v>
      </c>
      <c r="F3809" s="52" t="s">
        <v>14999</v>
      </c>
      <c r="G3809" s="4" t="s">
        <v>139</v>
      </c>
      <c r="H3809" s="4" t="s">
        <v>1987</v>
      </c>
      <c r="K3809" s="4" t="s">
        <v>15000</v>
      </c>
      <c r="L3809" s="4"/>
      <c r="M3809" s="4" t="s">
        <v>1895</v>
      </c>
      <c r="N3809" s="4">
        <v>1.0</v>
      </c>
    </row>
    <row r="3810">
      <c r="A3810" s="55" t="s">
        <v>15001</v>
      </c>
      <c r="B3810" s="52" t="s">
        <v>1611</v>
      </c>
      <c r="C3810" s="76">
        <v>46119.4375</v>
      </c>
      <c r="D3810" s="7" t="s">
        <v>6318</v>
      </c>
      <c r="E3810" s="76">
        <v>46119.458333333336</v>
      </c>
      <c r="F3810" s="52" t="s">
        <v>15002</v>
      </c>
      <c r="G3810" s="4" t="s">
        <v>139</v>
      </c>
      <c r="H3810" s="4" t="s">
        <v>1987</v>
      </c>
      <c r="K3810" s="4" t="s">
        <v>15003</v>
      </c>
      <c r="L3810" s="4"/>
      <c r="M3810" s="4" t="s">
        <v>14289</v>
      </c>
      <c r="N3810" s="4">
        <v>1.0</v>
      </c>
    </row>
    <row r="3811">
      <c r="A3811" s="55" t="s">
        <v>15004</v>
      </c>
      <c r="B3811" s="52" t="s">
        <v>1617</v>
      </c>
      <c r="C3811" s="76">
        <v>46119.333333333336</v>
      </c>
      <c r="D3811" s="7" t="s">
        <v>2147</v>
      </c>
      <c r="E3811" s="76">
        <v>46119.5</v>
      </c>
      <c r="F3811" s="52" t="s">
        <v>14861</v>
      </c>
      <c r="G3811" s="4" t="s">
        <v>110</v>
      </c>
      <c r="H3811" s="4" t="s">
        <v>1987</v>
      </c>
      <c r="K3811" s="4" t="s">
        <v>14862</v>
      </c>
      <c r="L3811" s="4" t="s">
        <v>15005</v>
      </c>
      <c r="M3811" s="4" t="s">
        <v>14272</v>
      </c>
      <c r="N3811" s="4">
        <v>1.0</v>
      </c>
    </row>
    <row r="3812">
      <c r="A3812" s="55" t="s">
        <v>15006</v>
      </c>
      <c r="B3812" s="52" t="s">
        <v>5803</v>
      </c>
      <c r="C3812" s="76">
        <v>46273.333333333336</v>
      </c>
      <c r="D3812" s="7" t="s">
        <v>2147</v>
      </c>
      <c r="E3812" s="76">
        <v>46273.375</v>
      </c>
      <c r="F3812" s="52" t="s">
        <v>15007</v>
      </c>
      <c r="G3812" s="4" t="s">
        <v>139</v>
      </c>
      <c r="H3812" s="4" t="s">
        <v>1987</v>
      </c>
      <c r="K3812" s="4" t="s">
        <v>15008</v>
      </c>
      <c r="L3812" s="4"/>
      <c r="M3812" s="4" t="s">
        <v>1723</v>
      </c>
      <c r="N3812" s="4">
        <v>1.0</v>
      </c>
    </row>
    <row r="3813">
      <c r="A3813" s="55" t="s">
        <v>15009</v>
      </c>
      <c r="B3813" s="52" t="s">
        <v>5803</v>
      </c>
      <c r="C3813" s="76">
        <v>46120.333333333336</v>
      </c>
      <c r="D3813" s="7" t="s">
        <v>2147</v>
      </c>
      <c r="E3813" s="76">
        <v>46120.375</v>
      </c>
      <c r="F3813" s="52" t="s">
        <v>15010</v>
      </c>
      <c r="G3813" s="4" t="s">
        <v>139</v>
      </c>
      <c r="H3813" s="4" t="s">
        <v>1987</v>
      </c>
      <c r="K3813" s="4" t="s">
        <v>15011</v>
      </c>
      <c r="L3813" s="4" t="s">
        <v>15012</v>
      </c>
      <c r="M3813" s="4" t="s">
        <v>1723</v>
      </c>
      <c r="N3813" s="4">
        <v>1.25</v>
      </c>
    </row>
    <row r="3814">
      <c r="A3814" s="55" t="s">
        <v>15013</v>
      </c>
      <c r="B3814" s="52" t="s">
        <v>5729</v>
      </c>
      <c r="C3814" s="76">
        <v>46119.5</v>
      </c>
      <c r="D3814" s="7" t="s">
        <v>2147</v>
      </c>
      <c r="E3814" s="76">
        <v>46119.583333333336</v>
      </c>
      <c r="F3814" s="52" t="s">
        <v>14868</v>
      </c>
      <c r="G3814" s="4" t="s">
        <v>110</v>
      </c>
      <c r="H3814" s="4" t="s">
        <v>1987</v>
      </c>
      <c r="K3814" s="4" t="s">
        <v>15014</v>
      </c>
      <c r="L3814" s="4" t="s">
        <v>14870</v>
      </c>
      <c r="M3814" s="4" t="s">
        <v>14871</v>
      </c>
      <c r="N3814" s="4">
        <v>1.0</v>
      </c>
    </row>
    <row r="3815">
      <c r="A3815" s="55"/>
      <c r="B3815" s="52"/>
      <c r="C3815" s="76"/>
      <c r="D3815" s="4"/>
      <c r="E3815" s="76"/>
      <c r="F3815" s="52"/>
      <c r="G3815" s="4"/>
      <c r="H3815" s="4"/>
      <c r="I3815" s="4"/>
      <c r="K3815" s="4"/>
      <c r="L3815" s="4"/>
    </row>
    <row r="3816">
      <c r="A3816" s="55"/>
      <c r="B3816" s="52"/>
      <c r="C3816" s="76"/>
      <c r="D3816" s="4"/>
      <c r="E3816" s="76"/>
      <c r="F3816" s="52"/>
      <c r="G3816" s="4"/>
      <c r="H3816" s="4"/>
      <c r="I3816" s="4"/>
      <c r="K3816" s="4"/>
      <c r="L3816" s="4"/>
    </row>
    <row r="3817">
      <c r="A3817" s="55" t="s">
        <v>15015</v>
      </c>
      <c r="B3817" s="52" t="s">
        <v>5729</v>
      </c>
      <c r="C3817" s="76">
        <v>46127.416666666664</v>
      </c>
      <c r="D3817" s="7" t="s">
        <v>2147</v>
      </c>
      <c r="E3817" s="76">
        <v>46127.479166666664</v>
      </c>
      <c r="F3817" s="52" t="s">
        <v>15016</v>
      </c>
      <c r="G3817" s="4" t="s">
        <v>110</v>
      </c>
      <c r="H3817" s="4" t="s">
        <v>1991</v>
      </c>
      <c r="K3817" s="4" t="s">
        <v>15017</v>
      </c>
      <c r="L3817" s="4" t="s">
        <v>15018</v>
      </c>
      <c r="M3817" s="4" t="s">
        <v>14272</v>
      </c>
      <c r="N3817" s="4">
        <v>1.0</v>
      </c>
    </row>
    <row r="3818">
      <c r="A3818" s="55" t="s">
        <v>15019</v>
      </c>
      <c r="B3818" s="52" t="s">
        <v>6057</v>
      </c>
      <c r="C3818" s="76">
        <v>46120.333333333336</v>
      </c>
      <c r="D3818" s="7" t="s">
        <v>2154</v>
      </c>
      <c r="E3818" s="76">
        <v>46120.375</v>
      </c>
      <c r="F3818" s="52" t="s">
        <v>14940</v>
      </c>
      <c r="G3818" s="4" t="s">
        <v>27</v>
      </c>
      <c r="H3818" s="4" t="s">
        <v>1987</v>
      </c>
      <c r="K3818" s="4" t="s">
        <v>14996</v>
      </c>
      <c r="L3818" s="4" t="s">
        <v>15020</v>
      </c>
      <c r="M3818" s="4" t="s">
        <v>14272</v>
      </c>
      <c r="N3818" s="4">
        <v>1.0</v>
      </c>
    </row>
    <row r="3819">
      <c r="A3819" s="55"/>
      <c r="B3819" s="52"/>
      <c r="C3819" s="76"/>
      <c r="D3819" s="4"/>
      <c r="E3819" s="76"/>
      <c r="F3819" s="52"/>
      <c r="G3819" s="4"/>
      <c r="H3819" s="4"/>
      <c r="I3819" s="4"/>
      <c r="K3819" s="4"/>
      <c r="L3819" s="4"/>
      <c r="M3819" s="4"/>
    </row>
    <row r="3820">
      <c r="A3820" s="55" t="s">
        <v>15021</v>
      </c>
      <c r="B3820" s="52" t="s">
        <v>5675</v>
      </c>
      <c r="C3820" s="76">
        <v>46121.416666666664</v>
      </c>
      <c r="D3820" s="7" t="s">
        <v>6318</v>
      </c>
      <c r="E3820" s="76">
        <v>46121.458333333336</v>
      </c>
      <c r="F3820" s="52" t="s">
        <v>15022</v>
      </c>
      <c r="G3820" s="4" t="s">
        <v>110</v>
      </c>
      <c r="H3820" s="4" t="s">
        <v>1987</v>
      </c>
      <c r="K3820" s="4" t="s">
        <v>15023</v>
      </c>
      <c r="L3820" s="4" t="s">
        <v>15024</v>
      </c>
      <c r="M3820" s="4" t="s">
        <v>14272</v>
      </c>
      <c r="N3820" s="4">
        <v>1.0</v>
      </c>
    </row>
    <row r="3821">
      <c r="A3821" s="55" t="s">
        <v>15025</v>
      </c>
      <c r="B3821" s="52" t="s">
        <v>1617</v>
      </c>
      <c r="C3821" s="76">
        <v>46121.458333333336</v>
      </c>
      <c r="D3821" s="7" t="s">
        <v>2147</v>
      </c>
      <c r="E3821" s="76">
        <v>46121.625</v>
      </c>
      <c r="F3821" s="52" t="s">
        <v>15026</v>
      </c>
      <c r="G3821" s="4" t="s">
        <v>110</v>
      </c>
      <c r="H3821" s="4" t="s">
        <v>1987</v>
      </c>
      <c r="K3821" s="4"/>
      <c r="L3821" s="4" t="s">
        <v>15027</v>
      </c>
      <c r="M3821" s="4" t="s">
        <v>14272</v>
      </c>
      <c r="N3821" s="4">
        <v>1.0</v>
      </c>
    </row>
    <row r="3822">
      <c r="A3822" s="66" t="s">
        <v>15028</v>
      </c>
      <c r="B3822" s="52" t="s">
        <v>5729</v>
      </c>
      <c r="C3822" s="76">
        <v>46121.333333333336</v>
      </c>
      <c r="D3822" s="7" t="s">
        <v>2147</v>
      </c>
      <c r="E3822" s="76">
        <v>46121.375</v>
      </c>
      <c r="F3822" s="52" t="s">
        <v>14868</v>
      </c>
      <c r="G3822" s="4" t="s">
        <v>110</v>
      </c>
      <c r="H3822" s="4" t="s">
        <v>1987</v>
      </c>
      <c r="K3822" s="4" t="s">
        <v>15029</v>
      </c>
      <c r="L3822" s="4" t="s">
        <v>14870</v>
      </c>
      <c r="M3822" s="4" t="s">
        <v>14871</v>
      </c>
      <c r="N3822" s="4">
        <v>1.0</v>
      </c>
    </row>
    <row r="3823">
      <c r="A3823" s="55" t="s">
        <v>15030</v>
      </c>
      <c r="B3823" s="52" t="s">
        <v>1617</v>
      </c>
      <c r="C3823" s="76">
        <v>46121.458333333336</v>
      </c>
      <c r="D3823" s="7" t="s">
        <v>6052</v>
      </c>
      <c r="E3823" s="76">
        <v>46121.75</v>
      </c>
      <c r="F3823" s="52" t="s">
        <v>15031</v>
      </c>
      <c r="G3823" s="4" t="s">
        <v>27</v>
      </c>
      <c r="H3823" s="4" t="s">
        <v>1987</v>
      </c>
      <c r="K3823" s="4" t="s">
        <v>15032</v>
      </c>
      <c r="L3823" s="4"/>
      <c r="M3823" s="4" t="s">
        <v>14272</v>
      </c>
      <c r="N3823" s="4">
        <v>1.0</v>
      </c>
    </row>
    <row r="3824">
      <c r="A3824" s="55" t="s">
        <v>15033</v>
      </c>
      <c r="B3824" s="52" t="s">
        <v>5684</v>
      </c>
      <c r="C3824" s="76">
        <v>46121.333333333336</v>
      </c>
      <c r="D3824" s="4"/>
      <c r="E3824" s="76">
        <v>46121.458333333336</v>
      </c>
      <c r="F3824" s="52" t="s">
        <v>14973</v>
      </c>
      <c r="G3824" s="4" t="s">
        <v>143</v>
      </c>
      <c r="H3824" s="4" t="s">
        <v>1987</v>
      </c>
      <c r="K3824" s="4" t="s">
        <v>14979</v>
      </c>
      <c r="L3824" s="4" t="s">
        <v>15034</v>
      </c>
      <c r="M3824" s="4" t="s">
        <v>1723</v>
      </c>
      <c r="N3824" s="4">
        <v>0.3</v>
      </c>
      <c r="O3824" s="4" t="s">
        <v>14975</v>
      </c>
    </row>
    <row r="3825">
      <c r="A3825" s="55" t="s">
        <v>15035</v>
      </c>
      <c r="B3825" s="52" t="s">
        <v>5684</v>
      </c>
      <c r="C3825" s="76">
        <v>46120.645833333336</v>
      </c>
      <c r="D3825" s="4"/>
      <c r="E3825" s="76">
        <v>46120.6875</v>
      </c>
      <c r="F3825" s="52" t="s">
        <v>14973</v>
      </c>
      <c r="G3825" s="4" t="s">
        <v>143</v>
      </c>
      <c r="H3825" s="4" t="s">
        <v>1987</v>
      </c>
      <c r="K3825" s="4" t="s">
        <v>15036</v>
      </c>
      <c r="L3825" s="4" t="s">
        <v>14974</v>
      </c>
      <c r="M3825" s="4" t="s">
        <v>1723</v>
      </c>
      <c r="N3825" s="4">
        <v>0.3</v>
      </c>
      <c r="O3825" s="4" t="s">
        <v>14975</v>
      </c>
    </row>
    <row r="3826">
      <c r="A3826" s="55" t="s">
        <v>15037</v>
      </c>
      <c r="B3826" s="52" t="s">
        <v>5675</v>
      </c>
      <c r="C3826" s="76">
        <v>46121.458333333336</v>
      </c>
      <c r="D3826" s="7" t="s">
        <v>2147</v>
      </c>
      <c r="E3826" s="76">
        <v>46121.5</v>
      </c>
      <c r="F3826" s="52" t="s">
        <v>15038</v>
      </c>
      <c r="G3826" s="4" t="s">
        <v>143</v>
      </c>
      <c r="H3826" s="4" t="s">
        <v>1987</v>
      </c>
      <c r="K3826" s="4" t="s">
        <v>15039</v>
      </c>
      <c r="L3826" s="4"/>
      <c r="M3826" s="4" t="s">
        <v>14272</v>
      </c>
      <c r="N3826" s="4">
        <v>1.0</v>
      </c>
    </row>
    <row r="3827">
      <c r="A3827" s="55" t="s">
        <v>15040</v>
      </c>
      <c r="B3827" s="52" t="s">
        <v>6057</v>
      </c>
      <c r="C3827" s="76">
        <v>46120.520833333336</v>
      </c>
      <c r="D3827" s="7" t="s">
        <v>2154</v>
      </c>
      <c r="E3827" s="76">
        <v>46120.666666666664</v>
      </c>
      <c r="F3827" s="52" t="s">
        <v>14940</v>
      </c>
      <c r="G3827" s="4" t="s">
        <v>27</v>
      </c>
      <c r="H3827" s="4" t="s">
        <v>1987</v>
      </c>
      <c r="K3827" s="4" t="s">
        <v>14996</v>
      </c>
      <c r="L3827" s="4" t="s">
        <v>15041</v>
      </c>
      <c r="M3827" s="4" t="s">
        <v>14272</v>
      </c>
      <c r="N3827" s="4">
        <v>1.0</v>
      </c>
    </row>
    <row r="3828">
      <c r="A3828" s="55" t="s">
        <v>15042</v>
      </c>
      <c r="B3828" s="52" t="s">
        <v>6057</v>
      </c>
      <c r="C3828" s="76">
        <v>46121.333333333336</v>
      </c>
      <c r="D3828" s="7" t="s">
        <v>2154</v>
      </c>
      <c r="E3828" s="76">
        <v>46121.458333333336</v>
      </c>
      <c r="F3828" s="52" t="s">
        <v>14940</v>
      </c>
      <c r="G3828" s="4" t="s">
        <v>27</v>
      </c>
      <c r="H3828" s="4" t="s">
        <v>1987</v>
      </c>
      <c r="K3828" s="4" t="s">
        <v>15043</v>
      </c>
      <c r="L3828" s="4" t="s">
        <v>15020</v>
      </c>
      <c r="M3828" s="4" t="s">
        <v>14272</v>
      </c>
      <c r="N3828" s="4">
        <v>1.0</v>
      </c>
    </row>
    <row r="3829">
      <c r="A3829" s="55" t="s">
        <v>15044</v>
      </c>
      <c r="B3829" s="52" t="s">
        <v>1657</v>
      </c>
      <c r="C3829" s="76">
        <v>46121.75</v>
      </c>
      <c r="D3829" s="7" t="s">
        <v>6318</v>
      </c>
      <c r="E3829" s="76">
        <v>46121.770833333336</v>
      </c>
      <c r="F3829" s="52" t="s">
        <v>15045</v>
      </c>
      <c r="G3829" s="4" t="s">
        <v>27</v>
      </c>
      <c r="H3829" s="4" t="s">
        <v>1987</v>
      </c>
      <c r="K3829" s="4" t="s">
        <v>15046</v>
      </c>
      <c r="L3829" s="4"/>
      <c r="M3829" s="4" t="s">
        <v>14272</v>
      </c>
      <c r="N3829" s="4">
        <v>1.0</v>
      </c>
    </row>
    <row r="3830">
      <c r="A3830" s="55" t="s">
        <v>15047</v>
      </c>
      <c r="B3830" s="52" t="s">
        <v>5625</v>
      </c>
      <c r="C3830" s="76">
        <v>46122.458333333336</v>
      </c>
      <c r="D3830" s="7" t="s">
        <v>2148</v>
      </c>
      <c r="E3830" s="76">
        <v>46122.541666666664</v>
      </c>
      <c r="F3830" s="52" t="s">
        <v>15048</v>
      </c>
      <c r="G3830" s="4" t="s">
        <v>139</v>
      </c>
      <c r="H3830" s="4" t="s">
        <v>1987</v>
      </c>
      <c r="K3830" s="4"/>
      <c r="L3830" s="4" t="s">
        <v>15049</v>
      </c>
      <c r="M3830" s="4" t="s">
        <v>1895</v>
      </c>
      <c r="N3830" s="4">
        <v>1.35</v>
      </c>
    </row>
    <row r="3831">
      <c r="A3831" s="55" t="s">
        <v>15050</v>
      </c>
      <c r="B3831" s="52" t="s">
        <v>5798</v>
      </c>
      <c r="C3831" s="76">
        <v>46121.333333333336</v>
      </c>
      <c r="D3831" s="7" t="s">
        <v>2147</v>
      </c>
      <c r="E3831" s="76">
        <v>46121.375</v>
      </c>
      <c r="F3831" s="52" t="s">
        <v>15051</v>
      </c>
      <c r="G3831" s="4" t="s">
        <v>139</v>
      </c>
      <c r="H3831" s="4" t="s">
        <v>1987</v>
      </c>
      <c r="K3831" s="4" t="s">
        <v>15052</v>
      </c>
      <c r="L3831" s="4"/>
      <c r="M3831" s="4" t="s">
        <v>1895</v>
      </c>
      <c r="N3831" s="4">
        <v>1.0</v>
      </c>
    </row>
    <row r="3832">
      <c r="A3832" s="55" t="s">
        <v>15053</v>
      </c>
      <c r="B3832" s="52" t="s">
        <v>5803</v>
      </c>
      <c r="C3832" s="76">
        <v>46126.416666666664</v>
      </c>
      <c r="D3832" s="7" t="s">
        <v>2147</v>
      </c>
      <c r="E3832" s="76">
        <v>46126.458333333336</v>
      </c>
      <c r="F3832" s="52" t="s">
        <v>15054</v>
      </c>
      <c r="G3832" s="4" t="s">
        <v>139</v>
      </c>
      <c r="H3832" s="4" t="s">
        <v>1991</v>
      </c>
      <c r="K3832" s="4" t="s">
        <v>15055</v>
      </c>
      <c r="L3832" s="4"/>
      <c r="M3832" s="4" t="s">
        <v>1895</v>
      </c>
      <c r="N3832" s="4">
        <v>1.0</v>
      </c>
    </row>
    <row r="3833">
      <c r="A3833" s="55"/>
      <c r="B3833" s="52"/>
      <c r="C3833" s="76"/>
      <c r="D3833" s="4"/>
      <c r="E3833" s="76"/>
      <c r="F3833" s="52"/>
      <c r="G3833" s="4"/>
      <c r="H3833" s="4"/>
      <c r="I3833" s="4"/>
      <c r="K3833" s="4"/>
      <c r="L3833" s="4"/>
    </row>
    <row r="3834">
      <c r="A3834" s="55"/>
      <c r="B3834" s="52"/>
      <c r="C3834" s="76"/>
      <c r="D3834" s="4"/>
      <c r="E3834" s="76"/>
      <c r="F3834" s="52"/>
      <c r="G3834" s="4"/>
      <c r="H3834" s="4"/>
      <c r="I3834" s="4"/>
      <c r="K3834" s="4"/>
      <c r="L3834" s="4"/>
      <c r="M3834" s="4"/>
    </row>
    <row r="3835">
      <c r="A3835" s="55" t="s">
        <v>15056</v>
      </c>
      <c r="B3835" s="52" t="s">
        <v>5675</v>
      </c>
      <c r="C3835" s="76">
        <v>46122.427083333336</v>
      </c>
      <c r="D3835" s="7" t="s">
        <v>2147</v>
      </c>
      <c r="E3835" s="76">
        <v>46122.46875</v>
      </c>
      <c r="F3835" s="52" t="s">
        <v>14865</v>
      </c>
      <c r="G3835" s="4" t="s">
        <v>110</v>
      </c>
      <c r="H3835" s="4" t="s">
        <v>1987</v>
      </c>
      <c r="K3835" s="4" t="s">
        <v>15057</v>
      </c>
      <c r="L3835" s="4" t="s">
        <v>15058</v>
      </c>
      <c r="M3835" s="4" t="s">
        <v>14293</v>
      </c>
      <c r="N3835" s="4">
        <v>1.0</v>
      </c>
    </row>
    <row r="3836">
      <c r="A3836" s="55" t="s">
        <v>15059</v>
      </c>
      <c r="B3836" s="52" t="s">
        <v>5803</v>
      </c>
      <c r="C3836" s="76">
        <v>46122.375</v>
      </c>
      <c r="D3836" s="7" t="s">
        <v>2154</v>
      </c>
      <c r="E3836" s="76">
        <v>46122.458333333336</v>
      </c>
      <c r="F3836" s="52" t="s">
        <v>15060</v>
      </c>
      <c r="G3836" s="4" t="s">
        <v>139</v>
      </c>
      <c r="H3836" s="4" t="s">
        <v>1987</v>
      </c>
      <c r="K3836" s="4"/>
      <c r="L3836" s="4" t="s">
        <v>15061</v>
      </c>
      <c r="M3836" s="4" t="s">
        <v>1895</v>
      </c>
      <c r="N3836" s="4">
        <v>1.25</v>
      </c>
    </row>
    <row r="3837">
      <c r="A3837" s="55" t="s">
        <v>15062</v>
      </c>
      <c r="B3837" s="52" t="s">
        <v>5625</v>
      </c>
      <c r="C3837" s="76">
        <v>46121.375</v>
      </c>
      <c r="D3837" s="7" t="s">
        <v>2148</v>
      </c>
      <c r="E3837" s="76">
        <v>46121.541666666664</v>
      </c>
      <c r="F3837" s="52" t="s">
        <v>15063</v>
      </c>
      <c r="G3837" s="4" t="s">
        <v>139</v>
      </c>
      <c r="H3837" s="4" t="s">
        <v>1987</v>
      </c>
      <c r="K3837" s="4" t="s">
        <v>15064</v>
      </c>
      <c r="L3837" s="4" t="s">
        <v>15065</v>
      </c>
      <c r="M3837" s="4" t="s">
        <v>1895</v>
      </c>
      <c r="N3837" s="4">
        <v>1.35</v>
      </c>
    </row>
    <row r="3838">
      <c r="A3838" s="55" t="s">
        <v>15066</v>
      </c>
      <c r="B3838" s="52" t="s">
        <v>5625</v>
      </c>
      <c r="C3838" s="76">
        <v>46122.333333333336</v>
      </c>
      <c r="D3838" s="7" t="s">
        <v>2147</v>
      </c>
      <c r="E3838" s="76">
        <v>46122.375</v>
      </c>
      <c r="F3838" s="52" t="s">
        <v>15048</v>
      </c>
      <c r="G3838" s="4" t="s">
        <v>139</v>
      </c>
      <c r="H3838" s="4" t="s">
        <v>1987</v>
      </c>
      <c r="K3838" s="4"/>
      <c r="L3838" s="4" t="s">
        <v>15067</v>
      </c>
      <c r="M3838" s="4" t="s">
        <v>1895</v>
      </c>
      <c r="N3838" s="4">
        <v>1.35</v>
      </c>
    </row>
    <row r="3839">
      <c r="A3839" s="55" t="s">
        <v>15068</v>
      </c>
      <c r="B3839" s="52" t="s">
        <v>5790</v>
      </c>
      <c r="C3839" s="76">
        <v>46122.3125</v>
      </c>
      <c r="D3839" s="7" t="s">
        <v>2154</v>
      </c>
      <c r="E3839" s="76">
        <v>46122.4375</v>
      </c>
      <c r="F3839" s="52" t="s">
        <v>15069</v>
      </c>
      <c r="G3839" s="4" t="s">
        <v>27</v>
      </c>
      <c r="H3839" s="4" t="s">
        <v>1987</v>
      </c>
      <c r="K3839" s="4" t="s">
        <v>15070</v>
      </c>
      <c r="L3839" s="4" t="s">
        <v>15071</v>
      </c>
      <c r="M3839" s="4" t="s">
        <v>14272</v>
      </c>
      <c r="N3839" s="4">
        <v>1.0</v>
      </c>
    </row>
    <row r="3840">
      <c r="A3840" s="55" t="s">
        <v>15072</v>
      </c>
      <c r="B3840" s="52" t="s">
        <v>5656</v>
      </c>
      <c r="C3840" s="76">
        <v>46122.583333333336</v>
      </c>
      <c r="D3840" s="7" t="s">
        <v>2154</v>
      </c>
      <c r="E3840" s="76">
        <v>46122.666666666664</v>
      </c>
      <c r="F3840" s="52" t="s">
        <v>15073</v>
      </c>
      <c r="G3840" s="4" t="s">
        <v>27</v>
      </c>
      <c r="H3840" s="4" t="s">
        <v>1987</v>
      </c>
      <c r="K3840" s="4" t="s">
        <v>15074</v>
      </c>
      <c r="L3840" s="4" t="s">
        <v>15075</v>
      </c>
      <c r="M3840" s="4" t="s">
        <v>14272</v>
      </c>
      <c r="N3840" s="4">
        <v>1.0</v>
      </c>
    </row>
    <row r="3841">
      <c r="A3841" s="55" t="s">
        <v>15076</v>
      </c>
      <c r="B3841" s="52" t="s">
        <v>5795</v>
      </c>
      <c r="C3841" s="76">
        <v>46123.541666666664</v>
      </c>
      <c r="D3841" s="7" t="s">
        <v>2154</v>
      </c>
      <c r="E3841" s="76">
        <v>46123.625</v>
      </c>
      <c r="F3841" s="52" t="s">
        <v>15077</v>
      </c>
      <c r="G3841" s="4" t="s">
        <v>27</v>
      </c>
      <c r="H3841" s="4" t="s">
        <v>1987</v>
      </c>
      <c r="K3841" s="4" t="s">
        <v>15078</v>
      </c>
      <c r="L3841" s="4"/>
      <c r="M3841" s="4" t="s">
        <v>14272</v>
      </c>
      <c r="N3841" s="4">
        <v>1.0</v>
      </c>
    </row>
    <row r="3842">
      <c r="A3842" s="55" t="s">
        <v>15079</v>
      </c>
      <c r="B3842" s="52" t="s">
        <v>13847</v>
      </c>
      <c r="C3842" s="76">
        <v>46131.729166666664</v>
      </c>
      <c r="D3842" s="4"/>
      <c r="E3842" s="76">
        <v>46131.770833333336</v>
      </c>
      <c r="F3842" s="52"/>
      <c r="G3842" s="4" t="s">
        <v>27</v>
      </c>
      <c r="H3842" s="4" t="s">
        <v>1991</v>
      </c>
      <c r="I3842" s="5" t="s">
        <v>15080</v>
      </c>
      <c r="K3842" s="4"/>
      <c r="L3842" s="4"/>
    </row>
    <row r="3843">
      <c r="A3843" s="55" t="s">
        <v>15081</v>
      </c>
      <c r="B3843" s="52" t="s">
        <v>5625</v>
      </c>
      <c r="C3843" s="76">
        <v>46126.458333333336</v>
      </c>
      <c r="D3843" s="7" t="s">
        <v>2154</v>
      </c>
      <c r="E3843" s="76">
        <v>46126.541666666664</v>
      </c>
      <c r="F3843" s="52" t="s">
        <v>15082</v>
      </c>
      <c r="G3843" s="4" t="s">
        <v>139</v>
      </c>
      <c r="H3843" s="4" t="s">
        <v>1987</v>
      </c>
      <c r="K3843" s="4" t="s">
        <v>15083</v>
      </c>
      <c r="L3843" s="4" t="s">
        <v>15084</v>
      </c>
      <c r="M3843" s="4" t="s">
        <v>1723</v>
      </c>
      <c r="N3843" s="4">
        <v>1.35</v>
      </c>
    </row>
    <row r="3844">
      <c r="A3844" s="55" t="s">
        <v>15085</v>
      </c>
      <c r="B3844" s="52" t="s">
        <v>5803</v>
      </c>
      <c r="C3844" s="76">
        <v>46125.333333333336</v>
      </c>
      <c r="D3844" s="7" t="s">
        <v>6052</v>
      </c>
      <c r="E3844" s="76">
        <v>46125.541666666664</v>
      </c>
      <c r="F3844" s="52" t="s">
        <v>15086</v>
      </c>
      <c r="G3844" s="4" t="s">
        <v>139</v>
      </c>
      <c r="H3844" s="4" t="s">
        <v>1987</v>
      </c>
      <c r="K3844" s="4" t="s">
        <v>15087</v>
      </c>
      <c r="L3844" s="4" t="s">
        <v>15088</v>
      </c>
      <c r="M3844" s="4" t="s">
        <v>1895</v>
      </c>
      <c r="N3844" s="4">
        <v>1.25</v>
      </c>
    </row>
    <row r="3845">
      <c r="A3845" s="55" t="s">
        <v>15089</v>
      </c>
      <c r="B3845" s="52" t="s">
        <v>5803</v>
      </c>
      <c r="C3845" s="76">
        <v>46126.333333333336</v>
      </c>
      <c r="D3845" s="7" t="s">
        <v>6052</v>
      </c>
      <c r="E3845" s="76">
        <v>46126.416666666664</v>
      </c>
      <c r="F3845" s="52" t="s">
        <v>15086</v>
      </c>
      <c r="G3845" s="4" t="s">
        <v>139</v>
      </c>
      <c r="H3845" s="4" t="s">
        <v>1987</v>
      </c>
      <c r="K3845" s="4" t="s">
        <v>15090</v>
      </c>
      <c r="L3845" s="4" t="s">
        <v>15091</v>
      </c>
      <c r="M3845" s="4" t="s">
        <v>1895</v>
      </c>
      <c r="N3845" s="4">
        <v>1.25</v>
      </c>
    </row>
    <row r="3846">
      <c r="A3846" s="66" t="s">
        <v>15092</v>
      </c>
      <c r="B3846" s="52" t="s">
        <v>5625</v>
      </c>
      <c r="C3846" s="76">
        <v>46127.354166666664</v>
      </c>
      <c r="D3846" s="7" t="s">
        <v>2154</v>
      </c>
      <c r="E3846" s="76">
        <v>46127.541666666664</v>
      </c>
      <c r="F3846" s="52" t="s">
        <v>15082</v>
      </c>
      <c r="G3846" s="4" t="s">
        <v>139</v>
      </c>
      <c r="H3846" s="4" t="s">
        <v>1987</v>
      </c>
      <c r="K3846" s="4" t="s">
        <v>15093</v>
      </c>
      <c r="L3846" s="4" t="s">
        <v>15094</v>
      </c>
      <c r="M3846" s="4" t="s">
        <v>1723</v>
      </c>
      <c r="N3846" s="4">
        <v>1.35</v>
      </c>
    </row>
    <row r="3847">
      <c r="A3847" s="66" t="s">
        <v>15095</v>
      </c>
      <c r="B3847" s="52" t="s">
        <v>5625</v>
      </c>
      <c r="C3847" s="76">
        <v>46128.333333333336</v>
      </c>
      <c r="D3847" s="7" t="s">
        <v>2154</v>
      </c>
      <c r="E3847" s="76">
        <v>46128.541666666664</v>
      </c>
      <c r="F3847" s="52" t="s">
        <v>15082</v>
      </c>
      <c r="G3847" s="4" t="s">
        <v>139</v>
      </c>
      <c r="H3847" s="4" t="s">
        <v>1987</v>
      </c>
      <c r="K3847" s="4" t="s">
        <v>15096</v>
      </c>
      <c r="L3847" s="4" t="s">
        <v>15097</v>
      </c>
      <c r="M3847" s="4" t="s">
        <v>1723</v>
      </c>
      <c r="N3847" s="4">
        <v>1.35</v>
      </c>
    </row>
    <row r="3848">
      <c r="A3848" s="55"/>
      <c r="B3848" s="52"/>
      <c r="C3848" s="76"/>
      <c r="D3848" s="4"/>
      <c r="E3848" s="76"/>
      <c r="F3848" s="52"/>
      <c r="G3848" s="4"/>
      <c r="H3848" s="4"/>
      <c r="K3848" s="4"/>
      <c r="L3848" s="4"/>
      <c r="M3848" s="4"/>
      <c r="N3848" s="4"/>
    </row>
    <row r="3849">
      <c r="A3849" s="55"/>
      <c r="B3849" s="52"/>
      <c r="C3849" s="76"/>
      <c r="D3849" s="4"/>
      <c r="E3849" s="76"/>
      <c r="F3849" s="52"/>
      <c r="G3849" s="4"/>
      <c r="H3849" s="4"/>
      <c r="K3849" s="4"/>
      <c r="L3849" s="4"/>
      <c r="M3849" s="4"/>
      <c r="N3849" s="4"/>
    </row>
    <row r="3850">
      <c r="A3850" s="55" t="s">
        <v>15098</v>
      </c>
      <c r="B3850" s="52" t="s">
        <v>1617</v>
      </c>
      <c r="C3850" s="76">
        <v>46125.333333333336</v>
      </c>
      <c r="D3850" s="7" t="s">
        <v>2147</v>
      </c>
      <c r="E3850" s="76">
        <v>46125.375</v>
      </c>
      <c r="F3850" s="52" t="s">
        <v>15099</v>
      </c>
      <c r="G3850" s="4" t="s">
        <v>110</v>
      </c>
      <c r="H3850" s="4" t="s">
        <v>1987</v>
      </c>
      <c r="K3850" s="4" t="s">
        <v>15100</v>
      </c>
      <c r="L3850" s="4"/>
      <c r="M3850" s="4" t="s">
        <v>1846</v>
      </c>
      <c r="N3850" s="4">
        <v>1.0</v>
      </c>
    </row>
    <row r="3851">
      <c r="A3851" s="55" t="s">
        <v>15101</v>
      </c>
      <c r="B3851" s="52" t="s">
        <v>5801</v>
      </c>
      <c r="C3851" s="76">
        <v>46125.53125</v>
      </c>
      <c r="D3851" s="7" t="s">
        <v>2147</v>
      </c>
      <c r="E3851" s="76">
        <v>46125.600694444445</v>
      </c>
      <c r="F3851" s="52" t="s">
        <v>15102</v>
      </c>
      <c r="G3851" s="4" t="s">
        <v>110</v>
      </c>
      <c r="H3851" s="4" t="s">
        <v>1987</v>
      </c>
      <c r="K3851" s="4" t="s">
        <v>15103</v>
      </c>
      <c r="L3851" s="4" t="s">
        <v>15104</v>
      </c>
      <c r="M3851" s="4" t="s">
        <v>14820</v>
      </c>
      <c r="N3851" s="4">
        <v>1.0</v>
      </c>
    </row>
    <row r="3852">
      <c r="A3852" s="55" t="s">
        <v>15105</v>
      </c>
      <c r="B3852" s="52" t="s">
        <v>5801</v>
      </c>
      <c r="C3852" s="76">
        <v>46126.333333333336</v>
      </c>
      <c r="D3852" s="7" t="s">
        <v>2147</v>
      </c>
      <c r="E3852" s="76">
        <v>46126.458333333336</v>
      </c>
      <c r="F3852" s="52" t="s">
        <v>15102</v>
      </c>
      <c r="G3852" s="4" t="s">
        <v>110</v>
      </c>
      <c r="H3852" s="4" t="s">
        <v>1987</v>
      </c>
      <c r="K3852" s="4" t="s">
        <v>15106</v>
      </c>
      <c r="L3852" s="4" t="s">
        <v>15107</v>
      </c>
      <c r="M3852" s="4" t="s">
        <v>14820</v>
      </c>
      <c r="N3852" s="4">
        <v>1.0</v>
      </c>
    </row>
    <row r="3853">
      <c r="A3853" s="55"/>
      <c r="B3853" s="52"/>
      <c r="C3853" s="76"/>
      <c r="D3853" s="4"/>
      <c r="E3853" s="76"/>
      <c r="F3853" s="52"/>
      <c r="G3853" s="4"/>
      <c r="H3853" s="4"/>
      <c r="K3853" s="4"/>
      <c r="L3853" s="4"/>
      <c r="M3853" s="4"/>
      <c r="N3853" s="4"/>
    </row>
    <row r="3854">
      <c r="A3854" s="55" t="s">
        <v>15108</v>
      </c>
      <c r="B3854" s="52" t="s">
        <v>1617</v>
      </c>
      <c r="C3854" s="76">
        <v>46127.541666666664</v>
      </c>
      <c r="D3854" s="7" t="s">
        <v>2147</v>
      </c>
      <c r="E3854" s="76">
        <v>46127.583333333336</v>
      </c>
      <c r="F3854" s="52" t="s">
        <v>15109</v>
      </c>
      <c r="G3854" s="4" t="s">
        <v>110</v>
      </c>
      <c r="H3854" s="4" t="s">
        <v>1987</v>
      </c>
      <c r="K3854" s="4" t="s">
        <v>15110</v>
      </c>
      <c r="L3854" s="4" t="s">
        <v>15111</v>
      </c>
      <c r="M3854" s="4" t="s">
        <v>1846</v>
      </c>
      <c r="N3854" s="4">
        <v>1.0</v>
      </c>
    </row>
    <row r="3855">
      <c r="A3855" s="55" t="s">
        <v>15112</v>
      </c>
      <c r="B3855" s="52" t="s">
        <v>5729</v>
      </c>
      <c r="C3855" s="76">
        <v>46127.479166666664</v>
      </c>
      <c r="D3855" s="7" t="s">
        <v>2154</v>
      </c>
      <c r="E3855" s="76">
        <v>46127.541666666664</v>
      </c>
      <c r="F3855" s="52" t="s">
        <v>15113</v>
      </c>
      <c r="G3855" s="4" t="s">
        <v>110</v>
      </c>
      <c r="H3855" s="4" t="s">
        <v>1987</v>
      </c>
      <c r="K3855" s="4" t="s">
        <v>15114</v>
      </c>
      <c r="L3855" s="4" t="s">
        <v>15115</v>
      </c>
      <c r="M3855" s="4" t="s">
        <v>1895</v>
      </c>
      <c r="N3855" s="4">
        <v>1.0</v>
      </c>
    </row>
    <row r="3856">
      <c r="A3856" s="55"/>
      <c r="B3856" s="52"/>
      <c r="C3856" s="76"/>
      <c r="D3856" s="4"/>
      <c r="E3856" s="76"/>
      <c r="F3856" s="52"/>
      <c r="G3856" s="4"/>
      <c r="H3856" s="4"/>
      <c r="K3856" s="4"/>
      <c r="L3856" s="4"/>
      <c r="M3856" s="4"/>
      <c r="N3856" s="4"/>
    </row>
    <row r="3857">
      <c r="A3857" s="55" t="s">
        <v>15116</v>
      </c>
      <c r="B3857" s="52" t="s">
        <v>5729</v>
      </c>
      <c r="C3857" s="76">
        <v>46129.333333333336</v>
      </c>
      <c r="D3857" s="7" t="s">
        <v>6052</v>
      </c>
      <c r="E3857" s="76">
        <v>46129.416666666664</v>
      </c>
      <c r="F3857" s="52" t="s">
        <v>15117</v>
      </c>
      <c r="G3857" s="4" t="s">
        <v>110</v>
      </c>
      <c r="H3857" s="4" t="s">
        <v>1987</v>
      </c>
      <c r="K3857" s="4" t="s">
        <v>15118</v>
      </c>
      <c r="L3857" s="4" t="s">
        <v>15119</v>
      </c>
      <c r="M3857" s="4" t="s">
        <v>1895</v>
      </c>
      <c r="N3857" s="4">
        <v>1.0</v>
      </c>
    </row>
    <row r="3858">
      <c r="A3858" s="55"/>
      <c r="B3858" s="52"/>
      <c r="C3858" s="76"/>
      <c r="D3858" s="4"/>
      <c r="E3858" s="76"/>
      <c r="F3858" s="52"/>
      <c r="G3858" s="4"/>
      <c r="H3858" s="4"/>
      <c r="K3858" s="4"/>
      <c r="L3858" s="4"/>
      <c r="M3858" s="4"/>
      <c r="N3858" s="4"/>
    </row>
    <row r="3859">
      <c r="A3859" s="55" t="s">
        <v>15120</v>
      </c>
      <c r="B3859" s="52" t="s">
        <v>5729</v>
      </c>
      <c r="C3859" s="76">
        <v>46126.458333333336</v>
      </c>
      <c r="D3859" s="7" t="s">
        <v>2154</v>
      </c>
      <c r="E3859" s="76">
        <v>46126.52777777778</v>
      </c>
      <c r="F3859" s="52" t="s">
        <v>15121</v>
      </c>
      <c r="G3859" s="4" t="s">
        <v>110</v>
      </c>
      <c r="H3859" s="4" t="s">
        <v>1987</v>
      </c>
      <c r="K3859" s="4" t="s">
        <v>15122</v>
      </c>
      <c r="L3859" s="4" t="s">
        <v>15123</v>
      </c>
      <c r="M3859" s="4" t="s">
        <v>1846</v>
      </c>
      <c r="N3859" s="4">
        <v>1.0</v>
      </c>
    </row>
    <row r="3860">
      <c r="A3860" s="55" t="s">
        <v>15124</v>
      </c>
      <c r="B3860" s="52" t="s">
        <v>5801</v>
      </c>
      <c r="C3860" s="76">
        <v>46126.54861111111</v>
      </c>
      <c r="D3860" s="7" t="s">
        <v>2147</v>
      </c>
      <c r="E3860" s="76">
        <v>46126.59722222222</v>
      </c>
      <c r="F3860" s="52" t="s">
        <v>15102</v>
      </c>
      <c r="G3860" s="4" t="s">
        <v>110</v>
      </c>
      <c r="H3860" s="4" t="s">
        <v>1987</v>
      </c>
      <c r="K3860" s="4" t="s">
        <v>15125</v>
      </c>
      <c r="L3860" s="4" t="s">
        <v>15126</v>
      </c>
      <c r="M3860" s="4" t="s">
        <v>14820</v>
      </c>
      <c r="N3860" s="4">
        <v>1.0</v>
      </c>
    </row>
    <row r="3861">
      <c r="A3861" s="55" t="s">
        <v>15127</v>
      </c>
      <c r="B3861" s="52" t="s">
        <v>6057</v>
      </c>
      <c r="C3861" s="76">
        <v>46125.333333333336</v>
      </c>
      <c r="D3861" s="7" t="s">
        <v>6052</v>
      </c>
      <c r="E3861" s="76">
        <v>46125.583333333336</v>
      </c>
      <c r="F3861" s="52" t="s">
        <v>15128</v>
      </c>
      <c r="G3861" s="4" t="s">
        <v>27</v>
      </c>
      <c r="H3861" s="4" t="s">
        <v>1987</v>
      </c>
      <c r="K3861" s="4" t="s">
        <v>15129</v>
      </c>
      <c r="L3861" s="4"/>
      <c r="M3861" s="4" t="s">
        <v>14272</v>
      </c>
      <c r="N3861" s="4">
        <v>1.0</v>
      </c>
    </row>
    <row r="3862">
      <c r="A3862" s="55" t="s">
        <v>15130</v>
      </c>
      <c r="B3862" s="52" t="s">
        <v>5795</v>
      </c>
      <c r="C3862" s="76">
        <v>46125.583333333336</v>
      </c>
      <c r="D3862" s="7" t="s">
        <v>2154</v>
      </c>
      <c r="E3862" s="76">
        <v>46125.6875</v>
      </c>
      <c r="F3862" s="52" t="s">
        <v>15131</v>
      </c>
      <c r="G3862" s="4" t="s">
        <v>27</v>
      </c>
      <c r="H3862" s="4" t="s">
        <v>1987</v>
      </c>
      <c r="K3862" s="4" t="s">
        <v>15132</v>
      </c>
      <c r="L3862" s="4"/>
      <c r="M3862" s="4" t="s">
        <v>14272</v>
      </c>
      <c r="N3862" s="4">
        <v>1.0</v>
      </c>
    </row>
    <row r="3863">
      <c r="A3863" s="55" t="s">
        <v>15133</v>
      </c>
      <c r="B3863" s="52" t="s">
        <v>1611</v>
      </c>
      <c r="C3863" s="76">
        <v>46125.6875</v>
      </c>
      <c r="D3863" s="7" t="s">
        <v>2147</v>
      </c>
      <c r="E3863" s="76">
        <v>46125.729166666664</v>
      </c>
      <c r="F3863" s="52" t="s">
        <v>15134</v>
      </c>
      <c r="G3863" s="4" t="s">
        <v>27</v>
      </c>
      <c r="H3863" s="4" t="s">
        <v>1987</v>
      </c>
      <c r="K3863" s="4" t="s">
        <v>15135</v>
      </c>
      <c r="L3863" s="4"/>
      <c r="M3863" s="4" t="s">
        <v>1723</v>
      </c>
      <c r="N3863" s="4">
        <v>1.0</v>
      </c>
    </row>
    <row r="3864">
      <c r="A3864" s="55" t="s">
        <v>15136</v>
      </c>
      <c r="B3864" s="52" t="s">
        <v>1657</v>
      </c>
      <c r="C3864" s="76">
        <v>46125.791666666664</v>
      </c>
      <c r="D3864" s="7" t="s">
        <v>6318</v>
      </c>
      <c r="E3864" s="76">
        <v>46125.805555555555</v>
      </c>
      <c r="F3864" s="52" t="s">
        <v>15137</v>
      </c>
      <c r="G3864" s="4" t="s">
        <v>27</v>
      </c>
      <c r="H3864" s="4" t="s">
        <v>1987</v>
      </c>
      <c r="K3864" s="4" t="s">
        <v>15138</v>
      </c>
      <c r="L3864" s="4" t="s">
        <v>15139</v>
      </c>
      <c r="M3864" s="4" t="s">
        <v>14293</v>
      </c>
      <c r="N3864" s="4">
        <v>1.0</v>
      </c>
    </row>
    <row r="3865">
      <c r="A3865" s="55" t="s">
        <v>15140</v>
      </c>
      <c r="B3865" s="52" t="s">
        <v>5684</v>
      </c>
      <c r="C3865" s="76">
        <v>46126.541666666664</v>
      </c>
      <c r="D3865" s="7" t="s">
        <v>2147</v>
      </c>
      <c r="E3865" s="76">
        <v>46126.5625</v>
      </c>
      <c r="F3865" s="52" t="s">
        <v>15141</v>
      </c>
      <c r="G3865" s="4" t="s">
        <v>27</v>
      </c>
      <c r="H3865" s="4" t="s">
        <v>1991</v>
      </c>
      <c r="K3865" s="4" t="s">
        <v>15142</v>
      </c>
      <c r="L3865" s="4" t="s">
        <v>15143</v>
      </c>
      <c r="M3865" s="4" t="s">
        <v>14272</v>
      </c>
      <c r="N3865" s="4">
        <v>1.0</v>
      </c>
    </row>
    <row r="3866">
      <c r="A3866" s="55" t="s">
        <v>15144</v>
      </c>
      <c r="B3866" s="52" t="s">
        <v>5625</v>
      </c>
      <c r="C3866" s="76">
        <v>46128.395833333336</v>
      </c>
      <c r="D3866" s="7" t="s">
        <v>2147</v>
      </c>
      <c r="E3866" s="76">
        <v>46128.458333333336</v>
      </c>
      <c r="F3866" s="52" t="s">
        <v>15145</v>
      </c>
      <c r="G3866" s="4" t="s">
        <v>27</v>
      </c>
      <c r="H3866" s="4" t="s">
        <v>1991</v>
      </c>
      <c r="K3866" s="4" t="s">
        <v>15146</v>
      </c>
      <c r="L3866" s="4" t="s">
        <v>15147</v>
      </c>
      <c r="M3866" s="4" t="s">
        <v>14272</v>
      </c>
      <c r="N3866" s="4">
        <v>1.35</v>
      </c>
    </row>
    <row r="3867">
      <c r="A3867" s="55" t="s">
        <v>15148</v>
      </c>
      <c r="B3867" s="52" t="s">
        <v>1611</v>
      </c>
      <c r="C3867" s="76">
        <v>46126.354166666664</v>
      </c>
      <c r="D3867" s="7" t="s">
        <v>2147</v>
      </c>
      <c r="E3867" s="76">
        <v>46126.416666666664</v>
      </c>
      <c r="F3867" s="52" t="s">
        <v>15149</v>
      </c>
      <c r="G3867" s="4" t="s">
        <v>27</v>
      </c>
      <c r="H3867" s="4" t="s">
        <v>1987</v>
      </c>
      <c r="K3867" s="4" t="s">
        <v>15150</v>
      </c>
      <c r="L3867" s="4" t="s">
        <v>15151</v>
      </c>
      <c r="M3867" s="4" t="s">
        <v>14272</v>
      </c>
      <c r="N3867" s="4">
        <v>1.0</v>
      </c>
    </row>
    <row r="3868">
      <c r="A3868" s="55"/>
      <c r="B3868" s="52"/>
      <c r="C3868" s="76"/>
      <c r="D3868" s="4"/>
      <c r="E3868" s="76"/>
      <c r="F3868" s="52"/>
      <c r="G3868" s="4"/>
      <c r="H3868" s="4"/>
      <c r="I3868" s="4"/>
      <c r="K3868" s="4"/>
      <c r="L3868" s="4"/>
    </row>
    <row r="3869">
      <c r="A3869" s="55"/>
      <c r="B3869" s="52"/>
      <c r="C3869" s="76"/>
      <c r="D3869" s="4"/>
      <c r="E3869" s="76"/>
      <c r="F3869" s="52"/>
      <c r="G3869" s="4"/>
      <c r="H3869" s="4"/>
      <c r="I3869" s="4"/>
      <c r="K3869" s="4"/>
      <c r="L3869" s="4"/>
    </row>
    <row r="3870">
      <c r="A3870" s="55" t="s">
        <v>15152</v>
      </c>
      <c r="B3870" s="52" t="s">
        <v>5675</v>
      </c>
      <c r="C3870" s="76">
        <v>46126.52777777778</v>
      </c>
      <c r="D3870" s="7" t="s">
        <v>2147</v>
      </c>
      <c r="E3870" s="76">
        <v>46126.54861111111</v>
      </c>
      <c r="F3870" s="52" t="s">
        <v>15153</v>
      </c>
      <c r="G3870" s="4" t="s">
        <v>110</v>
      </c>
      <c r="H3870" s="4" t="s">
        <v>1987</v>
      </c>
      <c r="K3870" s="4" t="s">
        <v>15154</v>
      </c>
      <c r="L3870" s="4" t="s">
        <v>15155</v>
      </c>
      <c r="M3870" s="4" t="s">
        <v>14272</v>
      </c>
      <c r="N3870" s="4">
        <v>1.0</v>
      </c>
    </row>
    <row r="3871">
      <c r="A3871" s="55" t="s">
        <v>15156</v>
      </c>
      <c r="B3871" s="52" t="s">
        <v>5801</v>
      </c>
      <c r="C3871" s="76">
        <v>46127.333333333336</v>
      </c>
      <c r="D3871" s="7" t="s">
        <v>2147</v>
      </c>
      <c r="E3871" s="76">
        <v>46127.395833333336</v>
      </c>
      <c r="F3871" s="52" t="s">
        <v>15102</v>
      </c>
      <c r="G3871" s="4" t="s">
        <v>110</v>
      </c>
      <c r="H3871" s="4" t="s">
        <v>1987</v>
      </c>
      <c r="K3871" s="4" t="s">
        <v>15157</v>
      </c>
      <c r="L3871" s="4" t="s">
        <v>15158</v>
      </c>
      <c r="M3871" s="4" t="s">
        <v>14820</v>
      </c>
      <c r="N3871" s="4">
        <v>1.0</v>
      </c>
    </row>
    <row r="3872">
      <c r="A3872" s="55"/>
      <c r="B3872" s="52"/>
      <c r="C3872" s="76"/>
      <c r="D3872" s="4"/>
      <c r="E3872" s="76"/>
      <c r="F3872" s="52"/>
      <c r="G3872" s="4"/>
      <c r="H3872" s="4"/>
      <c r="I3872" s="4"/>
      <c r="K3872" s="4"/>
      <c r="L3872" s="4"/>
    </row>
    <row r="3873">
      <c r="A3873" s="55" t="s">
        <v>15159</v>
      </c>
      <c r="B3873" s="52" t="s">
        <v>5656</v>
      </c>
      <c r="C3873" s="76">
        <v>46126.666666666664</v>
      </c>
      <c r="D3873" s="7" t="s">
        <v>2147</v>
      </c>
      <c r="E3873" s="76">
        <v>46126.729166666664</v>
      </c>
      <c r="F3873" s="52" t="s">
        <v>15160</v>
      </c>
      <c r="G3873" s="4" t="s">
        <v>27</v>
      </c>
      <c r="H3873" s="4" t="s">
        <v>1987</v>
      </c>
      <c r="K3873" s="4" t="s">
        <v>15161</v>
      </c>
      <c r="L3873" s="4" t="s">
        <v>15162</v>
      </c>
      <c r="M3873" s="4" t="s">
        <v>14871</v>
      </c>
      <c r="N3873" s="4">
        <v>1.0</v>
      </c>
    </row>
    <row r="3874">
      <c r="A3874" s="55" t="s">
        <v>15163</v>
      </c>
      <c r="B3874" s="52" t="s">
        <v>1611</v>
      </c>
      <c r="C3874" s="76">
        <v>46126.729166666664</v>
      </c>
      <c r="D3874" s="7" t="s">
        <v>2147</v>
      </c>
      <c r="E3874" s="76">
        <v>46126.8125</v>
      </c>
      <c r="F3874" s="52" t="s">
        <v>15149</v>
      </c>
      <c r="G3874" s="4" t="s">
        <v>27</v>
      </c>
      <c r="H3874" s="4" t="s">
        <v>1987</v>
      </c>
      <c r="K3874" s="4" t="s">
        <v>15164</v>
      </c>
      <c r="L3874" s="4" t="s">
        <v>15165</v>
      </c>
      <c r="M3874" s="4" t="s">
        <v>14272</v>
      </c>
      <c r="N3874" s="4">
        <v>1.0</v>
      </c>
    </row>
    <row r="3875">
      <c r="A3875" s="55" t="s">
        <v>15166</v>
      </c>
      <c r="B3875" s="52" t="s">
        <v>1611</v>
      </c>
      <c r="C3875" s="76">
        <v>46127.375</v>
      </c>
      <c r="D3875" s="7" t="s">
        <v>2147</v>
      </c>
      <c r="E3875" s="76">
        <v>46127.625</v>
      </c>
      <c r="F3875" s="52" t="s">
        <v>15149</v>
      </c>
      <c r="G3875" s="4" t="s">
        <v>27</v>
      </c>
      <c r="H3875" s="4" t="s">
        <v>1987</v>
      </c>
      <c r="K3875" s="4" t="s">
        <v>15167</v>
      </c>
      <c r="L3875" s="4" t="s">
        <v>15168</v>
      </c>
      <c r="M3875" s="4" t="s">
        <v>14272</v>
      </c>
      <c r="N3875" s="4">
        <v>1.0</v>
      </c>
    </row>
    <row r="3876">
      <c r="A3876" s="55" t="s">
        <v>15169</v>
      </c>
      <c r="B3876" s="52" t="s">
        <v>5803</v>
      </c>
      <c r="C3876" s="76">
        <v>46127.333333333336</v>
      </c>
      <c r="D3876" s="7" t="s">
        <v>6318</v>
      </c>
      <c r="E3876" s="76">
        <v>46127.354166666664</v>
      </c>
      <c r="F3876" s="52" t="s">
        <v>15170</v>
      </c>
      <c r="G3876" s="4" t="s">
        <v>139</v>
      </c>
      <c r="H3876" s="4" t="s">
        <v>1987</v>
      </c>
      <c r="K3876" s="4" t="s">
        <v>15171</v>
      </c>
      <c r="L3876" s="4"/>
      <c r="M3876" s="4" t="s">
        <v>1895</v>
      </c>
      <c r="N3876" s="4">
        <v>1.0</v>
      </c>
    </row>
    <row r="3877">
      <c r="A3877" s="55"/>
      <c r="B3877" s="52"/>
      <c r="C3877" s="76"/>
      <c r="D3877" s="4"/>
      <c r="E3877" s="76"/>
      <c r="F3877" s="52"/>
      <c r="G3877" s="4"/>
      <c r="H3877" s="4"/>
      <c r="I3877" s="4"/>
      <c r="K3877" s="4"/>
      <c r="L3877" s="4"/>
    </row>
    <row r="3878">
      <c r="A3878" s="55"/>
      <c r="B3878" s="52"/>
      <c r="C3878" s="76"/>
      <c r="D3878" s="4"/>
      <c r="E3878" s="76"/>
      <c r="F3878" s="52"/>
      <c r="G3878" s="4"/>
      <c r="H3878" s="4"/>
      <c r="I3878" s="4"/>
      <c r="K3878" s="4"/>
      <c r="L3878" s="4"/>
    </row>
    <row r="3879">
      <c r="A3879" s="55" t="s">
        <v>15172</v>
      </c>
      <c r="B3879" s="52" t="s">
        <v>1617</v>
      </c>
      <c r="C3879" s="76">
        <v>46134.416666666664</v>
      </c>
      <c r="D3879" s="7" t="s">
        <v>2147</v>
      </c>
      <c r="E3879" s="76">
        <v>46134.479166666664</v>
      </c>
      <c r="F3879" s="52" t="s">
        <v>15173</v>
      </c>
      <c r="G3879" s="4" t="s">
        <v>110</v>
      </c>
      <c r="H3879" s="4" t="s">
        <v>1991</v>
      </c>
      <c r="K3879" s="4" t="s">
        <v>15174</v>
      </c>
      <c r="L3879" s="4"/>
      <c r="M3879" s="4" t="s">
        <v>14272</v>
      </c>
      <c r="N3879" s="4">
        <v>1.0</v>
      </c>
    </row>
    <row r="3880">
      <c r="A3880" s="55" t="s">
        <v>15175</v>
      </c>
      <c r="B3880" s="52" t="s">
        <v>1617</v>
      </c>
      <c r="C3880" s="76">
        <v>46128.333333333336</v>
      </c>
      <c r="D3880" s="7" t="s">
        <v>2147</v>
      </c>
      <c r="E3880" s="76">
        <v>46128.489583333336</v>
      </c>
      <c r="F3880" s="52" t="s">
        <v>15109</v>
      </c>
      <c r="G3880" s="4" t="s">
        <v>110</v>
      </c>
      <c r="H3880" s="4" t="s">
        <v>1987</v>
      </c>
      <c r="K3880" s="4" t="s">
        <v>15176</v>
      </c>
      <c r="L3880" s="4" t="s">
        <v>15177</v>
      </c>
      <c r="M3880" s="4" t="s">
        <v>1846</v>
      </c>
      <c r="N3880" s="4">
        <v>1.0</v>
      </c>
    </row>
    <row r="3881">
      <c r="A3881" s="55" t="s">
        <v>15178</v>
      </c>
      <c r="B3881" s="52" t="s">
        <v>5801</v>
      </c>
      <c r="C3881" s="76">
        <v>46132.4375</v>
      </c>
      <c r="D3881" s="7" t="s">
        <v>2147</v>
      </c>
      <c r="E3881" s="76">
        <v>46132.541666666664</v>
      </c>
      <c r="F3881" s="52" t="s">
        <v>15179</v>
      </c>
      <c r="G3881" s="4" t="s">
        <v>110</v>
      </c>
      <c r="H3881" s="4" t="s">
        <v>1987</v>
      </c>
      <c r="K3881" s="4" t="s">
        <v>15180</v>
      </c>
      <c r="L3881" s="4" t="s">
        <v>15181</v>
      </c>
      <c r="M3881" s="4" t="s">
        <v>14272</v>
      </c>
      <c r="N3881" s="4">
        <v>1.0</v>
      </c>
    </row>
    <row r="3882">
      <c r="A3882" s="55" t="s">
        <v>15182</v>
      </c>
      <c r="B3882" s="52" t="s">
        <v>5675</v>
      </c>
      <c r="C3882" s="76">
        <v>46127.395833333336</v>
      </c>
      <c r="D3882" s="7" t="s">
        <v>6318</v>
      </c>
      <c r="E3882" s="76">
        <v>46127.416666666664</v>
      </c>
      <c r="F3882" s="52" t="s">
        <v>15183</v>
      </c>
      <c r="G3882" s="4" t="s">
        <v>110</v>
      </c>
      <c r="H3882" s="4" t="s">
        <v>1987</v>
      </c>
      <c r="K3882" s="4" t="s">
        <v>15184</v>
      </c>
      <c r="L3882" s="4"/>
      <c r="M3882" s="4" t="s">
        <v>1895</v>
      </c>
      <c r="N3882" s="4">
        <v>1.0</v>
      </c>
    </row>
    <row r="3883">
      <c r="A3883" s="55" t="s">
        <v>15185</v>
      </c>
      <c r="B3883" s="52" t="s">
        <v>13847</v>
      </c>
      <c r="C3883" s="76">
        <v>46134.416666666664</v>
      </c>
      <c r="D3883" s="4"/>
      <c r="E3883" s="76">
        <v>46134.479166666664</v>
      </c>
      <c r="F3883" s="52" t="s">
        <v>15186</v>
      </c>
      <c r="G3883" s="4" t="s">
        <v>27</v>
      </c>
      <c r="H3883" s="4" t="s">
        <v>1991</v>
      </c>
      <c r="I3883" s="5" t="s">
        <v>15187</v>
      </c>
      <c r="K3883" s="4"/>
      <c r="L3883" s="4" t="s">
        <v>15188</v>
      </c>
      <c r="M3883" s="4" t="s">
        <v>14272</v>
      </c>
    </row>
    <row r="3884">
      <c r="A3884" s="55"/>
      <c r="B3884" s="52"/>
      <c r="C3884" s="76"/>
      <c r="D3884" s="4"/>
      <c r="E3884" s="76"/>
      <c r="F3884" s="52"/>
      <c r="G3884" s="4"/>
      <c r="H3884" s="4"/>
      <c r="I3884" s="4"/>
      <c r="K3884" s="4"/>
      <c r="L3884" s="4"/>
    </row>
    <row r="3885">
      <c r="A3885" s="55"/>
      <c r="B3885" s="52"/>
      <c r="C3885" s="76"/>
      <c r="D3885" s="4"/>
      <c r="E3885" s="76"/>
      <c r="F3885" s="52"/>
      <c r="G3885" s="4"/>
      <c r="H3885" s="4"/>
      <c r="I3885" s="4"/>
      <c r="K3885" s="4"/>
      <c r="L3885" s="4"/>
    </row>
    <row r="3886">
      <c r="A3886" s="55" t="s">
        <v>15189</v>
      </c>
      <c r="B3886" s="52" t="s">
        <v>5675</v>
      </c>
      <c r="C3886" s="76">
        <v>46128.333333333336</v>
      </c>
      <c r="D3886" s="7" t="s">
        <v>2148</v>
      </c>
      <c r="E3886" s="76">
        <v>46128.5</v>
      </c>
      <c r="F3886" s="52" t="s">
        <v>15190</v>
      </c>
      <c r="G3886" s="4" t="s">
        <v>143</v>
      </c>
      <c r="H3886" s="4" t="s">
        <v>1987</v>
      </c>
      <c r="K3886" s="4" t="s">
        <v>15191</v>
      </c>
      <c r="L3886" s="4"/>
      <c r="M3886" s="4" t="s">
        <v>1895</v>
      </c>
      <c r="N3886" s="4">
        <v>1.0</v>
      </c>
    </row>
    <row r="3887">
      <c r="A3887" s="55" t="s">
        <v>15192</v>
      </c>
      <c r="B3887" s="52" t="s">
        <v>5729</v>
      </c>
      <c r="C3887" s="76">
        <v>46129.416666666664</v>
      </c>
      <c r="D3887" s="7" t="s">
        <v>2147</v>
      </c>
      <c r="E3887" s="76">
        <v>46129.458333333336</v>
      </c>
      <c r="F3887" s="52" t="s">
        <v>15193</v>
      </c>
      <c r="G3887" s="4" t="s">
        <v>110</v>
      </c>
      <c r="H3887" s="4" t="s">
        <v>1991</v>
      </c>
      <c r="K3887" s="4" t="s">
        <v>15194</v>
      </c>
      <c r="L3887" s="4"/>
      <c r="M3887" s="4" t="s">
        <v>14272</v>
      </c>
      <c r="N3887" s="4">
        <v>1.0</v>
      </c>
    </row>
    <row r="3888">
      <c r="A3888" s="55" t="s">
        <v>15195</v>
      </c>
      <c r="B3888" s="52" t="s">
        <v>5675</v>
      </c>
      <c r="C3888" s="76">
        <v>46128.489583333336</v>
      </c>
      <c r="D3888" s="7" t="s">
        <v>2147</v>
      </c>
      <c r="E3888" s="76">
        <v>46128.520833333336</v>
      </c>
      <c r="F3888" s="52" t="s">
        <v>15196</v>
      </c>
      <c r="G3888" s="4" t="s">
        <v>110</v>
      </c>
      <c r="H3888" s="4" t="s">
        <v>1987</v>
      </c>
      <c r="K3888" s="4" t="s">
        <v>15197</v>
      </c>
      <c r="L3888" s="4" t="s">
        <v>15198</v>
      </c>
      <c r="M3888" s="4" t="s">
        <v>14272</v>
      </c>
      <c r="N3888" s="4">
        <v>1.0</v>
      </c>
    </row>
    <row r="3889">
      <c r="A3889" s="55" t="s">
        <v>15199</v>
      </c>
      <c r="B3889" s="52" t="s">
        <v>5801</v>
      </c>
      <c r="C3889" s="76">
        <v>46128.520833333336</v>
      </c>
      <c r="D3889" s="7" t="s">
        <v>2147</v>
      </c>
      <c r="E3889" s="76">
        <v>46128.5625</v>
      </c>
      <c r="F3889" s="52" t="s">
        <v>15200</v>
      </c>
      <c r="G3889" s="4" t="s">
        <v>110</v>
      </c>
      <c r="H3889" s="4" t="s">
        <v>1987</v>
      </c>
      <c r="K3889" s="4" t="s">
        <v>15201</v>
      </c>
      <c r="L3889" s="4"/>
      <c r="M3889" s="4" t="s">
        <v>1723</v>
      </c>
      <c r="N3889" s="4">
        <v>1.0</v>
      </c>
    </row>
    <row r="3890">
      <c r="A3890" s="66" t="s">
        <v>15202</v>
      </c>
      <c r="B3890" s="52" t="s">
        <v>5729</v>
      </c>
      <c r="C3890" s="76">
        <v>46128.5625</v>
      </c>
      <c r="D3890" s="7" t="s">
        <v>6318</v>
      </c>
      <c r="E3890" s="76">
        <v>46128.583333333336</v>
      </c>
      <c r="F3890" s="52" t="s">
        <v>15113</v>
      </c>
      <c r="G3890" s="4" t="s">
        <v>110</v>
      </c>
      <c r="H3890" s="4" t="s">
        <v>1987</v>
      </c>
      <c r="K3890" s="4" t="s">
        <v>15118</v>
      </c>
      <c r="L3890" s="4" t="s">
        <v>15203</v>
      </c>
      <c r="M3890" s="4" t="s">
        <v>1846</v>
      </c>
      <c r="N3890" s="4">
        <v>1.0</v>
      </c>
    </row>
    <row r="3891">
      <c r="A3891" s="55"/>
      <c r="B3891" s="52"/>
      <c r="C3891" s="76"/>
      <c r="D3891" s="4"/>
      <c r="E3891" s="76"/>
      <c r="F3891" s="52"/>
      <c r="G3891" s="4"/>
      <c r="H3891" s="4"/>
      <c r="I3891" s="4"/>
      <c r="K3891" s="4"/>
      <c r="L3891" s="4"/>
      <c r="M3891" s="4"/>
    </row>
    <row r="3892">
      <c r="A3892" s="55" t="s">
        <v>15204</v>
      </c>
      <c r="B3892" s="52" t="s">
        <v>5675</v>
      </c>
      <c r="C3892" s="76">
        <v>46129.333333333336</v>
      </c>
      <c r="D3892" s="7" t="s">
        <v>2148</v>
      </c>
      <c r="E3892" s="76">
        <v>46129.5</v>
      </c>
      <c r="F3892" s="52" t="s">
        <v>15205</v>
      </c>
      <c r="G3892" s="4" t="s">
        <v>143</v>
      </c>
      <c r="H3892" s="4" t="s">
        <v>1987</v>
      </c>
      <c r="K3892" s="4" t="s">
        <v>15206</v>
      </c>
      <c r="L3892" s="4"/>
      <c r="M3892" s="4" t="s">
        <v>1895</v>
      </c>
      <c r="N3892" s="4">
        <v>1.0</v>
      </c>
    </row>
    <row r="3893">
      <c r="A3893" s="55" t="s">
        <v>15207</v>
      </c>
      <c r="B3893" s="52" t="s">
        <v>5729</v>
      </c>
      <c r="C3893" s="76">
        <v>46129.458333333336</v>
      </c>
      <c r="D3893" s="7" t="s">
        <v>2154</v>
      </c>
      <c r="E3893" s="76">
        <v>46129.541666666664</v>
      </c>
      <c r="F3893" s="52" t="s">
        <v>15208</v>
      </c>
      <c r="G3893" s="4" t="s">
        <v>110</v>
      </c>
      <c r="H3893" s="4" t="s">
        <v>1987</v>
      </c>
      <c r="K3893" s="4" t="s">
        <v>15118</v>
      </c>
      <c r="L3893" s="4" t="s">
        <v>15209</v>
      </c>
      <c r="M3893" s="4" t="s">
        <v>1895</v>
      </c>
      <c r="N3893" s="4">
        <v>1.0</v>
      </c>
    </row>
    <row r="3894">
      <c r="A3894" s="55" t="s">
        <v>15210</v>
      </c>
      <c r="B3894" s="52" t="s">
        <v>5801</v>
      </c>
      <c r="C3894" s="76">
        <v>46129.541666666664</v>
      </c>
      <c r="D3894" s="7" t="s">
        <v>2147</v>
      </c>
      <c r="E3894" s="76">
        <v>46129.583333333336</v>
      </c>
      <c r="F3894" s="52" t="s">
        <v>15211</v>
      </c>
      <c r="G3894" s="4" t="s">
        <v>110</v>
      </c>
      <c r="H3894" s="4" t="s">
        <v>1987</v>
      </c>
      <c r="K3894" s="4" t="s">
        <v>15197</v>
      </c>
      <c r="L3894" s="4" t="s">
        <v>15212</v>
      </c>
      <c r="M3894" s="4" t="s">
        <v>14272</v>
      </c>
      <c r="N3894" s="4">
        <v>1.0</v>
      </c>
    </row>
    <row r="3895">
      <c r="A3895" s="55" t="s">
        <v>15213</v>
      </c>
      <c r="B3895" s="52" t="s">
        <v>5675</v>
      </c>
      <c r="C3895" s="76">
        <v>46122.333333333336</v>
      </c>
      <c r="D3895" s="7" t="s">
        <v>2147</v>
      </c>
      <c r="E3895" s="76">
        <v>46122.458333333336</v>
      </c>
      <c r="F3895" s="52" t="s">
        <v>15038</v>
      </c>
      <c r="G3895" s="4" t="s">
        <v>143</v>
      </c>
      <c r="H3895" s="4" t="s">
        <v>1987</v>
      </c>
      <c r="K3895" s="4" t="s">
        <v>15039</v>
      </c>
      <c r="L3895" s="4" t="s">
        <v>15214</v>
      </c>
      <c r="M3895" s="4" t="s">
        <v>14272</v>
      </c>
      <c r="N3895" s="4">
        <v>1.0</v>
      </c>
    </row>
    <row r="3896">
      <c r="A3896" s="55" t="s">
        <v>15215</v>
      </c>
      <c r="B3896" s="52" t="s">
        <v>5684</v>
      </c>
      <c r="C3896" s="76">
        <v>46125.333333333336</v>
      </c>
      <c r="D3896" s="4"/>
      <c r="E3896" s="76">
        <v>46125.5</v>
      </c>
      <c r="F3896" s="52" t="s">
        <v>14973</v>
      </c>
      <c r="G3896" s="4" t="s">
        <v>143</v>
      </c>
      <c r="H3896" s="4" t="s">
        <v>1987</v>
      </c>
      <c r="K3896" s="4" t="s">
        <v>15216</v>
      </c>
      <c r="L3896" s="4" t="s">
        <v>14974</v>
      </c>
      <c r="M3896" s="4" t="s">
        <v>1723</v>
      </c>
      <c r="N3896" s="4">
        <v>0.3</v>
      </c>
      <c r="O3896" s="4" t="s">
        <v>14975</v>
      </c>
    </row>
    <row r="3897">
      <c r="A3897" s="55" t="s">
        <v>15217</v>
      </c>
      <c r="B3897" s="52" t="s">
        <v>5675</v>
      </c>
      <c r="C3897" s="76">
        <v>46126.333333333336</v>
      </c>
      <c r="D3897" s="7" t="s">
        <v>2148</v>
      </c>
      <c r="E3897" s="76">
        <v>46126.5</v>
      </c>
      <c r="F3897" s="52" t="s">
        <v>15190</v>
      </c>
      <c r="G3897" s="4" t="s">
        <v>143</v>
      </c>
      <c r="H3897" s="4" t="s">
        <v>1987</v>
      </c>
      <c r="K3897" s="4" t="s">
        <v>15218</v>
      </c>
      <c r="L3897" s="4"/>
      <c r="M3897" s="4" t="s">
        <v>1895</v>
      </c>
      <c r="N3897" s="4">
        <v>1.0</v>
      </c>
    </row>
    <row r="3898">
      <c r="A3898" s="55" t="s">
        <v>15219</v>
      </c>
      <c r="B3898" s="52" t="s">
        <v>5675</v>
      </c>
      <c r="C3898" s="76">
        <v>46127.333333333336</v>
      </c>
      <c r="D3898" s="7" t="s">
        <v>2148</v>
      </c>
      <c r="E3898" s="76">
        <v>46127.5</v>
      </c>
      <c r="F3898" s="52" t="s">
        <v>15190</v>
      </c>
      <c r="G3898" s="4" t="s">
        <v>143</v>
      </c>
      <c r="H3898" s="4" t="s">
        <v>1987</v>
      </c>
      <c r="K3898" s="4" t="s">
        <v>15220</v>
      </c>
      <c r="L3898" s="4"/>
      <c r="M3898" s="4" t="s">
        <v>1895</v>
      </c>
      <c r="N3898" s="4">
        <v>1.0</v>
      </c>
    </row>
    <row r="3899">
      <c r="A3899" s="55" t="s">
        <v>15221</v>
      </c>
      <c r="B3899" s="52" t="s">
        <v>5656</v>
      </c>
      <c r="C3899" s="76">
        <v>46128.520833333336</v>
      </c>
      <c r="D3899" s="7" t="s">
        <v>2147</v>
      </c>
      <c r="E3899" s="76">
        <v>46128.5625</v>
      </c>
      <c r="F3899" s="52" t="s">
        <v>15222</v>
      </c>
      <c r="G3899" s="4" t="s">
        <v>27</v>
      </c>
      <c r="H3899" s="4" t="s">
        <v>1987</v>
      </c>
      <c r="K3899" s="4" t="s">
        <v>15223</v>
      </c>
      <c r="L3899" s="4" t="s">
        <v>15224</v>
      </c>
      <c r="M3899" s="4" t="s">
        <v>14871</v>
      </c>
      <c r="N3899" s="4">
        <v>1.0</v>
      </c>
    </row>
    <row r="3900">
      <c r="A3900" s="55" t="s">
        <v>15225</v>
      </c>
      <c r="B3900" s="52" t="s">
        <v>6057</v>
      </c>
      <c r="C3900" s="76">
        <v>46126.5625</v>
      </c>
      <c r="D3900" s="7" t="s">
        <v>6052</v>
      </c>
      <c r="E3900" s="76">
        <v>46126.666666666664</v>
      </c>
      <c r="F3900" s="52" t="s">
        <v>15128</v>
      </c>
      <c r="G3900" s="4" t="s">
        <v>27</v>
      </c>
      <c r="H3900" s="4" t="s">
        <v>1987</v>
      </c>
      <c r="K3900" s="4" t="s">
        <v>15226</v>
      </c>
      <c r="L3900" s="4" t="s">
        <v>15227</v>
      </c>
      <c r="M3900" s="4" t="s">
        <v>14272</v>
      </c>
      <c r="N3900" s="4">
        <v>1.0</v>
      </c>
    </row>
    <row r="3901">
      <c r="A3901" s="55" t="s">
        <v>15228</v>
      </c>
      <c r="B3901" s="52" t="s">
        <v>6057</v>
      </c>
      <c r="C3901" s="76">
        <v>46126.458333333336</v>
      </c>
      <c r="D3901" s="7" t="s">
        <v>6052</v>
      </c>
      <c r="E3901" s="76">
        <v>46126.541666666664</v>
      </c>
      <c r="F3901" s="52" t="s">
        <v>15128</v>
      </c>
      <c r="G3901" s="4" t="s">
        <v>27</v>
      </c>
      <c r="H3901" s="4" t="s">
        <v>1987</v>
      </c>
      <c r="K3901" s="4" t="s">
        <v>15226</v>
      </c>
      <c r="L3901" s="4" t="s">
        <v>15229</v>
      </c>
      <c r="M3901" s="4" t="s">
        <v>14272</v>
      </c>
      <c r="N3901" s="4">
        <v>1.0</v>
      </c>
    </row>
    <row r="3902">
      <c r="A3902" s="55" t="s">
        <v>15230</v>
      </c>
      <c r="B3902" s="52" t="s">
        <v>6057</v>
      </c>
      <c r="C3902" s="76">
        <v>46125.729166666664</v>
      </c>
      <c r="D3902" s="7" t="s">
        <v>6052</v>
      </c>
      <c r="E3902" s="76">
        <v>46125.791666666664</v>
      </c>
      <c r="F3902" s="52" t="s">
        <v>15128</v>
      </c>
      <c r="G3902" s="4" t="s">
        <v>27</v>
      </c>
      <c r="H3902" s="4" t="s">
        <v>1987</v>
      </c>
      <c r="K3902" s="4" t="s">
        <v>15231</v>
      </c>
      <c r="L3902" s="4"/>
      <c r="M3902" s="4" t="s">
        <v>14272</v>
      </c>
      <c r="N3902" s="4">
        <v>1.0</v>
      </c>
    </row>
    <row r="3903">
      <c r="A3903" s="55" t="s">
        <v>15232</v>
      </c>
      <c r="B3903" s="52" t="s">
        <v>6057</v>
      </c>
      <c r="C3903" s="76">
        <v>46127.625</v>
      </c>
      <c r="D3903" s="7" t="s">
        <v>6052</v>
      </c>
      <c r="E3903" s="76">
        <v>46127.8125</v>
      </c>
      <c r="F3903" s="52" t="s">
        <v>15128</v>
      </c>
      <c r="G3903" s="4" t="s">
        <v>27</v>
      </c>
      <c r="H3903" s="4" t="s">
        <v>1987</v>
      </c>
      <c r="K3903" s="4" t="s">
        <v>15233</v>
      </c>
      <c r="L3903" s="4" t="s">
        <v>15227</v>
      </c>
      <c r="M3903" s="4" t="s">
        <v>14272</v>
      </c>
      <c r="N3903" s="4">
        <v>1.0</v>
      </c>
    </row>
    <row r="3904">
      <c r="A3904" s="55" t="s">
        <v>15234</v>
      </c>
      <c r="B3904" s="52" t="s">
        <v>6057</v>
      </c>
      <c r="C3904" s="76">
        <v>46128.333333333336</v>
      </c>
      <c r="D3904" s="7" t="s">
        <v>6052</v>
      </c>
      <c r="E3904" s="76">
        <v>46128.395833333336</v>
      </c>
      <c r="F3904" s="52" t="s">
        <v>15128</v>
      </c>
      <c r="G3904" s="4" t="s">
        <v>27</v>
      </c>
      <c r="H3904" s="4" t="s">
        <v>1987</v>
      </c>
      <c r="K3904" s="4" t="s">
        <v>15233</v>
      </c>
      <c r="L3904" s="4" t="s">
        <v>15235</v>
      </c>
      <c r="M3904" s="4" t="s">
        <v>14272</v>
      </c>
      <c r="N3904" s="4">
        <v>1.0</v>
      </c>
    </row>
    <row r="3905">
      <c r="A3905" s="55" t="s">
        <v>15236</v>
      </c>
      <c r="B3905" s="52" t="s">
        <v>5625</v>
      </c>
      <c r="C3905" s="76">
        <v>46128.5625</v>
      </c>
      <c r="D3905" s="7" t="s">
        <v>2147</v>
      </c>
      <c r="E3905" s="76">
        <v>46128.770833333336</v>
      </c>
      <c r="F3905" s="52" t="s">
        <v>15237</v>
      </c>
      <c r="G3905" s="4" t="s">
        <v>27</v>
      </c>
      <c r="H3905" s="4" t="s">
        <v>1987</v>
      </c>
      <c r="K3905" s="4" t="s">
        <v>15238</v>
      </c>
      <c r="L3905" s="4" t="s">
        <v>15239</v>
      </c>
      <c r="M3905" s="4" t="s">
        <v>14272</v>
      </c>
      <c r="N3905" s="4">
        <v>1.35</v>
      </c>
    </row>
    <row r="3906">
      <c r="A3906" s="55" t="s">
        <v>15240</v>
      </c>
      <c r="B3906" s="52" t="s">
        <v>5803</v>
      </c>
      <c r="C3906" s="76">
        <v>46129.333333333336</v>
      </c>
      <c r="D3906" s="7" t="s">
        <v>2147</v>
      </c>
      <c r="E3906" s="76">
        <v>46129.375</v>
      </c>
      <c r="F3906" s="52" t="s">
        <v>15241</v>
      </c>
      <c r="G3906" s="4" t="s">
        <v>27</v>
      </c>
      <c r="H3906" s="4" t="s">
        <v>1987</v>
      </c>
      <c r="K3906" s="4" t="s">
        <v>15242</v>
      </c>
      <c r="L3906" s="4" t="s">
        <v>15243</v>
      </c>
      <c r="M3906" s="4" t="s">
        <v>14272</v>
      </c>
      <c r="N3906" s="4">
        <v>1.0</v>
      </c>
    </row>
    <row r="3907">
      <c r="A3907" s="55" t="s">
        <v>15244</v>
      </c>
      <c r="B3907" s="52" t="s">
        <v>5803</v>
      </c>
      <c r="C3907" s="76">
        <v>46126.416666666664</v>
      </c>
      <c r="D3907" s="7" t="s">
        <v>2147</v>
      </c>
      <c r="E3907" s="76">
        <v>46126.458333333336</v>
      </c>
      <c r="F3907" s="52" t="s">
        <v>15054</v>
      </c>
      <c r="G3907" s="4" t="s">
        <v>27</v>
      </c>
      <c r="H3907" s="4" t="s">
        <v>1991</v>
      </c>
      <c r="K3907" s="4" t="s">
        <v>15245</v>
      </c>
      <c r="L3907" s="4"/>
      <c r="M3907" s="4" t="s">
        <v>1895</v>
      </c>
      <c r="N3907" s="4">
        <v>1.0</v>
      </c>
    </row>
    <row r="3908">
      <c r="A3908" s="55" t="s">
        <v>15246</v>
      </c>
      <c r="B3908" s="52" t="s">
        <v>1682</v>
      </c>
      <c r="C3908" s="76">
        <v>46122.458333333336</v>
      </c>
      <c r="D3908" s="7" t="s">
        <v>2147</v>
      </c>
      <c r="E3908" s="76">
        <v>46122.5</v>
      </c>
      <c r="F3908" s="52" t="s">
        <v>15247</v>
      </c>
      <c r="G3908" s="4" t="s">
        <v>143</v>
      </c>
      <c r="H3908" s="4" t="s">
        <v>1987</v>
      </c>
      <c r="K3908" s="4" t="s">
        <v>15248</v>
      </c>
      <c r="L3908" s="4" t="s">
        <v>15249</v>
      </c>
      <c r="M3908" s="4" t="s">
        <v>14272</v>
      </c>
      <c r="N3908" s="4">
        <v>0.3</v>
      </c>
    </row>
    <row r="3909">
      <c r="A3909" s="55" t="s">
        <v>15250</v>
      </c>
      <c r="B3909" s="52" t="s">
        <v>1682</v>
      </c>
      <c r="C3909" s="76">
        <v>46122.4375</v>
      </c>
      <c r="D3909" s="7" t="s">
        <v>2147</v>
      </c>
      <c r="E3909" s="76">
        <v>46122.479166666664</v>
      </c>
      <c r="F3909" s="52" t="s">
        <v>15247</v>
      </c>
      <c r="G3909" s="4" t="s">
        <v>27</v>
      </c>
      <c r="H3909" s="4" t="s">
        <v>1987</v>
      </c>
      <c r="K3909" s="4" t="s">
        <v>15251</v>
      </c>
      <c r="L3909" s="4" t="s">
        <v>15252</v>
      </c>
      <c r="M3909" s="4" t="s">
        <v>14272</v>
      </c>
      <c r="N3909" s="4">
        <v>0.3</v>
      </c>
    </row>
    <row r="3910">
      <c r="A3910" s="55" t="s">
        <v>15253</v>
      </c>
      <c r="B3910" s="52" t="s">
        <v>1611</v>
      </c>
      <c r="C3910" s="76">
        <v>46130.770833333336</v>
      </c>
      <c r="D3910" s="7" t="s">
        <v>2147</v>
      </c>
      <c r="E3910" s="76">
        <v>46130.833333333336</v>
      </c>
      <c r="F3910" s="52" t="s">
        <v>15254</v>
      </c>
      <c r="G3910" s="4" t="s">
        <v>27</v>
      </c>
      <c r="H3910" s="4" t="s">
        <v>1987</v>
      </c>
      <c r="K3910" s="4" t="s">
        <v>15255</v>
      </c>
      <c r="L3910" s="4"/>
      <c r="M3910" s="4" t="s">
        <v>14272</v>
      </c>
      <c r="N3910" s="4">
        <v>1.0</v>
      </c>
    </row>
    <row r="3911">
      <c r="A3911" s="55" t="s">
        <v>15256</v>
      </c>
      <c r="B3911" s="52" t="s">
        <v>6057</v>
      </c>
      <c r="C3911" s="76">
        <v>46129.375</v>
      </c>
      <c r="D3911" s="7" t="s">
        <v>6052</v>
      </c>
      <c r="E3911" s="76">
        <v>46129.5625</v>
      </c>
      <c r="F3911" s="52" t="s">
        <v>15128</v>
      </c>
      <c r="G3911" s="4" t="s">
        <v>27</v>
      </c>
      <c r="H3911" s="4" t="s">
        <v>1987</v>
      </c>
      <c r="K3911" s="4" t="s">
        <v>15257</v>
      </c>
      <c r="L3911" s="4" t="s">
        <v>15235</v>
      </c>
      <c r="M3911" s="4" t="s">
        <v>14272</v>
      </c>
      <c r="N3911" s="4">
        <v>1.0</v>
      </c>
    </row>
    <row r="3912">
      <c r="A3912" s="55" t="s">
        <v>15258</v>
      </c>
      <c r="B3912" s="52" t="s">
        <v>6057</v>
      </c>
      <c r="C3912" s="76">
        <v>46129.666666666664</v>
      </c>
      <c r="D3912" s="7" t="s">
        <v>6052</v>
      </c>
      <c r="E3912" s="76">
        <v>46129.791666666664</v>
      </c>
      <c r="F3912" s="52" t="s">
        <v>15128</v>
      </c>
      <c r="G3912" s="4" t="s">
        <v>27</v>
      </c>
      <c r="H3912" s="4" t="s">
        <v>1987</v>
      </c>
      <c r="K3912" s="4" t="s">
        <v>15259</v>
      </c>
      <c r="L3912" s="4" t="s">
        <v>15235</v>
      </c>
      <c r="M3912" s="4" t="s">
        <v>14272</v>
      </c>
      <c r="N3912" s="4">
        <v>1.0</v>
      </c>
    </row>
    <row r="3913">
      <c r="A3913" s="55" t="s">
        <v>15260</v>
      </c>
      <c r="B3913" s="52" t="s">
        <v>5625</v>
      </c>
      <c r="C3913" s="76">
        <v>46134.354166666664</v>
      </c>
      <c r="D3913" s="7" t="s">
        <v>2147</v>
      </c>
      <c r="E3913" s="76">
        <v>46134.395833333336</v>
      </c>
      <c r="F3913" s="52" t="s">
        <v>15261</v>
      </c>
      <c r="G3913" s="4" t="s">
        <v>27</v>
      </c>
      <c r="H3913" s="4" t="s">
        <v>1991</v>
      </c>
      <c r="K3913" s="4"/>
      <c r="L3913" s="4" t="s">
        <v>15262</v>
      </c>
      <c r="M3913" s="4" t="s">
        <v>14272</v>
      </c>
      <c r="N3913" s="4">
        <v>1.0</v>
      </c>
    </row>
    <row r="3914">
      <c r="A3914" s="55" t="s">
        <v>15263</v>
      </c>
      <c r="B3914" s="52" t="s">
        <v>5625</v>
      </c>
      <c r="C3914" s="76">
        <v>46130.59861111111</v>
      </c>
      <c r="D3914" s="7" t="s">
        <v>6318</v>
      </c>
      <c r="E3914" s="76">
        <v>46130.61944444444</v>
      </c>
      <c r="F3914" s="52" t="s">
        <v>15264</v>
      </c>
      <c r="G3914" s="4" t="s">
        <v>27</v>
      </c>
      <c r="H3914" s="4" t="s">
        <v>1987</v>
      </c>
      <c r="K3914" s="4" t="s">
        <v>15265</v>
      </c>
      <c r="L3914" s="4"/>
      <c r="M3914" s="4" t="s">
        <v>14871</v>
      </c>
      <c r="N3914" s="4">
        <v>1.0</v>
      </c>
    </row>
    <row r="3915">
      <c r="A3915" s="55"/>
      <c r="B3915" s="52"/>
      <c r="C3915" s="76"/>
      <c r="D3915" s="4"/>
      <c r="E3915" s="76"/>
      <c r="F3915" s="52"/>
      <c r="G3915" s="4"/>
      <c r="H3915" s="4"/>
      <c r="I3915" s="4"/>
      <c r="K3915" s="4"/>
      <c r="L3915" s="4"/>
    </row>
    <row r="3916">
      <c r="A3916" s="55"/>
      <c r="B3916" s="52"/>
      <c r="C3916" s="76"/>
      <c r="D3916" s="4"/>
      <c r="E3916" s="76"/>
      <c r="F3916" s="52"/>
      <c r="G3916" s="4"/>
      <c r="H3916" s="4"/>
      <c r="I3916" s="4"/>
      <c r="K3916" s="4"/>
      <c r="L3916" s="4"/>
    </row>
    <row r="3917">
      <c r="A3917" s="55" t="s">
        <v>15266</v>
      </c>
      <c r="B3917" s="52" t="s">
        <v>5596</v>
      </c>
      <c r="C3917" s="76">
        <v>46129.416666666664</v>
      </c>
      <c r="D3917" s="7" t="s">
        <v>2147</v>
      </c>
      <c r="E3917" s="76">
        <v>46129.458333333336</v>
      </c>
      <c r="F3917" s="52" t="s">
        <v>15267</v>
      </c>
      <c r="G3917" s="4" t="s">
        <v>139</v>
      </c>
      <c r="H3917" s="4" t="s">
        <v>1987</v>
      </c>
      <c r="K3917" s="4" t="s">
        <v>15268</v>
      </c>
      <c r="L3917" s="4" t="s">
        <v>15269</v>
      </c>
      <c r="M3917" s="4" t="s">
        <v>14272</v>
      </c>
      <c r="N3917" s="4">
        <v>1.0</v>
      </c>
    </row>
    <row r="3918">
      <c r="A3918" s="55" t="s">
        <v>15270</v>
      </c>
      <c r="B3918" s="52" t="s">
        <v>5596</v>
      </c>
      <c r="C3918" s="76">
        <v>46129.416666666664</v>
      </c>
      <c r="D3918" s="4"/>
      <c r="E3918" s="76">
        <v>46129.458333333336</v>
      </c>
      <c r="F3918" s="52"/>
      <c r="G3918" s="4"/>
      <c r="H3918" s="4" t="s">
        <v>1987</v>
      </c>
      <c r="K3918" s="4" t="s">
        <v>15271</v>
      </c>
      <c r="L3918" s="4"/>
      <c r="M3918" s="4" t="s">
        <v>14272</v>
      </c>
      <c r="N3918" s="4">
        <v>1.0</v>
      </c>
    </row>
    <row r="3919">
      <c r="A3919" s="55" t="s">
        <v>15272</v>
      </c>
      <c r="B3919" s="52" t="s">
        <v>5625</v>
      </c>
      <c r="C3919" s="76">
        <v>46141.395833333336</v>
      </c>
      <c r="D3919" s="7" t="s">
        <v>2147</v>
      </c>
      <c r="E3919" s="76">
        <v>46141.4375</v>
      </c>
      <c r="F3919" s="52" t="s">
        <v>15273</v>
      </c>
      <c r="G3919" s="4" t="s">
        <v>139</v>
      </c>
      <c r="H3919" s="4" t="s">
        <v>1991</v>
      </c>
      <c r="K3919" s="4" t="s">
        <v>15274</v>
      </c>
      <c r="L3919" s="4"/>
      <c r="M3919" s="4" t="s">
        <v>14272</v>
      </c>
      <c r="N3919" s="4">
        <v>1.0</v>
      </c>
    </row>
    <row r="3920">
      <c r="A3920" s="55" t="s">
        <v>15275</v>
      </c>
      <c r="B3920" s="52" t="s">
        <v>5801</v>
      </c>
      <c r="C3920" s="76">
        <v>46132.375</v>
      </c>
      <c r="D3920" s="7" t="s">
        <v>2147</v>
      </c>
      <c r="E3920" s="76">
        <v>46132.4375</v>
      </c>
      <c r="F3920" s="52" t="s">
        <v>15276</v>
      </c>
      <c r="G3920" s="4" t="s">
        <v>110</v>
      </c>
      <c r="H3920" s="4" t="s">
        <v>1987</v>
      </c>
      <c r="K3920" s="4" t="s">
        <v>15277</v>
      </c>
      <c r="L3920" s="4"/>
      <c r="M3920" s="4" t="s">
        <v>14289</v>
      </c>
      <c r="N3920" s="4">
        <v>1.0</v>
      </c>
    </row>
    <row r="3921">
      <c r="A3921" s="55" t="s">
        <v>15278</v>
      </c>
      <c r="B3921" s="52" t="s">
        <v>5729</v>
      </c>
      <c r="C3921" s="76">
        <v>46132.333333333336</v>
      </c>
      <c r="D3921" s="7" t="s">
        <v>2147</v>
      </c>
      <c r="E3921" s="76">
        <v>46132.375</v>
      </c>
      <c r="F3921" s="52" t="s">
        <v>15279</v>
      </c>
      <c r="G3921" s="4" t="s">
        <v>110</v>
      </c>
      <c r="H3921" s="4" t="s">
        <v>1987</v>
      </c>
      <c r="K3921" s="4" t="s">
        <v>15280</v>
      </c>
      <c r="L3921" s="4"/>
      <c r="M3921" s="4" t="s">
        <v>1846</v>
      </c>
      <c r="N3921" s="4">
        <v>1.0</v>
      </c>
    </row>
    <row r="3922">
      <c r="A3922" s="55" t="s">
        <v>15281</v>
      </c>
      <c r="B3922" s="52" t="s">
        <v>5675</v>
      </c>
      <c r="C3922" s="76">
        <v>46132.333333333336</v>
      </c>
      <c r="D3922" s="7" t="s">
        <v>2147</v>
      </c>
      <c r="E3922" s="76">
        <v>46132.375</v>
      </c>
      <c r="F3922" s="52" t="s">
        <v>15282</v>
      </c>
      <c r="G3922" s="4" t="s">
        <v>143</v>
      </c>
      <c r="H3922" s="4" t="s">
        <v>1987</v>
      </c>
      <c r="K3922" s="4" t="s">
        <v>15283</v>
      </c>
      <c r="L3922" s="4"/>
      <c r="M3922" s="4" t="s">
        <v>1895</v>
      </c>
      <c r="N3922" s="4">
        <v>1.0</v>
      </c>
    </row>
    <row r="3923">
      <c r="A3923" s="55" t="s">
        <v>15284</v>
      </c>
      <c r="B3923" s="52" t="s">
        <v>6057</v>
      </c>
      <c r="C3923" s="76">
        <v>46132.375</v>
      </c>
      <c r="D3923" s="4"/>
      <c r="E3923" s="76">
        <v>46132.427083333336</v>
      </c>
      <c r="F3923" s="52" t="s">
        <v>15285</v>
      </c>
      <c r="G3923" s="4" t="s">
        <v>143</v>
      </c>
      <c r="H3923" s="4" t="s">
        <v>1987</v>
      </c>
      <c r="K3923" s="4" t="s">
        <v>15286</v>
      </c>
      <c r="L3923" s="4" t="s">
        <v>15287</v>
      </c>
      <c r="M3923" s="4" t="s">
        <v>14272</v>
      </c>
      <c r="N3923" s="4">
        <v>1.0</v>
      </c>
    </row>
    <row r="3924">
      <c r="A3924" s="55" t="s">
        <v>15288</v>
      </c>
      <c r="B3924" s="52" t="s">
        <v>5675</v>
      </c>
      <c r="C3924" s="76">
        <v>46132.427083333336</v>
      </c>
      <c r="D3924" s="7" t="s">
        <v>2147</v>
      </c>
      <c r="E3924" s="76">
        <v>46132.46875</v>
      </c>
      <c r="F3924" s="52" t="s">
        <v>15289</v>
      </c>
      <c r="G3924" s="4" t="s">
        <v>143</v>
      </c>
      <c r="H3924" s="4" t="s">
        <v>1987</v>
      </c>
      <c r="K3924" s="4" t="s">
        <v>15290</v>
      </c>
      <c r="L3924" s="4"/>
      <c r="M3924" s="4" t="s">
        <v>1895</v>
      </c>
      <c r="N3924" s="4">
        <v>1.0</v>
      </c>
    </row>
    <row r="3925">
      <c r="A3925" s="55" t="s">
        <v>15291</v>
      </c>
      <c r="B3925" s="52" t="s">
        <v>1682</v>
      </c>
      <c r="C3925" s="76">
        <v>46132.46875</v>
      </c>
      <c r="D3925" s="4"/>
      <c r="E3925" s="76">
        <v>46132.5</v>
      </c>
      <c r="F3925" s="52" t="s">
        <v>15292</v>
      </c>
      <c r="G3925" s="4" t="s">
        <v>143</v>
      </c>
      <c r="H3925" s="4" t="s">
        <v>1987</v>
      </c>
      <c r="K3925" s="4" t="s">
        <v>15293</v>
      </c>
      <c r="L3925" s="4"/>
      <c r="M3925" s="4" t="s">
        <v>2353</v>
      </c>
      <c r="N3925" s="4">
        <v>1.0</v>
      </c>
    </row>
    <row r="3926">
      <c r="A3926" s="55" t="s">
        <v>15294</v>
      </c>
      <c r="B3926" s="52" t="s">
        <v>1682</v>
      </c>
      <c r="C3926" s="76">
        <v>46133.333333333336</v>
      </c>
      <c r="D3926" s="4"/>
      <c r="E3926" s="76">
        <v>46133.5</v>
      </c>
      <c r="F3926" s="52" t="s">
        <v>15292</v>
      </c>
      <c r="G3926" s="4" t="s">
        <v>143</v>
      </c>
      <c r="H3926" s="4" t="s">
        <v>1987</v>
      </c>
      <c r="K3926" s="4" t="s">
        <v>15295</v>
      </c>
      <c r="L3926" s="4"/>
      <c r="M3926" s="4" t="s">
        <v>2353</v>
      </c>
      <c r="N3926" s="4">
        <v>1.0</v>
      </c>
    </row>
    <row r="3927">
      <c r="A3927" s="55" t="s">
        <v>15296</v>
      </c>
      <c r="B3927" s="52" t="s">
        <v>1682</v>
      </c>
      <c r="C3927" s="76">
        <v>46134.333333333336</v>
      </c>
      <c r="D3927" s="4"/>
      <c r="E3927" s="76">
        <v>46134.375</v>
      </c>
      <c r="F3927" s="52" t="s">
        <v>15297</v>
      </c>
      <c r="G3927" s="4" t="s">
        <v>143</v>
      </c>
      <c r="H3927" s="4" t="s">
        <v>1987</v>
      </c>
      <c r="K3927" s="4" t="s">
        <v>15298</v>
      </c>
      <c r="L3927" s="4"/>
      <c r="M3927" s="4" t="s">
        <v>2353</v>
      </c>
      <c r="N3927" s="4">
        <v>1.0</v>
      </c>
    </row>
    <row r="3928">
      <c r="A3928" s="55" t="s">
        <v>15299</v>
      </c>
      <c r="B3928" s="52" t="s">
        <v>5790</v>
      </c>
      <c r="C3928" s="76">
        <v>46134.375</v>
      </c>
      <c r="D3928" s="4"/>
      <c r="E3928" s="76">
        <v>46134.5</v>
      </c>
      <c r="F3928" s="52" t="s">
        <v>15300</v>
      </c>
      <c r="G3928" s="4" t="s">
        <v>143</v>
      </c>
      <c r="H3928" s="4" t="s">
        <v>1987</v>
      </c>
      <c r="K3928" s="4" t="s">
        <v>15301</v>
      </c>
      <c r="L3928" s="4"/>
      <c r="M3928" s="4" t="s">
        <v>2353</v>
      </c>
      <c r="N3928" s="4">
        <v>1.0</v>
      </c>
    </row>
    <row r="3929">
      <c r="A3929" s="55" t="s">
        <v>15302</v>
      </c>
      <c r="B3929" s="52" t="s">
        <v>5790</v>
      </c>
      <c r="C3929" s="76">
        <v>46135.458333333336</v>
      </c>
      <c r="D3929" s="4"/>
      <c r="E3929" s="76">
        <v>46135.583333333336</v>
      </c>
      <c r="F3929" s="52" t="s">
        <v>15300</v>
      </c>
      <c r="G3929" s="4" t="s">
        <v>143</v>
      </c>
      <c r="H3929" s="4" t="s">
        <v>1987</v>
      </c>
      <c r="K3929" s="4" t="s">
        <v>15303</v>
      </c>
      <c r="L3929" s="4" t="s">
        <v>15304</v>
      </c>
      <c r="M3929" s="4" t="s">
        <v>2353</v>
      </c>
      <c r="N3929" s="4">
        <v>1.0</v>
      </c>
    </row>
    <row r="3930">
      <c r="A3930" s="55" t="s">
        <v>15305</v>
      </c>
      <c r="B3930" s="52" t="s">
        <v>5790</v>
      </c>
      <c r="C3930" s="76">
        <v>46136.333333333336</v>
      </c>
      <c r="D3930" s="4"/>
      <c r="E3930" s="76">
        <v>46136.5</v>
      </c>
      <c r="F3930" s="52" t="s">
        <v>15300</v>
      </c>
      <c r="G3930" s="4" t="s">
        <v>143</v>
      </c>
      <c r="H3930" s="4" t="s">
        <v>1987</v>
      </c>
      <c r="K3930" s="4" t="s">
        <v>15306</v>
      </c>
      <c r="L3930" s="4"/>
      <c r="M3930" s="4" t="s">
        <v>2353</v>
      </c>
      <c r="N3930" s="4">
        <v>1.0</v>
      </c>
    </row>
    <row r="3931">
      <c r="A3931" s="55" t="s">
        <v>15307</v>
      </c>
      <c r="B3931" s="52" t="s">
        <v>5803</v>
      </c>
      <c r="C3931" s="76">
        <v>46129.333333333336</v>
      </c>
      <c r="D3931" s="7" t="s">
        <v>2147</v>
      </c>
      <c r="E3931" s="76">
        <v>46129.395833333336</v>
      </c>
      <c r="F3931" s="52" t="s">
        <v>15308</v>
      </c>
      <c r="G3931" s="4" t="s">
        <v>139</v>
      </c>
      <c r="H3931" s="4" t="s">
        <v>1987</v>
      </c>
      <c r="K3931" s="4" t="s">
        <v>15309</v>
      </c>
      <c r="L3931" s="4"/>
      <c r="M3931" s="4" t="s">
        <v>14272</v>
      </c>
      <c r="N3931" s="4">
        <v>1.0</v>
      </c>
    </row>
    <row r="3932">
      <c r="A3932" s="55" t="s">
        <v>15310</v>
      </c>
      <c r="B3932" s="52" t="s">
        <v>5625</v>
      </c>
      <c r="C3932" s="76">
        <v>46129.395833333336</v>
      </c>
      <c r="D3932" s="7" t="s">
        <v>2154</v>
      </c>
      <c r="E3932" s="76">
        <v>46129.416666666664</v>
      </c>
      <c r="F3932" s="52" t="s">
        <v>15082</v>
      </c>
      <c r="G3932" s="4" t="s">
        <v>139</v>
      </c>
      <c r="H3932" s="4" t="s">
        <v>1987</v>
      </c>
      <c r="K3932" s="4" t="s">
        <v>15311</v>
      </c>
      <c r="L3932" s="4" t="s">
        <v>15097</v>
      </c>
      <c r="M3932" s="4" t="s">
        <v>1723</v>
      </c>
      <c r="N3932" s="4">
        <v>1.35</v>
      </c>
    </row>
    <row r="3933">
      <c r="A3933" s="55" t="s">
        <v>15312</v>
      </c>
      <c r="B3933" s="52" t="s">
        <v>5798</v>
      </c>
      <c r="C3933" s="76">
        <v>46129.458333333336</v>
      </c>
      <c r="D3933" s="4"/>
      <c r="E3933" s="76">
        <v>46129.541666666664</v>
      </c>
      <c r="F3933" s="52" t="s">
        <v>15313</v>
      </c>
      <c r="G3933" s="4" t="s">
        <v>139</v>
      </c>
      <c r="H3933" s="4" t="s">
        <v>1987</v>
      </c>
      <c r="K3933" s="4"/>
      <c r="L3933" s="4" t="s">
        <v>15314</v>
      </c>
      <c r="M3933" s="4" t="s">
        <v>1895</v>
      </c>
      <c r="N3933" s="4">
        <v>1.0</v>
      </c>
    </row>
    <row r="3934">
      <c r="A3934" s="55" t="s">
        <v>15315</v>
      </c>
      <c r="B3934" s="52" t="s">
        <v>5798</v>
      </c>
      <c r="C3934" s="76">
        <v>46132.333333333336</v>
      </c>
      <c r="D3934" s="7" t="s">
        <v>6052</v>
      </c>
      <c r="E3934" s="76">
        <v>46132.541666666664</v>
      </c>
      <c r="F3934" s="52" t="s">
        <v>15316</v>
      </c>
      <c r="G3934" s="4" t="s">
        <v>139</v>
      </c>
      <c r="H3934" s="4" t="s">
        <v>1987</v>
      </c>
      <c r="K3934" s="4" t="s">
        <v>15317</v>
      </c>
      <c r="L3934" s="4" t="s">
        <v>15318</v>
      </c>
      <c r="M3934" s="4" t="s">
        <v>1895</v>
      </c>
      <c r="N3934" s="4">
        <v>1.0</v>
      </c>
    </row>
    <row r="3935">
      <c r="A3935" s="66" t="s">
        <v>15319</v>
      </c>
      <c r="B3935" s="52" t="s">
        <v>6057</v>
      </c>
      <c r="C3935" s="76">
        <v>46132.541666666664</v>
      </c>
      <c r="D3935" s="7" t="s">
        <v>2147</v>
      </c>
      <c r="E3935" s="76">
        <v>46132.583333333336</v>
      </c>
      <c r="F3935" s="52" t="s">
        <v>15320</v>
      </c>
      <c r="G3935" s="4" t="s">
        <v>110</v>
      </c>
      <c r="H3935" s="4" t="s">
        <v>1987</v>
      </c>
      <c r="K3935" s="4" t="s">
        <v>15321</v>
      </c>
      <c r="L3935" s="4"/>
      <c r="M3935" s="4" t="s">
        <v>14272</v>
      </c>
      <c r="N3935" s="4">
        <v>1.0</v>
      </c>
    </row>
    <row r="3936">
      <c r="A3936" s="55" t="s">
        <v>15322</v>
      </c>
      <c r="B3936" s="52" t="s">
        <v>5675</v>
      </c>
      <c r="C3936" s="76">
        <v>46133.333333333336</v>
      </c>
      <c r="D3936" s="7" t="s">
        <v>2147</v>
      </c>
      <c r="E3936" s="76">
        <v>46133.375</v>
      </c>
      <c r="F3936" s="52" t="s">
        <v>15323</v>
      </c>
      <c r="G3936" s="4" t="s">
        <v>110</v>
      </c>
      <c r="H3936" s="4" t="s">
        <v>1987</v>
      </c>
      <c r="K3936" s="4" t="s">
        <v>15324</v>
      </c>
      <c r="L3936" s="4"/>
      <c r="M3936" s="4" t="s">
        <v>14293</v>
      </c>
      <c r="N3936" s="4">
        <v>1.0</v>
      </c>
    </row>
    <row r="3937">
      <c r="A3937" s="55" t="s">
        <v>15325</v>
      </c>
      <c r="B3937" s="52" t="s">
        <v>5729</v>
      </c>
      <c r="C3937" s="76">
        <v>46133.375</v>
      </c>
      <c r="D3937" s="7" t="s">
        <v>6052</v>
      </c>
      <c r="E3937" s="76">
        <v>46133.458333333336</v>
      </c>
      <c r="F3937" s="52" t="s">
        <v>15326</v>
      </c>
      <c r="G3937" s="4" t="s">
        <v>110</v>
      </c>
      <c r="H3937" s="4" t="s">
        <v>1987</v>
      </c>
      <c r="K3937" s="4" t="s">
        <v>15327</v>
      </c>
      <c r="L3937" s="4" t="s">
        <v>15328</v>
      </c>
      <c r="M3937" s="4" t="s">
        <v>1846</v>
      </c>
      <c r="N3937" s="4">
        <v>1.0</v>
      </c>
    </row>
    <row r="3938">
      <c r="A3938" s="55" t="s">
        <v>15329</v>
      </c>
      <c r="B3938" s="52" t="s">
        <v>5729</v>
      </c>
      <c r="C3938" s="76">
        <v>46134.333333333336</v>
      </c>
      <c r="D3938" s="7" t="s">
        <v>6052</v>
      </c>
      <c r="E3938" s="76">
        <v>46134.416666666664</v>
      </c>
      <c r="F3938" s="52" t="s">
        <v>15326</v>
      </c>
      <c r="G3938" s="4" t="s">
        <v>110</v>
      </c>
      <c r="H3938" s="4" t="s">
        <v>1987</v>
      </c>
      <c r="K3938" s="4" t="s">
        <v>15330</v>
      </c>
      <c r="L3938" s="4" t="s">
        <v>15331</v>
      </c>
      <c r="M3938" s="4" t="s">
        <v>1846</v>
      </c>
      <c r="N3938" s="4">
        <v>1.0</v>
      </c>
    </row>
    <row r="3939">
      <c r="A3939" s="55" t="s">
        <v>15332</v>
      </c>
      <c r="B3939" s="52" t="s">
        <v>5729</v>
      </c>
      <c r="C3939" s="76">
        <v>46135.333333333336</v>
      </c>
      <c r="D3939" s="7" t="s">
        <v>6052</v>
      </c>
      <c r="E3939" s="76">
        <v>46135.5</v>
      </c>
      <c r="F3939" s="52" t="s">
        <v>15333</v>
      </c>
      <c r="G3939" s="4" t="s">
        <v>110</v>
      </c>
      <c r="H3939" s="4" t="s">
        <v>1987</v>
      </c>
      <c r="K3939" s="4" t="s">
        <v>15334</v>
      </c>
      <c r="L3939" s="4" t="s">
        <v>15335</v>
      </c>
      <c r="M3939" s="4" t="s">
        <v>14268</v>
      </c>
      <c r="N3939" s="4">
        <v>1.0</v>
      </c>
    </row>
    <row r="3940">
      <c r="A3940" s="55" t="s">
        <v>15336</v>
      </c>
      <c r="B3940" s="52" t="s">
        <v>5729</v>
      </c>
      <c r="C3940" s="76">
        <v>46136.333333333336</v>
      </c>
      <c r="D3940" s="7" t="s">
        <v>2147</v>
      </c>
      <c r="E3940" s="76">
        <v>46136.583333333336</v>
      </c>
      <c r="F3940" s="52" t="s">
        <v>15337</v>
      </c>
      <c r="G3940" s="4" t="s">
        <v>110</v>
      </c>
      <c r="H3940" s="4" t="s">
        <v>1987</v>
      </c>
      <c r="K3940" s="4" t="s">
        <v>15338</v>
      </c>
      <c r="L3940" s="4" t="s">
        <v>15339</v>
      </c>
      <c r="M3940" s="4" t="s">
        <v>14272</v>
      </c>
      <c r="N3940" s="4">
        <v>1.0</v>
      </c>
    </row>
    <row r="3941">
      <c r="A3941" s="55" t="s">
        <v>15340</v>
      </c>
      <c r="B3941" s="52" t="s">
        <v>1617</v>
      </c>
      <c r="C3941" s="76">
        <v>46135.5</v>
      </c>
      <c r="D3941" s="7" t="s">
        <v>2147</v>
      </c>
      <c r="E3941" s="76">
        <v>46135.583333333336</v>
      </c>
      <c r="F3941" s="52" t="s">
        <v>15341</v>
      </c>
      <c r="G3941" s="4" t="s">
        <v>110</v>
      </c>
      <c r="H3941" s="4" t="s">
        <v>1987</v>
      </c>
      <c r="K3941" s="4" t="s">
        <v>15342</v>
      </c>
      <c r="L3941" s="4" t="s">
        <v>15343</v>
      </c>
      <c r="M3941" s="4" t="s">
        <v>15344</v>
      </c>
      <c r="N3941" s="4">
        <v>1.0</v>
      </c>
    </row>
    <row r="3942">
      <c r="A3942" s="55" t="s">
        <v>15345</v>
      </c>
      <c r="B3942" s="52" t="s">
        <v>1617</v>
      </c>
      <c r="C3942" s="76">
        <v>46139.291666666664</v>
      </c>
      <c r="D3942" s="7" t="s">
        <v>2147</v>
      </c>
      <c r="E3942" s="76">
        <v>46139.5</v>
      </c>
      <c r="F3942" s="52" t="s">
        <v>15346</v>
      </c>
      <c r="G3942" s="4" t="s">
        <v>110</v>
      </c>
      <c r="H3942" s="4" t="s">
        <v>1987</v>
      </c>
      <c r="K3942" s="4" t="s">
        <v>15347</v>
      </c>
      <c r="L3942" s="4" t="s">
        <v>15348</v>
      </c>
      <c r="M3942" s="4" t="s">
        <v>15344</v>
      </c>
      <c r="N3942" s="4">
        <v>1.0</v>
      </c>
    </row>
    <row r="3943">
      <c r="A3943" s="55" t="s">
        <v>15349</v>
      </c>
      <c r="B3943" s="52" t="s">
        <v>5729</v>
      </c>
      <c r="C3943" s="76">
        <v>46134.479166666664</v>
      </c>
      <c r="D3943" s="7" t="s">
        <v>6052</v>
      </c>
      <c r="E3943" s="76">
        <v>46134.583333333336</v>
      </c>
      <c r="F3943" s="52" t="s">
        <v>15326</v>
      </c>
      <c r="G3943" s="4" t="s">
        <v>110</v>
      </c>
      <c r="H3943" s="4" t="s">
        <v>1987</v>
      </c>
      <c r="K3943" s="4" t="s">
        <v>15350</v>
      </c>
      <c r="L3943" s="4" t="s">
        <v>15331</v>
      </c>
      <c r="M3943" s="4" t="s">
        <v>1846</v>
      </c>
      <c r="N3943" s="4">
        <v>1.0</v>
      </c>
    </row>
    <row r="3944">
      <c r="A3944" s="55"/>
      <c r="B3944" s="52"/>
      <c r="C3944" s="76"/>
      <c r="D3944" s="4"/>
      <c r="E3944" s="76"/>
      <c r="F3944" s="52"/>
      <c r="G3944" s="4"/>
      <c r="H3944" s="4"/>
      <c r="K3944" s="4"/>
      <c r="L3944" s="4"/>
      <c r="M3944" s="4"/>
      <c r="N3944" s="4"/>
    </row>
    <row r="3945">
      <c r="A3945" s="55"/>
      <c r="B3945" s="52"/>
      <c r="C3945" s="76"/>
      <c r="D3945" s="4"/>
      <c r="E3945" s="76"/>
      <c r="F3945" s="52"/>
      <c r="G3945" s="4"/>
      <c r="H3945" s="4"/>
      <c r="K3945" s="4"/>
      <c r="L3945" s="4"/>
      <c r="M3945" s="4"/>
      <c r="N3945" s="4"/>
    </row>
    <row r="3946">
      <c r="A3946" s="55"/>
      <c r="B3946" s="52"/>
      <c r="C3946" s="76"/>
      <c r="D3946" s="4"/>
      <c r="E3946" s="76"/>
      <c r="F3946" s="52"/>
      <c r="G3946" s="4"/>
      <c r="H3946" s="4"/>
      <c r="K3946" s="4"/>
      <c r="L3946" s="4"/>
      <c r="M3946" s="4"/>
      <c r="N3946" s="4"/>
    </row>
    <row r="3947">
      <c r="A3947" s="55"/>
      <c r="B3947" s="52"/>
      <c r="C3947" s="76"/>
      <c r="D3947" s="4"/>
      <c r="E3947" s="76"/>
      <c r="F3947" s="52"/>
      <c r="G3947" s="4"/>
      <c r="H3947" s="4"/>
      <c r="K3947" s="4"/>
      <c r="L3947" s="4"/>
      <c r="M3947" s="4"/>
      <c r="N3947" s="4"/>
    </row>
    <row r="3948">
      <c r="A3948" s="55" t="s">
        <v>15351</v>
      </c>
      <c r="B3948" s="52" t="s">
        <v>5790</v>
      </c>
      <c r="C3948" s="76">
        <v>46133.458333333336</v>
      </c>
      <c r="D3948" s="7" t="s">
        <v>2147</v>
      </c>
      <c r="E3948" s="76">
        <v>46133.5</v>
      </c>
      <c r="F3948" s="52" t="s">
        <v>15352</v>
      </c>
      <c r="G3948" s="4" t="s">
        <v>27</v>
      </c>
      <c r="H3948" s="4" t="s">
        <v>1991</v>
      </c>
      <c r="K3948" s="4" t="s">
        <v>15353</v>
      </c>
      <c r="L3948" s="4"/>
      <c r="M3948" s="4" t="s">
        <v>14272</v>
      </c>
      <c r="N3948" s="4">
        <v>1.0</v>
      </c>
    </row>
    <row r="3949">
      <c r="A3949" s="55" t="s">
        <v>15354</v>
      </c>
      <c r="B3949" s="52" t="s">
        <v>5798</v>
      </c>
      <c r="C3949" s="76">
        <v>46134.375</v>
      </c>
      <c r="D3949" s="7" t="s">
        <v>2147</v>
      </c>
      <c r="E3949" s="76">
        <v>46134.416666666664</v>
      </c>
      <c r="F3949" s="52" t="s">
        <v>15355</v>
      </c>
      <c r="G3949" s="4" t="s">
        <v>139</v>
      </c>
      <c r="H3949" s="4" t="s">
        <v>1991</v>
      </c>
      <c r="K3949" s="4" t="s">
        <v>15356</v>
      </c>
      <c r="L3949" s="4"/>
      <c r="M3949" s="4" t="s">
        <v>14272</v>
      </c>
      <c r="N3949" s="4">
        <v>1.0</v>
      </c>
    </row>
    <row r="3950">
      <c r="A3950" s="55" t="s">
        <v>15357</v>
      </c>
      <c r="B3950" s="52" t="s">
        <v>1611</v>
      </c>
      <c r="C3950" s="76">
        <v>46133.333333333336</v>
      </c>
      <c r="D3950" s="7" t="s">
        <v>2154</v>
      </c>
      <c r="E3950" s="76">
        <v>46133.395833333336</v>
      </c>
      <c r="F3950" s="52" t="s">
        <v>15358</v>
      </c>
      <c r="G3950" s="4" t="s">
        <v>27</v>
      </c>
      <c r="H3950" s="4" t="s">
        <v>1987</v>
      </c>
      <c r="K3950" s="4" t="s">
        <v>15359</v>
      </c>
      <c r="L3950" s="4" t="s">
        <v>15360</v>
      </c>
      <c r="M3950" s="4" t="s">
        <v>15361</v>
      </c>
      <c r="N3950" s="4">
        <v>1.0</v>
      </c>
    </row>
    <row r="3951">
      <c r="A3951" s="55" t="s">
        <v>15362</v>
      </c>
      <c r="B3951" s="52" t="s">
        <v>5801</v>
      </c>
      <c r="C3951" s="76">
        <v>46132.333333333336</v>
      </c>
      <c r="D3951" s="7" t="s">
        <v>2147</v>
      </c>
      <c r="E3951" s="76">
        <v>46132.375</v>
      </c>
      <c r="F3951" s="52" t="s">
        <v>15363</v>
      </c>
      <c r="G3951" s="4" t="s">
        <v>27</v>
      </c>
      <c r="H3951" s="4" t="s">
        <v>1987</v>
      </c>
      <c r="K3951" s="4" t="s">
        <v>15364</v>
      </c>
      <c r="L3951" s="4"/>
      <c r="M3951" s="4" t="s">
        <v>14272</v>
      </c>
      <c r="N3951" s="4">
        <v>1.0</v>
      </c>
    </row>
    <row r="3952">
      <c r="A3952" s="55" t="s">
        <v>15365</v>
      </c>
      <c r="B3952" s="52" t="s">
        <v>13847</v>
      </c>
      <c r="C3952" s="76">
        <v>46133.458333333336</v>
      </c>
      <c r="D3952" s="4"/>
      <c r="E3952" s="76">
        <v>46133.5</v>
      </c>
      <c r="F3952" s="52" t="s">
        <v>15352</v>
      </c>
      <c r="G3952" s="4" t="s">
        <v>27</v>
      </c>
      <c r="H3952" s="4" t="s">
        <v>1991</v>
      </c>
      <c r="I3952" s="5" t="s">
        <v>15366</v>
      </c>
      <c r="K3952" s="4"/>
      <c r="L3952" s="4"/>
      <c r="M3952" s="4"/>
      <c r="N3952" s="4"/>
    </row>
    <row r="3953">
      <c r="A3953" s="55"/>
      <c r="B3953" s="52"/>
      <c r="C3953" s="76"/>
      <c r="D3953" s="4"/>
      <c r="E3953" s="76"/>
      <c r="F3953" s="52"/>
      <c r="G3953" s="4"/>
      <c r="H3953" s="4"/>
      <c r="I3953" s="4"/>
      <c r="K3953" s="4"/>
      <c r="L3953" s="4"/>
      <c r="M3953" s="4"/>
      <c r="N3953" s="4"/>
    </row>
    <row r="3954">
      <c r="A3954" s="55" t="s">
        <v>15367</v>
      </c>
      <c r="B3954" s="52" t="s">
        <v>5596</v>
      </c>
      <c r="C3954" s="76">
        <v>46133.333333333336</v>
      </c>
      <c r="D3954" s="7" t="s">
        <v>2147</v>
      </c>
      <c r="E3954" s="76">
        <v>46133.375</v>
      </c>
      <c r="F3954" s="52" t="s">
        <v>15368</v>
      </c>
      <c r="G3954" s="4" t="s">
        <v>139</v>
      </c>
      <c r="H3954" s="4" t="s">
        <v>1987</v>
      </c>
      <c r="I3954" s="4"/>
      <c r="K3954" s="4" t="s">
        <v>15369</v>
      </c>
      <c r="L3954" s="4"/>
      <c r="M3954" s="4" t="s">
        <v>14272</v>
      </c>
      <c r="N3954" s="4">
        <v>1.0</v>
      </c>
    </row>
    <row r="3955">
      <c r="A3955" s="55" t="s">
        <v>15370</v>
      </c>
      <c r="B3955" s="52" t="s">
        <v>1611</v>
      </c>
      <c r="C3955" s="76">
        <v>46133.375</v>
      </c>
      <c r="D3955" s="7" t="s">
        <v>2154</v>
      </c>
      <c r="E3955" s="76">
        <v>46133.458333333336</v>
      </c>
      <c r="F3955" s="52" t="s">
        <v>15371</v>
      </c>
      <c r="G3955" s="4" t="s">
        <v>139</v>
      </c>
      <c r="H3955" s="4" t="s">
        <v>1987</v>
      </c>
      <c r="I3955" s="4"/>
      <c r="K3955" s="4" t="s">
        <v>15372</v>
      </c>
      <c r="L3955" s="4" t="s">
        <v>15373</v>
      </c>
      <c r="M3955" s="4" t="s">
        <v>14272</v>
      </c>
      <c r="N3955" s="4">
        <v>1.0</v>
      </c>
    </row>
    <row r="3956">
      <c r="A3956" s="55" t="s">
        <v>15374</v>
      </c>
      <c r="B3956" s="52" t="s">
        <v>5684</v>
      </c>
      <c r="C3956" s="76">
        <v>46133.458333333336</v>
      </c>
      <c r="D3956" s="7" t="s">
        <v>2154</v>
      </c>
      <c r="E3956" s="76">
        <v>46133.552083333336</v>
      </c>
      <c r="F3956" s="52" t="s">
        <v>15375</v>
      </c>
      <c r="G3956" s="4" t="s">
        <v>110</v>
      </c>
      <c r="H3956" s="4" t="s">
        <v>1987</v>
      </c>
      <c r="I3956" s="4"/>
      <c r="K3956" s="4" t="s">
        <v>15376</v>
      </c>
      <c r="L3956" s="4"/>
      <c r="M3956" s="4" t="s">
        <v>14289</v>
      </c>
      <c r="N3956" s="4">
        <v>1.0</v>
      </c>
    </row>
    <row r="3957">
      <c r="A3957" s="55" t="s">
        <v>15377</v>
      </c>
      <c r="B3957" s="52" t="s">
        <v>5729</v>
      </c>
      <c r="C3957" s="76">
        <v>46133.552083333336</v>
      </c>
      <c r="D3957" s="7" t="s">
        <v>2147</v>
      </c>
      <c r="E3957" s="76">
        <v>46133.583333333336</v>
      </c>
      <c r="F3957" s="52" t="s">
        <v>15326</v>
      </c>
      <c r="G3957" s="4" t="s">
        <v>110</v>
      </c>
      <c r="H3957" s="4" t="s">
        <v>1987</v>
      </c>
      <c r="I3957" s="4"/>
      <c r="K3957" s="4" t="s">
        <v>15378</v>
      </c>
      <c r="L3957" s="4" t="s">
        <v>15328</v>
      </c>
      <c r="M3957" s="4" t="s">
        <v>1846</v>
      </c>
      <c r="N3957" s="4">
        <v>1.0</v>
      </c>
    </row>
    <row r="3958">
      <c r="A3958" s="55" t="s">
        <v>15379</v>
      </c>
      <c r="B3958" s="52" t="s">
        <v>5596</v>
      </c>
      <c r="C3958" s="76">
        <v>46133.458333333336</v>
      </c>
      <c r="D3958" s="7" t="s">
        <v>2147</v>
      </c>
      <c r="E3958" s="76">
        <v>46133.5</v>
      </c>
      <c r="F3958" s="52" t="s">
        <v>15380</v>
      </c>
      <c r="G3958" s="4" t="s">
        <v>139</v>
      </c>
      <c r="H3958" s="4" t="s">
        <v>1987</v>
      </c>
      <c r="I3958" s="4"/>
      <c r="K3958" s="4" t="s">
        <v>15381</v>
      </c>
      <c r="L3958" s="4"/>
      <c r="M3958" s="4" t="s">
        <v>2353</v>
      </c>
      <c r="N3958" s="4">
        <v>1.0</v>
      </c>
    </row>
    <row r="3959">
      <c r="A3959" s="55" t="s">
        <v>15382</v>
      </c>
      <c r="B3959" s="52" t="s">
        <v>5798</v>
      </c>
      <c r="C3959" s="76">
        <v>46133.5</v>
      </c>
      <c r="D3959" s="7" t="s">
        <v>2147</v>
      </c>
      <c r="E3959" s="76">
        <v>46133.541666666664</v>
      </c>
      <c r="F3959" s="52" t="s">
        <v>15383</v>
      </c>
      <c r="G3959" s="4" t="s">
        <v>139</v>
      </c>
      <c r="H3959" s="4" t="s">
        <v>1987</v>
      </c>
      <c r="I3959" s="4"/>
      <c r="K3959" s="4" t="s">
        <v>15384</v>
      </c>
      <c r="L3959" s="4"/>
      <c r="M3959" s="4" t="s">
        <v>1895</v>
      </c>
      <c r="N3959" s="4">
        <v>1.0</v>
      </c>
    </row>
    <row r="3960">
      <c r="A3960" s="55" t="s">
        <v>15385</v>
      </c>
      <c r="B3960" s="52" t="s">
        <v>13847</v>
      </c>
      <c r="C3960" s="76">
        <v>46140.583333333336</v>
      </c>
      <c r="D3960" s="4"/>
      <c r="E3960" s="76">
        <v>46140.625</v>
      </c>
      <c r="F3960" s="52"/>
      <c r="G3960" s="4" t="s">
        <v>27</v>
      </c>
      <c r="H3960" s="4" t="s">
        <v>1991</v>
      </c>
      <c r="I3960" s="5" t="s">
        <v>15386</v>
      </c>
      <c r="K3960" s="4"/>
      <c r="L3960" s="4"/>
      <c r="M3960" s="4"/>
      <c r="N3960" s="4"/>
    </row>
    <row r="3961">
      <c r="A3961" s="55" t="s">
        <v>15387</v>
      </c>
      <c r="B3961" s="52" t="s">
        <v>1611</v>
      </c>
      <c r="C3961" s="76">
        <v>46133.645833333336</v>
      </c>
      <c r="D3961" s="7" t="s">
        <v>2154</v>
      </c>
      <c r="E3961" s="76">
        <v>46133.729166666664</v>
      </c>
      <c r="F3961" s="52" t="s">
        <v>15358</v>
      </c>
      <c r="G3961" s="4" t="s">
        <v>27</v>
      </c>
      <c r="H3961" s="4" t="s">
        <v>1987</v>
      </c>
      <c r="I3961" s="4"/>
      <c r="K3961" s="4" t="s">
        <v>15388</v>
      </c>
      <c r="L3961" s="4" t="s">
        <v>15389</v>
      </c>
      <c r="M3961" s="4" t="s">
        <v>15361</v>
      </c>
      <c r="N3961" s="4">
        <v>1.0</v>
      </c>
    </row>
    <row r="3962">
      <c r="A3962" s="55" t="s">
        <v>15390</v>
      </c>
      <c r="B3962" s="52" t="s">
        <v>1611</v>
      </c>
      <c r="C3962" s="76">
        <v>46135.395833333336</v>
      </c>
      <c r="D3962" s="7" t="s">
        <v>2147</v>
      </c>
      <c r="E3962" s="76">
        <v>46135.458333333336</v>
      </c>
      <c r="F3962" s="52" t="s">
        <v>15391</v>
      </c>
      <c r="G3962" s="4" t="s">
        <v>27</v>
      </c>
      <c r="H3962" s="4" t="s">
        <v>1991</v>
      </c>
      <c r="I3962" s="4"/>
      <c r="K3962" s="4" t="s">
        <v>15392</v>
      </c>
      <c r="L3962" s="4" t="s">
        <v>15393</v>
      </c>
      <c r="M3962" s="4" t="s">
        <v>14272</v>
      </c>
      <c r="N3962" s="4">
        <v>1.0</v>
      </c>
    </row>
    <row r="3963">
      <c r="A3963" s="55" t="s">
        <v>15394</v>
      </c>
      <c r="B3963" s="52" t="s">
        <v>5790</v>
      </c>
      <c r="C3963" s="76">
        <v>46133.75</v>
      </c>
      <c r="D3963" s="7" t="s">
        <v>2147</v>
      </c>
      <c r="E3963" s="76">
        <v>46133.791666666664</v>
      </c>
      <c r="F3963" s="52" t="s">
        <v>15395</v>
      </c>
      <c r="G3963" s="4" t="s">
        <v>27</v>
      </c>
      <c r="H3963" s="4" t="s">
        <v>1991</v>
      </c>
      <c r="I3963" s="4"/>
      <c r="K3963" s="4" t="s">
        <v>15396</v>
      </c>
      <c r="L3963" s="4"/>
      <c r="M3963" s="4" t="s">
        <v>14272</v>
      </c>
      <c r="N3963" s="4">
        <v>1.0</v>
      </c>
    </row>
    <row r="3964">
      <c r="A3964" s="55" t="s">
        <v>15397</v>
      </c>
      <c r="B3964" s="52" t="s">
        <v>13847</v>
      </c>
      <c r="C3964" s="76">
        <v>46133.833333333336</v>
      </c>
      <c r="D3964" s="4"/>
      <c r="E3964" s="76">
        <v>46133.875</v>
      </c>
      <c r="F3964" s="52"/>
      <c r="G3964" s="4" t="s">
        <v>27</v>
      </c>
      <c r="H3964" s="4" t="s">
        <v>1991</v>
      </c>
      <c r="I3964" s="5" t="s">
        <v>15398</v>
      </c>
      <c r="K3964" s="4"/>
      <c r="L3964" s="4"/>
      <c r="M3964" s="4"/>
      <c r="N3964" s="4"/>
    </row>
    <row r="3965">
      <c r="A3965" s="55" t="s">
        <v>15399</v>
      </c>
      <c r="B3965" s="52" t="s">
        <v>13847</v>
      </c>
      <c r="C3965" s="76">
        <v>46135.416666666664</v>
      </c>
      <c r="D3965" s="4"/>
      <c r="E3965" s="76">
        <v>46135.458333333336</v>
      </c>
      <c r="F3965" s="52" t="s">
        <v>15391</v>
      </c>
      <c r="G3965" s="4" t="s">
        <v>27</v>
      </c>
      <c r="H3965" s="4" t="s">
        <v>1991</v>
      </c>
      <c r="I3965" s="5" t="s">
        <v>15400</v>
      </c>
      <c r="K3965" s="4"/>
      <c r="L3965" s="4"/>
      <c r="M3965" s="4"/>
      <c r="N3965" s="4"/>
    </row>
    <row r="3966">
      <c r="A3966" s="55" t="s">
        <v>15401</v>
      </c>
      <c r="B3966" s="52" t="s">
        <v>13847</v>
      </c>
      <c r="C3966" s="76">
        <v>46135.458333333336</v>
      </c>
      <c r="D3966" s="4"/>
      <c r="E3966" s="76">
        <v>46135.5</v>
      </c>
      <c r="F3966" s="52" t="s">
        <v>15402</v>
      </c>
      <c r="G3966" s="4" t="s">
        <v>27</v>
      </c>
      <c r="H3966" s="4" t="s">
        <v>1991</v>
      </c>
      <c r="I3966" s="5" t="s">
        <v>15403</v>
      </c>
      <c r="K3966" s="4"/>
      <c r="L3966" s="4" t="s">
        <v>15404</v>
      </c>
      <c r="M3966" s="4" t="s">
        <v>14272</v>
      </c>
      <c r="N3966" s="4"/>
    </row>
    <row r="3967">
      <c r="A3967" s="55" t="s">
        <v>15405</v>
      </c>
      <c r="B3967" s="52" t="s">
        <v>13847</v>
      </c>
      <c r="C3967" s="76">
        <v>46133.75</v>
      </c>
      <c r="D3967" s="4"/>
      <c r="E3967" s="76">
        <v>46133.791666666664</v>
      </c>
      <c r="F3967" s="52" t="s">
        <v>15395</v>
      </c>
      <c r="G3967" s="4" t="s">
        <v>27</v>
      </c>
      <c r="H3967" s="4" t="s">
        <v>1991</v>
      </c>
      <c r="I3967" s="5" t="s">
        <v>15406</v>
      </c>
      <c r="K3967" s="4"/>
      <c r="L3967" s="4"/>
      <c r="M3967" s="4"/>
      <c r="N3967" s="4"/>
    </row>
    <row r="3968">
      <c r="A3968" s="55" t="s">
        <v>15407</v>
      </c>
      <c r="B3968" s="52" t="s">
        <v>13847</v>
      </c>
      <c r="C3968" s="76">
        <v>46134.375</v>
      </c>
      <c r="D3968" s="4"/>
      <c r="E3968" s="76">
        <v>46134.416666666664</v>
      </c>
      <c r="F3968" s="52" t="s">
        <v>15408</v>
      </c>
      <c r="G3968" s="4" t="s">
        <v>27</v>
      </c>
      <c r="H3968" s="4" t="s">
        <v>1991</v>
      </c>
      <c r="I3968" s="5" t="s">
        <v>15409</v>
      </c>
      <c r="K3968" s="4"/>
      <c r="L3968" s="4"/>
      <c r="M3968" s="4"/>
      <c r="N3968" s="4"/>
    </row>
    <row r="3969">
      <c r="A3969" s="55" t="s">
        <v>15410</v>
      </c>
      <c r="B3969" s="52" t="s">
        <v>13847</v>
      </c>
      <c r="C3969" s="76">
        <v>46135.458333333336</v>
      </c>
      <c r="D3969" s="4"/>
      <c r="E3969" s="76">
        <v>46135.5</v>
      </c>
      <c r="F3969" s="52" t="s">
        <v>15402</v>
      </c>
      <c r="G3969" s="4" t="s">
        <v>27</v>
      </c>
      <c r="H3969" s="4" t="s">
        <v>1991</v>
      </c>
      <c r="I3969" s="5" t="s">
        <v>15411</v>
      </c>
      <c r="K3969" s="4"/>
      <c r="L3969" s="4"/>
      <c r="M3969" s="4"/>
      <c r="N3969" s="4"/>
    </row>
    <row r="3970">
      <c r="A3970" s="55" t="s">
        <v>15412</v>
      </c>
      <c r="B3970" s="52" t="s">
        <v>5596</v>
      </c>
      <c r="C3970" s="76">
        <v>46134.333333333336</v>
      </c>
      <c r="D3970" s="7" t="s">
        <v>2147</v>
      </c>
      <c r="E3970" s="76">
        <v>46134.375</v>
      </c>
      <c r="F3970" s="52" t="s">
        <v>15413</v>
      </c>
      <c r="G3970" s="4" t="s">
        <v>139</v>
      </c>
      <c r="H3970" s="4" t="s">
        <v>1987</v>
      </c>
      <c r="I3970" s="4"/>
      <c r="K3970" s="4" t="s">
        <v>15414</v>
      </c>
      <c r="L3970" s="4"/>
      <c r="M3970" s="4" t="s">
        <v>1723</v>
      </c>
      <c r="N3970" s="4">
        <v>1.0</v>
      </c>
    </row>
    <row r="3971">
      <c r="A3971" s="55" t="s">
        <v>15415</v>
      </c>
      <c r="B3971" s="52" t="s">
        <v>5798</v>
      </c>
      <c r="C3971" s="76">
        <v>46134.416666666664</v>
      </c>
      <c r="D3971" s="7" t="s">
        <v>2154</v>
      </c>
      <c r="E3971" s="76">
        <v>46134.5</v>
      </c>
      <c r="F3971" s="52" t="s">
        <v>15416</v>
      </c>
      <c r="G3971" s="4" t="s">
        <v>139</v>
      </c>
      <c r="H3971" s="4" t="s">
        <v>1987</v>
      </c>
      <c r="I3971" s="4"/>
      <c r="K3971" s="4" t="s">
        <v>15417</v>
      </c>
      <c r="L3971" s="4"/>
      <c r="M3971" s="4" t="s">
        <v>1723</v>
      </c>
      <c r="N3971" s="4">
        <v>1.0</v>
      </c>
    </row>
    <row r="3972">
      <c r="A3972" s="55" t="s">
        <v>15418</v>
      </c>
      <c r="B3972" s="52" t="s">
        <v>5596</v>
      </c>
      <c r="C3972" s="76">
        <v>46134.5</v>
      </c>
      <c r="D3972" s="7" t="s">
        <v>6318</v>
      </c>
      <c r="E3972" s="76">
        <v>46134.520833333336</v>
      </c>
      <c r="F3972" s="52" t="s">
        <v>15419</v>
      </c>
      <c r="G3972" s="4" t="s">
        <v>139</v>
      </c>
      <c r="H3972" s="4" t="s">
        <v>1987</v>
      </c>
      <c r="I3972" s="4"/>
      <c r="K3972" s="4" t="s">
        <v>15420</v>
      </c>
      <c r="L3972" s="4"/>
      <c r="M3972" s="4" t="s">
        <v>14272</v>
      </c>
      <c r="N3972" s="4">
        <v>1.0</v>
      </c>
    </row>
    <row r="3973">
      <c r="A3973" s="55" t="s">
        <v>15421</v>
      </c>
      <c r="B3973" s="52" t="s">
        <v>1611</v>
      </c>
      <c r="C3973" s="76">
        <v>46134.520833333336</v>
      </c>
      <c r="D3973" s="7" t="s">
        <v>6318</v>
      </c>
      <c r="E3973" s="76">
        <v>46134.541666666664</v>
      </c>
      <c r="F3973" s="52" t="s">
        <v>15422</v>
      </c>
      <c r="G3973" s="4" t="s">
        <v>139</v>
      </c>
      <c r="H3973" s="4" t="s">
        <v>1987</v>
      </c>
      <c r="I3973" s="4"/>
      <c r="K3973" s="4" t="s">
        <v>15423</v>
      </c>
      <c r="L3973" s="4"/>
      <c r="M3973" s="4" t="s">
        <v>1895</v>
      </c>
      <c r="N3973" s="4">
        <v>1.0</v>
      </c>
    </row>
    <row r="3974">
      <c r="A3974" s="55" t="s">
        <v>15424</v>
      </c>
      <c r="B3974" s="52" t="s">
        <v>5656</v>
      </c>
      <c r="C3974" s="76">
        <v>46134.541666666664</v>
      </c>
      <c r="D3974" s="7" t="s">
        <v>6052</v>
      </c>
      <c r="E3974" s="76">
        <v>46134.75</v>
      </c>
      <c r="F3974" s="52" t="s">
        <v>15425</v>
      </c>
      <c r="G3974" s="4" t="s">
        <v>27</v>
      </c>
      <c r="H3974" s="4" t="s">
        <v>1987</v>
      </c>
      <c r="I3974" s="4"/>
      <c r="K3974" s="4" t="s">
        <v>15426</v>
      </c>
      <c r="L3974" s="4"/>
      <c r="M3974" s="4" t="s">
        <v>14272</v>
      </c>
      <c r="N3974" s="4">
        <v>1.0</v>
      </c>
    </row>
    <row r="3975">
      <c r="A3975" s="55" t="s">
        <v>15427</v>
      </c>
      <c r="B3975" s="52" t="s">
        <v>13847</v>
      </c>
      <c r="C3975" s="76">
        <v>46141.395833333336</v>
      </c>
      <c r="D3975" s="4"/>
      <c r="E3975" s="76">
        <v>46141.4375</v>
      </c>
      <c r="F3975" s="52" t="s">
        <v>15428</v>
      </c>
      <c r="G3975" s="4" t="s">
        <v>27</v>
      </c>
      <c r="H3975" s="4" t="s">
        <v>1991</v>
      </c>
      <c r="I3975" s="5" t="s">
        <v>15429</v>
      </c>
      <c r="K3975" s="4"/>
      <c r="L3975" s="4"/>
      <c r="M3975" s="4"/>
      <c r="N3975" s="4"/>
    </row>
    <row r="3976">
      <c r="A3976" s="55" t="s">
        <v>15430</v>
      </c>
      <c r="B3976" s="52" t="s">
        <v>1611</v>
      </c>
      <c r="C3976" s="76">
        <v>46135.333333333336</v>
      </c>
      <c r="D3976" s="7" t="s">
        <v>6052</v>
      </c>
      <c r="E3976" s="76">
        <v>46135.5</v>
      </c>
      <c r="F3976" s="52" t="s">
        <v>15431</v>
      </c>
      <c r="G3976" s="4" t="s">
        <v>139</v>
      </c>
      <c r="H3976" s="4" t="s">
        <v>1987</v>
      </c>
      <c r="I3976" s="4"/>
      <c r="K3976" s="4"/>
      <c r="L3976" s="4" t="s">
        <v>15432</v>
      </c>
      <c r="M3976" s="4" t="s">
        <v>1723</v>
      </c>
      <c r="N3976" s="4">
        <v>1.0</v>
      </c>
    </row>
    <row r="3977">
      <c r="A3977" s="55" t="s">
        <v>15433</v>
      </c>
      <c r="B3977" s="52" t="s">
        <v>5678</v>
      </c>
      <c r="C3977" s="76">
        <v>46135.354166666664</v>
      </c>
      <c r="D3977" s="7" t="s">
        <v>2147</v>
      </c>
      <c r="E3977" s="76">
        <v>46135.395833333336</v>
      </c>
      <c r="F3977" s="52" t="s">
        <v>15434</v>
      </c>
      <c r="G3977" s="4" t="s">
        <v>27</v>
      </c>
      <c r="H3977" s="4" t="s">
        <v>1987</v>
      </c>
      <c r="I3977" s="4"/>
      <c r="K3977" s="4" t="s">
        <v>15435</v>
      </c>
      <c r="L3977" s="4" t="s">
        <v>15436</v>
      </c>
      <c r="M3977" s="4" t="s">
        <v>14289</v>
      </c>
      <c r="N3977" s="4">
        <v>1.0</v>
      </c>
    </row>
    <row r="3978">
      <c r="A3978" s="55" t="s">
        <v>15437</v>
      </c>
      <c r="B3978" s="52" t="s">
        <v>5596</v>
      </c>
      <c r="C3978" s="76">
        <v>46135.5</v>
      </c>
      <c r="D3978" s="7" t="s">
        <v>2147</v>
      </c>
      <c r="E3978" s="76">
        <v>46135.541666666664</v>
      </c>
      <c r="F3978" s="52" t="s">
        <v>15438</v>
      </c>
      <c r="G3978" s="4" t="s">
        <v>139</v>
      </c>
      <c r="H3978" s="4" t="s">
        <v>1987</v>
      </c>
      <c r="I3978" s="4"/>
      <c r="K3978" s="4" t="s">
        <v>15439</v>
      </c>
      <c r="L3978" s="4"/>
      <c r="M3978" s="4" t="s">
        <v>14272</v>
      </c>
      <c r="N3978" s="4">
        <v>1.0</v>
      </c>
    </row>
    <row r="3979">
      <c r="A3979" s="55" t="s">
        <v>15440</v>
      </c>
      <c r="B3979" s="52" t="s">
        <v>5678</v>
      </c>
      <c r="C3979" s="76">
        <v>46135.76388888889</v>
      </c>
      <c r="D3979" s="7" t="s">
        <v>6318</v>
      </c>
      <c r="E3979" s="76">
        <v>46135.78472222222</v>
      </c>
      <c r="F3979" s="52" t="s">
        <v>15434</v>
      </c>
      <c r="G3979" s="4" t="s">
        <v>27</v>
      </c>
      <c r="H3979" s="4" t="s">
        <v>1987</v>
      </c>
      <c r="I3979" s="4"/>
      <c r="K3979" s="4" t="s">
        <v>15441</v>
      </c>
      <c r="L3979" s="4" t="s">
        <v>15436</v>
      </c>
      <c r="M3979" s="4" t="s">
        <v>14289</v>
      </c>
      <c r="N3979" s="4">
        <v>1.0</v>
      </c>
    </row>
    <row r="3980">
      <c r="A3980" s="55" t="s">
        <v>15442</v>
      </c>
      <c r="B3980" s="52" t="s">
        <v>1682</v>
      </c>
      <c r="C3980" s="76">
        <v>46135.583333333336</v>
      </c>
      <c r="D3980" s="7" t="s">
        <v>2147</v>
      </c>
      <c r="E3980" s="76">
        <v>46135.625</v>
      </c>
      <c r="F3980" s="52" t="s">
        <v>15443</v>
      </c>
      <c r="G3980" s="4" t="s">
        <v>143</v>
      </c>
      <c r="H3980" s="4" t="s">
        <v>1987</v>
      </c>
      <c r="I3980" s="4"/>
      <c r="K3980" s="4" t="s">
        <v>15444</v>
      </c>
      <c r="L3980" s="4"/>
      <c r="M3980" s="4" t="s">
        <v>2353</v>
      </c>
      <c r="N3980" s="4">
        <v>1.0</v>
      </c>
    </row>
    <row r="3981">
      <c r="A3981" s="55" t="s">
        <v>15445</v>
      </c>
      <c r="B3981" s="52" t="s">
        <v>5678</v>
      </c>
      <c r="C3981" s="76">
        <v>46136.354166666664</v>
      </c>
      <c r="D3981" s="7" t="s">
        <v>2147</v>
      </c>
      <c r="E3981" s="76">
        <v>46136.395833333336</v>
      </c>
      <c r="F3981" s="52" t="s">
        <v>15434</v>
      </c>
      <c r="G3981" s="4" t="s">
        <v>27</v>
      </c>
      <c r="H3981" s="4" t="s">
        <v>1987</v>
      </c>
      <c r="I3981" s="4"/>
      <c r="K3981" s="4" t="s">
        <v>15446</v>
      </c>
      <c r="L3981" s="4" t="s">
        <v>15436</v>
      </c>
      <c r="M3981" s="4" t="s">
        <v>14289</v>
      </c>
      <c r="N3981" s="4">
        <v>1.0</v>
      </c>
    </row>
    <row r="3982">
      <c r="A3982" s="55" t="s">
        <v>15447</v>
      </c>
      <c r="B3982" s="52" t="s">
        <v>5596</v>
      </c>
      <c r="C3982" s="76">
        <v>46136.4375</v>
      </c>
      <c r="D3982" s="7" t="s">
        <v>2147</v>
      </c>
      <c r="E3982" s="76">
        <v>46136.489583333336</v>
      </c>
      <c r="F3982" s="52" t="s">
        <v>15448</v>
      </c>
      <c r="G3982" s="4" t="s">
        <v>139</v>
      </c>
      <c r="H3982" s="4" t="s">
        <v>1987</v>
      </c>
      <c r="I3982" s="4"/>
      <c r="K3982" s="4"/>
      <c r="L3982" s="4" t="s">
        <v>15449</v>
      </c>
      <c r="M3982" s="4" t="s">
        <v>14272</v>
      </c>
      <c r="N3982" s="4">
        <v>1.0</v>
      </c>
    </row>
    <row r="3983">
      <c r="A3983" s="55" t="s">
        <v>15450</v>
      </c>
      <c r="B3983" s="52" t="s">
        <v>1611</v>
      </c>
      <c r="C3983" s="76">
        <v>46136.333333333336</v>
      </c>
      <c r="D3983" s="7" t="s">
        <v>2154</v>
      </c>
      <c r="E3983" s="76">
        <v>46136.4375</v>
      </c>
      <c r="F3983" s="52" t="s">
        <v>15451</v>
      </c>
      <c r="G3983" s="4" t="s">
        <v>139</v>
      </c>
      <c r="H3983" s="4" t="s">
        <v>1987</v>
      </c>
      <c r="I3983" s="4"/>
      <c r="K3983" s="4" t="s">
        <v>15452</v>
      </c>
      <c r="L3983" s="4"/>
      <c r="M3983" s="4" t="s">
        <v>1723</v>
      </c>
      <c r="N3983" s="4">
        <v>1.0</v>
      </c>
    </row>
    <row r="3984">
      <c r="A3984" s="55" t="s">
        <v>15453</v>
      </c>
      <c r="B3984" s="52" t="s">
        <v>1611</v>
      </c>
      <c r="C3984" s="76">
        <v>46139.333333333336</v>
      </c>
      <c r="D3984" s="7" t="s">
        <v>2154</v>
      </c>
      <c r="E3984" s="76">
        <v>46139.4375</v>
      </c>
      <c r="F3984" s="52" t="s">
        <v>15454</v>
      </c>
      <c r="G3984" s="4" t="s">
        <v>139</v>
      </c>
      <c r="H3984" s="4" t="s">
        <v>1987</v>
      </c>
      <c r="I3984" s="4"/>
      <c r="K3984" s="4" t="s">
        <v>15455</v>
      </c>
      <c r="L3984" s="4"/>
      <c r="M3984" s="4" t="s">
        <v>1723</v>
      </c>
      <c r="N3984" s="4">
        <v>1.0</v>
      </c>
    </row>
    <row r="3985">
      <c r="A3985" s="55" t="s">
        <v>15456</v>
      </c>
      <c r="B3985" s="52" t="s">
        <v>5729</v>
      </c>
      <c r="C3985" s="76">
        <v>46139.4375</v>
      </c>
      <c r="D3985" s="7" t="s">
        <v>2154</v>
      </c>
      <c r="E3985" s="76">
        <v>46139.541666666664</v>
      </c>
      <c r="F3985" s="52" t="s">
        <v>15457</v>
      </c>
      <c r="G3985" s="4" t="s">
        <v>139</v>
      </c>
      <c r="H3985" s="4" t="s">
        <v>1987</v>
      </c>
      <c r="I3985" s="4"/>
      <c r="K3985" s="4" t="s">
        <v>15458</v>
      </c>
      <c r="L3985" s="4"/>
      <c r="M3985" s="4" t="s">
        <v>1723</v>
      </c>
      <c r="N3985" s="4">
        <v>1.0</v>
      </c>
    </row>
    <row r="3986">
      <c r="A3986" s="55" t="s">
        <v>15459</v>
      </c>
      <c r="B3986" s="52" t="s">
        <v>5625</v>
      </c>
      <c r="C3986" s="76">
        <v>46141.333333333336</v>
      </c>
      <c r="D3986" s="7" t="s">
        <v>2154</v>
      </c>
      <c r="E3986" s="76">
        <v>46141.395833333336</v>
      </c>
      <c r="F3986" s="52" t="s">
        <v>15460</v>
      </c>
      <c r="G3986" s="4" t="s">
        <v>139</v>
      </c>
      <c r="H3986" s="4" t="s">
        <v>1987</v>
      </c>
      <c r="I3986" s="4"/>
      <c r="K3986" s="4" t="s">
        <v>15461</v>
      </c>
      <c r="L3986" s="4" t="s">
        <v>15462</v>
      </c>
      <c r="M3986" s="4" t="s">
        <v>1723</v>
      </c>
      <c r="N3986" s="4">
        <v>1.0</v>
      </c>
    </row>
    <row r="3987">
      <c r="A3987" s="55" t="s">
        <v>15463</v>
      </c>
      <c r="B3987" s="52" t="s">
        <v>5729</v>
      </c>
      <c r="C3987" s="76">
        <v>46140.333333333336</v>
      </c>
      <c r="D3987" s="7" t="s">
        <v>2154</v>
      </c>
      <c r="E3987" s="76">
        <v>46140.541666666664</v>
      </c>
      <c r="F3987" s="52" t="s">
        <v>15457</v>
      </c>
      <c r="G3987" s="4" t="s">
        <v>139</v>
      </c>
      <c r="H3987" s="4" t="s">
        <v>1987</v>
      </c>
      <c r="I3987" s="4"/>
      <c r="K3987" s="4" t="s">
        <v>15464</v>
      </c>
      <c r="L3987" s="4"/>
      <c r="M3987" s="4" t="s">
        <v>1723</v>
      </c>
      <c r="N3987" s="4">
        <v>1.0</v>
      </c>
    </row>
  </sheetData>
  <hyperlinks>
    <hyperlink r:id="rId1" ref="I172"/>
    <hyperlink r:id="rId2" ref="I3358"/>
    <hyperlink r:id="rId3" ref="I3359"/>
    <hyperlink r:id="rId4" ref="I3416"/>
    <hyperlink r:id="rId5" ref="I3473"/>
    <hyperlink r:id="rId6" ref="I3474"/>
    <hyperlink r:id="rId7" ref="I3489"/>
    <hyperlink r:id="rId8" ref="I3535"/>
    <hyperlink r:id="rId9" ref="I3540"/>
    <hyperlink r:id="rId10" ref="I3553"/>
    <hyperlink r:id="rId11" ref="I3577"/>
    <hyperlink r:id="rId12" ref="I3585"/>
    <hyperlink r:id="rId13" ref="I3641"/>
    <hyperlink r:id="rId14" ref="I3676"/>
    <hyperlink r:id="rId15" ref="I3739"/>
    <hyperlink r:id="rId16" ref="I3842"/>
    <hyperlink r:id="rId17" ref="I3883"/>
    <hyperlink r:id="rId18" ref="I3952"/>
    <hyperlink r:id="rId19" ref="I3960"/>
    <hyperlink r:id="rId20" ref="I3964"/>
    <hyperlink r:id="rId21" ref="I3965"/>
    <hyperlink r:id="rId22" ref="I3966"/>
    <hyperlink r:id="rId23" ref="I3967"/>
    <hyperlink r:id="rId24" ref="I3968"/>
    <hyperlink r:id="rId25" ref="I3969"/>
    <hyperlink r:id="rId26" ref="I3975"/>
  </hyperlinks>
  <printOptions gridLines="1" horizontalCentered="1"/>
  <pageMargins bottom="0.75" footer="0.0" header="0.0" left="0.7" right="0.7" top="0.75"/>
  <pageSetup fitToHeight="0" paperSize="9" cellComments="atEnd" orientation="landscape" pageOrder="overThenDown"/>
  <drawing r:id="rId2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4" t="s">
        <v>1</v>
      </c>
    </row>
    <row r="2">
      <c r="A2" s="3" t="s">
        <v>15465</v>
      </c>
    </row>
    <row r="3">
      <c r="A3" s="3" t="s">
        <v>15466</v>
      </c>
    </row>
    <row r="4">
      <c r="A4" s="3" t="s">
        <v>15467</v>
      </c>
    </row>
    <row r="5">
      <c r="A5" s="3" t="s">
        <v>15468</v>
      </c>
    </row>
    <row r="6">
      <c r="A6" s="3" t="s">
        <v>15469</v>
      </c>
    </row>
    <row r="7">
      <c r="A7" s="3" t="s">
        <v>15470</v>
      </c>
    </row>
    <row r="8">
      <c r="A8" s="3" t="s">
        <v>15471</v>
      </c>
    </row>
    <row r="9">
      <c r="A9" s="3" t="s">
        <v>15472</v>
      </c>
    </row>
    <row r="10">
      <c r="A10" s="3" t="s">
        <v>15473</v>
      </c>
    </row>
    <row r="11">
      <c r="A11" s="3" t="s">
        <v>15474</v>
      </c>
    </row>
    <row r="12">
      <c r="A12" s="3" t="s">
        <v>15475</v>
      </c>
    </row>
    <row r="13">
      <c r="A13" s="3" t="s">
        <v>15476</v>
      </c>
    </row>
    <row r="14">
      <c r="A14" s="3" t="s">
        <v>15477</v>
      </c>
    </row>
    <row r="15">
      <c r="A15" s="3" t="s">
        <v>15478</v>
      </c>
    </row>
    <row r="16">
      <c r="A16" s="3" t="s">
        <v>15479</v>
      </c>
    </row>
    <row r="17">
      <c r="A17" s="3" t="s">
        <v>15480</v>
      </c>
    </row>
    <row r="18">
      <c r="A18" s="3" t="s">
        <v>15481</v>
      </c>
    </row>
    <row r="19">
      <c r="A19" s="3" t="s">
        <v>15482</v>
      </c>
    </row>
    <row r="20">
      <c r="A20" s="3" t="s">
        <v>15483</v>
      </c>
    </row>
    <row r="21">
      <c r="A21" s="3" t="s">
        <v>15484</v>
      </c>
    </row>
    <row r="22">
      <c r="A22" s="3" t="s">
        <v>15485</v>
      </c>
    </row>
    <row r="23">
      <c r="A23" s="3" t="s">
        <v>15486</v>
      </c>
    </row>
    <row r="24">
      <c r="A24" s="3" t="s">
        <v>15487</v>
      </c>
    </row>
    <row r="25">
      <c r="A25" s="3" t="s">
        <v>15488</v>
      </c>
    </row>
    <row r="26">
      <c r="A26" s="3" t="s">
        <v>15489</v>
      </c>
    </row>
    <row r="27">
      <c r="A27" s="3" t="s">
        <v>15490</v>
      </c>
    </row>
    <row r="28">
      <c r="A28" s="3" t="s">
        <v>15491</v>
      </c>
    </row>
    <row r="29">
      <c r="A29" s="3" t="s">
        <v>15492</v>
      </c>
    </row>
    <row r="30">
      <c r="A30" s="3" t="s">
        <v>15493</v>
      </c>
    </row>
    <row r="31">
      <c r="A31" s="3" t="s">
        <v>15494</v>
      </c>
    </row>
    <row r="32">
      <c r="A32" s="3" t="s">
        <v>15495</v>
      </c>
    </row>
    <row r="33">
      <c r="A33" s="3" t="s">
        <v>15496</v>
      </c>
    </row>
    <row r="34">
      <c r="A34" s="3" t="s">
        <v>15497</v>
      </c>
    </row>
    <row r="35">
      <c r="A35" s="3" t="s">
        <v>15498</v>
      </c>
    </row>
    <row r="36">
      <c r="A36" s="3" t="s">
        <v>15499</v>
      </c>
    </row>
    <row r="37">
      <c r="A37" s="3" t="s">
        <v>15500</v>
      </c>
    </row>
    <row r="38">
      <c r="A38" s="3" t="s">
        <v>15501</v>
      </c>
    </row>
    <row r="39">
      <c r="A39" s="3" t="s">
        <v>15502</v>
      </c>
    </row>
    <row r="40">
      <c r="A40" s="3" t="s">
        <v>15503</v>
      </c>
    </row>
    <row r="41">
      <c r="A41" s="3" t="s">
        <v>15504</v>
      </c>
    </row>
    <row r="42">
      <c r="A42" s="3" t="s">
        <v>15505</v>
      </c>
    </row>
    <row r="43">
      <c r="A43" s="3" t="s">
        <v>15506</v>
      </c>
    </row>
    <row r="44">
      <c r="A44" s="3" t="s">
        <v>15507</v>
      </c>
    </row>
    <row r="45">
      <c r="A45" s="3" t="s">
        <v>15508</v>
      </c>
    </row>
    <row r="46">
      <c r="A46" s="3" t="s">
        <v>15509</v>
      </c>
    </row>
    <row r="47">
      <c r="A47" s="3" t="s">
        <v>15510</v>
      </c>
    </row>
    <row r="48">
      <c r="A48" s="3" t="s">
        <v>15511</v>
      </c>
    </row>
    <row r="49">
      <c r="A49" s="3" t="s">
        <v>15512</v>
      </c>
    </row>
    <row r="50">
      <c r="A50" s="3" t="s">
        <v>15513</v>
      </c>
    </row>
    <row r="51">
      <c r="A51" s="3" t="s">
        <v>15514</v>
      </c>
    </row>
    <row r="52">
      <c r="A52" s="3" t="s">
        <v>15515</v>
      </c>
    </row>
    <row r="53">
      <c r="A53" s="3" t="s">
        <v>15516</v>
      </c>
    </row>
    <row r="54">
      <c r="A54" s="78">
        <v>45292.0</v>
      </c>
    </row>
    <row r="55">
      <c r="A55" s="78">
        <v>45323.0</v>
      </c>
    </row>
    <row r="56">
      <c r="A56" s="78">
        <v>45352.0</v>
      </c>
    </row>
    <row r="57">
      <c r="A57" s="78">
        <v>45383.0</v>
      </c>
    </row>
    <row r="58">
      <c r="A58" s="78">
        <v>45413.0</v>
      </c>
    </row>
    <row r="59">
      <c r="A59" s="78">
        <v>45444.0</v>
      </c>
    </row>
    <row r="60">
      <c r="A60" s="78">
        <v>45474.0</v>
      </c>
    </row>
    <row r="61">
      <c r="A61" s="78">
        <v>45505.0</v>
      </c>
    </row>
    <row r="62">
      <c r="A62" s="78">
        <v>45536.0</v>
      </c>
    </row>
    <row r="63">
      <c r="A63" s="78">
        <v>45566.0</v>
      </c>
    </row>
    <row r="64">
      <c r="A64" s="78">
        <v>45597.0</v>
      </c>
    </row>
    <row r="65">
      <c r="A65" s="78">
        <v>45627.0</v>
      </c>
    </row>
    <row r="66">
      <c r="A66" s="79" t="s">
        <v>15517</v>
      </c>
    </row>
    <row r="67">
      <c r="A67" s="79" t="s">
        <v>15518</v>
      </c>
    </row>
    <row r="68">
      <c r="A68" s="79" t="s">
        <v>15519</v>
      </c>
    </row>
    <row r="69">
      <c r="A69" s="79" t="s">
        <v>15520</v>
      </c>
    </row>
    <row r="70">
      <c r="A70" s="79" t="s">
        <v>15521</v>
      </c>
    </row>
    <row r="71">
      <c r="A71" s="79" t="s">
        <v>15522</v>
      </c>
    </row>
    <row r="72">
      <c r="A72" s="79" t="s">
        <v>15523</v>
      </c>
    </row>
    <row r="73">
      <c r="A73" s="79" t="s">
        <v>15524</v>
      </c>
    </row>
    <row r="74">
      <c r="A74" s="79" t="s">
        <v>15525</v>
      </c>
    </row>
    <row r="75">
      <c r="A75" s="79" t="s">
        <v>15526</v>
      </c>
    </row>
    <row r="76">
      <c r="A76" s="79" t="s">
        <v>15527</v>
      </c>
    </row>
    <row r="77">
      <c r="A77" s="79" t="s">
        <v>15528</v>
      </c>
    </row>
    <row r="78">
      <c r="A78" s="79" t="s">
        <v>15529</v>
      </c>
    </row>
    <row r="79">
      <c r="A79" s="79" t="s">
        <v>15530</v>
      </c>
    </row>
    <row r="80">
      <c r="A80" s="79" t="s">
        <v>15531</v>
      </c>
    </row>
    <row r="81">
      <c r="A81" s="79" t="s">
        <v>15532</v>
      </c>
    </row>
    <row r="82">
      <c r="A82" s="79" t="s">
        <v>15533</v>
      </c>
    </row>
    <row r="83">
      <c r="A83" s="79" t="s">
        <v>15534</v>
      </c>
    </row>
    <row r="84">
      <c r="A84" s="79" t="s">
        <v>15535</v>
      </c>
    </row>
    <row r="85">
      <c r="A85" s="79" t="s">
        <v>15536</v>
      </c>
    </row>
    <row r="86">
      <c r="A86" s="79" t="s">
        <v>15537</v>
      </c>
    </row>
    <row r="87">
      <c r="A87" s="79" t="s">
        <v>15538</v>
      </c>
    </row>
    <row r="88">
      <c r="A88" s="79" t="s">
        <v>15539</v>
      </c>
    </row>
    <row r="89">
      <c r="A89" s="79" t="s">
        <v>15540</v>
      </c>
    </row>
    <row r="90">
      <c r="A90" s="79" t="s">
        <v>15541</v>
      </c>
    </row>
    <row r="91">
      <c r="A91" s="79" t="s">
        <v>15542</v>
      </c>
    </row>
    <row r="92">
      <c r="A92" s="79" t="s">
        <v>15543</v>
      </c>
    </row>
    <row r="93">
      <c r="A93" s="79" t="s">
        <v>15544</v>
      </c>
    </row>
    <row r="94">
      <c r="A94" s="79" t="s">
        <v>15545</v>
      </c>
    </row>
    <row r="95">
      <c r="A95" s="79" t="s">
        <v>15546</v>
      </c>
    </row>
    <row r="96">
      <c r="A96" s="79" t="s">
        <v>15547</v>
      </c>
    </row>
    <row r="97">
      <c r="A97" s="79" t="s">
        <v>15548</v>
      </c>
    </row>
    <row r="98">
      <c r="A98" s="79" t="s">
        <v>15549</v>
      </c>
    </row>
    <row r="99">
      <c r="A99" s="79" t="s">
        <v>15550</v>
      </c>
    </row>
    <row r="100">
      <c r="A100" s="79" t="s">
        <v>15551</v>
      </c>
    </row>
    <row r="101">
      <c r="A101" s="79" t="s">
        <v>15552</v>
      </c>
    </row>
    <row r="102">
      <c r="A102" s="79" t="s">
        <v>15553</v>
      </c>
    </row>
    <row r="103">
      <c r="A103" s="79" t="s">
        <v>15554</v>
      </c>
    </row>
    <row r="104">
      <c r="A104" s="79" t="s">
        <v>15555</v>
      </c>
    </row>
    <row r="105">
      <c r="A105" s="79" t="s">
        <v>15556</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3" max="3" width="11.75"/>
  </cols>
  <sheetData>
    <row r="1">
      <c r="A1" s="4" t="s">
        <v>15557</v>
      </c>
      <c r="B1" s="4" t="s">
        <v>5344</v>
      </c>
      <c r="C1" s="4" t="s">
        <v>15558</v>
      </c>
      <c r="D1" s="4" t="s">
        <v>146</v>
      </c>
    </row>
    <row r="2">
      <c r="A2" s="4" t="s">
        <v>15559</v>
      </c>
      <c r="B2" s="4" t="s">
        <v>5424</v>
      </c>
      <c r="C2" s="4" t="s">
        <v>15560</v>
      </c>
      <c r="D2" s="18">
        <v>45164.854537037034</v>
      </c>
    </row>
    <row r="3">
      <c r="A3" s="4" t="s">
        <v>15561</v>
      </c>
      <c r="B3" s="4" t="s">
        <v>5424</v>
      </c>
      <c r="C3" s="4" t="s">
        <v>15562</v>
      </c>
      <c r="D3" s="6">
        <v>45164.0</v>
      </c>
    </row>
    <row r="4">
      <c r="A4" s="7" t="s">
        <v>15563</v>
      </c>
      <c r="B4" s="4" t="s">
        <v>5467</v>
      </c>
      <c r="C4" s="4" t="s">
        <v>15564</v>
      </c>
      <c r="D4" s="6">
        <v>45164.0</v>
      </c>
    </row>
    <row r="5">
      <c r="A5" s="4" t="s">
        <v>15565</v>
      </c>
      <c r="B5" s="4" t="s">
        <v>4035</v>
      </c>
      <c r="C5" s="4" t="s">
        <v>15566</v>
      </c>
      <c r="D5" s="6">
        <v>45173.0</v>
      </c>
    </row>
    <row r="6">
      <c r="A6" s="7" t="s">
        <v>15567</v>
      </c>
      <c r="B6" s="4" t="s">
        <v>2174</v>
      </c>
      <c r="C6" s="4" t="s">
        <v>15568</v>
      </c>
      <c r="D6" s="6">
        <v>45173.0</v>
      </c>
    </row>
    <row r="7">
      <c r="A7" s="4" t="s">
        <v>15569</v>
      </c>
      <c r="B7" s="4" t="s">
        <v>2174</v>
      </c>
      <c r="C7" s="4" t="s">
        <v>15570</v>
      </c>
      <c r="D7" s="6">
        <v>45176.0</v>
      </c>
    </row>
    <row r="8">
      <c r="A8" s="4" t="s">
        <v>15571</v>
      </c>
      <c r="B8" s="4" t="s">
        <v>5435</v>
      </c>
      <c r="C8" s="4" t="s">
        <v>15572</v>
      </c>
      <c r="D8" s="6">
        <v>45182.0</v>
      </c>
    </row>
    <row r="9">
      <c r="A9" s="4" t="s">
        <v>15573</v>
      </c>
      <c r="B9" s="4" t="s">
        <v>5446</v>
      </c>
      <c r="C9" s="4" t="s">
        <v>15574</v>
      </c>
      <c r="D9" s="17">
        <v>45202.0</v>
      </c>
    </row>
    <row r="10">
      <c r="A10" s="4" t="s">
        <v>15575</v>
      </c>
      <c r="B10" s="4" t="s">
        <v>5435</v>
      </c>
      <c r="C10" s="4" t="s">
        <v>15576</v>
      </c>
      <c r="D10" s="17">
        <v>45203.0</v>
      </c>
    </row>
    <row r="11">
      <c r="A11" s="4" t="s">
        <v>15577</v>
      </c>
      <c r="B11" s="4" t="s">
        <v>5435</v>
      </c>
      <c r="C11" s="4" t="s">
        <v>15578</v>
      </c>
      <c r="D11" s="17">
        <v>45204.0</v>
      </c>
    </row>
    <row r="12">
      <c r="A12" s="4" t="s">
        <v>15579</v>
      </c>
      <c r="B12" s="4" t="s">
        <v>4035</v>
      </c>
      <c r="C12" s="4" t="s">
        <v>15580</v>
      </c>
      <c r="D12" s="17">
        <v>45208.0</v>
      </c>
    </row>
    <row r="13">
      <c r="A13" s="4" t="s">
        <v>15581</v>
      </c>
      <c r="B13" s="4" t="s">
        <v>5446</v>
      </c>
      <c r="C13" s="4" t="s">
        <v>15582</v>
      </c>
      <c r="D13" s="17">
        <v>45209.0</v>
      </c>
    </row>
    <row r="14">
      <c r="A14" s="4" t="s">
        <v>15583</v>
      </c>
      <c r="B14" s="4" t="s">
        <v>5446</v>
      </c>
      <c r="C14" s="4" t="s">
        <v>15584</v>
      </c>
      <c r="D14" s="17">
        <v>45209.0</v>
      </c>
    </row>
    <row r="15">
      <c r="A15" s="4" t="s">
        <v>15585</v>
      </c>
      <c r="B15" s="4" t="s">
        <v>4035</v>
      </c>
      <c r="C15" s="4" t="s">
        <v>15586</v>
      </c>
      <c r="D15" s="17">
        <v>45210.0</v>
      </c>
    </row>
    <row r="16">
      <c r="A16" s="4" t="s">
        <v>15587</v>
      </c>
      <c r="B16" s="4" t="s">
        <v>5435</v>
      </c>
      <c r="C16" s="4" t="s">
        <v>15588</v>
      </c>
      <c r="D16" s="17">
        <v>45210.0</v>
      </c>
    </row>
    <row r="17">
      <c r="A17" s="4" t="s">
        <v>15589</v>
      </c>
      <c r="B17" s="4" t="s">
        <v>4035</v>
      </c>
      <c r="C17" s="4" t="s">
        <v>15590</v>
      </c>
      <c r="D17" s="17">
        <v>45211.0</v>
      </c>
    </row>
    <row r="18">
      <c r="A18" s="4" t="s">
        <v>15591</v>
      </c>
      <c r="B18" s="4" t="s">
        <v>5461</v>
      </c>
      <c r="C18" s="4" t="s">
        <v>15592</v>
      </c>
      <c r="D18" s="17">
        <v>45212.0</v>
      </c>
    </row>
    <row r="19">
      <c r="A19" s="4" t="s">
        <v>15593</v>
      </c>
      <c r="B19" s="4" t="s">
        <v>5461</v>
      </c>
      <c r="C19" s="4" t="s">
        <v>15594</v>
      </c>
      <c r="D19" s="17">
        <v>45212.0</v>
      </c>
    </row>
    <row r="20">
      <c r="A20" s="4" t="s">
        <v>15595</v>
      </c>
      <c r="B20" s="4" t="s">
        <v>5453</v>
      </c>
      <c r="C20" s="4" t="s">
        <v>15596</v>
      </c>
      <c r="D20" s="17">
        <v>45226.0</v>
      </c>
    </row>
    <row r="21">
      <c r="A21" s="4" t="s">
        <v>15597</v>
      </c>
      <c r="B21" s="4" t="s">
        <v>5461</v>
      </c>
      <c r="C21" s="4" t="s">
        <v>15598</v>
      </c>
      <c r="D21" s="6">
        <v>45231.0</v>
      </c>
    </row>
    <row r="22">
      <c r="A22" s="4" t="s">
        <v>15599</v>
      </c>
      <c r="B22" s="4" t="s">
        <v>4009</v>
      </c>
      <c r="C22" s="4" t="s">
        <v>15600</v>
      </c>
      <c r="D22" s="6">
        <v>45236.0</v>
      </c>
    </row>
    <row r="23">
      <c r="A23" s="4" t="s">
        <v>15601</v>
      </c>
      <c r="B23" s="4" t="s">
        <v>5453</v>
      </c>
      <c r="C23" s="4" t="s">
        <v>15602</v>
      </c>
      <c r="D23" s="6">
        <v>45236.0</v>
      </c>
    </row>
    <row r="24">
      <c r="A24" s="4" t="s">
        <v>15603</v>
      </c>
      <c r="B24" s="4" t="s">
        <v>5461</v>
      </c>
      <c r="C24" s="4" t="s">
        <v>15604</v>
      </c>
      <c r="D24" s="6">
        <v>45238.0</v>
      </c>
    </row>
    <row r="25">
      <c r="A25" s="4" t="s">
        <v>15605</v>
      </c>
      <c r="B25" s="4" t="s">
        <v>5461</v>
      </c>
      <c r="C25" s="4" t="s">
        <v>15606</v>
      </c>
      <c r="D25" s="6">
        <v>45239.0</v>
      </c>
    </row>
    <row r="26">
      <c r="A26" s="4" t="s">
        <v>15607</v>
      </c>
      <c r="B26" s="4" t="s">
        <v>5453</v>
      </c>
      <c r="C26" s="4" t="s">
        <v>15608</v>
      </c>
      <c r="D26" s="17">
        <v>45240.0</v>
      </c>
    </row>
    <row r="27">
      <c r="A27" s="4" t="s">
        <v>15609</v>
      </c>
      <c r="B27" s="4" t="s">
        <v>5461</v>
      </c>
      <c r="C27" s="4" t="s">
        <v>15610</v>
      </c>
      <c r="D27" s="17">
        <v>45245.0</v>
      </c>
    </row>
    <row r="28">
      <c r="A28" s="4" t="s">
        <v>15611</v>
      </c>
      <c r="B28" s="4" t="s">
        <v>5461</v>
      </c>
      <c r="C28" s="4" t="s">
        <v>15612</v>
      </c>
      <c r="D28" s="17">
        <v>45252.0</v>
      </c>
    </row>
    <row r="29">
      <c r="A29" s="4" t="s">
        <v>15613</v>
      </c>
      <c r="B29" s="4" t="s">
        <v>4035</v>
      </c>
      <c r="C29" s="4" t="s">
        <v>15614</v>
      </c>
      <c r="D29" s="6">
        <v>45266.0</v>
      </c>
    </row>
    <row r="30">
      <c r="A30" s="4" t="s">
        <v>15615</v>
      </c>
      <c r="B30" s="4" t="s">
        <v>5461</v>
      </c>
      <c r="C30" s="4" t="s">
        <v>15616</v>
      </c>
      <c r="D30" s="6">
        <v>45266.0</v>
      </c>
    </row>
    <row r="31">
      <c r="A31" s="4" t="s">
        <v>15617</v>
      </c>
      <c r="B31" s="4" t="s">
        <v>5461</v>
      </c>
      <c r="C31" s="4" t="s">
        <v>15618</v>
      </c>
      <c r="D31" s="17">
        <v>45281.0</v>
      </c>
    </row>
    <row r="32">
      <c r="A32" s="4" t="s">
        <v>15619</v>
      </c>
      <c r="B32" s="4" t="s">
        <v>15620</v>
      </c>
      <c r="C32" s="4" t="s">
        <v>15621</v>
      </c>
      <c r="D32" s="17">
        <v>45281.0</v>
      </c>
    </row>
    <row r="33">
      <c r="A33" s="4" t="s">
        <v>15622</v>
      </c>
      <c r="B33" s="4" t="s">
        <v>5453</v>
      </c>
      <c r="C33" s="4" t="s">
        <v>15623</v>
      </c>
      <c r="D33" s="17">
        <v>45281.0</v>
      </c>
    </row>
    <row r="34">
      <c r="A34" s="4" t="s">
        <v>15624</v>
      </c>
      <c r="B34" s="4" t="s">
        <v>15620</v>
      </c>
      <c r="C34" s="4" t="s">
        <v>15625</v>
      </c>
      <c r="D34" s="6">
        <v>45294.0</v>
      </c>
    </row>
    <row r="35">
      <c r="A35" s="4" t="s">
        <v>15626</v>
      </c>
      <c r="B35" s="4" t="s">
        <v>5453</v>
      </c>
      <c r="C35" s="4" t="s">
        <v>15627</v>
      </c>
      <c r="D35" s="6">
        <v>45303.0</v>
      </c>
    </row>
    <row r="36">
      <c r="A36" s="4"/>
      <c r="B36" s="4"/>
      <c r="C36" s="4"/>
      <c r="D36" s="6"/>
    </row>
    <row r="37">
      <c r="A37" s="4" t="s">
        <v>15628</v>
      </c>
      <c r="B37" s="4" t="s">
        <v>5471</v>
      </c>
      <c r="C37" s="4" t="s">
        <v>15629</v>
      </c>
      <c r="D37" s="6">
        <v>45314.0</v>
      </c>
    </row>
    <row r="38">
      <c r="A38" s="4" t="s">
        <v>15630</v>
      </c>
      <c r="B38" s="4" t="s">
        <v>4078</v>
      </c>
      <c r="C38" s="4" t="s">
        <v>15631</v>
      </c>
      <c r="D38" s="6">
        <v>45314.0</v>
      </c>
    </row>
    <row r="39">
      <c r="A39" s="4" t="s">
        <v>15632</v>
      </c>
      <c r="B39" s="4" t="s">
        <v>5744</v>
      </c>
      <c r="C39" s="4" t="s">
        <v>15633</v>
      </c>
      <c r="D39" s="6">
        <v>45315.0</v>
      </c>
    </row>
    <row r="40">
      <c r="A40" s="4" t="s">
        <v>15634</v>
      </c>
      <c r="B40" s="4" t="s">
        <v>5471</v>
      </c>
      <c r="C40" s="4" t="s">
        <v>15635</v>
      </c>
      <c r="D40" s="6">
        <v>45321.0</v>
      </c>
    </row>
    <row r="41">
      <c r="A41" s="4" t="s">
        <v>15636</v>
      </c>
      <c r="B41" s="4" t="s">
        <v>5446</v>
      </c>
      <c r="C41" s="4" t="s">
        <v>15637</v>
      </c>
      <c r="D41" s="6">
        <v>45343.0</v>
      </c>
    </row>
    <row r="42">
      <c r="A42" s="4" t="s">
        <v>15638</v>
      </c>
      <c r="B42" s="4" t="s">
        <v>5744</v>
      </c>
      <c r="C42" s="4" t="s">
        <v>15639</v>
      </c>
      <c r="D42" s="6">
        <v>45321.0</v>
      </c>
    </row>
    <row r="43">
      <c r="A43" s="4" t="s">
        <v>15640</v>
      </c>
      <c r="B43" s="4" t="s">
        <v>5446</v>
      </c>
      <c r="C43" s="4" t="s">
        <v>15641</v>
      </c>
      <c r="D43" s="6">
        <v>45321.0</v>
      </c>
    </row>
    <row r="44">
      <c r="A44" s="4" t="s">
        <v>15642</v>
      </c>
      <c r="B44" s="4" t="s">
        <v>15620</v>
      </c>
      <c r="C44" s="4" t="s">
        <v>15643</v>
      </c>
      <c r="D44" s="6">
        <v>45328.0</v>
      </c>
    </row>
    <row r="45">
      <c r="A45" s="4" t="s">
        <v>15644</v>
      </c>
      <c r="B45" s="4" t="s">
        <v>4078</v>
      </c>
      <c r="C45" s="4" t="s">
        <v>15645</v>
      </c>
      <c r="D45" s="6">
        <v>45328.0</v>
      </c>
    </row>
    <row r="46">
      <c r="A46" s="4" t="s">
        <v>15646</v>
      </c>
      <c r="B46" s="4" t="s">
        <v>5471</v>
      </c>
      <c r="C46" s="4" t="s">
        <v>15647</v>
      </c>
      <c r="D46" s="6">
        <v>45328.0</v>
      </c>
    </row>
    <row r="47">
      <c r="A47" s="4" t="s">
        <v>15648</v>
      </c>
      <c r="B47" s="4" t="s">
        <v>4078</v>
      </c>
      <c r="C47" s="4" t="s">
        <v>15649</v>
      </c>
      <c r="D47" s="6">
        <v>45336.0</v>
      </c>
    </row>
    <row r="48">
      <c r="A48" s="4" t="s">
        <v>15650</v>
      </c>
      <c r="B48" s="4" t="s">
        <v>5744</v>
      </c>
      <c r="C48" s="4" t="s">
        <v>15651</v>
      </c>
      <c r="D48" s="6">
        <v>45343.0</v>
      </c>
    </row>
    <row r="49">
      <c r="A49" s="4" t="s">
        <v>15652</v>
      </c>
      <c r="B49" s="4" t="s">
        <v>5446</v>
      </c>
      <c r="C49" s="4" t="s">
        <v>15653</v>
      </c>
      <c r="D49" s="6">
        <v>45343.0</v>
      </c>
    </row>
    <row r="50">
      <c r="A50" s="4" t="s">
        <v>15654</v>
      </c>
      <c r="B50" s="4" t="s">
        <v>5487</v>
      </c>
      <c r="C50" s="4" t="s">
        <v>15655</v>
      </c>
      <c r="D50" s="6">
        <v>45345.0</v>
      </c>
    </row>
    <row r="51">
      <c r="A51" s="4" t="s">
        <v>15656</v>
      </c>
      <c r="B51" s="4" t="s">
        <v>5446</v>
      </c>
      <c r="C51" s="4" t="s">
        <v>15657</v>
      </c>
      <c r="D51" s="6">
        <v>45348.0</v>
      </c>
    </row>
    <row r="52">
      <c r="A52" s="4" t="s">
        <v>15658</v>
      </c>
      <c r="B52" s="7" t="s">
        <v>5481</v>
      </c>
      <c r="C52" s="4" t="s">
        <v>15659</v>
      </c>
      <c r="D52" s="6">
        <v>45350.0</v>
      </c>
    </row>
    <row r="53">
      <c r="A53" s="7" t="s">
        <v>15660</v>
      </c>
      <c r="B53" s="4" t="s">
        <v>5487</v>
      </c>
      <c r="C53" s="4" t="s">
        <v>15661</v>
      </c>
      <c r="D53" s="6">
        <v>45353.0</v>
      </c>
    </row>
    <row r="54">
      <c r="A54" s="4" t="s">
        <v>15662</v>
      </c>
      <c r="B54" s="4" t="s">
        <v>5446</v>
      </c>
      <c r="C54" s="4" t="s">
        <v>15663</v>
      </c>
      <c r="D54" s="6">
        <v>45353.0</v>
      </c>
    </row>
    <row r="55">
      <c r="A55" s="4" t="s">
        <v>15664</v>
      </c>
      <c r="B55" s="4" t="s">
        <v>5493</v>
      </c>
      <c r="C55" s="4" t="s">
        <v>15665</v>
      </c>
      <c r="D55" s="6">
        <v>45356.0</v>
      </c>
    </row>
    <row r="56">
      <c r="A56" s="4" t="s">
        <v>15666</v>
      </c>
      <c r="B56" s="7" t="s">
        <v>5481</v>
      </c>
      <c r="C56" s="4" t="s">
        <v>15667</v>
      </c>
      <c r="D56" s="6">
        <v>45356.0</v>
      </c>
    </row>
    <row r="57">
      <c r="A57" s="4" t="s">
        <v>15668</v>
      </c>
      <c r="B57" s="4" t="s">
        <v>5487</v>
      </c>
      <c r="C57" s="4" t="s">
        <v>15669</v>
      </c>
      <c r="D57" s="6">
        <v>45356.0</v>
      </c>
    </row>
    <row r="58">
      <c r="A58" s="4" t="s">
        <v>15670</v>
      </c>
      <c r="B58" s="4" t="s">
        <v>4078</v>
      </c>
      <c r="C58" s="4" t="s">
        <v>15671</v>
      </c>
      <c r="D58" s="6">
        <v>45364.0</v>
      </c>
    </row>
    <row r="59">
      <c r="A59" s="4" t="s">
        <v>15672</v>
      </c>
      <c r="B59" s="4" t="s">
        <v>5508</v>
      </c>
      <c r="C59" s="4" t="s">
        <v>15673</v>
      </c>
      <c r="D59" s="6">
        <v>45364.0</v>
      </c>
    </row>
    <row r="60">
      <c r="A60" s="4" t="s">
        <v>15674</v>
      </c>
      <c r="B60" s="4" t="s">
        <v>5498</v>
      </c>
      <c r="C60" s="4" t="s">
        <v>15675</v>
      </c>
      <c r="D60" s="6">
        <v>45365.0</v>
      </c>
    </row>
    <row r="61">
      <c r="A61" s="4" t="s">
        <v>15676</v>
      </c>
      <c r="B61" s="4" t="s">
        <v>5493</v>
      </c>
      <c r="C61" s="4" t="s">
        <v>15677</v>
      </c>
      <c r="D61" s="6">
        <v>45369.0</v>
      </c>
    </row>
    <row r="62">
      <c r="A62" s="4" t="s">
        <v>15678</v>
      </c>
      <c r="B62" s="4" t="s">
        <v>5446</v>
      </c>
      <c r="C62" s="4" t="s">
        <v>15679</v>
      </c>
      <c r="D62" s="6">
        <v>45369.0</v>
      </c>
    </row>
    <row r="63">
      <c r="A63" s="4" t="s">
        <v>15680</v>
      </c>
      <c r="B63" s="4" t="s">
        <v>5487</v>
      </c>
      <c r="C63" s="4" t="s">
        <v>15681</v>
      </c>
      <c r="D63" s="6">
        <v>45372.0</v>
      </c>
    </row>
    <row r="64">
      <c r="A64" s="4" t="s">
        <v>15682</v>
      </c>
      <c r="B64" s="4" t="s">
        <v>5498</v>
      </c>
      <c r="C64" s="4" t="s">
        <v>15683</v>
      </c>
      <c r="D64" s="6">
        <v>45372.0</v>
      </c>
    </row>
    <row r="65">
      <c r="A65" s="4" t="s">
        <v>15684</v>
      </c>
      <c r="B65" s="4" t="s">
        <v>4078</v>
      </c>
      <c r="C65" s="4" t="s">
        <v>15685</v>
      </c>
      <c r="D65" s="6">
        <v>45372.0</v>
      </c>
    </row>
    <row r="66">
      <c r="A66" s="4" t="s">
        <v>15686</v>
      </c>
      <c r="B66" s="4" t="s">
        <v>5503</v>
      </c>
      <c r="C66" s="4" t="s">
        <v>15687</v>
      </c>
      <c r="D66" s="6">
        <v>45377.0</v>
      </c>
    </row>
    <row r="67">
      <c r="A67" s="4" t="s">
        <v>15688</v>
      </c>
      <c r="B67" s="4" t="s">
        <v>5493</v>
      </c>
      <c r="C67" s="4" t="s">
        <v>15689</v>
      </c>
      <c r="D67" s="6">
        <v>45377.0</v>
      </c>
    </row>
    <row r="68">
      <c r="A68" s="4" t="s">
        <v>15690</v>
      </c>
      <c r="B68" s="4" t="s">
        <v>5498</v>
      </c>
      <c r="C68" s="4" t="s">
        <v>15691</v>
      </c>
      <c r="D68" s="6">
        <v>45379.0</v>
      </c>
    </row>
    <row r="69">
      <c r="A69" s="4"/>
      <c r="B69" s="4"/>
      <c r="C69" s="4"/>
      <c r="D69" s="6"/>
    </row>
    <row r="70">
      <c r="A70" s="4" t="s">
        <v>15692</v>
      </c>
      <c r="B70" s="4" t="s">
        <v>5516</v>
      </c>
      <c r="C70" s="4" t="s">
        <v>15693</v>
      </c>
      <c r="D70" s="6">
        <v>45390.0</v>
      </c>
    </row>
    <row r="71">
      <c r="A71" s="4" t="s">
        <v>15694</v>
      </c>
      <c r="B71" s="4" t="s">
        <v>5493</v>
      </c>
      <c r="C71" s="4" t="s">
        <v>15695</v>
      </c>
      <c r="D71" s="6">
        <v>45392.0</v>
      </c>
    </row>
    <row r="72">
      <c r="A72" s="4" t="s">
        <v>15696</v>
      </c>
      <c r="B72" s="4" t="s">
        <v>5446</v>
      </c>
      <c r="C72" s="4" t="s">
        <v>15697</v>
      </c>
      <c r="D72" s="6">
        <v>45392.0</v>
      </c>
    </row>
    <row r="73">
      <c r="A73" s="4" t="s">
        <v>15698</v>
      </c>
      <c r="B73" s="4" t="s">
        <v>5528</v>
      </c>
      <c r="C73" s="4" t="s">
        <v>15699</v>
      </c>
      <c r="D73" s="6">
        <v>45397.0</v>
      </c>
    </row>
    <row r="74">
      <c r="A74" s="4" t="s">
        <v>15700</v>
      </c>
      <c r="B74" s="4" t="s">
        <v>5520</v>
      </c>
      <c r="C74" s="4" t="s">
        <v>15701</v>
      </c>
      <c r="D74" s="6">
        <v>45400.0</v>
      </c>
    </row>
    <row r="75">
      <c r="A75" s="4" t="s">
        <v>15702</v>
      </c>
      <c r="B75" s="4" t="s">
        <v>5524</v>
      </c>
      <c r="C75" s="4" t="s">
        <v>15703</v>
      </c>
      <c r="D75" s="6">
        <v>45400.0</v>
      </c>
    </row>
    <row r="76">
      <c r="A76" s="4" t="s">
        <v>15704</v>
      </c>
      <c r="B76" s="4" t="s">
        <v>2198</v>
      </c>
      <c r="C76" s="4" t="s">
        <v>15705</v>
      </c>
      <c r="D76" s="6">
        <v>45404.0</v>
      </c>
    </row>
    <row r="77">
      <c r="A77" s="4" t="s">
        <v>15706</v>
      </c>
      <c r="B77" s="4" t="s">
        <v>5524</v>
      </c>
      <c r="C77" s="4" t="s">
        <v>15707</v>
      </c>
      <c r="D77" s="6">
        <v>45404.0</v>
      </c>
    </row>
    <row r="78">
      <c r="A78" s="4" t="s">
        <v>15708</v>
      </c>
      <c r="B78" s="4" t="s">
        <v>4586</v>
      </c>
      <c r="C78" s="4" t="s">
        <v>15709</v>
      </c>
      <c r="D78" s="6">
        <v>45406.0</v>
      </c>
    </row>
    <row r="79">
      <c r="A79" s="4" t="s">
        <v>15710</v>
      </c>
      <c r="B79" s="4" t="s">
        <v>5528</v>
      </c>
      <c r="C79" s="4" t="s">
        <v>15711</v>
      </c>
      <c r="D79" s="6">
        <v>45406.0</v>
      </c>
    </row>
    <row r="80">
      <c r="A80" s="4"/>
      <c r="B80" s="4"/>
      <c r="C80" s="4"/>
      <c r="D80" s="6"/>
    </row>
    <row r="81">
      <c r="A81" s="4" t="s">
        <v>15712</v>
      </c>
      <c r="B81" s="4" t="s">
        <v>5524</v>
      </c>
      <c r="C81" s="4" t="s">
        <v>15713</v>
      </c>
      <c r="D81" s="6">
        <v>45414.0</v>
      </c>
    </row>
    <row r="82">
      <c r="A82" s="4" t="s">
        <v>15714</v>
      </c>
      <c r="B82" s="4" t="s">
        <v>5516</v>
      </c>
      <c r="C82" s="4" t="s">
        <v>15715</v>
      </c>
      <c r="D82" s="6">
        <v>45414.0</v>
      </c>
    </row>
    <row r="83">
      <c r="A83" s="4" t="s">
        <v>15716</v>
      </c>
      <c r="B83" s="4" t="s">
        <v>5516</v>
      </c>
      <c r="C83" s="4" t="s">
        <v>15717</v>
      </c>
      <c r="D83" s="6">
        <v>45414.0</v>
      </c>
    </row>
    <row r="84">
      <c r="A84" s="4" t="s">
        <v>15718</v>
      </c>
      <c r="B84" s="4" t="s">
        <v>4586</v>
      </c>
      <c r="C84" s="4" t="s">
        <v>15719</v>
      </c>
      <c r="D84" s="6">
        <v>45421.0</v>
      </c>
    </row>
    <row r="85">
      <c r="A85" s="4"/>
      <c r="B85" s="4"/>
      <c r="C85" s="4"/>
      <c r="D85" s="6"/>
    </row>
    <row r="86">
      <c r="A86" s="4" t="s">
        <v>15720</v>
      </c>
      <c r="B86" s="4" t="s">
        <v>5520</v>
      </c>
      <c r="C86" s="4" t="s">
        <v>15721</v>
      </c>
      <c r="D86" s="6">
        <v>45430.0</v>
      </c>
    </row>
    <row r="87">
      <c r="A87" s="4" t="s">
        <v>15722</v>
      </c>
      <c r="B87" s="4" t="s">
        <v>2152</v>
      </c>
      <c r="C87" s="4" t="s">
        <v>15723</v>
      </c>
      <c r="D87" s="6">
        <v>45439.0</v>
      </c>
    </row>
    <row r="88">
      <c r="A88" s="4" t="s">
        <v>15724</v>
      </c>
      <c r="B88" s="4" t="s">
        <v>5542</v>
      </c>
      <c r="C88" s="4" t="s">
        <v>15725</v>
      </c>
      <c r="D88" s="6">
        <v>45457.0</v>
      </c>
    </row>
    <row r="89">
      <c r="A89" s="4" t="s">
        <v>15726</v>
      </c>
      <c r="B89" s="4" t="s">
        <v>4586</v>
      </c>
      <c r="C89" s="4" t="s">
        <v>15727</v>
      </c>
      <c r="D89" s="6">
        <v>45467.0</v>
      </c>
    </row>
    <row r="90">
      <c r="A90" s="4" t="s">
        <v>15728</v>
      </c>
      <c r="B90" s="4" t="s">
        <v>4586</v>
      </c>
      <c r="C90" s="4" t="s">
        <v>15729</v>
      </c>
      <c r="D90" s="6">
        <v>45467.0</v>
      </c>
    </row>
    <row r="91">
      <c r="A91" s="4" t="s">
        <v>15730</v>
      </c>
      <c r="B91" s="4" t="s">
        <v>5546</v>
      </c>
      <c r="C91" s="4" t="s">
        <v>15731</v>
      </c>
      <c r="D91" s="6">
        <v>45480.0</v>
      </c>
    </row>
    <row r="92">
      <c r="A92" s="4" t="s">
        <v>15732</v>
      </c>
      <c r="B92" s="4" t="s">
        <v>5550</v>
      </c>
      <c r="C92" s="4" t="s">
        <v>15733</v>
      </c>
      <c r="D92" s="6">
        <v>45481.0</v>
      </c>
    </row>
    <row r="93">
      <c r="A93" s="4" t="s">
        <v>15734</v>
      </c>
      <c r="B93" s="4" t="s">
        <v>5550</v>
      </c>
      <c r="C93" s="4" t="s">
        <v>15735</v>
      </c>
      <c r="D93" s="6">
        <v>45484.0</v>
      </c>
    </row>
    <row r="94">
      <c r="A94" s="4" t="s">
        <v>15736</v>
      </c>
      <c r="B94" s="4" t="s">
        <v>5550</v>
      </c>
      <c r="C94" s="4" t="s">
        <v>15737</v>
      </c>
      <c r="D94" s="6">
        <v>45495.0</v>
      </c>
    </row>
    <row r="95">
      <c r="A95" s="4" t="s">
        <v>15738</v>
      </c>
      <c r="B95" s="4" t="s">
        <v>5550</v>
      </c>
      <c r="C95" s="4" t="s">
        <v>15739</v>
      </c>
      <c r="D95" s="6">
        <v>45499.0</v>
      </c>
    </row>
    <row r="96">
      <c r="A96" s="4" t="s">
        <v>15740</v>
      </c>
      <c r="B96" s="4" t="s">
        <v>5554</v>
      </c>
      <c r="C96" s="4" t="s">
        <v>15741</v>
      </c>
      <c r="D96" s="6">
        <v>45504.0</v>
      </c>
    </row>
    <row r="97">
      <c r="A97" s="4" t="s">
        <v>15742</v>
      </c>
      <c r="B97" s="4" t="s">
        <v>5554</v>
      </c>
      <c r="C97" s="4" t="s">
        <v>15743</v>
      </c>
      <c r="D97" s="6">
        <v>45510.0</v>
      </c>
    </row>
    <row r="98">
      <c r="A98" s="4" t="s">
        <v>15744</v>
      </c>
      <c r="B98" s="4" t="s">
        <v>2191</v>
      </c>
      <c r="C98" s="4" t="s">
        <v>15745</v>
      </c>
      <c r="D98" s="6">
        <v>45511.0</v>
      </c>
    </row>
    <row r="99">
      <c r="A99" s="4" t="s">
        <v>15746</v>
      </c>
      <c r="B99" s="4" t="s">
        <v>5550</v>
      </c>
      <c r="C99" s="4" t="s">
        <v>15747</v>
      </c>
      <c r="D99" s="6">
        <v>45511.0</v>
      </c>
    </row>
    <row r="100">
      <c r="A100" s="4" t="s">
        <v>15748</v>
      </c>
      <c r="B100" s="4" t="s">
        <v>5554</v>
      </c>
      <c r="C100" s="4" t="s">
        <v>15749</v>
      </c>
      <c r="D100" s="6">
        <v>45516.0</v>
      </c>
    </row>
    <row r="101">
      <c r="A101" s="4" t="s">
        <v>15750</v>
      </c>
      <c r="B101" s="4" t="s">
        <v>5562</v>
      </c>
      <c r="C101" s="4" t="s">
        <v>15751</v>
      </c>
      <c r="D101" s="6">
        <v>45516.0</v>
      </c>
    </row>
    <row r="102">
      <c r="A102" s="4" t="s">
        <v>15752</v>
      </c>
      <c r="B102" s="4" t="s">
        <v>5562</v>
      </c>
      <c r="C102" s="4" t="s">
        <v>15753</v>
      </c>
      <c r="D102" s="6">
        <v>45523.0</v>
      </c>
    </row>
    <row r="103">
      <c r="A103" s="4" t="s">
        <v>15754</v>
      </c>
      <c r="B103" s="4" t="s">
        <v>2191</v>
      </c>
      <c r="C103" s="4" t="s">
        <v>15755</v>
      </c>
      <c r="D103" s="6">
        <v>45523.0</v>
      </c>
    </row>
    <row r="104">
      <c r="A104" s="4" t="s">
        <v>15756</v>
      </c>
      <c r="B104" s="4" t="s">
        <v>2191</v>
      </c>
      <c r="C104" s="4" t="s">
        <v>15757</v>
      </c>
      <c r="D104" s="6">
        <v>45526.0</v>
      </c>
    </row>
    <row r="105">
      <c r="A105" s="4" t="s">
        <v>15758</v>
      </c>
      <c r="B105" s="4" t="s">
        <v>4220</v>
      </c>
      <c r="C105" s="4" t="s">
        <v>15759</v>
      </c>
      <c r="D105" s="6">
        <v>45527.0</v>
      </c>
    </row>
    <row r="106">
      <c r="A106" s="7" t="s">
        <v>15760</v>
      </c>
      <c r="B106" s="4" t="s">
        <v>2195</v>
      </c>
      <c r="C106" s="4" t="s">
        <v>15761</v>
      </c>
      <c r="D106" s="6">
        <v>45532.0</v>
      </c>
    </row>
    <row r="107">
      <c r="A107" s="4" t="s">
        <v>15762</v>
      </c>
      <c r="B107" s="4" t="s">
        <v>2156</v>
      </c>
      <c r="C107" s="4" t="s">
        <v>15763</v>
      </c>
      <c r="D107" s="17">
        <v>45607.0</v>
      </c>
    </row>
    <row r="108">
      <c r="A108" s="4" t="s">
        <v>15764</v>
      </c>
      <c r="B108" s="4" t="s">
        <v>5582</v>
      </c>
      <c r="C108" s="4" t="s">
        <v>15765</v>
      </c>
      <c r="D108" s="17">
        <v>45643.0</v>
      </c>
    </row>
    <row r="109">
      <c r="A109" s="4" t="s">
        <v>15766</v>
      </c>
      <c r="B109" s="4" t="s">
        <v>5582</v>
      </c>
      <c r="C109" s="4" t="s">
        <v>15767</v>
      </c>
      <c r="D109" s="6">
        <v>45665.0</v>
      </c>
    </row>
    <row r="110">
      <c r="A110" s="4" t="s">
        <v>15768</v>
      </c>
      <c r="B110" s="4" t="s">
        <v>5586</v>
      </c>
      <c r="C110" s="4" t="s">
        <v>15769</v>
      </c>
      <c r="D110" s="6">
        <v>45667.0</v>
      </c>
    </row>
    <row r="111">
      <c r="A111" s="4" t="s">
        <v>15770</v>
      </c>
      <c r="B111" s="4" t="s">
        <v>4365</v>
      </c>
      <c r="C111" s="4" t="s">
        <v>15771</v>
      </c>
      <c r="D111" s="6">
        <v>45699.0</v>
      </c>
    </row>
    <row r="112">
      <c r="A112" s="4" t="s">
        <v>15772</v>
      </c>
      <c r="B112" s="4" t="s">
        <v>5601</v>
      </c>
      <c r="C112" s="4" t="s">
        <v>15773</v>
      </c>
      <c r="D112" s="6">
        <v>45715.0</v>
      </c>
    </row>
    <row r="113">
      <c r="A113" s="4" t="s">
        <v>15774</v>
      </c>
      <c r="B113" s="4" t="s">
        <v>5606</v>
      </c>
      <c r="C113" s="4" t="s">
        <v>15775</v>
      </c>
      <c r="D113" s="6">
        <v>45716.0</v>
      </c>
    </row>
    <row r="114">
      <c r="A114" s="4" t="s">
        <v>15776</v>
      </c>
      <c r="B114" s="4" t="s">
        <v>5610</v>
      </c>
      <c r="C114" s="4" t="s">
        <v>15777</v>
      </c>
      <c r="D114" s="6">
        <v>45716.0</v>
      </c>
    </row>
    <row r="115">
      <c r="A115" s="4" t="s">
        <v>15778</v>
      </c>
      <c r="B115" s="4" t="s">
        <v>5610</v>
      </c>
      <c r="C115" s="4" t="s">
        <v>15779</v>
      </c>
      <c r="D115" s="6">
        <v>45722.0</v>
      </c>
    </row>
    <row r="116">
      <c r="A116" s="4" t="s">
        <v>15780</v>
      </c>
      <c r="B116" s="4" t="s">
        <v>5606</v>
      </c>
      <c r="C116" s="4" t="s">
        <v>15781</v>
      </c>
      <c r="D116" s="6">
        <v>45728.0</v>
      </c>
    </row>
    <row r="117">
      <c r="A117" s="4" t="s">
        <v>15782</v>
      </c>
      <c r="B117" s="4" t="s">
        <v>5614</v>
      </c>
      <c r="C117" s="4" t="s">
        <v>15783</v>
      </c>
      <c r="D117" s="6">
        <v>45733.0</v>
      </c>
    </row>
    <row r="118">
      <c r="A118" s="4" t="s">
        <v>15784</v>
      </c>
      <c r="B118" s="4" t="s">
        <v>5614</v>
      </c>
      <c r="C118" s="4" t="s">
        <v>15785</v>
      </c>
      <c r="D118" s="6">
        <v>45742.0</v>
      </c>
    </row>
    <row r="119">
      <c r="A119" s="4" t="s">
        <v>15786</v>
      </c>
      <c r="B119" s="4" t="s">
        <v>5601</v>
      </c>
      <c r="C119" s="4" t="s">
        <v>15787</v>
      </c>
      <c r="D119" s="6">
        <v>45742.0</v>
      </c>
    </row>
    <row r="120">
      <c r="A120" s="4" t="s">
        <v>15788</v>
      </c>
      <c r="B120" s="4" t="s">
        <v>5621</v>
      </c>
      <c r="C120" s="4" t="s">
        <v>15789</v>
      </c>
      <c r="D120" s="6">
        <v>45742.0</v>
      </c>
    </row>
    <row r="121">
      <c r="A121" s="4" t="s">
        <v>15790</v>
      </c>
      <c r="B121" s="4" t="s">
        <v>5624</v>
      </c>
      <c r="C121" s="4" t="s">
        <v>15791</v>
      </c>
      <c r="D121" s="6">
        <v>45747.0</v>
      </c>
    </row>
    <row r="122">
      <c r="A122" s="4"/>
      <c r="B122" s="4"/>
      <c r="C122" s="4"/>
      <c r="D122" s="6"/>
    </row>
    <row r="123">
      <c r="A123" s="4" t="s">
        <v>15792</v>
      </c>
      <c r="B123" s="4" t="s">
        <v>5621</v>
      </c>
      <c r="C123" s="4" t="s">
        <v>15793</v>
      </c>
      <c r="D123" s="6">
        <v>45751.0</v>
      </c>
    </row>
    <row r="124">
      <c r="A124" s="4" t="s">
        <v>15794</v>
      </c>
      <c r="B124" s="4" t="s">
        <v>2225</v>
      </c>
      <c r="C124" s="4" t="s">
        <v>15795</v>
      </c>
      <c r="D124" s="6">
        <v>45751.0</v>
      </c>
    </row>
    <row r="125">
      <c r="A125" s="4" t="s">
        <v>15796</v>
      </c>
      <c r="B125" s="4" t="s">
        <v>5637</v>
      </c>
      <c r="C125" s="4" t="s">
        <v>15797</v>
      </c>
      <c r="D125" s="6">
        <v>45754.0</v>
      </c>
    </row>
    <row r="126">
      <c r="A126" s="4" t="s">
        <v>15798</v>
      </c>
      <c r="B126" s="4" t="s">
        <v>5624</v>
      </c>
      <c r="C126" s="4" t="s">
        <v>15799</v>
      </c>
      <c r="D126" s="6">
        <v>45756.0</v>
      </c>
    </row>
    <row r="127">
      <c r="A127" s="4" t="s">
        <v>15800</v>
      </c>
      <c r="B127" s="4" t="s">
        <v>5632</v>
      </c>
      <c r="C127" s="4" t="s">
        <v>15801</v>
      </c>
      <c r="D127" s="6">
        <v>45757.0</v>
      </c>
    </row>
    <row r="128">
      <c r="A128" s="4" t="s">
        <v>15802</v>
      </c>
      <c r="B128" s="4" t="s">
        <v>5637</v>
      </c>
      <c r="C128" s="4" t="s">
        <v>15803</v>
      </c>
      <c r="D128" s="6">
        <v>45761.0</v>
      </c>
    </row>
    <row r="129">
      <c r="A129" s="4" t="s">
        <v>15804</v>
      </c>
      <c r="B129" s="4" t="s">
        <v>4444</v>
      </c>
      <c r="C129" s="4" t="s">
        <v>15805</v>
      </c>
      <c r="D129" s="6">
        <v>45762.0</v>
      </c>
    </row>
    <row r="130">
      <c r="A130" s="4" t="s">
        <v>15806</v>
      </c>
      <c r="B130" s="4" t="s">
        <v>5632</v>
      </c>
      <c r="C130" s="4" t="s">
        <v>15807</v>
      </c>
      <c r="D130" s="6">
        <v>45764.0</v>
      </c>
    </row>
    <row r="131">
      <c r="A131" s="4" t="s">
        <v>15808</v>
      </c>
      <c r="B131" s="4" t="s">
        <v>5637</v>
      </c>
      <c r="C131" s="4" t="s">
        <v>15809</v>
      </c>
      <c r="D131" s="6">
        <v>45770.0</v>
      </c>
    </row>
    <row r="132">
      <c r="A132" s="4" t="s">
        <v>15810</v>
      </c>
      <c r="B132" s="4" t="s">
        <v>4035</v>
      </c>
      <c r="C132" s="4" t="s">
        <v>15811</v>
      </c>
      <c r="D132" s="6">
        <v>45776.0</v>
      </c>
    </row>
    <row r="133">
      <c r="A133" s="4" t="s">
        <v>15812</v>
      </c>
      <c r="B133" s="4" t="s">
        <v>5651</v>
      </c>
      <c r="C133" s="4" t="s">
        <v>15813</v>
      </c>
      <c r="D133" s="6">
        <v>45785.0</v>
      </c>
    </row>
    <row r="134">
      <c r="A134" s="7" t="s">
        <v>15814</v>
      </c>
      <c r="B134" s="4" t="s">
        <v>2156</v>
      </c>
      <c r="C134" s="4" t="s">
        <v>15815</v>
      </c>
      <c r="D134" s="6">
        <v>45789.0</v>
      </c>
    </row>
    <row r="135">
      <c r="A135" s="4" t="s">
        <v>15816</v>
      </c>
      <c r="B135" s="4" t="s">
        <v>82</v>
      </c>
      <c r="C135" s="4" t="s">
        <v>15817</v>
      </c>
      <c r="D135" s="6">
        <v>45792.0</v>
      </c>
    </row>
    <row r="136">
      <c r="A136" s="4" t="s">
        <v>15818</v>
      </c>
      <c r="B136" s="4" t="s">
        <v>82</v>
      </c>
      <c r="C136" s="4" t="s">
        <v>15819</v>
      </c>
      <c r="D136" s="6">
        <v>45796.0</v>
      </c>
    </row>
    <row r="137">
      <c r="A137" s="4" t="s">
        <v>15820</v>
      </c>
      <c r="B137" s="4" t="s">
        <v>4515</v>
      </c>
      <c r="C137" s="4" t="s">
        <v>15821</v>
      </c>
      <c r="D137" s="6">
        <v>45810.0</v>
      </c>
    </row>
    <row r="138">
      <c r="A138" s="4" t="s">
        <v>15822</v>
      </c>
      <c r="B138" s="4" t="s">
        <v>2191</v>
      </c>
      <c r="C138" s="4" t="s">
        <v>15823</v>
      </c>
      <c r="D138" s="6">
        <v>45817.0</v>
      </c>
    </row>
    <row r="139">
      <c r="A139" s="4" t="s">
        <v>15824</v>
      </c>
      <c r="B139" s="4" t="s">
        <v>5651</v>
      </c>
      <c r="C139" s="4" t="s">
        <v>15825</v>
      </c>
      <c r="D139" s="6">
        <v>45817.0</v>
      </c>
    </row>
    <row r="140">
      <c r="A140" s="4" t="s">
        <v>15826</v>
      </c>
      <c r="B140" s="4" t="s">
        <v>5663</v>
      </c>
      <c r="C140" s="4" t="s">
        <v>15827</v>
      </c>
      <c r="D140" s="6">
        <v>45819.0</v>
      </c>
    </row>
    <row r="141">
      <c r="A141" s="4" t="s">
        <v>15828</v>
      </c>
      <c r="B141" s="4" t="s">
        <v>4504</v>
      </c>
      <c r="C141" s="4" t="s">
        <v>15829</v>
      </c>
      <c r="D141" s="6">
        <v>45839.0</v>
      </c>
    </row>
    <row r="142">
      <c r="A142" s="4" t="s">
        <v>15830</v>
      </c>
      <c r="B142" s="4" t="s">
        <v>5680</v>
      </c>
      <c r="C142" s="4" t="s">
        <v>15831</v>
      </c>
      <c r="D142" s="6">
        <v>45859.0</v>
      </c>
    </row>
    <row r="143">
      <c r="A143" s="4" t="s">
        <v>15832</v>
      </c>
      <c r="B143" s="4" t="s">
        <v>5688</v>
      </c>
      <c r="C143" s="4" t="s">
        <v>15833</v>
      </c>
      <c r="D143" s="6">
        <v>45875.0</v>
      </c>
    </row>
    <row r="144">
      <c r="A144" s="4" t="s">
        <v>15834</v>
      </c>
      <c r="B144" s="4" t="s">
        <v>5692</v>
      </c>
      <c r="C144" s="4" t="s">
        <v>15835</v>
      </c>
      <c r="D144" s="6">
        <v>45875.0</v>
      </c>
    </row>
    <row r="145">
      <c r="A145" s="4" t="s">
        <v>15836</v>
      </c>
      <c r="B145" s="4" t="s">
        <v>5697</v>
      </c>
      <c r="C145" s="4" t="s">
        <v>15837</v>
      </c>
      <c r="D145" s="6">
        <v>45883.0</v>
      </c>
    </row>
    <row r="146">
      <c r="A146" s="4" t="s">
        <v>15838</v>
      </c>
      <c r="B146" s="4" t="s">
        <v>5697</v>
      </c>
      <c r="C146" s="4" t="s">
        <v>15839</v>
      </c>
      <c r="D146" s="6">
        <v>45887.0</v>
      </c>
    </row>
    <row r="147">
      <c r="A147" s="4" t="s">
        <v>15840</v>
      </c>
      <c r="B147" s="4" t="s">
        <v>5697</v>
      </c>
      <c r="C147" s="4" t="s">
        <v>15841</v>
      </c>
      <c r="D147" s="6">
        <v>45889.0</v>
      </c>
    </row>
    <row r="148">
      <c r="A148" s="4" t="s">
        <v>15842</v>
      </c>
      <c r="B148" s="4" t="s">
        <v>4539</v>
      </c>
      <c r="C148" s="4" t="s">
        <v>15843</v>
      </c>
      <c r="D148" s="6">
        <v>45894.0</v>
      </c>
    </row>
    <row r="149">
      <c r="A149" s="4" t="s">
        <v>15844</v>
      </c>
      <c r="B149" s="4" t="s">
        <v>5708</v>
      </c>
      <c r="C149" s="4" t="s">
        <v>15845</v>
      </c>
      <c r="D149" s="6">
        <v>45894.0</v>
      </c>
    </row>
    <row r="150">
      <c r="A150" s="4" t="s">
        <v>15846</v>
      </c>
      <c r="B150" s="4" t="s">
        <v>5700</v>
      </c>
      <c r="C150" s="4" t="s">
        <v>15847</v>
      </c>
      <c r="D150" s="6">
        <v>45897.0</v>
      </c>
    </row>
    <row r="151">
      <c r="A151" s="4" t="s">
        <v>15848</v>
      </c>
      <c r="B151" s="4" t="s">
        <v>5718</v>
      </c>
      <c r="C151" s="4" t="s">
        <v>15849</v>
      </c>
      <c r="D151" s="6">
        <v>45905.0</v>
      </c>
    </row>
    <row r="152">
      <c r="A152" s="4" t="s">
        <v>15850</v>
      </c>
      <c r="B152" s="4" t="s">
        <v>5708</v>
      </c>
      <c r="C152" s="4" t="s">
        <v>15851</v>
      </c>
      <c r="D152" s="6">
        <v>45905.0</v>
      </c>
    </row>
    <row r="153">
      <c r="A153" s="4" t="s">
        <v>15852</v>
      </c>
      <c r="B153" s="4" t="s">
        <v>5708</v>
      </c>
      <c r="C153" s="4" t="s">
        <v>15853</v>
      </c>
      <c r="D153" s="6">
        <v>45915.0</v>
      </c>
    </row>
    <row r="154">
      <c r="A154" s="4" t="s">
        <v>15854</v>
      </c>
      <c r="B154" s="4" t="s">
        <v>5688</v>
      </c>
      <c r="C154" s="4" t="s">
        <v>15855</v>
      </c>
      <c r="D154" s="6">
        <v>45915.0</v>
      </c>
    </row>
    <row r="155">
      <c r="A155" s="4" t="s">
        <v>15856</v>
      </c>
      <c r="B155" s="4" t="s">
        <v>5718</v>
      </c>
      <c r="C155" s="4" t="s">
        <v>15857</v>
      </c>
      <c r="D155" s="6">
        <v>45922.0</v>
      </c>
    </row>
    <row r="156">
      <c r="A156" s="4" t="s">
        <v>15858</v>
      </c>
      <c r="B156" s="4" t="s">
        <v>5732</v>
      </c>
      <c r="C156" s="4" t="s">
        <v>15859</v>
      </c>
      <c r="D156" s="6">
        <v>45923.0</v>
      </c>
    </row>
    <row r="157">
      <c r="A157" s="4" t="s">
        <v>15860</v>
      </c>
      <c r="B157" s="4" t="s">
        <v>5713</v>
      </c>
      <c r="C157" s="4" t="s">
        <v>15861</v>
      </c>
      <c r="D157" s="6">
        <v>45923.0</v>
      </c>
    </row>
    <row r="158">
      <c r="A158" s="4" t="s">
        <v>15862</v>
      </c>
      <c r="B158" s="4" t="s">
        <v>4586</v>
      </c>
      <c r="C158" s="4" t="s">
        <v>15863</v>
      </c>
      <c r="D158" s="6">
        <v>45924.0</v>
      </c>
    </row>
    <row r="159">
      <c r="A159" s="4" t="s">
        <v>15864</v>
      </c>
      <c r="B159" s="4" t="s">
        <v>5718</v>
      </c>
      <c r="C159" s="4" t="s">
        <v>15865</v>
      </c>
      <c r="D159" s="6">
        <v>45931.0</v>
      </c>
    </row>
    <row r="160">
      <c r="A160" s="4" t="s">
        <v>15866</v>
      </c>
      <c r="B160" s="4" t="s">
        <v>5718</v>
      </c>
      <c r="C160" s="4" t="s">
        <v>15867</v>
      </c>
      <c r="D160" s="6">
        <v>45931.0</v>
      </c>
    </row>
    <row r="161">
      <c r="A161" s="4" t="s">
        <v>15868</v>
      </c>
      <c r="B161" s="4" t="s">
        <v>4586</v>
      </c>
      <c r="C161" s="4" t="s">
        <v>15869</v>
      </c>
      <c r="D161" s="6">
        <v>45933.0</v>
      </c>
    </row>
    <row r="162">
      <c r="A162" s="4" t="s">
        <v>15870</v>
      </c>
      <c r="B162" s="4" t="s">
        <v>5737</v>
      </c>
      <c r="C162" s="4" t="s">
        <v>15871</v>
      </c>
      <c r="D162" s="17">
        <v>45950.0</v>
      </c>
    </row>
    <row r="163">
      <c r="A163" s="4" t="s">
        <v>15872</v>
      </c>
      <c r="B163" s="4" t="s">
        <v>5688</v>
      </c>
      <c r="C163" s="4" t="s">
        <v>15873</v>
      </c>
      <c r="D163" s="17">
        <v>45952.0</v>
      </c>
    </row>
    <row r="164">
      <c r="A164" s="4" t="s">
        <v>15874</v>
      </c>
      <c r="B164" s="4" t="s">
        <v>5713</v>
      </c>
      <c r="C164" s="4" t="s">
        <v>15875</v>
      </c>
      <c r="D164" s="17">
        <v>45952.0</v>
      </c>
    </row>
    <row r="165">
      <c r="A165" s="4" t="s">
        <v>15876</v>
      </c>
      <c r="B165" s="4" t="s">
        <v>5737</v>
      </c>
      <c r="C165" s="4" t="s">
        <v>15877</v>
      </c>
      <c r="D165" s="17">
        <v>45959.0</v>
      </c>
    </row>
    <row r="166">
      <c r="A166" s="4" t="s">
        <v>15878</v>
      </c>
      <c r="B166" s="4" t="s">
        <v>5740</v>
      </c>
      <c r="C166" s="4" t="s">
        <v>15879</v>
      </c>
      <c r="D166" s="17">
        <v>45959.0</v>
      </c>
    </row>
    <row r="167">
      <c r="A167" s="4" t="s">
        <v>15880</v>
      </c>
      <c r="B167" s="4" t="s">
        <v>5737</v>
      </c>
      <c r="C167" s="4" t="s">
        <v>15881</v>
      </c>
      <c r="D167" s="17">
        <v>45971.0</v>
      </c>
    </row>
    <row r="168">
      <c r="A168" s="4" t="s">
        <v>15882</v>
      </c>
      <c r="B168" s="4" t="s">
        <v>5740</v>
      </c>
      <c r="C168" s="4" t="s">
        <v>15883</v>
      </c>
      <c r="D168" s="17">
        <v>45971.0</v>
      </c>
    </row>
    <row r="169">
      <c r="A169" s="4" t="s">
        <v>15884</v>
      </c>
      <c r="B169" s="4" t="s">
        <v>4664</v>
      </c>
      <c r="C169" s="4" t="s">
        <v>15885</v>
      </c>
      <c r="D169" s="17">
        <v>45980.0</v>
      </c>
    </row>
    <row r="170">
      <c r="A170" s="4" t="s">
        <v>15886</v>
      </c>
      <c r="B170" s="4" t="s">
        <v>5756</v>
      </c>
      <c r="C170" s="4" t="s">
        <v>15887</v>
      </c>
      <c r="D170" s="17">
        <v>45980.0</v>
      </c>
    </row>
    <row r="171">
      <c r="A171" s="4" t="s">
        <v>15888</v>
      </c>
      <c r="B171" s="4" t="s">
        <v>5749</v>
      </c>
      <c r="C171" s="4" t="s">
        <v>15889</v>
      </c>
      <c r="D171" s="17">
        <v>45987.0</v>
      </c>
    </row>
    <row r="172">
      <c r="A172" s="4" t="s">
        <v>15890</v>
      </c>
      <c r="B172" s="4" t="s">
        <v>5760</v>
      </c>
      <c r="C172" s="4" t="s">
        <v>15891</v>
      </c>
      <c r="D172" s="17">
        <v>45987.0</v>
      </c>
    </row>
    <row r="173">
      <c r="A173" s="4" t="s">
        <v>15892</v>
      </c>
      <c r="B173" s="4" t="s">
        <v>5778</v>
      </c>
      <c r="C173" s="4" t="s">
        <v>15893</v>
      </c>
      <c r="D173" s="6">
        <v>46000.0</v>
      </c>
    </row>
    <row r="174">
      <c r="A174" s="4" t="s">
        <v>15894</v>
      </c>
      <c r="B174" s="4" t="s">
        <v>5756</v>
      </c>
      <c r="C174" s="4" t="s">
        <v>15895</v>
      </c>
      <c r="D174" s="17">
        <v>46006.0</v>
      </c>
    </row>
    <row r="175">
      <c r="A175" s="4" t="s">
        <v>15896</v>
      </c>
      <c r="B175" s="4" t="s">
        <v>5763</v>
      </c>
      <c r="C175" s="4" t="s">
        <v>15897</v>
      </c>
      <c r="D175" s="17">
        <v>46006.0</v>
      </c>
    </row>
    <row r="176">
      <c r="A176" s="4" t="s">
        <v>15898</v>
      </c>
      <c r="B176" s="4" t="s">
        <v>5767</v>
      </c>
      <c r="C176" s="4" t="s">
        <v>15899</v>
      </c>
      <c r="D176" s="17">
        <v>46006.0</v>
      </c>
    </row>
    <row r="177">
      <c r="A177" s="7" t="s">
        <v>15900</v>
      </c>
      <c r="B177" s="7" t="s">
        <v>4567</v>
      </c>
      <c r="C177" s="4" t="s">
        <v>15901</v>
      </c>
      <c r="D177" s="17">
        <v>46017.0</v>
      </c>
    </row>
    <row r="178">
      <c r="A178" s="4" t="s">
        <v>15902</v>
      </c>
      <c r="B178" s="4" t="s">
        <v>4586</v>
      </c>
      <c r="C178" s="4" t="s">
        <v>15903</v>
      </c>
      <c r="D178" s="17">
        <v>46017.0</v>
      </c>
    </row>
    <row r="179">
      <c r="A179" s="4" t="s">
        <v>15904</v>
      </c>
      <c r="B179" s="4" t="s">
        <v>4664</v>
      </c>
      <c r="C179" s="4" t="s">
        <v>15905</v>
      </c>
      <c r="D179" s="17">
        <v>46017.0</v>
      </c>
    </row>
    <row r="180">
      <c r="A180" s="4" t="s">
        <v>15906</v>
      </c>
      <c r="B180" s="4" t="s">
        <v>4659</v>
      </c>
      <c r="C180" s="4" t="s">
        <v>15907</v>
      </c>
      <c r="D180" s="6">
        <v>46056.0</v>
      </c>
    </row>
    <row r="181">
      <c r="A181" s="4" t="s">
        <v>15908</v>
      </c>
      <c r="B181" s="4" t="s">
        <v>5815</v>
      </c>
      <c r="C181" s="4" t="s">
        <v>15909</v>
      </c>
      <c r="D181" s="6">
        <v>46100.0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6.0"/>
    <col customWidth="1" min="6" max="6" width="30.38"/>
  </cols>
  <sheetData>
    <row r="1">
      <c r="A1" s="4" t="s">
        <v>15910</v>
      </c>
      <c r="B1" s="4" t="s">
        <v>15911</v>
      </c>
      <c r="C1" s="4" t="s">
        <v>2094</v>
      </c>
      <c r="D1" s="4" t="s">
        <v>1407</v>
      </c>
      <c r="E1" s="20" t="s">
        <v>147</v>
      </c>
      <c r="F1" s="4" t="s">
        <v>15912</v>
      </c>
      <c r="G1" s="4" t="s">
        <v>126</v>
      </c>
      <c r="H1" s="4" t="s">
        <v>15913</v>
      </c>
    </row>
    <row r="2">
      <c r="A2" s="4" t="s">
        <v>3998</v>
      </c>
      <c r="B2" s="4" t="s">
        <v>15914</v>
      </c>
      <c r="C2" s="4" t="s">
        <v>15915</v>
      </c>
      <c r="D2" s="4" t="s">
        <v>1419</v>
      </c>
      <c r="E2" s="20">
        <v>3.492310311E9</v>
      </c>
      <c r="F2" s="4" t="s">
        <v>15916</v>
      </c>
      <c r="G2" s="4" t="s">
        <v>15917</v>
      </c>
      <c r="H2" s="4" t="s">
        <v>15918</v>
      </c>
    </row>
    <row r="3">
      <c r="A3" s="4" t="s">
        <v>2495</v>
      </c>
      <c r="B3" s="4" t="s">
        <v>15919</v>
      </c>
      <c r="C3" s="4" t="s">
        <v>15920</v>
      </c>
      <c r="D3" s="4" t="s">
        <v>1419</v>
      </c>
      <c r="E3" s="20">
        <v>3.493666812E9</v>
      </c>
      <c r="F3" s="4" t="s">
        <v>15921</v>
      </c>
      <c r="G3" s="4" t="s">
        <v>15922</v>
      </c>
      <c r="H3" s="4" t="s">
        <v>15923</v>
      </c>
    </row>
    <row r="4">
      <c r="A4" s="4" t="s">
        <v>2265</v>
      </c>
      <c r="B4" s="4" t="s">
        <v>15924</v>
      </c>
      <c r="C4" s="4" t="s">
        <v>15925</v>
      </c>
      <c r="D4" s="4" t="s">
        <v>1426</v>
      </c>
      <c r="E4" s="20">
        <v>3.425389073E9</v>
      </c>
      <c r="F4" s="4" t="s">
        <v>15926</v>
      </c>
      <c r="G4" s="4" t="s">
        <v>15917</v>
      </c>
      <c r="H4" s="4" t="s">
        <v>15918</v>
      </c>
    </row>
    <row r="5">
      <c r="A5" s="4" t="s">
        <v>2583</v>
      </c>
      <c r="B5" s="4" t="s">
        <v>15927</v>
      </c>
      <c r="C5" s="4" t="s">
        <v>15928</v>
      </c>
      <c r="D5" s="4" t="s">
        <v>1433</v>
      </c>
      <c r="E5" s="20">
        <v>3.425225459E9</v>
      </c>
      <c r="F5" s="4" t="s">
        <v>15929</v>
      </c>
      <c r="G5" s="4" t="s">
        <v>129</v>
      </c>
      <c r="H5" s="4" t="s">
        <v>15918</v>
      </c>
    </row>
    <row r="6">
      <c r="A6" s="4" t="s">
        <v>2410</v>
      </c>
      <c r="B6" s="4" t="s">
        <v>15930</v>
      </c>
      <c r="C6" s="4" t="s">
        <v>15931</v>
      </c>
      <c r="D6" s="4" t="s">
        <v>1433</v>
      </c>
      <c r="E6" s="20">
        <v>3.425101487E9</v>
      </c>
      <c r="F6" s="4" t="s">
        <v>15932</v>
      </c>
      <c r="G6" s="4" t="s">
        <v>15933</v>
      </c>
      <c r="H6" s="4" t="s">
        <v>15918</v>
      </c>
    </row>
    <row r="7">
      <c r="A7" s="4" t="s">
        <v>15934</v>
      </c>
      <c r="B7" s="4" t="s">
        <v>15935</v>
      </c>
      <c r="C7" s="4" t="s">
        <v>15928</v>
      </c>
      <c r="D7" s="4" t="s">
        <v>1433</v>
      </c>
      <c r="E7" s="20">
        <v>3.42531606E9</v>
      </c>
      <c r="F7" s="2"/>
      <c r="G7" s="4" t="s">
        <v>129</v>
      </c>
      <c r="H7" s="4" t="s">
        <v>1612</v>
      </c>
    </row>
    <row r="8">
      <c r="A8" s="4" t="s">
        <v>15936</v>
      </c>
      <c r="B8" s="4" t="s">
        <v>15937</v>
      </c>
      <c r="C8" s="4" t="s">
        <v>15928</v>
      </c>
      <c r="D8" s="4" t="s">
        <v>1433</v>
      </c>
      <c r="E8" s="20">
        <v>3.425270937E9</v>
      </c>
      <c r="F8" s="2"/>
      <c r="G8" s="4" t="s">
        <v>129</v>
      </c>
      <c r="H8" s="4" t="s">
        <v>12843</v>
      </c>
    </row>
    <row r="9">
      <c r="A9" s="4" t="s">
        <v>2887</v>
      </c>
      <c r="B9" s="4" t="s">
        <v>15938</v>
      </c>
      <c r="C9" s="4" t="s">
        <v>15939</v>
      </c>
      <c r="D9" s="4" t="s">
        <v>1535</v>
      </c>
      <c r="E9" s="20">
        <v>3.425295451E9</v>
      </c>
      <c r="F9" s="4" t="s">
        <v>15940</v>
      </c>
      <c r="G9" s="4" t="s">
        <v>15933</v>
      </c>
      <c r="H9" s="4" t="s">
        <v>12843</v>
      </c>
    </row>
    <row r="10">
      <c r="A10" s="4" t="s">
        <v>5395</v>
      </c>
      <c r="B10" s="4" t="s">
        <v>2118</v>
      </c>
      <c r="D10" s="7" t="s">
        <v>1443</v>
      </c>
      <c r="E10" s="41" t="s">
        <v>15941</v>
      </c>
      <c r="F10" s="2"/>
      <c r="G10" s="4" t="s">
        <v>15933</v>
      </c>
      <c r="H10" s="4" t="s">
        <v>1612</v>
      </c>
    </row>
    <row r="11">
      <c r="A11" s="4"/>
      <c r="B11" s="4"/>
      <c r="C11" s="4"/>
      <c r="D11" s="4"/>
      <c r="E11" s="20"/>
      <c r="F11" s="4"/>
    </row>
    <row r="12">
      <c r="A12" s="4" t="s">
        <v>5432</v>
      </c>
      <c r="B12" s="4" t="s">
        <v>15942</v>
      </c>
      <c r="C12" s="7" t="s">
        <v>1592</v>
      </c>
      <c r="D12" s="4" t="s">
        <v>1450</v>
      </c>
      <c r="E12" s="20">
        <v>3.492210048E9</v>
      </c>
      <c r="F12" s="4" t="s">
        <v>15943</v>
      </c>
      <c r="G12" s="4" t="s">
        <v>129</v>
      </c>
      <c r="H12" s="4" t="s">
        <v>15918</v>
      </c>
    </row>
    <row r="13">
      <c r="A13" s="4" t="s">
        <v>5412</v>
      </c>
      <c r="B13" s="4" t="s">
        <v>15944</v>
      </c>
      <c r="C13" s="4" t="s">
        <v>15945</v>
      </c>
      <c r="D13" s="4" t="s">
        <v>1453</v>
      </c>
      <c r="E13" s="20">
        <v>3.4043501E7</v>
      </c>
      <c r="F13" s="4" t="s">
        <v>15946</v>
      </c>
      <c r="G13" s="4" t="s">
        <v>129</v>
      </c>
      <c r="H13" s="4" t="s">
        <v>15923</v>
      </c>
    </row>
    <row r="14">
      <c r="A14" s="4" t="s">
        <v>5415</v>
      </c>
      <c r="B14" s="4" t="s">
        <v>15947</v>
      </c>
      <c r="C14" s="4" t="s">
        <v>1458</v>
      </c>
      <c r="D14" s="4" t="s">
        <v>1457</v>
      </c>
      <c r="E14" s="20">
        <v>3.404638467E9</v>
      </c>
      <c r="F14" s="2"/>
      <c r="G14" s="4" t="s">
        <v>129</v>
      </c>
      <c r="H14" s="4" t="s">
        <v>15923</v>
      </c>
    </row>
    <row r="15">
      <c r="A15" s="4" t="s">
        <v>5418</v>
      </c>
      <c r="B15" s="4" t="s">
        <v>15948</v>
      </c>
      <c r="C15" s="4" t="s">
        <v>15949</v>
      </c>
      <c r="D15" s="4" t="s">
        <v>1460</v>
      </c>
      <c r="E15" s="42"/>
      <c r="F15" s="4" t="s">
        <v>15950</v>
      </c>
      <c r="G15" s="4" t="s">
        <v>129</v>
      </c>
      <c r="H15" s="4" t="s">
        <v>15918</v>
      </c>
    </row>
    <row r="16">
      <c r="A16" s="4" t="s">
        <v>5423</v>
      </c>
      <c r="B16" s="4" t="s">
        <v>15951</v>
      </c>
      <c r="C16" s="4" t="s">
        <v>15952</v>
      </c>
      <c r="D16" s="4" t="s">
        <v>1464</v>
      </c>
      <c r="E16" s="41" t="s">
        <v>15953</v>
      </c>
      <c r="F16" s="4" t="s">
        <v>15954</v>
      </c>
      <c r="G16" s="4" t="s">
        <v>129</v>
      </c>
      <c r="H16" s="4" t="s">
        <v>15923</v>
      </c>
    </row>
    <row r="17">
      <c r="A17" s="7" t="s">
        <v>5426</v>
      </c>
      <c r="B17" s="4" t="s">
        <v>15955</v>
      </c>
      <c r="C17" s="4" t="s">
        <v>15956</v>
      </c>
      <c r="D17" s="4" t="s">
        <v>1468</v>
      </c>
      <c r="E17" s="20">
        <v>3.79506217E9</v>
      </c>
      <c r="F17" s="4" t="s">
        <v>15957</v>
      </c>
      <c r="G17" s="4" t="s">
        <v>129</v>
      </c>
      <c r="H17" s="4" t="s">
        <v>12843</v>
      </c>
    </row>
    <row r="18">
      <c r="A18" s="4" t="s">
        <v>2528</v>
      </c>
      <c r="B18" s="4" t="s">
        <v>15958</v>
      </c>
      <c r="C18" s="4" t="s">
        <v>15959</v>
      </c>
      <c r="D18" s="4" t="s">
        <v>1471</v>
      </c>
      <c r="E18" s="20">
        <v>2.26743432E9</v>
      </c>
      <c r="F18" s="4" t="s">
        <v>15960</v>
      </c>
      <c r="G18" s="4" t="s">
        <v>129</v>
      </c>
      <c r="H18" s="4" t="s">
        <v>12843</v>
      </c>
    </row>
    <row r="19">
      <c r="A19" s="4" t="s">
        <v>3981</v>
      </c>
      <c r="B19" s="4" t="s">
        <v>15961</v>
      </c>
      <c r="C19" s="4" t="s">
        <v>15962</v>
      </c>
      <c r="D19" s="4" t="s">
        <v>1419</v>
      </c>
      <c r="E19" s="20">
        <v>3.493661975E9</v>
      </c>
      <c r="F19" s="4" t="s">
        <v>15963</v>
      </c>
      <c r="G19" s="4" t="s">
        <v>15922</v>
      </c>
      <c r="H19" s="4" t="s">
        <v>15918</v>
      </c>
    </row>
    <row r="20">
      <c r="A20" s="4" t="s">
        <v>5437</v>
      </c>
      <c r="B20" s="4" t="s">
        <v>15964</v>
      </c>
      <c r="D20" s="4" t="s">
        <v>1474</v>
      </c>
      <c r="E20" s="20">
        <v>3.415763555E9</v>
      </c>
      <c r="F20" s="4" t="s">
        <v>15965</v>
      </c>
      <c r="G20" s="4" t="s">
        <v>15933</v>
      </c>
      <c r="H20" s="4" t="s">
        <v>15923</v>
      </c>
    </row>
    <row r="21">
      <c r="A21" s="4" t="s">
        <v>5448</v>
      </c>
      <c r="B21" s="4" t="s">
        <v>15966</v>
      </c>
      <c r="C21" s="4" t="s">
        <v>15967</v>
      </c>
      <c r="D21" s="4" t="s">
        <v>1476</v>
      </c>
      <c r="E21" s="20">
        <v>3.574453732E9</v>
      </c>
      <c r="F21" s="4" t="s">
        <v>15968</v>
      </c>
      <c r="G21" s="4" t="s">
        <v>129</v>
      </c>
      <c r="H21" s="4" t="s">
        <v>15918</v>
      </c>
    </row>
    <row r="22">
      <c r="A22" s="4" t="s">
        <v>5463</v>
      </c>
      <c r="B22" s="4" t="s">
        <v>15969</v>
      </c>
      <c r="C22" s="4" t="s">
        <v>15970</v>
      </c>
      <c r="D22" s="4" t="s">
        <v>1479</v>
      </c>
      <c r="E22" s="20">
        <v>3.416717294E9</v>
      </c>
      <c r="F22" s="4" t="s">
        <v>15971</v>
      </c>
      <c r="G22" s="4" t="s">
        <v>129</v>
      </c>
      <c r="H22" s="4" t="s">
        <v>15923</v>
      </c>
    </row>
    <row r="23">
      <c r="A23" s="4" t="s">
        <v>5454</v>
      </c>
      <c r="B23" s="4" t="s">
        <v>15972</v>
      </c>
      <c r="C23" s="4" t="s">
        <v>15973</v>
      </c>
      <c r="D23" s="4" t="s">
        <v>1482</v>
      </c>
      <c r="E23" s="20">
        <v>3.543546382E9</v>
      </c>
      <c r="F23" s="4" t="s">
        <v>15974</v>
      </c>
      <c r="G23" s="4" t="s">
        <v>129</v>
      </c>
      <c r="H23" s="4" t="s">
        <v>12843</v>
      </c>
    </row>
    <row r="24">
      <c r="A24" s="4" t="s">
        <v>2517</v>
      </c>
      <c r="B24" s="4" t="s">
        <v>15938</v>
      </c>
      <c r="C24" s="4" t="s">
        <v>15931</v>
      </c>
      <c r="D24" s="4" t="s">
        <v>1437</v>
      </c>
      <c r="E24" s="20">
        <v>3.424236299E9</v>
      </c>
      <c r="F24" s="4" t="s">
        <v>15975</v>
      </c>
      <c r="G24" s="4" t="s">
        <v>15922</v>
      </c>
      <c r="H24" s="4" t="s">
        <v>12843</v>
      </c>
    </row>
    <row r="25">
      <c r="A25" s="4" t="s">
        <v>15976</v>
      </c>
      <c r="B25" s="4" t="s">
        <v>15977</v>
      </c>
      <c r="C25" s="4" t="s">
        <v>15978</v>
      </c>
      <c r="D25" s="4" t="s">
        <v>1484</v>
      </c>
      <c r="E25" s="20">
        <v>1.155285364E9</v>
      </c>
      <c r="F25" s="4" t="s">
        <v>15979</v>
      </c>
      <c r="G25" s="4" t="s">
        <v>129</v>
      </c>
      <c r="H25" s="4" t="s">
        <v>15923</v>
      </c>
    </row>
    <row r="26">
      <c r="A26" s="48" t="s">
        <v>4593</v>
      </c>
      <c r="B26" s="48" t="s">
        <v>2113</v>
      </c>
      <c r="C26" s="48" t="s">
        <v>2114</v>
      </c>
      <c r="D26" s="48" t="s">
        <v>1486</v>
      </c>
      <c r="E26" s="80">
        <v>3.424476596E9</v>
      </c>
      <c r="F26" s="48" t="s">
        <v>33</v>
      </c>
      <c r="G26" s="48" t="s">
        <v>129</v>
      </c>
      <c r="H26" s="48" t="s">
        <v>15923</v>
      </c>
    </row>
    <row r="27">
      <c r="A27" s="4" t="s">
        <v>2478</v>
      </c>
      <c r="B27" s="4" t="s">
        <v>15980</v>
      </c>
      <c r="C27" s="4" t="s">
        <v>15981</v>
      </c>
      <c r="D27" s="4" t="s">
        <v>1419</v>
      </c>
      <c r="E27" s="20">
        <v>3.493457667E9</v>
      </c>
      <c r="F27" s="4" t="s">
        <v>15982</v>
      </c>
      <c r="G27" s="4" t="s">
        <v>15922</v>
      </c>
      <c r="H27" s="4" t="s">
        <v>15918</v>
      </c>
    </row>
    <row r="28">
      <c r="A28" s="4" t="s">
        <v>4003</v>
      </c>
      <c r="B28" s="4" t="s">
        <v>11299</v>
      </c>
      <c r="C28" s="4" t="s">
        <v>15918</v>
      </c>
      <c r="D28" s="4" t="s">
        <v>1437</v>
      </c>
      <c r="E28" s="20">
        <v>3.425380483E9</v>
      </c>
      <c r="F28" s="4" t="s">
        <v>15983</v>
      </c>
      <c r="G28" s="4" t="s">
        <v>15922</v>
      </c>
      <c r="H28" s="4" t="s">
        <v>15918</v>
      </c>
    </row>
    <row r="29">
      <c r="A29" s="4" t="s">
        <v>5473</v>
      </c>
      <c r="B29" s="4" t="s">
        <v>15984</v>
      </c>
      <c r="C29" s="4" t="s">
        <v>15985</v>
      </c>
      <c r="D29" s="4" t="s">
        <v>1489</v>
      </c>
      <c r="E29" s="20">
        <v>2.346653423E9</v>
      </c>
      <c r="F29" s="4" t="s">
        <v>15986</v>
      </c>
      <c r="G29" s="4" t="s">
        <v>15933</v>
      </c>
      <c r="H29" s="4" t="s">
        <v>15918</v>
      </c>
    </row>
    <row r="30">
      <c r="A30" s="7" t="s">
        <v>2425</v>
      </c>
      <c r="B30" s="4" t="s">
        <v>15924</v>
      </c>
      <c r="C30" s="4" t="s">
        <v>15987</v>
      </c>
      <c r="D30" s="4" t="s">
        <v>1491</v>
      </c>
      <c r="E30" s="20">
        <v>1.171282725E9</v>
      </c>
      <c r="F30" s="4" t="s">
        <v>15988</v>
      </c>
      <c r="G30" s="4" t="s">
        <v>129</v>
      </c>
      <c r="H30" s="4" t="s">
        <v>15923</v>
      </c>
    </row>
    <row r="31">
      <c r="A31" s="4" t="s">
        <v>5746</v>
      </c>
      <c r="B31" s="4" t="s">
        <v>15989</v>
      </c>
      <c r="C31" s="4" t="s">
        <v>1496</v>
      </c>
      <c r="D31" s="4" t="s">
        <v>1495</v>
      </c>
      <c r="E31" s="20">
        <v>1.160330493E9</v>
      </c>
      <c r="F31" s="4" t="s">
        <v>15990</v>
      </c>
      <c r="G31" s="4" t="s">
        <v>129</v>
      </c>
      <c r="H31" s="4" t="s">
        <v>15918</v>
      </c>
    </row>
    <row r="32">
      <c r="A32" s="4" t="s">
        <v>5483</v>
      </c>
      <c r="B32" s="4" t="s">
        <v>15991</v>
      </c>
      <c r="C32" s="4" t="s">
        <v>15992</v>
      </c>
      <c r="D32" s="7" t="s">
        <v>1498</v>
      </c>
      <c r="E32" s="20">
        <v>3.434389839E9</v>
      </c>
      <c r="F32" s="4" t="s">
        <v>15993</v>
      </c>
      <c r="G32" s="4" t="s">
        <v>129</v>
      </c>
      <c r="H32" s="4" t="s">
        <v>12843</v>
      </c>
    </row>
    <row r="33">
      <c r="A33" s="4" t="s">
        <v>5489</v>
      </c>
      <c r="B33" s="4" t="s">
        <v>15994</v>
      </c>
      <c r="C33" s="4" t="s">
        <v>15995</v>
      </c>
      <c r="D33" s="4" t="s">
        <v>1501</v>
      </c>
      <c r="E33" s="20">
        <v>1.1951248813E10</v>
      </c>
      <c r="F33" s="4" t="s">
        <v>15996</v>
      </c>
      <c r="G33" s="4" t="s">
        <v>129</v>
      </c>
      <c r="H33" s="4" t="s">
        <v>15918</v>
      </c>
    </row>
    <row r="34">
      <c r="A34" s="4" t="s">
        <v>5495</v>
      </c>
      <c r="B34" s="4" t="s">
        <v>15997</v>
      </c>
      <c r="D34" s="4" t="s">
        <v>1504</v>
      </c>
      <c r="E34" s="20">
        <v>1.166874439E9</v>
      </c>
      <c r="F34" s="4" t="s">
        <v>15998</v>
      </c>
      <c r="G34" s="4" t="s">
        <v>129</v>
      </c>
      <c r="H34" s="4" t="s">
        <v>15923</v>
      </c>
    </row>
    <row r="35">
      <c r="A35" s="4" t="s">
        <v>5500</v>
      </c>
      <c r="B35" s="4" t="s">
        <v>15977</v>
      </c>
      <c r="C35" s="4" t="s">
        <v>15999</v>
      </c>
      <c r="D35" s="4" t="s">
        <v>1507</v>
      </c>
      <c r="E35" s="20">
        <v>1.161410396E9</v>
      </c>
      <c r="F35" s="4" t="s">
        <v>16000</v>
      </c>
      <c r="G35" s="4" t="s">
        <v>129</v>
      </c>
      <c r="H35" s="4" t="s">
        <v>15918</v>
      </c>
    </row>
    <row r="36">
      <c r="A36" s="4" t="s">
        <v>5505</v>
      </c>
      <c r="B36" s="4" t="s">
        <v>16001</v>
      </c>
      <c r="C36" s="4" t="s">
        <v>16002</v>
      </c>
      <c r="D36" s="4" t="s">
        <v>1509</v>
      </c>
      <c r="E36" s="20">
        <v>2.98011084E9</v>
      </c>
      <c r="F36" s="4" t="s">
        <v>16003</v>
      </c>
      <c r="G36" s="4" t="s">
        <v>129</v>
      </c>
      <c r="H36" s="4" t="s">
        <v>15923</v>
      </c>
    </row>
    <row r="37">
      <c r="A37" s="4" t="s">
        <v>5510</v>
      </c>
      <c r="B37" s="4" t="s">
        <v>16004</v>
      </c>
      <c r="C37" s="4" t="s">
        <v>16005</v>
      </c>
      <c r="D37" s="4" t="s">
        <v>1512</v>
      </c>
      <c r="E37" s="20">
        <v>1.124030568E9</v>
      </c>
      <c r="F37" s="4" t="s">
        <v>16006</v>
      </c>
      <c r="G37" s="4" t="s">
        <v>16007</v>
      </c>
      <c r="H37" s="4" t="s">
        <v>15923</v>
      </c>
    </row>
    <row r="38">
      <c r="A38" s="4" t="s">
        <v>4044</v>
      </c>
      <c r="B38" s="4" t="s">
        <v>16008</v>
      </c>
      <c r="C38" s="4" t="s">
        <v>16009</v>
      </c>
      <c r="D38" s="4" t="s">
        <v>1426</v>
      </c>
      <c r="E38" s="20">
        <v>3.425562787E9</v>
      </c>
      <c r="F38" s="4" t="s">
        <v>16010</v>
      </c>
      <c r="G38" s="4" t="s">
        <v>16011</v>
      </c>
      <c r="H38" s="4" t="s">
        <v>15918</v>
      </c>
    </row>
    <row r="39">
      <c r="A39" s="4" t="s">
        <v>4584</v>
      </c>
      <c r="B39" s="4" t="s">
        <v>16012</v>
      </c>
      <c r="C39" s="4" t="s">
        <v>16013</v>
      </c>
      <c r="D39" s="4" t="s">
        <v>1515</v>
      </c>
      <c r="E39" s="20">
        <v>1.164305365E9</v>
      </c>
      <c r="F39" s="4" t="s">
        <v>16014</v>
      </c>
      <c r="G39" s="4" t="s">
        <v>129</v>
      </c>
      <c r="H39" s="4" t="s">
        <v>16015</v>
      </c>
    </row>
    <row r="40">
      <c r="A40" s="4" t="s">
        <v>4207</v>
      </c>
      <c r="B40" s="4" t="s">
        <v>11392</v>
      </c>
      <c r="D40" s="4" t="s">
        <v>1559</v>
      </c>
      <c r="E40" s="20">
        <v>3.425564242E9</v>
      </c>
      <c r="F40" s="4" t="s">
        <v>16016</v>
      </c>
      <c r="G40" s="4" t="s">
        <v>129</v>
      </c>
      <c r="H40" s="4" t="s">
        <v>16015</v>
      </c>
    </row>
    <row r="41">
      <c r="A41" s="4" t="s">
        <v>16017</v>
      </c>
      <c r="B41" s="4" t="s">
        <v>15947</v>
      </c>
      <c r="C41" s="4" t="s">
        <v>16018</v>
      </c>
      <c r="D41" s="4" t="s">
        <v>1520</v>
      </c>
      <c r="E41" s="20">
        <v>3.463401084E9</v>
      </c>
      <c r="F41" s="4" t="s">
        <v>16019</v>
      </c>
      <c r="G41" s="4" t="s">
        <v>15917</v>
      </c>
      <c r="H41" s="4" t="s">
        <v>16015</v>
      </c>
    </row>
    <row r="42">
      <c r="A42" s="4" t="s">
        <v>5522</v>
      </c>
      <c r="B42" s="4" t="s">
        <v>16020</v>
      </c>
      <c r="C42" s="4" t="s">
        <v>16021</v>
      </c>
      <c r="D42" s="4" t="s">
        <v>1522</v>
      </c>
      <c r="E42" s="20">
        <v>3.412845461E9</v>
      </c>
      <c r="F42" s="4" t="s">
        <v>16022</v>
      </c>
      <c r="G42" s="4" t="s">
        <v>15917</v>
      </c>
      <c r="H42" s="4" t="s">
        <v>16015</v>
      </c>
    </row>
    <row r="43">
      <c r="A43" s="4" t="s">
        <v>5526</v>
      </c>
      <c r="B43" s="4" t="s">
        <v>16023</v>
      </c>
      <c r="C43" s="4" t="s">
        <v>16024</v>
      </c>
      <c r="D43" s="4" t="s">
        <v>1524</v>
      </c>
      <c r="E43" s="20">
        <v>1.131979663E9</v>
      </c>
      <c r="F43" s="4" t="s">
        <v>16025</v>
      </c>
      <c r="G43" s="4" t="s">
        <v>15933</v>
      </c>
      <c r="H43" s="4" t="s">
        <v>16026</v>
      </c>
    </row>
    <row r="44">
      <c r="A44" s="4" t="s">
        <v>5530</v>
      </c>
      <c r="B44" s="4" t="s">
        <v>16027</v>
      </c>
      <c r="C44" s="4" t="s">
        <v>16028</v>
      </c>
      <c r="D44" s="4" t="s">
        <v>1526</v>
      </c>
      <c r="E44" s="20">
        <v>2.2362125E9</v>
      </c>
      <c r="F44" s="4" t="s">
        <v>16029</v>
      </c>
      <c r="G44" s="4" t="s">
        <v>15933</v>
      </c>
      <c r="H44" s="4" t="s">
        <v>12843</v>
      </c>
    </row>
    <row r="45">
      <c r="A45" s="4" t="s">
        <v>16030</v>
      </c>
      <c r="B45" s="4" t="s">
        <v>11392</v>
      </c>
      <c r="C45" s="4" t="s">
        <v>16031</v>
      </c>
      <c r="D45" s="4" t="s">
        <v>1528</v>
      </c>
      <c r="E45" s="20">
        <v>1.144214841E9</v>
      </c>
      <c r="F45" s="4" t="s">
        <v>16032</v>
      </c>
      <c r="G45" s="4" t="s">
        <v>129</v>
      </c>
      <c r="H45" s="4" t="s">
        <v>15923</v>
      </c>
    </row>
    <row r="46">
      <c r="A46" s="4" t="s">
        <v>16033</v>
      </c>
      <c r="B46" s="4" t="s">
        <v>16034</v>
      </c>
      <c r="D46" s="4" t="s">
        <v>1530</v>
      </c>
      <c r="E46" s="20">
        <v>1.154282128E9</v>
      </c>
      <c r="F46" s="4" t="s">
        <v>16035</v>
      </c>
      <c r="G46" s="4" t="s">
        <v>129</v>
      </c>
      <c r="H46" s="4" t="s">
        <v>12843</v>
      </c>
    </row>
    <row r="47">
      <c r="A47" s="4" t="s">
        <v>16036</v>
      </c>
      <c r="B47" s="4" t="s">
        <v>9499</v>
      </c>
      <c r="C47" s="4" t="s">
        <v>16037</v>
      </c>
      <c r="D47" s="4" t="s">
        <v>1532</v>
      </c>
      <c r="E47" s="20">
        <v>1.133618978E9</v>
      </c>
      <c r="F47" s="4" t="s">
        <v>16038</v>
      </c>
      <c r="G47" s="4" t="s">
        <v>129</v>
      </c>
      <c r="H47" s="4" t="s">
        <v>15923</v>
      </c>
    </row>
    <row r="48">
      <c r="A48" s="4" t="s">
        <v>2589</v>
      </c>
      <c r="B48" s="4" t="s">
        <v>16039</v>
      </c>
      <c r="C48" s="4" t="s">
        <v>16040</v>
      </c>
      <c r="D48" s="4" t="s">
        <v>1437</v>
      </c>
      <c r="E48" s="20">
        <v>3.424770891E9</v>
      </c>
      <c r="F48" s="4" t="s">
        <v>16041</v>
      </c>
      <c r="G48" s="4" t="s">
        <v>15922</v>
      </c>
      <c r="H48" s="4" t="s">
        <v>1612</v>
      </c>
    </row>
    <row r="49">
      <c r="A49" s="4" t="s">
        <v>2782</v>
      </c>
      <c r="B49" s="4" t="s">
        <v>16042</v>
      </c>
      <c r="C49" s="4" t="s">
        <v>16043</v>
      </c>
      <c r="D49" s="4" t="s">
        <v>1539</v>
      </c>
      <c r="E49" s="20">
        <v>3.521639222E9</v>
      </c>
      <c r="F49" s="4" t="s">
        <v>16044</v>
      </c>
      <c r="G49" s="4" t="s">
        <v>129</v>
      </c>
      <c r="H49" s="4" t="s">
        <v>15918</v>
      </c>
    </row>
    <row r="50">
      <c r="A50" s="4" t="s">
        <v>5543</v>
      </c>
      <c r="B50" s="4" t="s">
        <v>15958</v>
      </c>
      <c r="C50" s="4" t="s">
        <v>16045</v>
      </c>
      <c r="D50" s="4" t="s">
        <v>1543</v>
      </c>
      <c r="E50" s="20">
        <v>3.496413398E9</v>
      </c>
      <c r="F50" s="4" t="s">
        <v>16046</v>
      </c>
      <c r="G50" s="4" t="s">
        <v>15933</v>
      </c>
      <c r="H50" s="4" t="s">
        <v>12843</v>
      </c>
    </row>
    <row r="51">
      <c r="A51" s="4" t="s">
        <v>5547</v>
      </c>
      <c r="B51" s="4" t="s">
        <v>16047</v>
      </c>
      <c r="C51" s="4" t="s">
        <v>1546</v>
      </c>
      <c r="D51" s="4" t="s">
        <v>1545</v>
      </c>
      <c r="E51" s="20">
        <v>3.416015831E9</v>
      </c>
      <c r="F51" s="4" t="s">
        <v>16048</v>
      </c>
      <c r="G51" s="4" t="s">
        <v>129</v>
      </c>
      <c r="H51" s="4" t="s">
        <v>15923</v>
      </c>
    </row>
    <row r="52">
      <c r="A52" s="4" t="s">
        <v>5552</v>
      </c>
      <c r="B52" s="4" t="s">
        <v>16049</v>
      </c>
      <c r="C52" s="4" t="s">
        <v>16050</v>
      </c>
      <c r="D52" s="4" t="s">
        <v>1547</v>
      </c>
      <c r="E52" s="20">
        <v>1.131101813E9</v>
      </c>
      <c r="F52" s="4" t="s">
        <v>16051</v>
      </c>
      <c r="G52" s="4" t="s">
        <v>129</v>
      </c>
      <c r="H52" s="4" t="s">
        <v>15923</v>
      </c>
    </row>
    <row r="53">
      <c r="A53" s="4" t="s">
        <v>5556</v>
      </c>
      <c r="B53" s="4" t="s">
        <v>15958</v>
      </c>
      <c r="C53" s="4" t="s">
        <v>16052</v>
      </c>
      <c r="D53" s="4" t="s">
        <v>1549</v>
      </c>
      <c r="E53" s="20">
        <v>3.425257095E9</v>
      </c>
      <c r="F53" s="4" t="s">
        <v>16053</v>
      </c>
      <c r="G53" s="4" t="s">
        <v>129</v>
      </c>
      <c r="H53" s="4" t="s">
        <v>12843</v>
      </c>
    </row>
    <row r="54">
      <c r="A54" s="4" t="s">
        <v>5564</v>
      </c>
      <c r="B54" s="4" t="s">
        <v>15919</v>
      </c>
      <c r="D54" s="4" t="s">
        <v>1551</v>
      </c>
      <c r="E54" s="20">
        <v>3.42594875E9</v>
      </c>
      <c r="F54" s="4" t="s">
        <v>16054</v>
      </c>
      <c r="G54" s="4" t="s">
        <v>15933</v>
      </c>
      <c r="H54" s="4" t="s">
        <v>15923</v>
      </c>
    </row>
    <row r="55">
      <c r="A55" s="4" t="s">
        <v>3988</v>
      </c>
      <c r="B55" s="4" t="s">
        <v>16055</v>
      </c>
      <c r="C55" s="4" t="s">
        <v>16056</v>
      </c>
      <c r="D55" s="4" t="s">
        <v>1553</v>
      </c>
      <c r="E55" s="20">
        <v>1.159899901E9</v>
      </c>
      <c r="F55" s="4" t="s">
        <v>16057</v>
      </c>
      <c r="G55" s="4" t="s">
        <v>129</v>
      </c>
      <c r="H55" s="4" t="s">
        <v>12843</v>
      </c>
    </row>
    <row r="56">
      <c r="A56" s="4" t="s">
        <v>2534</v>
      </c>
      <c r="B56" s="4" t="s">
        <v>16058</v>
      </c>
      <c r="D56" s="4" t="s">
        <v>1491</v>
      </c>
      <c r="E56" s="20">
        <v>1.136214749E9</v>
      </c>
      <c r="F56" s="4" t="s">
        <v>16059</v>
      </c>
      <c r="G56" s="4" t="s">
        <v>16011</v>
      </c>
      <c r="H56" s="4" t="s">
        <v>15918</v>
      </c>
    </row>
    <row r="57">
      <c r="A57" s="4" t="s">
        <v>4216</v>
      </c>
      <c r="B57" s="4" t="s">
        <v>16060</v>
      </c>
      <c r="C57" s="4" t="s">
        <v>16061</v>
      </c>
      <c r="D57" s="4" t="s">
        <v>1556</v>
      </c>
      <c r="E57" s="20">
        <v>1.152609525E9</v>
      </c>
      <c r="F57" s="4" t="s">
        <v>16062</v>
      </c>
      <c r="G57" s="4" t="s">
        <v>129</v>
      </c>
      <c r="H57" s="4" t="s">
        <v>16015</v>
      </c>
    </row>
    <row r="58">
      <c r="A58" s="4"/>
      <c r="B58" s="4"/>
      <c r="C58" s="4"/>
      <c r="D58" s="4"/>
      <c r="E58" s="42"/>
      <c r="F58" s="4"/>
      <c r="G58" s="4"/>
      <c r="H58" s="4"/>
    </row>
    <row r="59">
      <c r="A59" s="4"/>
      <c r="B59" s="4"/>
      <c r="C59" s="4"/>
      <c r="D59" s="4"/>
      <c r="E59" s="20"/>
      <c r="F59" s="4"/>
      <c r="G59" s="4"/>
      <c r="H59" s="4"/>
    </row>
    <row r="60">
      <c r="A60" s="4" t="s">
        <v>16063</v>
      </c>
      <c r="B60" s="4" t="s">
        <v>15980</v>
      </c>
      <c r="C60" s="4" t="s">
        <v>16064</v>
      </c>
      <c r="D60" s="4" t="s">
        <v>1426</v>
      </c>
      <c r="E60" s="20">
        <v>3.424351404E9</v>
      </c>
      <c r="F60" s="4" t="s">
        <v>16065</v>
      </c>
      <c r="G60" s="4" t="s">
        <v>16007</v>
      </c>
      <c r="H60" s="4" t="s">
        <v>16066</v>
      </c>
    </row>
    <row r="61">
      <c r="A61" s="4" t="s">
        <v>16067</v>
      </c>
      <c r="B61" s="4" t="s">
        <v>16068</v>
      </c>
      <c r="C61" s="4" t="s">
        <v>16069</v>
      </c>
      <c r="D61" s="4" t="s">
        <v>1426</v>
      </c>
      <c r="E61" s="20">
        <v>3.424351404E9</v>
      </c>
      <c r="F61" s="4" t="s">
        <v>16070</v>
      </c>
      <c r="G61" s="4" t="s">
        <v>16007</v>
      </c>
      <c r="H61" s="4" t="s">
        <v>1612</v>
      </c>
    </row>
    <row r="62">
      <c r="A62" s="4" t="s">
        <v>5575</v>
      </c>
      <c r="B62" s="4" t="s">
        <v>16071</v>
      </c>
      <c r="C62" s="4" t="s">
        <v>16072</v>
      </c>
      <c r="D62" s="4" t="s">
        <v>1563</v>
      </c>
      <c r="E62" s="20">
        <v>3.413844758E9</v>
      </c>
      <c r="F62" s="4" t="s">
        <v>16073</v>
      </c>
      <c r="G62" s="4" t="s">
        <v>129</v>
      </c>
      <c r="H62" s="4" t="s">
        <v>15923</v>
      </c>
    </row>
    <row r="63">
      <c r="A63" s="4" t="s">
        <v>2562</v>
      </c>
      <c r="B63" s="4" t="s">
        <v>16074</v>
      </c>
      <c r="C63" s="4" t="s">
        <v>16075</v>
      </c>
      <c r="D63" s="4" t="s">
        <v>1419</v>
      </c>
      <c r="E63" s="20">
        <v>3.493447152E9</v>
      </c>
      <c r="F63" s="4" t="s">
        <v>16076</v>
      </c>
      <c r="G63" s="4" t="s">
        <v>15933</v>
      </c>
      <c r="H63" s="4" t="s">
        <v>5795</v>
      </c>
    </row>
    <row r="64">
      <c r="A64" s="4" t="s">
        <v>5583</v>
      </c>
      <c r="B64" s="4" t="s">
        <v>16077</v>
      </c>
      <c r="C64" s="4" t="s">
        <v>16078</v>
      </c>
      <c r="D64" s="4" t="s">
        <v>1566</v>
      </c>
      <c r="E64" s="20">
        <v>2.942576747E9</v>
      </c>
      <c r="F64" s="4" t="s">
        <v>16079</v>
      </c>
      <c r="G64" s="4" t="s">
        <v>129</v>
      </c>
      <c r="H64" s="4" t="s">
        <v>15918</v>
      </c>
    </row>
    <row r="65">
      <c r="A65" s="4" t="s">
        <v>5591</v>
      </c>
      <c r="B65" s="4" t="s">
        <v>16080</v>
      </c>
      <c r="C65" s="4" t="s">
        <v>16081</v>
      </c>
      <c r="D65" s="4" t="s">
        <v>1569</v>
      </c>
      <c r="E65" s="20">
        <v>3.425977777E9</v>
      </c>
      <c r="F65" s="4" t="s">
        <v>16082</v>
      </c>
      <c r="G65" s="4" t="s">
        <v>129</v>
      </c>
      <c r="H65" s="4" t="s">
        <v>12843</v>
      </c>
    </row>
    <row r="66">
      <c r="A66" s="7" t="s">
        <v>2466</v>
      </c>
      <c r="B66" s="4" t="s">
        <v>16083</v>
      </c>
      <c r="C66" s="4" t="s">
        <v>16084</v>
      </c>
      <c r="D66" s="4" t="s">
        <v>1419</v>
      </c>
      <c r="E66" s="20">
        <v>3.49344142E9</v>
      </c>
      <c r="F66" s="4" t="s">
        <v>16085</v>
      </c>
      <c r="G66" s="4" t="s">
        <v>15933</v>
      </c>
      <c r="H66" s="4" t="s">
        <v>16086</v>
      </c>
    </row>
    <row r="67">
      <c r="A67" s="4" t="s">
        <v>16087</v>
      </c>
      <c r="B67" s="4" t="s">
        <v>16088</v>
      </c>
      <c r="C67" s="4" t="s">
        <v>15959</v>
      </c>
      <c r="D67" s="4" t="s">
        <v>1471</v>
      </c>
      <c r="E67" s="20">
        <v>2.267407828E9</v>
      </c>
      <c r="F67" s="4" t="s">
        <v>16089</v>
      </c>
      <c r="G67" s="4" t="s">
        <v>12843</v>
      </c>
      <c r="H67" s="4" t="s">
        <v>12843</v>
      </c>
    </row>
    <row r="68">
      <c r="A68" s="4" t="s">
        <v>4332</v>
      </c>
      <c r="B68" s="4" t="s">
        <v>16090</v>
      </c>
      <c r="D68" s="4" t="s">
        <v>1535</v>
      </c>
      <c r="E68" s="42"/>
      <c r="F68" s="4" t="s">
        <v>16091</v>
      </c>
      <c r="G68" s="4" t="s">
        <v>16011</v>
      </c>
      <c r="H68" s="4" t="s">
        <v>15918</v>
      </c>
    </row>
    <row r="69">
      <c r="A69" s="4" t="s">
        <v>5603</v>
      </c>
      <c r="B69" s="4" t="s">
        <v>15969</v>
      </c>
      <c r="C69" s="4" t="s">
        <v>16092</v>
      </c>
      <c r="D69" s="4" t="s">
        <v>1571</v>
      </c>
      <c r="E69" s="20">
        <v>2.996326975E9</v>
      </c>
      <c r="F69" s="4" t="s">
        <v>16093</v>
      </c>
      <c r="G69" s="4" t="s">
        <v>15933</v>
      </c>
      <c r="H69" s="4" t="s">
        <v>15918</v>
      </c>
    </row>
    <row r="70">
      <c r="A70" s="4" t="s">
        <v>5607</v>
      </c>
      <c r="B70" s="4" t="s">
        <v>15924</v>
      </c>
      <c r="C70" s="4" t="s">
        <v>15925</v>
      </c>
      <c r="D70" s="4" t="s">
        <v>1575</v>
      </c>
      <c r="E70" s="20">
        <v>3.425389073E9</v>
      </c>
      <c r="F70" s="4" t="s">
        <v>16094</v>
      </c>
      <c r="G70" s="4" t="s">
        <v>16095</v>
      </c>
      <c r="H70" s="4" t="s">
        <v>15918</v>
      </c>
    </row>
    <row r="71">
      <c r="A71" s="4" t="s">
        <v>5612</v>
      </c>
      <c r="B71" s="4" t="s">
        <v>16096</v>
      </c>
      <c r="C71" s="4" t="s">
        <v>16097</v>
      </c>
      <c r="D71" s="4" t="s">
        <v>1578</v>
      </c>
      <c r="E71" s="20">
        <v>1.133265556E9</v>
      </c>
      <c r="F71" s="4" t="s">
        <v>16098</v>
      </c>
      <c r="G71" s="4" t="s">
        <v>15922</v>
      </c>
      <c r="H71" s="4" t="s">
        <v>16099</v>
      </c>
    </row>
    <row r="72">
      <c r="A72" s="4" t="s">
        <v>2732</v>
      </c>
      <c r="B72" s="4" t="s">
        <v>15930</v>
      </c>
      <c r="C72" s="4" t="s">
        <v>15931</v>
      </c>
      <c r="D72" s="4" t="s">
        <v>1433</v>
      </c>
      <c r="E72" s="20">
        <v>3.425459857E9</v>
      </c>
      <c r="F72" s="4" t="s">
        <v>16100</v>
      </c>
      <c r="G72" s="4" t="s">
        <v>15933</v>
      </c>
      <c r="H72" s="4" t="s">
        <v>15918</v>
      </c>
    </row>
    <row r="73">
      <c r="A73" s="4" t="s">
        <v>5616</v>
      </c>
      <c r="B73" s="4" t="s">
        <v>9499</v>
      </c>
      <c r="C73" s="4" t="s">
        <v>16101</v>
      </c>
      <c r="D73" s="4" t="s">
        <v>1580</v>
      </c>
      <c r="E73" s="42"/>
      <c r="F73" s="4" t="s">
        <v>16102</v>
      </c>
      <c r="G73" s="4" t="s">
        <v>16103</v>
      </c>
      <c r="H73" s="4" t="s">
        <v>15918</v>
      </c>
    </row>
    <row r="74">
      <c r="A74" s="4" t="s">
        <v>5622</v>
      </c>
      <c r="B74" s="4" t="s">
        <v>16104</v>
      </c>
      <c r="D74" s="4" t="s">
        <v>1584</v>
      </c>
      <c r="E74" s="20">
        <v>3.624662536E9</v>
      </c>
      <c r="F74" s="4" t="s">
        <v>16105</v>
      </c>
      <c r="G74" s="4" t="s">
        <v>129</v>
      </c>
      <c r="H74" s="4" t="s">
        <v>15918</v>
      </c>
    </row>
    <row r="75">
      <c r="A75" s="4" t="s">
        <v>4425</v>
      </c>
      <c r="B75" s="4" t="s">
        <v>16106</v>
      </c>
      <c r="C75" s="4" t="s">
        <v>16107</v>
      </c>
      <c r="D75" s="4" t="s">
        <v>1587</v>
      </c>
      <c r="E75" s="20">
        <v>1.16487281E9</v>
      </c>
      <c r="F75" s="4" t="s">
        <v>16108</v>
      </c>
      <c r="G75" s="4" t="s">
        <v>12843</v>
      </c>
      <c r="H75" s="4" t="s">
        <v>15918</v>
      </c>
    </row>
    <row r="76">
      <c r="A76" s="4" t="s">
        <v>5634</v>
      </c>
      <c r="B76" s="4" t="s">
        <v>2103</v>
      </c>
      <c r="C76" s="4" t="s">
        <v>1591</v>
      </c>
      <c r="D76" s="4" t="s">
        <v>1590</v>
      </c>
      <c r="E76" s="41" t="s">
        <v>16109</v>
      </c>
      <c r="F76" s="4" t="s">
        <v>16110</v>
      </c>
      <c r="G76" s="4" t="s">
        <v>129</v>
      </c>
      <c r="H76" s="4" t="s">
        <v>15923</v>
      </c>
    </row>
    <row r="77">
      <c r="A77" s="4" t="s">
        <v>5639</v>
      </c>
      <c r="B77" s="4" t="s">
        <v>15997</v>
      </c>
      <c r="C77" s="4" t="s">
        <v>16111</v>
      </c>
      <c r="D77" s="4" t="s">
        <v>1593</v>
      </c>
      <c r="E77" s="20">
        <v>1.140959857E9</v>
      </c>
      <c r="F77" s="4" t="s">
        <v>16112</v>
      </c>
      <c r="G77" s="4" t="s">
        <v>15933</v>
      </c>
      <c r="H77" s="4" t="s">
        <v>15923</v>
      </c>
    </row>
    <row r="78">
      <c r="A78" s="4" t="s">
        <v>4441</v>
      </c>
      <c r="B78" s="4" t="s">
        <v>16113</v>
      </c>
      <c r="C78" s="4" t="s">
        <v>16114</v>
      </c>
      <c r="D78" s="4" t="s">
        <v>1596</v>
      </c>
      <c r="E78" s="20">
        <v>3.492527138E9</v>
      </c>
      <c r="F78" s="4" t="s">
        <v>16115</v>
      </c>
      <c r="G78" s="4" t="s">
        <v>15917</v>
      </c>
      <c r="H78" s="4" t="s">
        <v>16015</v>
      </c>
    </row>
    <row r="79">
      <c r="A79" s="4"/>
      <c r="B79" s="4"/>
      <c r="C79" s="4"/>
      <c r="D79" s="4"/>
      <c r="E79" s="20"/>
      <c r="F79" s="4"/>
      <c r="G79" s="4"/>
      <c r="H79" s="4"/>
    </row>
    <row r="80">
      <c r="A80" s="4" t="s">
        <v>2931</v>
      </c>
      <c r="B80" s="4" t="s">
        <v>16001</v>
      </c>
      <c r="C80" s="4" t="s">
        <v>16116</v>
      </c>
      <c r="D80" s="4" t="s">
        <v>1437</v>
      </c>
      <c r="E80" s="20">
        <v>3.424069671E9</v>
      </c>
      <c r="F80" s="4" t="s">
        <v>16117</v>
      </c>
      <c r="G80" s="4" t="s">
        <v>15922</v>
      </c>
      <c r="H80" s="4" t="s">
        <v>16118</v>
      </c>
    </row>
    <row r="81">
      <c r="A81" s="4" t="s">
        <v>16119</v>
      </c>
      <c r="B81" s="4" t="s">
        <v>16049</v>
      </c>
      <c r="C81" s="4" t="s">
        <v>16120</v>
      </c>
      <c r="D81" s="4" t="s">
        <v>1535</v>
      </c>
      <c r="E81" s="20">
        <v>3.425053825E9</v>
      </c>
      <c r="F81" s="4" t="s">
        <v>16121</v>
      </c>
      <c r="G81" s="4" t="s">
        <v>15922</v>
      </c>
      <c r="H81" s="4" t="s">
        <v>15923</v>
      </c>
    </row>
    <row r="82">
      <c r="A82" s="4" t="s">
        <v>4461</v>
      </c>
      <c r="B82" s="4" t="s">
        <v>16039</v>
      </c>
      <c r="C82" s="4" t="s">
        <v>16122</v>
      </c>
      <c r="D82" s="4" t="s">
        <v>1602</v>
      </c>
      <c r="E82" s="20">
        <v>3.755652005E9</v>
      </c>
      <c r="F82" s="4" t="s">
        <v>16123</v>
      </c>
      <c r="G82" s="4" t="s">
        <v>15917</v>
      </c>
      <c r="H82" s="4" t="s">
        <v>15918</v>
      </c>
    </row>
    <row r="83">
      <c r="A83" s="4" t="s">
        <v>4486</v>
      </c>
      <c r="B83" s="4" t="s">
        <v>16124</v>
      </c>
      <c r="C83" s="4" t="s">
        <v>16125</v>
      </c>
      <c r="D83" s="4" t="s">
        <v>1606</v>
      </c>
      <c r="E83" s="20">
        <v>1.141908925E9</v>
      </c>
      <c r="F83" s="4" t="s">
        <v>16126</v>
      </c>
      <c r="G83" s="4" t="s">
        <v>129</v>
      </c>
      <c r="H83" s="4" t="s">
        <v>15923</v>
      </c>
    </row>
    <row r="84">
      <c r="A84" s="4" t="s">
        <v>4492</v>
      </c>
      <c r="B84" s="4" t="s">
        <v>16127</v>
      </c>
      <c r="C84" s="4" t="s">
        <v>16128</v>
      </c>
      <c r="D84" s="4" t="s">
        <v>1610</v>
      </c>
      <c r="E84" s="20">
        <v>3.413077374E9</v>
      </c>
      <c r="F84" s="4" t="s">
        <v>16129</v>
      </c>
      <c r="G84" s="4" t="s">
        <v>129</v>
      </c>
      <c r="H84" s="4" t="s">
        <v>15918</v>
      </c>
    </row>
    <row r="85">
      <c r="A85" s="4" t="s">
        <v>5660</v>
      </c>
      <c r="B85" s="4" t="s">
        <v>16130</v>
      </c>
      <c r="D85" s="4" t="s">
        <v>1614</v>
      </c>
      <c r="E85" s="20">
        <v>5.695821709E10</v>
      </c>
      <c r="F85" s="4" t="s">
        <v>16131</v>
      </c>
      <c r="G85" s="4" t="s">
        <v>129</v>
      </c>
      <c r="H85" s="4" t="s">
        <v>16015</v>
      </c>
    </row>
    <row r="86">
      <c r="A86" s="4" t="s">
        <v>5665</v>
      </c>
      <c r="B86" s="4" t="s">
        <v>16049</v>
      </c>
      <c r="C86" s="4" t="s">
        <v>16132</v>
      </c>
      <c r="D86" s="4" t="s">
        <v>1535</v>
      </c>
      <c r="E86" s="20">
        <v>3.425053825E9</v>
      </c>
      <c r="F86" s="4" t="s">
        <v>16121</v>
      </c>
      <c r="G86" s="4" t="s">
        <v>15922</v>
      </c>
      <c r="H86" s="4" t="s">
        <v>15923</v>
      </c>
    </row>
    <row r="87">
      <c r="A87" s="4" t="s">
        <v>4512</v>
      </c>
      <c r="B87" s="4" t="s">
        <v>15958</v>
      </c>
      <c r="C87" s="4" t="s">
        <v>16133</v>
      </c>
      <c r="D87" s="4" t="s">
        <v>1616</v>
      </c>
      <c r="E87" s="20">
        <v>3.424791582E9</v>
      </c>
      <c r="F87" s="4" t="s">
        <v>16134</v>
      </c>
      <c r="G87" s="4" t="s">
        <v>15922</v>
      </c>
      <c r="H87" s="4" t="s">
        <v>16086</v>
      </c>
    </row>
    <row r="88">
      <c r="A88" s="4" t="s">
        <v>5681</v>
      </c>
      <c r="B88" s="4" t="s">
        <v>2118</v>
      </c>
      <c r="C88" s="4" t="s">
        <v>16135</v>
      </c>
      <c r="D88" s="4" t="s">
        <v>1620</v>
      </c>
      <c r="E88" s="20">
        <v>2.478442797E9</v>
      </c>
      <c r="F88" s="4" t="s">
        <v>16136</v>
      </c>
      <c r="G88" s="4" t="s">
        <v>16007</v>
      </c>
      <c r="H88" s="4" t="s">
        <v>15918</v>
      </c>
    </row>
    <row r="89">
      <c r="A89" s="4" t="s">
        <v>4493</v>
      </c>
      <c r="B89" s="4" t="s">
        <v>16137</v>
      </c>
      <c r="C89" s="4" t="s">
        <v>16138</v>
      </c>
      <c r="D89" s="4" t="s">
        <v>1610</v>
      </c>
      <c r="E89" s="42"/>
      <c r="F89" s="4" t="s">
        <v>16139</v>
      </c>
      <c r="G89" s="4" t="s">
        <v>16011</v>
      </c>
      <c r="H89" s="4" t="s">
        <v>15918</v>
      </c>
    </row>
    <row r="90">
      <c r="A90" s="4" t="s">
        <v>5689</v>
      </c>
      <c r="B90" s="4" t="s">
        <v>16140</v>
      </c>
      <c r="C90" s="4" t="s">
        <v>16141</v>
      </c>
      <c r="D90" s="4" t="s">
        <v>1622</v>
      </c>
      <c r="E90" s="20">
        <v>5.41123882436E11</v>
      </c>
      <c r="F90" s="4" t="s">
        <v>16142</v>
      </c>
      <c r="G90" s="4" t="s">
        <v>129</v>
      </c>
      <c r="H90" s="4" t="s">
        <v>15918</v>
      </c>
    </row>
    <row r="91">
      <c r="A91" s="4" t="s">
        <v>5694</v>
      </c>
      <c r="B91" s="4" t="s">
        <v>16143</v>
      </c>
      <c r="D91" s="4" t="s">
        <v>1626</v>
      </c>
      <c r="E91" s="20">
        <v>5.4113027818E11</v>
      </c>
      <c r="F91" s="4" t="s">
        <v>16144</v>
      </c>
      <c r="G91" s="4" t="s">
        <v>129</v>
      </c>
      <c r="H91" s="4" t="s">
        <v>15918</v>
      </c>
    </row>
    <row r="92">
      <c r="A92" s="4" t="s">
        <v>4513</v>
      </c>
      <c r="B92" s="4" t="s">
        <v>16001</v>
      </c>
      <c r="C92" s="4" t="s">
        <v>16145</v>
      </c>
      <c r="D92" s="4" t="s">
        <v>1616</v>
      </c>
      <c r="E92" s="20">
        <v>3.426137009E9</v>
      </c>
      <c r="F92" s="4" t="s">
        <v>16146</v>
      </c>
      <c r="G92" s="4" t="s">
        <v>16147</v>
      </c>
      <c r="H92" s="4" t="s">
        <v>1612</v>
      </c>
    </row>
    <row r="93">
      <c r="A93" s="4" t="s">
        <v>5698</v>
      </c>
      <c r="B93" s="4" t="s">
        <v>2118</v>
      </c>
      <c r="C93" s="4" t="s">
        <v>16148</v>
      </c>
      <c r="D93" s="4" t="s">
        <v>1628</v>
      </c>
      <c r="E93" s="20">
        <v>1.169086047E9</v>
      </c>
      <c r="F93" s="4" t="s">
        <v>16149</v>
      </c>
      <c r="G93" s="4" t="s">
        <v>129</v>
      </c>
      <c r="H93" s="4" t="s">
        <v>15918</v>
      </c>
    </row>
    <row r="94">
      <c r="A94" s="4" t="s">
        <v>5701</v>
      </c>
      <c r="B94" s="4" t="s">
        <v>15927</v>
      </c>
      <c r="D94" s="4" t="s">
        <v>1630</v>
      </c>
      <c r="E94" s="20">
        <v>3.512220339E9</v>
      </c>
      <c r="F94" s="4" t="s">
        <v>16150</v>
      </c>
      <c r="G94" s="4" t="s">
        <v>129</v>
      </c>
      <c r="H94" s="4" t="s">
        <v>12843</v>
      </c>
    </row>
    <row r="95">
      <c r="A95" s="4" t="s">
        <v>5704</v>
      </c>
      <c r="B95" s="4" t="s">
        <v>16151</v>
      </c>
      <c r="D95" s="4" t="s">
        <v>1633</v>
      </c>
      <c r="E95" s="20">
        <v>3.756456483E9</v>
      </c>
      <c r="F95" s="4" t="s">
        <v>16152</v>
      </c>
      <c r="G95" s="4" t="s">
        <v>129</v>
      </c>
      <c r="H95" s="4" t="s">
        <v>12843</v>
      </c>
    </row>
    <row r="96">
      <c r="A96" s="4" t="s">
        <v>4538</v>
      </c>
      <c r="B96" s="4" t="s">
        <v>2118</v>
      </c>
      <c r="C96" s="4" t="s">
        <v>16153</v>
      </c>
      <c r="D96" s="4" t="s">
        <v>1635</v>
      </c>
      <c r="E96" s="20">
        <v>2.665036264E9</v>
      </c>
      <c r="F96" s="4" t="s">
        <v>16154</v>
      </c>
      <c r="G96" s="4" t="s">
        <v>129</v>
      </c>
      <c r="H96" s="4" t="s">
        <v>12843</v>
      </c>
    </row>
    <row r="97">
      <c r="A97" s="4" t="s">
        <v>5715</v>
      </c>
      <c r="B97" s="4" t="s">
        <v>16140</v>
      </c>
      <c r="C97" s="4" t="s">
        <v>16155</v>
      </c>
      <c r="D97" s="4" t="s">
        <v>1638</v>
      </c>
      <c r="E97" s="20">
        <v>1.167922746E9</v>
      </c>
      <c r="F97" s="4" t="s">
        <v>16156</v>
      </c>
      <c r="G97" s="4" t="s">
        <v>15922</v>
      </c>
      <c r="H97" s="4" t="s">
        <v>16157</v>
      </c>
    </row>
    <row r="98">
      <c r="A98" s="4" t="s">
        <v>5720</v>
      </c>
      <c r="B98" s="4" t="s">
        <v>16158</v>
      </c>
      <c r="C98" s="4" t="s">
        <v>16159</v>
      </c>
      <c r="D98" s="4" t="s">
        <v>1641</v>
      </c>
      <c r="E98" s="20">
        <v>5.493492520971E12</v>
      </c>
      <c r="F98" s="4" t="s">
        <v>16160</v>
      </c>
      <c r="G98" s="4" t="s">
        <v>16011</v>
      </c>
      <c r="H98" s="4" t="s">
        <v>15918</v>
      </c>
    </row>
    <row r="99">
      <c r="A99" s="4" t="s">
        <v>5726</v>
      </c>
      <c r="B99" s="4" t="s">
        <v>16161</v>
      </c>
      <c r="C99" s="4" t="s">
        <v>16162</v>
      </c>
      <c r="D99" s="4" t="s">
        <v>1644</v>
      </c>
      <c r="E99" s="20">
        <v>1.17152679E9</v>
      </c>
      <c r="F99" s="4" t="s">
        <v>16163</v>
      </c>
      <c r="G99" s="4" t="s">
        <v>16011</v>
      </c>
      <c r="H99" s="4" t="s">
        <v>15918</v>
      </c>
    </row>
    <row r="100">
      <c r="A100" s="4" t="s">
        <v>5733</v>
      </c>
      <c r="B100" s="4" t="s">
        <v>16140</v>
      </c>
      <c r="C100" s="4" t="s">
        <v>16164</v>
      </c>
      <c r="D100" s="4" t="s">
        <v>1646</v>
      </c>
      <c r="E100" s="20">
        <v>3.424468209E9</v>
      </c>
      <c r="F100" s="4" t="s">
        <v>16165</v>
      </c>
      <c r="G100" s="4" t="s">
        <v>16011</v>
      </c>
      <c r="H100" s="4" t="s">
        <v>16066</v>
      </c>
    </row>
    <row r="101">
      <c r="A101" s="4" t="s">
        <v>4565</v>
      </c>
      <c r="B101" s="4" t="s">
        <v>16166</v>
      </c>
      <c r="C101" s="4" t="s">
        <v>16167</v>
      </c>
      <c r="D101" s="4" t="s">
        <v>1648</v>
      </c>
      <c r="E101" s="20">
        <v>1.166128341E9</v>
      </c>
      <c r="F101" s="4" t="s">
        <v>16168</v>
      </c>
      <c r="G101" s="4" t="s">
        <v>129</v>
      </c>
      <c r="H101" s="4" t="s">
        <v>15918</v>
      </c>
    </row>
    <row r="102">
      <c r="A102" s="4" t="s">
        <v>5738</v>
      </c>
      <c r="B102" s="4" t="s">
        <v>16169</v>
      </c>
      <c r="C102" s="4" t="s">
        <v>16170</v>
      </c>
      <c r="D102" s="4" t="s">
        <v>1651</v>
      </c>
      <c r="E102" s="20">
        <v>5.41134191501E11</v>
      </c>
      <c r="F102" s="4" t="s">
        <v>16171</v>
      </c>
      <c r="G102" s="4" t="s">
        <v>15917</v>
      </c>
      <c r="H102" s="4" t="s">
        <v>15918</v>
      </c>
    </row>
    <row r="103">
      <c r="A103" s="4" t="s">
        <v>5742</v>
      </c>
      <c r="B103" s="4" t="s">
        <v>16172</v>
      </c>
      <c r="D103" s="4" t="s">
        <v>1653</v>
      </c>
      <c r="E103" s="20" t="s">
        <v>16173</v>
      </c>
      <c r="F103" s="4" t="s">
        <v>16174</v>
      </c>
      <c r="G103" s="4" t="s">
        <v>129</v>
      </c>
      <c r="H103" s="4" t="s">
        <v>12843</v>
      </c>
    </row>
    <row r="104">
      <c r="A104" s="4" t="s">
        <v>4571</v>
      </c>
      <c r="B104" s="4" t="s">
        <v>16175</v>
      </c>
      <c r="C104" s="4" t="s">
        <v>16176</v>
      </c>
      <c r="D104" s="4" t="s">
        <v>1559</v>
      </c>
      <c r="E104" s="20">
        <v>3.498478357E9</v>
      </c>
      <c r="F104" s="4" t="s">
        <v>16177</v>
      </c>
      <c r="G104" s="4" t="s">
        <v>16011</v>
      </c>
      <c r="H104" s="4" t="s">
        <v>16066</v>
      </c>
    </row>
    <row r="105">
      <c r="A105" s="4" t="s">
        <v>5752</v>
      </c>
      <c r="B105" s="4" t="s">
        <v>16140</v>
      </c>
      <c r="C105" s="4" t="s">
        <v>16178</v>
      </c>
      <c r="D105" s="4" t="s">
        <v>1656</v>
      </c>
      <c r="E105" s="20">
        <v>1.130599E9</v>
      </c>
      <c r="F105" s="4" t="s">
        <v>16179</v>
      </c>
      <c r="G105" s="4" t="s">
        <v>129</v>
      </c>
      <c r="H105" s="4" t="s">
        <v>16015</v>
      </c>
    </row>
    <row r="106">
      <c r="A106" s="4" t="s">
        <v>5757</v>
      </c>
      <c r="B106" s="4" t="s">
        <v>15997</v>
      </c>
      <c r="C106" s="4" t="s">
        <v>16180</v>
      </c>
      <c r="D106" s="4" t="s">
        <v>1659</v>
      </c>
      <c r="E106" s="20">
        <v>2.914028441E9</v>
      </c>
      <c r="F106" s="4" t="s">
        <v>16181</v>
      </c>
      <c r="G106" s="4" t="s">
        <v>15922</v>
      </c>
      <c r="H106" s="4" t="s">
        <v>15918</v>
      </c>
    </row>
    <row r="107">
      <c r="A107" s="4" t="s">
        <v>5761</v>
      </c>
      <c r="B107" s="4" t="s">
        <v>16182</v>
      </c>
      <c r="D107" s="4" t="s">
        <v>1661</v>
      </c>
      <c r="E107" s="20">
        <v>3.424455213E9</v>
      </c>
      <c r="F107" s="4" t="s">
        <v>16183</v>
      </c>
      <c r="G107" s="4" t="s">
        <v>16007</v>
      </c>
      <c r="H107" s="4" t="s">
        <v>15918</v>
      </c>
    </row>
    <row r="108">
      <c r="A108" s="4" t="s">
        <v>5765</v>
      </c>
      <c r="B108" s="4" t="s">
        <v>16184</v>
      </c>
      <c r="C108" s="4" t="s">
        <v>16185</v>
      </c>
      <c r="D108" s="4" t="s">
        <v>1663</v>
      </c>
      <c r="E108" s="20">
        <v>3.226786959E9</v>
      </c>
      <c r="F108" s="4" t="s">
        <v>16186</v>
      </c>
      <c r="G108" s="4" t="s">
        <v>15917</v>
      </c>
      <c r="H108" s="4" t="s">
        <v>1612</v>
      </c>
    </row>
    <row r="109">
      <c r="A109" s="4" t="s">
        <v>5768</v>
      </c>
      <c r="B109" s="4" t="s">
        <v>16187</v>
      </c>
      <c r="C109" s="4" t="s">
        <v>16188</v>
      </c>
      <c r="D109" s="4" t="s">
        <v>1665</v>
      </c>
      <c r="E109" s="20">
        <v>3.447402805E9</v>
      </c>
      <c r="F109" s="4" t="s">
        <v>16189</v>
      </c>
      <c r="G109" s="4" t="s">
        <v>16007</v>
      </c>
      <c r="H109" s="4" t="s">
        <v>16099</v>
      </c>
    </row>
    <row r="110">
      <c r="A110" s="4" t="s">
        <v>5773</v>
      </c>
      <c r="B110" s="4" t="s">
        <v>15969</v>
      </c>
      <c r="D110" s="4" t="s">
        <v>1667</v>
      </c>
      <c r="E110" s="20" t="s">
        <v>16190</v>
      </c>
      <c r="F110" s="4" t="s">
        <v>16191</v>
      </c>
      <c r="G110" s="4" t="s">
        <v>129</v>
      </c>
      <c r="H110" s="4" t="s">
        <v>15918</v>
      </c>
    </row>
    <row r="111">
      <c r="A111" s="7" t="s">
        <v>5775</v>
      </c>
      <c r="B111" s="4" t="s">
        <v>15969</v>
      </c>
      <c r="D111" s="4" t="s">
        <v>1669</v>
      </c>
      <c r="E111" s="20">
        <v>1.1557901E9</v>
      </c>
      <c r="F111" s="4" t="s">
        <v>16191</v>
      </c>
      <c r="G111" s="4" t="s">
        <v>129</v>
      </c>
      <c r="H111" s="4" t="s">
        <v>15918</v>
      </c>
    </row>
    <row r="112">
      <c r="A112" s="4" t="s">
        <v>5780</v>
      </c>
      <c r="B112" s="4" t="s">
        <v>16192</v>
      </c>
      <c r="C112" s="4" t="s">
        <v>16193</v>
      </c>
      <c r="D112" s="4" t="s">
        <v>1670</v>
      </c>
      <c r="E112" s="20">
        <v>2.976236484E9</v>
      </c>
      <c r="F112" s="4" t="s">
        <v>16194</v>
      </c>
      <c r="G112" s="4" t="s">
        <v>15933</v>
      </c>
      <c r="H112" s="4" t="s">
        <v>15918</v>
      </c>
    </row>
    <row r="113">
      <c r="A113" s="4" t="s">
        <v>5786</v>
      </c>
      <c r="B113" s="4" t="s">
        <v>16195</v>
      </c>
      <c r="C113" s="7" t="s">
        <v>9950</v>
      </c>
      <c r="D113" s="4" t="s">
        <v>1673</v>
      </c>
      <c r="E113" s="20">
        <v>1.13377895E9</v>
      </c>
      <c r="F113" s="4" t="s">
        <v>16196</v>
      </c>
      <c r="G113" s="4" t="s">
        <v>16011</v>
      </c>
      <c r="H113" s="4" t="s">
        <v>15918</v>
      </c>
    </row>
    <row r="114">
      <c r="A114" s="4" t="s">
        <v>4682</v>
      </c>
      <c r="B114" s="4" t="s">
        <v>16175</v>
      </c>
      <c r="C114" s="4" t="s">
        <v>16197</v>
      </c>
      <c r="D114" s="4" t="s">
        <v>1676</v>
      </c>
      <c r="E114" s="20">
        <v>3.48253261E9</v>
      </c>
      <c r="F114" s="4" t="s">
        <v>16198</v>
      </c>
      <c r="G114" s="4" t="s">
        <v>129</v>
      </c>
      <c r="H114" s="4" t="s">
        <v>15918</v>
      </c>
    </row>
    <row r="115">
      <c r="A115" s="4" t="s">
        <v>4662</v>
      </c>
      <c r="B115" s="4" t="s">
        <v>15980</v>
      </c>
      <c r="C115" s="4" t="s">
        <v>16199</v>
      </c>
      <c r="D115" s="4" t="s">
        <v>1656</v>
      </c>
      <c r="E115" s="20">
        <v>1.131961212E9</v>
      </c>
      <c r="F115" s="4" t="s">
        <v>16200</v>
      </c>
      <c r="G115" s="4" t="s">
        <v>15922</v>
      </c>
      <c r="H115" s="4" t="s">
        <v>15918</v>
      </c>
    </row>
    <row r="116">
      <c r="A116" s="4" t="s">
        <v>5813</v>
      </c>
      <c r="B116" s="4" t="s">
        <v>15958</v>
      </c>
      <c r="C116" s="4" t="s">
        <v>16201</v>
      </c>
      <c r="D116" s="4" t="s">
        <v>1679</v>
      </c>
      <c r="E116" s="20">
        <v>5.42984588001E11</v>
      </c>
      <c r="F116" s="4" t="s">
        <v>16202</v>
      </c>
      <c r="G116" s="4" t="s">
        <v>15922</v>
      </c>
      <c r="H116" s="4" t="s">
        <v>16203</v>
      </c>
    </row>
    <row r="117">
      <c r="A117" s="4" t="s">
        <v>16204</v>
      </c>
      <c r="B117" s="4" t="s">
        <v>16205</v>
      </c>
      <c r="C117" s="4" t="s">
        <v>16206</v>
      </c>
      <c r="D117" s="4" t="s">
        <v>1535</v>
      </c>
      <c r="E117" s="42"/>
      <c r="F117" s="4" t="s">
        <v>16207</v>
      </c>
      <c r="G117" s="4" t="s">
        <v>15922</v>
      </c>
      <c r="H117" s="4" t="s">
        <v>15923</v>
      </c>
    </row>
    <row r="118">
      <c r="A118" s="4" t="s">
        <v>4678</v>
      </c>
      <c r="B118" s="4" t="s">
        <v>16208</v>
      </c>
      <c r="C118" s="4" t="s">
        <v>16209</v>
      </c>
      <c r="D118" s="4" t="s">
        <v>1419</v>
      </c>
      <c r="E118" s="20">
        <v>3.493449796E9</v>
      </c>
      <c r="F118" s="4" t="s">
        <v>16210</v>
      </c>
      <c r="G118" s="4" t="s">
        <v>16011</v>
      </c>
      <c r="H118" s="4" t="s">
        <v>15918</v>
      </c>
    </row>
    <row r="119">
      <c r="A119" s="4" t="s">
        <v>5820</v>
      </c>
      <c r="B119" s="4" t="s">
        <v>15980</v>
      </c>
      <c r="C119" s="4" t="s">
        <v>16211</v>
      </c>
      <c r="D119" s="4" t="s">
        <v>1681</v>
      </c>
      <c r="E119" s="20">
        <v>3.425085568E9</v>
      </c>
      <c r="F119" s="4" t="s">
        <v>16212</v>
      </c>
      <c r="G119" s="4" t="s">
        <v>129</v>
      </c>
      <c r="H119" s="4" t="s">
        <v>15923</v>
      </c>
    </row>
    <row r="120">
      <c r="E120" s="42"/>
    </row>
    <row r="121">
      <c r="E121" s="42"/>
    </row>
    <row r="122">
      <c r="E122" s="42"/>
    </row>
    <row r="123">
      <c r="E123" s="42"/>
    </row>
    <row r="124">
      <c r="E124" s="42"/>
    </row>
    <row r="125">
      <c r="E125" s="42"/>
    </row>
    <row r="126">
      <c r="E126" s="42"/>
    </row>
    <row r="127">
      <c r="E127" s="42"/>
    </row>
    <row r="128">
      <c r="E128" s="42"/>
    </row>
    <row r="129">
      <c r="E129" s="42"/>
    </row>
    <row r="130">
      <c r="E130" s="42"/>
    </row>
    <row r="131">
      <c r="E131" s="42"/>
    </row>
    <row r="132">
      <c r="E132" s="42"/>
    </row>
    <row r="133">
      <c r="E133" s="42"/>
    </row>
    <row r="134">
      <c r="E134" s="42"/>
    </row>
    <row r="135">
      <c r="E135" s="42"/>
    </row>
    <row r="136">
      <c r="E136" s="42"/>
    </row>
    <row r="137">
      <c r="E137" s="42"/>
    </row>
    <row r="138">
      <c r="E138" s="42"/>
    </row>
    <row r="139">
      <c r="E139" s="42"/>
    </row>
    <row r="140">
      <c r="E140" s="42"/>
    </row>
    <row r="141">
      <c r="E141" s="42"/>
    </row>
    <row r="142">
      <c r="E142" s="42"/>
    </row>
    <row r="143">
      <c r="E143" s="42"/>
    </row>
    <row r="144">
      <c r="E144" s="42"/>
    </row>
    <row r="145">
      <c r="E145" s="42"/>
    </row>
    <row r="146">
      <c r="E146" s="42"/>
    </row>
    <row r="147">
      <c r="E147" s="42"/>
    </row>
    <row r="148">
      <c r="E148" s="42"/>
    </row>
    <row r="149">
      <c r="E149" s="42"/>
    </row>
    <row r="150">
      <c r="E150" s="42"/>
    </row>
    <row r="151">
      <c r="E151" s="42"/>
    </row>
    <row r="152">
      <c r="E152" s="42"/>
    </row>
    <row r="153">
      <c r="E153" s="42"/>
    </row>
    <row r="154">
      <c r="E154" s="42"/>
    </row>
    <row r="155">
      <c r="E155" s="42"/>
    </row>
    <row r="156">
      <c r="E156" s="42"/>
    </row>
    <row r="157">
      <c r="E157" s="42"/>
    </row>
    <row r="158">
      <c r="E158" s="42"/>
    </row>
    <row r="159">
      <c r="E159" s="42"/>
    </row>
    <row r="160">
      <c r="E160" s="42"/>
    </row>
    <row r="161">
      <c r="E161" s="42"/>
    </row>
    <row r="162">
      <c r="E162" s="42"/>
    </row>
    <row r="163">
      <c r="E163" s="42"/>
    </row>
    <row r="164">
      <c r="E164" s="42"/>
    </row>
    <row r="165">
      <c r="E165" s="42"/>
    </row>
    <row r="166">
      <c r="E166" s="42"/>
    </row>
    <row r="167">
      <c r="E167" s="42"/>
    </row>
    <row r="168">
      <c r="E168" s="42"/>
    </row>
    <row r="169">
      <c r="E169" s="42"/>
    </row>
    <row r="170">
      <c r="E170" s="42"/>
    </row>
    <row r="171">
      <c r="E171" s="42"/>
    </row>
    <row r="172">
      <c r="E172" s="42"/>
    </row>
    <row r="173">
      <c r="E173" s="42"/>
    </row>
    <row r="174">
      <c r="E174" s="42"/>
    </row>
    <row r="175">
      <c r="E175" s="42"/>
    </row>
    <row r="176">
      <c r="E176" s="42"/>
    </row>
    <row r="177">
      <c r="E177" s="42"/>
    </row>
    <row r="178">
      <c r="E178" s="42"/>
    </row>
    <row r="179">
      <c r="E179" s="42"/>
    </row>
    <row r="180">
      <c r="E180" s="42"/>
    </row>
    <row r="181">
      <c r="E181" s="42"/>
    </row>
    <row r="182">
      <c r="E182" s="42"/>
    </row>
    <row r="183">
      <c r="E183" s="42"/>
    </row>
    <row r="184">
      <c r="E184" s="42"/>
    </row>
    <row r="185">
      <c r="E185" s="42"/>
    </row>
    <row r="186">
      <c r="E186" s="42"/>
    </row>
    <row r="187">
      <c r="E187" s="42"/>
    </row>
    <row r="188">
      <c r="E188" s="42"/>
    </row>
    <row r="189">
      <c r="E189" s="42"/>
    </row>
    <row r="190">
      <c r="E190" s="42"/>
    </row>
    <row r="191">
      <c r="E191" s="42"/>
    </row>
    <row r="192">
      <c r="E192" s="42"/>
    </row>
    <row r="193">
      <c r="E193" s="42"/>
    </row>
    <row r="194">
      <c r="E194" s="42"/>
    </row>
    <row r="195">
      <c r="E195" s="42"/>
    </row>
    <row r="196">
      <c r="E196" s="42"/>
    </row>
    <row r="197">
      <c r="E197" s="42"/>
    </row>
    <row r="198">
      <c r="E198" s="42"/>
    </row>
    <row r="199">
      <c r="E199" s="42"/>
    </row>
    <row r="200">
      <c r="E200" s="42"/>
    </row>
    <row r="201">
      <c r="E201" s="42"/>
    </row>
    <row r="202">
      <c r="E202" s="42"/>
    </row>
    <row r="203">
      <c r="E203" s="42"/>
    </row>
    <row r="204">
      <c r="E204" s="42"/>
    </row>
    <row r="205">
      <c r="E205" s="42"/>
    </row>
    <row r="206">
      <c r="E206" s="42"/>
    </row>
    <row r="207">
      <c r="E207" s="42"/>
    </row>
    <row r="208">
      <c r="E208" s="42"/>
    </row>
    <row r="209">
      <c r="E209" s="42"/>
    </row>
    <row r="210">
      <c r="E210" s="42"/>
    </row>
    <row r="211">
      <c r="E211" s="42"/>
    </row>
    <row r="212">
      <c r="E212" s="42"/>
    </row>
    <row r="213">
      <c r="E213" s="42"/>
    </row>
    <row r="214">
      <c r="E214" s="42"/>
    </row>
    <row r="215">
      <c r="E215" s="42"/>
    </row>
    <row r="216">
      <c r="E216" s="42"/>
    </row>
    <row r="217">
      <c r="E217" s="42"/>
    </row>
    <row r="218">
      <c r="E218" s="42"/>
    </row>
    <row r="219">
      <c r="E219" s="42"/>
    </row>
    <row r="220">
      <c r="E220" s="42"/>
    </row>
    <row r="221">
      <c r="E221" s="42"/>
    </row>
    <row r="222">
      <c r="E222" s="42"/>
    </row>
    <row r="223">
      <c r="E223" s="42"/>
    </row>
    <row r="224">
      <c r="E224" s="42"/>
    </row>
    <row r="225">
      <c r="E225" s="42"/>
    </row>
    <row r="226">
      <c r="E226" s="42"/>
    </row>
    <row r="227">
      <c r="E227" s="42"/>
    </row>
    <row r="228">
      <c r="E228" s="42"/>
    </row>
    <row r="229">
      <c r="E229" s="42"/>
    </row>
    <row r="230">
      <c r="E230" s="42"/>
    </row>
    <row r="231">
      <c r="E231" s="42"/>
    </row>
    <row r="232">
      <c r="E232" s="42"/>
    </row>
    <row r="233">
      <c r="E233" s="42"/>
    </row>
    <row r="234">
      <c r="E234" s="42"/>
    </row>
    <row r="235">
      <c r="E235" s="42"/>
    </row>
    <row r="236">
      <c r="E236" s="42"/>
    </row>
    <row r="237">
      <c r="E237" s="42"/>
    </row>
    <row r="238">
      <c r="E238" s="42"/>
    </row>
    <row r="239">
      <c r="E239" s="42"/>
    </row>
    <row r="240">
      <c r="E240" s="42"/>
    </row>
    <row r="241">
      <c r="E241" s="42"/>
    </row>
    <row r="242">
      <c r="E242" s="42"/>
    </row>
    <row r="243">
      <c r="E243" s="42"/>
    </row>
    <row r="244">
      <c r="E244" s="42"/>
    </row>
    <row r="245">
      <c r="E245" s="42"/>
    </row>
    <row r="246">
      <c r="E246" s="42"/>
    </row>
    <row r="247">
      <c r="E247" s="42"/>
    </row>
    <row r="248">
      <c r="E248" s="42"/>
    </row>
    <row r="249">
      <c r="E249" s="42"/>
    </row>
    <row r="250">
      <c r="E250" s="42"/>
    </row>
    <row r="251">
      <c r="E251" s="42"/>
    </row>
    <row r="252">
      <c r="E252" s="42"/>
    </row>
    <row r="253">
      <c r="E253" s="42"/>
    </row>
    <row r="254">
      <c r="E254" s="42"/>
    </row>
    <row r="255">
      <c r="E255" s="42"/>
    </row>
    <row r="256">
      <c r="E256" s="42"/>
    </row>
    <row r="257">
      <c r="E257" s="42"/>
    </row>
    <row r="258">
      <c r="E258" s="42"/>
    </row>
    <row r="259">
      <c r="E259" s="42"/>
    </row>
    <row r="260">
      <c r="E260" s="42"/>
    </row>
    <row r="261">
      <c r="E261" s="42"/>
    </row>
    <row r="262">
      <c r="E262" s="42"/>
    </row>
    <row r="263">
      <c r="E263" s="42"/>
    </row>
    <row r="264">
      <c r="E264" s="42"/>
    </row>
    <row r="265">
      <c r="E265" s="42"/>
    </row>
    <row r="266">
      <c r="E266" s="42"/>
    </row>
    <row r="267">
      <c r="E267" s="42"/>
    </row>
    <row r="268">
      <c r="E268" s="42"/>
    </row>
    <row r="269">
      <c r="E269" s="42"/>
    </row>
    <row r="270">
      <c r="E270" s="42"/>
    </row>
    <row r="271">
      <c r="E271" s="42"/>
    </row>
    <row r="272">
      <c r="E272" s="42"/>
    </row>
    <row r="273">
      <c r="E273" s="42"/>
    </row>
    <row r="274">
      <c r="E274" s="42"/>
    </row>
    <row r="275">
      <c r="E275" s="42"/>
    </row>
    <row r="276">
      <c r="E276" s="42"/>
    </row>
    <row r="277">
      <c r="E277" s="42"/>
    </row>
    <row r="278">
      <c r="E278" s="42"/>
    </row>
    <row r="279">
      <c r="E279" s="42"/>
    </row>
    <row r="280">
      <c r="E280" s="42"/>
    </row>
    <row r="281">
      <c r="E281" s="42"/>
    </row>
    <row r="282">
      <c r="E282" s="42"/>
    </row>
    <row r="283">
      <c r="E283" s="42"/>
    </row>
    <row r="284">
      <c r="E284" s="42"/>
    </row>
    <row r="285">
      <c r="E285" s="42"/>
    </row>
    <row r="286">
      <c r="E286" s="42"/>
    </row>
    <row r="287">
      <c r="E287" s="42"/>
    </row>
    <row r="288">
      <c r="E288" s="42"/>
    </row>
    <row r="289">
      <c r="E289" s="42"/>
    </row>
    <row r="290">
      <c r="E290" s="42"/>
    </row>
    <row r="291">
      <c r="E291" s="42"/>
    </row>
    <row r="292">
      <c r="E292" s="42"/>
    </row>
    <row r="293">
      <c r="E293" s="42"/>
    </row>
    <row r="294">
      <c r="E294" s="42"/>
    </row>
    <row r="295">
      <c r="E295" s="42"/>
    </row>
    <row r="296">
      <c r="E296" s="42"/>
    </row>
    <row r="297">
      <c r="E297" s="42"/>
    </row>
    <row r="298">
      <c r="E298" s="42"/>
    </row>
    <row r="299">
      <c r="E299" s="42"/>
    </row>
    <row r="300">
      <c r="E300" s="42"/>
    </row>
    <row r="301">
      <c r="E301" s="42"/>
    </row>
    <row r="302">
      <c r="E302" s="42"/>
    </row>
    <row r="303">
      <c r="E303" s="42"/>
    </row>
    <row r="304">
      <c r="E304" s="42"/>
    </row>
    <row r="305">
      <c r="E305" s="42"/>
    </row>
    <row r="306">
      <c r="E306" s="42"/>
    </row>
    <row r="307">
      <c r="E307" s="42"/>
    </row>
    <row r="308">
      <c r="E308" s="42"/>
    </row>
    <row r="309">
      <c r="E309" s="42"/>
    </row>
    <row r="310">
      <c r="E310" s="42"/>
    </row>
    <row r="311">
      <c r="E311" s="42"/>
    </row>
    <row r="312">
      <c r="E312" s="42"/>
    </row>
    <row r="313">
      <c r="E313" s="42"/>
    </row>
    <row r="314">
      <c r="E314" s="42"/>
    </row>
    <row r="315">
      <c r="E315" s="42"/>
    </row>
    <row r="316">
      <c r="E316" s="42"/>
    </row>
    <row r="317">
      <c r="E317" s="42"/>
    </row>
    <row r="318">
      <c r="E318" s="42"/>
    </row>
    <row r="319">
      <c r="E319" s="42"/>
    </row>
    <row r="320">
      <c r="E320" s="42"/>
    </row>
    <row r="321">
      <c r="E321" s="42"/>
    </row>
    <row r="322">
      <c r="E322" s="42"/>
    </row>
    <row r="323">
      <c r="E323" s="42"/>
    </row>
    <row r="324">
      <c r="E324" s="42"/>
    </row>
    <row r="325">
      <c r="E325" s="42"/>
    </row>
    <row r="326">
      <c r="E326" s="42"/>
    </row>
    <row r="327">
      <c r="E327" s="42"/>
    </row>
    <row r="328">
      <c r="E328" s="42"/>
    </row>
    <row r="329">
      <c r="E329" s="42"/>
    </row>
    <row r="330">
      <c r="E330" s="42"/>
    </row>
    <row r="331">
      <c r="E331" s="42"/>
    </row>
    <row r="332">
      <c r="E332" s="42"/>
    </row>
    <row r="333">
      <c r="E333" s="42"/>
    </row>
    <row r="334">
      <c r="E334" s="42"/>
    </row>
    <row r="335">
      <c r="E335" s="42"/>
    </row>
    <row r="336">
      <c r="E336" s="42"/>
    </row>
    <row r="337">
      <c r="E337" s="42"/>
    </row>
    <row r="338">
      <c r="E338" s="42"/>
    </row>
    <row r="339">
      <c r="E339" s="42"/>
    </row>
    <row r="340">
      <c r="E340" s="42"/>
    </row>
    <row r="341">
      <c r="E341" s="42"/>
    </row>
    <row r="342">
      <c r="E342" s="42"/>
    </row>
    <row r="343">
      <c r="E343" s="42"/>
    </row>
    <row r="344">
      <c r="E344" s="42"/>
    </row>
    <row r="345">
      <c r="E345" s="42"/>
    </row>
    <row r="346">
      <c r="E346" s="42"/>
    </row>
    <row r="347">
      <c r="E347" s="42"/>
    </row>
    <row r="348">
      <c r="E348" s="42"/>
    </row>
    <row r="349">
      <c r="E349" s="42"/>
    </row>
    <row r="350">
      <c r="E350" s="42"/>
    </row>
    <row r="351">
      <c r="E351" s="42"/>
    </row>
    <row r="352">
      <c r="E352" s="42"/>
    </row>
    <row r="353">
      <c r="E353" s="42"/>
    </row>
    <row r="354">
      <c r="E354" s="42"/>
    </row>
    <row r="355">
      <c r="E355" s="42"/>
    </row>
    <row r="356">
      <c r="E356" s="42"/>
    </row>
    <row r="357">
      <c r="E357" s="42"/>
    </row>
    <row r="358">
      <c r="E358" s="42"/>
    </row>
    <row r="359">
      <c r="E359" s="42"/>
    </row>
    <row r="360">
      <c r="E360" s="42"/>
    </row>
    <row r="361">
      <c r="E361" s="42"/>
    </row>
    <row r="362">
      <c r="E362" s="42"/>
    </row>
    <row r="363">
      <c r="E363" s="42"/>
    </row>
    <row r="364">
      <c r="E364" s="42"/>
    </row>
    <row r="365">
      <c r="E365" s="42"/>
    </row>
    <row r="366">
      <c r="E366" s="42"/>
    </row>
    <row r="367">
      <c r="E367" s="42"/>
    </row>
    <row r="368">
      <c r="E368" s="42"/>
    </row>
    <row r="369">
      <c r="E369" s="42"/>
    </row>
    <row r="370">
      <c r="E370" s="42"/>
    </row>
    <row r="371">
      <c r="E371" s="42"/>
    </row>
    <row r="372">
      <c r="E372" s="42"/>
    </row>
    <row r="373">
      <c r="E373" s="42"/>
    </row>
    <row r="374">
      <c r="E374" s="42"/>
    </row>
    <row r="375">
      <c r="E375" s="42"/>
    </row>
    <row r="376">
      <c r="E376" s="42"/>
    </row>
    <row r="377">
      <c r="E377" s="42"/>
    </row>
    <row r="378">
      <c r="E378" s="42"/>
    </row>
    <row r="379">
      <c r="E379" s="42"/>
    </row>
    <row r="380">
      <c r="E380" s="42"/>
    </row>
    <row r="381">
      <c r="E381" s="42"/>
    </row>
    <row r="382">
      <c r="E382" s="42"/>
    </row>
    <row r="383">
      <c r="E383" s="42"/>
    </row>
    <row r="384">
      <c r="E384" s="42"/>
    </row>
    <row r="385">
      <c r="E385" s="42"/>
    </row>
    <row r="386">
      <c r="E386" s="42"/>
    </row>
    <row r="387">
      <c r="E387" s="42"/>
    </row>
    <row r="388">
      <c r="E388" s="42"/>
    </row>
    <row r="389">
      <c r="E389" s="42"/>
    </row>
    <row r="390">
      <c r="E390" s="42"/>
    </row>
    <row r="391">
      <c r="E391" s="42"/>
    </row>
    <row r="392">
      <c r="E392" s="42"/>
    </row>
    <row r="393">
      <c r="E393" s="42"/>
    </row>
    <row r="394">
      <c r="E394" s="42"/>
    </row>
    <row r="395">
      <c r="E395" s="42"/>
    </row>
    <row r="396">
      <c r="E396" s="42"/>
    </row>
    <row r="397">
      <c r="E397" s="42"/>
    </row>
    <row r="398">
      <c r="E398" s="42"/>
    </row>
    <row r="399">
      <c r="E399" s="42"/>
    </row>
    <row r="400">
      <c r="E400" s="42"/>
    </row>
    <row r="401">
      <c r="E401" s="42"/>
    </row>
    <row r="402">
      <c r="E402" s="42"/>
    </row>
    <row r="403">
      <c r="E403" s="42"/>
    </row>
    <row r="404">
      <c r="E404" s="42"/>
    </row>
    <row r="405">
      <c r="E405" s="42"/>
    </row>
    <row r="406">
      <c r="E406" s="42"/>
    </row>
    <row r="407">
      <c r="E407" s="42"/>
    </row>
    <row r="408">
      <c r="E408" s="42"/>
    </row>
    <row r="409">
      <c r="E409" s="42"/>
    </row>
    <row r="410">
      <c r="E410" s="42"/>
    </row>
    <row r="411">
      <c r="E411" s="42"/>
    </row>
    <row r="412">
      <c r="E412" s="42"/>
    </row>
    <row r="413">
      <c r="E413" s="42"/>
    </row>
    <row r="414">
      <c r="E414" s="42"/>
    </row>
    <row r="415">
      <c r="E415" s="42"/>
    </row>
    <row r="416">
      <c r="E416" s="42"/>
    </row>
    <row r="417">
      <c r="E417" s="42"/>
    </row>
    <row r="418">
      <c r="E418" s="42"/>
    </row>
    <row r="419">
      <c r="E419" s="42"/>
    </row>
    <row r="420">
      <c r="E420" s="42"/>
    </row>
    <row r="421">
      <c r="E421" s="42"/>
    </row>
    <row r="422">
      <c r="E422" s="42"/>
    </row>
    <row r="423">
      <c r="E423" s="42"/>
    </row>
    <row r="424">
      <c r="E424" s="42"/>
    </row>
    <row r="425">
      <c r="E425" s="42"/>
    </row>
    <row r="426">
      <c r="E426" s="42"/>
    </row>
    <row r="427">
      <c r="E427" s="42"/>
    </row>
    <row r="428">
      <c r="E428" s="42"/>
    </row>
    <row r="429">
      <c r="E429" s="42"/>
    </row>
    <row r="430">
      <c r="E430" s="42"/>
    </row>
    <row r="431">
      <c r="E431" s="42"/>
    </row>
    <row r="432">
      <c r="E432" s="42"/>
    </row>
    <row r="433">
      <c r="E433" s="42"/>
    </row>
    <row r="434">
      <c r="E434" s="42"/>
    </row>
    <row r="435">
      <c r="E435" s="42"/>
    </row>
    <row r="436">
      <c r="E436" s="42"/>
    </row>
    <row r="437">
      <c r="E437" s="42"/>
    </row>
    <row r="438">
      <c r="E438" s="42"/>
    </row>
    <row r="439">
      <c r="E439" s="42"/>
    </row>
    <row r="440">
      <c r="E440" s="42"/>
    </row>
    <row r="441">
      <c r="E441" s="42"/>
    </row>
    <row r="442">
      <c r="E442" s="42"/>
    </row>
    <row r="443">
      <c r="E443" s="42"/>
    </row>
    <row r="444">
      <c r="E444" s="42"/>
    </row>
    <row r="445">
      <c r="E445" s="42"/>
    </row>
    <row r="446">
      <c r="E446" s="42"/>
    </row>
    <row r="447">
      <c r="E447" s="42"/>
    </row>
    <row r="448">
      <c r="E448" s="42"/>
    </row>
    <row r="449">
      <c r="E449" s="42"/>
    </row>
    <row r="450">
      <c r="E450" s="42"/>
    </row>
    <row r="451">
      <c r="E451" s="42"/>
    </row>
    <row r="452">
      <c r="E452" s="42"/>
    </row>
    <row r="453">
      <c r="E453" s="42"/>
    </row>
    <row r="454">
      <c r="E454" s="42"/>
    </row>
    <row r="455">
      <c r="E455" s="42"/>
    </row>
    <row r="456">
      <c r="E456" s="42"/>
    </row>
    <row r="457">
      <c r="E457" s="42"/>
    </row>
    <row r="458">
      <c r="E458" s="42"/>
    </row>
    <row r="459">
      <c r="E459" s="42"/>
    </row>
    <row r="460">
      <c r="E460" s="42"/>
    </row>
    <row r="461">
      <c r="E461" s="42"/>
    </row>
    <row r="462">
      <c r="E462" s="42"/>
    </row>
    <row r="463">
      <c r="E463" s="42"/>
    </row>
    <row r="464">
      <c r="E464" s="42"/>
    </row>
    <row r="465">
      <c r="E465" s="42"/>
    </row>
    <row r="466">
      <c r="E466" s="42"/>
    </row>
    <row r="467">
      <c r="E467" s="42"/>
    </row>
    <row r="468">
      <c r="E468" s="42"/>
    </row>
    <row r="469">
      <c r="E469" s="42"/>
    </row>
    <row r="470">
      <c r="E470" s="42"/>
    </row>
    <row r="471">
      <c r="E471" s="42"/>
    </row>
    <row r="472">
      <c r="E472" s="42"/>
    </row>
    <row r="473">
      <c r="E473" s="42"/>
    </row>
    <row r="474">
      <c r="E474" s="42"/>
    </row>
    <row r="475">
      <c r="E475" s="42"/>
    </row>
    <row r="476">
      <c r="E476" s="42"/>
    </row>
    <row r="477">
      <c r="E477" s="42"/>
    </row>
    <row r="478">
      <c r="E478" s="42"/>
    </row>
    <row r="479">
      <c r="E479" s="42"/>
    </row>
    <row r="480">
      <c r="E480" s="42"/>
    </row>
    <row r="481">
      <c r="E481" s="42"/>
    </row>
    <row r="482">
      <c r="E482" s="42"/>
    </row>
    <row r="483">
      <c r="E483" s="42"/>
    </row>
    <row r="484">
      <c r="E484" s="42"/>
    </row>
    <row r="485">
      <c r="E485" s="42"/>
    </row>
    <row r="486">
      <c r="E486" s="42"/>
    </row>
    <row r="487">
      <c r="E487" s="42"/>
    </row>
    <row r="488">
      <c r="E488" s="42"/>
    </row>
    <row r="489">
      <c r="E489" s="42"/>
    </row>
    <row r="490">
      <c r="E490" s="42"/>
    </row>
    <row r="491">
      <c r="E491" s="42"/>
    </row>
    <row r="492">
      <c r="E492" s="42"/>
    </row>
    <row r="493">
      <c r="E493" s="42"/>
    </row>
    <row r="494">
      <c r="E494" s="42"/>
    </row>
    <row r="495">
      <c r="E495" s="42"/>
    </row>
    <row r="496">
      <c r="E496" s="42"/>
    </row>
    <row r="497">
      <c r="E497" s="42"/>
    </row>
    <row r="498">
      <c r="E498" s="42"/>
    </row>
    <row r="499">
      <c r="E499" s="42"/>
    </row>
    <row r="500">
      <c r="E500" s="42"/>
    </row>
    <row r="501">
      <c r="E501" s="42"/>
    </row>
    <row r="502">
      <c r="E502" s="42"/>
    </row>
    <row r="503">
      <c r="E503" s="42"/>
    </row>
    <row r="504">
      <c r="E504" s="42"/>
    </row>
    <row r="505">
      <c r="E505" s="42"/>
    </row>
    <row r="506">
      <c r="E506" s="42"/>
    </row>
    <row r="507">
      <c r="E507" s="42"/>
    </row>
    <row r="508">
      <c r="E508" s="42"/>
    </row>
    <row r="509">
      <c r="E509" s="42"/>
    </row>
    <row r="510">
      <c r="E510" s="42"/>
    </row>
    <row r="511">
      <c r="E511" s="42"/>
    </row>
    <row r="512">
      <c r="E512" s="42"/>
    </row>
    <row r="513">
      <c r="E513" s="42"/>
    </row>
    <row r="514">
      <c r="E514" s="42"/>
    </row>
    <row r="515">
      <c r="E515" s="42"/>
    </row>
    <row r="516">
      <c r="E516" s="42"/>
    </row>
    <row r="517">
      <c r="E517" s="42"/>
    </row>
    <row r="518">
      <c r="E518" s="42"/>
    </row>
    <row r="519">
      <c r="E519" s="42"/>
    </row>
    <row r="520">
      <c r="E520" s="42"/>
    </row>
    <row r="521">
      <c r="E521" s="42"/>
    </row>
    <row r="522">
      <c r="E522" s="42"/>
    </row>
    <row r="523">
      <c r="E523" s="42"/>
    </row>
    <row r="524">
      <c r="E524" s="42"/>
    </row>
    <row r="525">
      <c r="E525" s="42"/>
    </row>
    <row r="526">
      <c r="E526" s="42"/>
    </row>
    <row r="527">
      <c r="E527" s="42"/>
    </row>
    <row r="528">
      <c r="E528" s="42"/>
    </row>
    <row r="529">
      <c r="E529" s="42"/>
    </row>
    <row r="530">
      <c r="E530" s="42"/>
    </row>
    <row r="531">
      <c r="E531" s="42"/>
    </row>
    <row r="532">
      <c r="E532" s="42"/>
    </row>
    <row r="533">
      <c r="E533" s="42"/>
    </row>
    <row r="534">
      <c r="E534" s="42"/>
    </row>
    <row r="535">
      <c r="E535" s="42"/>
    </row>
    <row r="536">
      <c r="E536" s="42"/>
    </row>
    <row r="537">
      <c r="E537" s="42"/>
    </row>
    <row r="538">
      <c r="E538" s="42"/>
    </row>
    <row r="539">
      <c r="E539" s="42"/>
    </row>
    <row r="540">
      <c r="E540" s="42"/>
    </row>
    <row r="541">
      <c r="E541" s="42"/>
    </row>
    <row r="542">
      <c r="E542" s="42"/>
    </row>
    <row r="543">
      <c r="E543" s="42"/>
    </row>
    <row r="544">
      <c r="E544" s="42"/>
    </row>
    <row r="545">
      <c r="E545" s="42"/>
    </row>
    <row r="546">
      <c r="E546" s="42"/>
    </row>
    <row r="547">
      <c r="E547" s="42"/>
    </row>
    <row r="548">
      <c r="E548" s="42"/>
    </row>
    <row r="549">
      <c r="E549" s="42"/>
    </row>
    <row r="550">
      <c r="E550" s="42"/>
    </row>
    <row r="551">
      <c r="E551" s="42"/>
    </row>
    <row r="552">
      <c r="E552" s="42"/>
    </row>
    <row r="553">
      <c r="E553" s="42"/>
    </row>
    <row r="554">
      <c r="E554" s="42"/>
    </row>
    <row r="555">
      <c r="E555" s="42"/>
    </row>
    <row r="556">
      <c r="E556" s="42"/>
    </row>
    <row r="557">
      <c r="E557" s="42"/>
    </row>
    <row r="558">
      <c r="E558" s="42"/>
    </row>
    <row r="559">
      <c r="E559" s="42"/>
    </row>
    <row r="560">
      <c r="E560" s="42"/>
    </row>
    <row r="561">
      <c r="E561" s="42"/>
    </row>
    <row r="562">
      <c r="E562" s="42"/>
    </row>
    <row r="563">
      <c r="E563" s="42"/>
    </row>
    <row r="564">
      <c r="E564" s="42"/>
    </row>
    <row r="565">
      <c r="E565" s="42"/>
    </row>
    <row r="566">
      <c r="E566" s="42"/>
    </row>
    <row r="567">
      <c r="E567" s="42"/>
    </row>
    <row r="568">
      <c r="E568" s="42"/>
    </row>
    <row r="569">
      <c r="E569" s="42"/>
    </row>
    <row r="570">
      <c r="E570" s="42"/>
    </row>
    <row r="571">
      <c r="E571" s="42"/>
    </row>
    <row r="572">
      <c r="E572" s="42"/>
    </row>
    <row r="573">
      <c r="E573" s="42"/>
    </row>
    <row r="574">
      <c r="E574" s="42"/>
    </row>
    <row r="575">
      <c r="E575" s="42"/>
    </row>
    <row r="576">
      <c r="E576" s="42"/>
    </row>
    <row r="577">
      <c r="E577" s="42"/>
    </row>
    <row r="578">
      <c r="E578" s="42"/>
    </row>
    <row r="579">
      <c r="E579" s="42"/>
    </row>
    <row r="580">
      <c r="E580" s="42"/>
    </row>
    <row r="581">
      <c r="E581" s="42"/>
    </row>
    <row r="582">
      <c r="E582" s="42"/>
    </row>
    <row r="583">
      <c r="E583" s="42"/>
    </row>
    <row r="584">
      <c r="E584" s="42"/>
    </row>
    <row r="585">
      <c r="E585" s="42"/>
    </row>
    <row r="586">
      <c r="E586" s="42"/>
    </row>
    <row r="587">
      <c r="E587" s="42"/>
    </row>
    <row r="588">
      <c r="E588" s="42"/>
    </row>
    <row r="589">
      <c r="E589" s="42"/>
    </row>
    <row r="590">
      <c r="E590" s="42"/>
    </row>
    <row r="591">
      <c r="E591" s="42"/>
    </row>
    <row r="592">
      <c r="E592" s="42"/>
    </row>
    <row r="593">
      <c r="E593" s="42"/>
    </row>
    <row r="594">
      <c r="E594" s="42"/>
    </row>
    <row r="595">
      <c r="E595" s="42"/>
    </row>
    <row r="596">
      <c r="E596" s="42"/>
    </row>
    <row r="597">
      <c r="E597" s="42"/>
    </row>
    <row r="598">
      <c r="E598" s="42"/>
    </row>
    <row r="599">
      <c r="E599" s="42"/>
    </row>
    <row r="600">
      <c r="E600" s="42"/>
    </row>
    <row r="601">
      <c r="E601" s="42"/>
    </row>
    <row r="602">
      <c r="E602" s="42"/>
    </row>
    <row r="603">
      <c r="E603" s="42"/>
    </row>
    <row r="604">
      <c r="E604" s="42"/>
    </row>
    <row r="605">
      <c r="E605" s="42"/>
    </row>
    <row r="606">
      <c r="E606" s="42"/>
    </row>
    <row r="607">
      <c r="E607" s="42"/>
    </row>
    <row r="608">
      <c r="E608" s="42"/>
    </row>
    <row r="609">
      <c r="E609" s="42"/>
    </row>
    <row r="610">
      <c r="E610" s="42"/>
    </row>
    <row r="611">
      <c r="E611" s="42"/>
    </row>
    <row r="612">
      <c r="E612" s="42"/>
    </row>
    <row r="613">
      <c r="E613" s="42"/>
    </row>
    <row r="614">
      <c r="E614" s="42"/>
    </row>
    <row r="615">
      <c r="E615" s="42"/>
    </row>
    <row r="616">
      <c r="E616" s="42"/>
    </row>
    <row r="617">
      <c r="E617" s="42"/>
    </row>
    <row r="618">
      <c r="E618" s="42"/>
    </row>
    <row r="619">
      <c r="E619" s="42"/>
    </row>
    <row r="620">
      <c r="E620" s="42"/>
    </row>
    <row r="621">
      <c r="E621" s="42"/>
    </row>
    <row r="622">
      <c r="E622" s="42"/>
    </row>
    <row r="623">
      <c r="E623" s="42"/>
    </row>
    <row r="624">
      <c r="E624" s="42"/>
    </row>
    <row r="625">
      <c r="E625" s="42"/>
    </row>
    <row r="626">
      <c r="E626" s="42"/>
    </row>
    <row r="627">
      <c r="E627" s="42"/>
    </row>
    <row r="628">
      <c r="E628" s="42"/>
    </row>
    <row r="629">
      <c r="E629" s="42"/>
    </row>
    <row r="630">
      <c r="E630" s="42"/>
    </row>
    <row r="631">
      <c r="E631" s="42"/>
    </row>
    <row r="632">
      <c r="E632" s="42"/>
    </row>
    <row r="633">
      <c r="E633" s="42"/>
    </row>
    <row r="634">
      <c r="E634" s="42"/>
    </row>
    <row r="635">
      <c r="E635" s="42"/>
    </row>
    <row r="636">
      <c r="E636" s="42"/>
    </row>
    <row r="637">
      <c r="E637" s="42"/>
    </row>
    <row r="638">
      <c r="E638" s="42"/>
    </row>
    <row r="639">
      <c r="E639" s="42"/>
    </row>
    <row r="640">
      <c r="E640" s="42"/>
    </row>
    <row r="641">
      <c r="E641" s="42"/>
    </row>
    <row r="642">
      <c r="E642" s="42"/>
    </row>
    <row r="643">
      <c r="E643" s="42"/>
    </row>
    <row r="644">
      <c r="E644" s="42"/>
    </row>
    <row r="645">
      <c r="E645" s="42"/>
    </row>
    <row r="646">
      <c r="E646" s="42"/>
    </row>
    <row r="647">
      <c r="E647" s="42"/>
    </row>
    <row r="648">
      <c r="E648" s="42"/>
    </row>
    <row r="649">
      <c r="E649" s="42"/>
    </row>
    <row r="650">
      <c r="E650" s="42"/>
    </row>
    <row r="651">
      <c r="E651" s="42"/>
    </row>
    <row r="652">
      <c r="E652" s="42"/>
    </row>
    <row r="653">
      <c r="E653" s="42"/>
    </row>
    <row r="654">
      <c r="E654" s="42"/>
    </row>
    <row r="655">
      <c r="E655" s="42"/>
    </row>
    <row r="656">
      <c r="E656" s="42"/>
    </row>
    <row r="657">
      <c r="E657" s="42"/>
    </row>
    <row r="658">
      <c r="E658" s="42"/>
    </row>
    <row r="659">
      <c r="E659" s="42"/>
    </row>
    <row r="660">
      <c r="E660" s="42"/>
    </row>
    <row r="661">
      <c r="E661" s="42"/>
    </row>
    <row r="662">
      <c r="E662" s="42"/>
    </row>
    <row r="663">
      <c r="E663" s="42"/>
    </row>
    <row r="664">
      <c r="E664" s="42"/>
    </row>
    <row r="665">
      <c r="E665" s="42"/>
    </row>
    <row r="666">
      <c r="E666" s="42"/>
    </row>
    <row r="667">
      <c r="E667" s="42"/>
    </row>
    <row r="668">
      <c r="E668" s="42"/>
    </row>
    <row r="669">
      <c r="E669" s="42"/>
    </row>
    <row r="670">
      <c r="E670" s="42"/>
    </row>
    <row r="671">
      <c r="E671" s="42"/>
    </row>
    <row r="672">
      <c r="E672" s="42"/>
    </row>
    <row r="673">
      <c r="E673" s="42"/>
    </row>
    <row r="674">
      <c r="E674" s="42"/>
    </row>
    <row r="675">
      <c r="E675" s="42"/>
    </row>
    <row r="676">
      <c r="E676" s="42"/>
    </row>
    <row r="677">
      <c r="E677" s="42"/>
    </row>
    <row r="678">
      <c r="E678" s="42"/>
    </row>
    <row r="679">
      <c r="E679" s="42"/>
    </row>
    <row r="680">
      <c r="E680" s="42"/>
    </row>
    <row r="681">
      <c r="E681" s="42"/>
    </row>
    <row r="682">
      <c r="E682" s="42"/>
    </row>
    <row r="683">
      <c r="E683" s="42"/>
    </row>
    <row r="684">
      <c r="E684" s="42"/>
    </row>
    <row r="685">
      <c r="E685" s="42"/>
    </row>
    <row r="686">
      <c r="E686" s="42"/>
    </row>
    <row r="687">
      <c r="E687" s="42"/>
    </row>
    <row r="688">
      <c r="E688" s="42"/>
    </row>
    <row r="689">
      <c r="E689" s="42"/>
    </row>
    <row r="690">
      <c r="E690" s="42"/>
    </row>
    <row r="691">
      <c r="E691" s="42"/>
    </row>
    <row r="692">
      <c r="E692" s="42"/>
    </row>
    <row r="693">
      <c r="E693" s="42"/>
    </row>
    <row r="694">
      <c r="E694" s="42"/>
    </row>
    <row r="695">
      <c r="E695" s="42"/>
    </row>
    <row r="696">
      <c r="E696" s="42"/>
    </row>
    <row r="697">
      <c r="E697" s="42"/>
    </row>
    <row r="698">
      <c r="E698" s="42"/>
    </row>
    <row r="699">
      <c r="E699" s="42"/>
    </row>
    <row r="700">
      <c r="E700" s="42"/>
    </row>
    <row r="701">
      <c r="E701" s="42"/>
    </row>
    <row r="702">
      <c r="E702" s="42"/>
    </row>
    <row r="703">
      <c r="E703" s="42"/>
    </row>
    <row r="704">
      <c r="E704" s="42"/>
    </row>
    <row r="705">
      <c r="E705" s="42"/>
    </row>
    <row r="706">
      <c r="E706" s="42"/>
    </row>
    <row r="707">
      <c r="E707" s="42"/>
    </row>
    <row r="708">
      <c r="E708" s="42"/>
    </row>
    <row r="709">
      <c r="E709" s="42"/>
    </row>
    <row r="710">
      <c r="E710" s="42"/>
    </row>
    <row r="711">
      <c r="E711" s="42"/>
    </row>
    <row r="712">
      <c r="E712" s="42"/>
    </row>
    <row r="713">
      <c r="E713" s="42"/>
    </row>
    <row r="714">
      <c r="E714" s="42"/>
    </row>
    <row r="715">
      <c r="E715" s="42"/>
    </row>
    <row r="716">
      <c r="E716" s="42"/>
    </row>
    <row r="717">
      <c r="E717" s="42"/>
    </row>
    <row r="718">
      <c r="E718" s="42"/>
    </row>
    <row r="719">
      <c r="E719" s="42"/>
    </row>
    <row r="720">
      <c r="E720" s="42"/>
    </row>
    <row r="721">
      <c r="E721" s="42"/>
    </row>
    <row r="722">
      <c r="E722" s="42"/>
    </row>
    <row r="723">
      <c r="E723" s="42"/>
    </row>
    <row r="724">
      <c r="E724" s="42"/>
    </row>
    <row r="725">
      <c r="E725" s="42"/>
    </row>
    <row r="726">
      <c r="E726" s="42"/>
    </row>
    <row r="727">
      <c r="E727" s="42"/>
    </row>
    <row r="728">
      <c r="E728" s="42"/>
    </row>
    <row r="729">
      <c r="E729" s="42"/>
    </row>
    <row r="730">
      <c r="E730" s="42"/>
    </row>
    <row r="731">
      <c r="E731" s="42"/>
    </row>
    <row r="732">
      <c r="E732" s="42"/>
    </row>
    <row r="733">
      <c r="E733" s="42"/>
    </row>
    <row r="734">
      <c r="E734" s="42"/>
    </row>
    <row r="735">
      <c r="E735" s="42"/>
    </row>
    <row r="736">
      <c r="E736" s="42"/>
    </row>
    <row r="737">
      <c r="E737" s="42"/>
    </row>
    <row r="738">
      <c r="E738" s="42"/>
    </row>
    <row r="739">
      <c r="E739" s="42"/>
    </row>
    <row r="740">
      <c r="E740" s="42"/>
    </row>
    <row r="741">
      <c r="E741" s="42"/>
    </row>
    <row r="742">
      <c r="E742" s="42"/>
    </row>
    <row r="743">
      <c r="E743" s="42"/>
    </row>
    <row r="744">
      <c r="E744" s="42"/>
    </row>
    <row r="745">
      <c r="E745" s="42"/>
    </row>
    <row r="746">
      <c r="E746" s="42"/>
    </row>
    <row r="747">
      <c r="E747" s="42"/>
    </row>
    <row r="748">
      <c r="E748" s="42"/>
    </row>
    <row r="749">
      <c r="E749" s="42"/>
    </row>
    <row r="750">
      <c r="E750" s="42"/>
    </row>
    <row r="751">
      <c r="E751" s="42"/>
    </row>
    <row r="752">
      <c r="E752" s="42"/>
    </row>
    <row r="753">
      <c r="E753" s="42"/>
    </row>
    <row r="754">
      <c r="E754" s="42"/>
    </row>
    <row r="755">
      <c r="E755" s="42"/>
    </row>
    <row r="756">
      <c r="E756" s="42"/>
    </row>
    <row r="757">
      <c r="E757" s="42"/>
    </row>
    <row r="758">
      <c r="E758" s="42"/>
    </row>
    <row r="759">
      <c r="E759" s="42"/>
    </row>
    <row r="760">
      <c r="E760" s="42"/>
    </row>
    <row r="761">
      <c r="E761" s="42"/>
    </row>
    <row r="762">
      <c r="E762" s="42"/>
    </row>
    <row r="763">
      <c r="E763" s="42"/>
    </row>
    <row r="764">
      <c r="E764" s="42"/>
    </row>
    <row r="765">
      <c r="E765" s="42"/>
    </row>
    <row r="766">
      <c r="E766" s="42"/>
    </row>
    <row r="767">
      <c r="E767" s="42"/>
    </row>
    <row r="768">
      <c r="E768" s="42"/>
    </row>
    <row r="769">
      <c r="E769" s="42"/>
    </row>
    <row r="770">
      <c r="E770" s="42"/>
    </row>
    <row r="771">
      <c r="E771" s="42"/>
    </row>
    <row r="772">
      <c r="E772" s="42"/>
    </row>
    <row r="773">
      <c r="E773" s="42"/>
    </row>
    <row r="774">
      <c r="E774" s="42"/>
    </row>
    <row r="775">
      <c r="E775" s="42"/>
    </row>
    <row r="776">
      <c r="E776" s="42"/>
    </row>
    <row r="777">
      <c r="E777" s="42"/>
    </row>
    <row r="778">
      <c r="E778" s="42"/>
    </row>
    <row r="779">
      <c r="E779" s="42"/>
    </row>
    <row r="780">
      <c r="E780" s="42"/>
    </row>
    <row r="781">
      <c r="E781" s="42"/>
    </row>
    <row r="782">
      <c r="E782" s="42"/>
    </row>
    <row r="783">
      <c r="E783" s="42"/>
    </row>
    <row r="784">
      <c r="E784" s="42"/>
    </row>
    <row r="785">
      <c r="E785" s="42"/>
    </row>
    <row r="786">
      <c r="E786" s="42"/>
    </row>
    <row r="787">
      <c r="E787" s="42"/>
    </row>
    <row r="788">
      <c r="E788" s="42"/>
    </row>
    <row r="789">
      <c r="E789" s="42"/>
    </row>
    <row r="790">
      <c r="E790" s="42"/>
    </row>
    <row r="791">
      <c r="E791" s="42"/>
    </row>
    <row r="792">
      <c r="E792" s="42"/>
    </row>
    <row r="793">
      <c r="E793" s="42"/>
    </row>
    <row r="794">
      <c r="E794" s="42"/>
    </row>
    <row r="795">
      <c r="E795" s="42"/>
    </row>
    <row r="796">
      <c r="E796" s="42"/>
    </row>
    <row r="797">
      <c r="E797" s="42"/>
    </row>
    <row r="798">
      <c r="E798" s="42"/>
    </row>
    <row r="799">
      <c r="E799" s="42"/>
    </row>
    <row r="800">
      <c r="E800" s="42"/>
    </row>
    <row r="801">
      <c r="E801" s="42"/>
    </row>
    <row r="802">
      <c r="E802" s="42"/>
    </row>
    <row r="803">
      <c r="E803" s="42"/>
    </row>
    <row r="804">
      <c r="E804" s="42"/>
    </row>
    <row r="805">
      <c r="E805" s="42"/>
    </row>
    <row r="806">
      <c r="E806" s="42"/>
    </row>
    <row r="807">
      <c r="E807" s="42"/>
    </row>
    <row r="808">
      <c r="E808" s="42"/>
    </row>
    <row r="809">
      <c r="E809" s="42"/>
    </row>
    <row r="810">
      <c r="E810" s="42"/>
    </row>
    <row r="811">
      <c r="E811" s="42"/>
    </row>
    <row r="812">
      <c r="E812" s="42"/>
    </row>
    <row r="813">
      <c r="E813" s="42"/>
    </row>
    <row r="814">
      <c r="E814" s="42"/>
    </row>
    <row r="815">
      <c r="E815" s="42"/>
    </row>
    <row r="816">
      <c r="E816" s="42"/>
    </row>
    <row r="817">
      <c r="E817" s="42"/>
    </row>
    <row r="818">
      <c r="E818" s="42"/>
    </row>
    <row r="819">
      <c r="E819" s="42"/>
    </row>
    <row r="820">
      <c r="E820" s="42"/>
    </row>
    <row r="821">
      <c r="E821" s="42"/>
    </row>
    <row r="822">
      <c r="E822" s="42"/>
    </row>
    <row r="823">
      <c r="E823" s="42"/>
    </row>
    <row r="824">
      <c r="E824" s="42"/>
    </row>
    <row r="825">
      <c r="E825" s="42"/>
    </row>
    <row r="826">
      <c r="E826" s="42"/>
    </row>
    <row r="827">
      <c r="E827" s="42"/>
    </row>
    <row r="828">
      <c r="E828" s="42"/>
    </row>
    <row r="829">
      <c r="E829" s="42"/>
    </row>
    <row r="830">
      <c r="E830" s="42"/>
    </row>
    <row r="831">
      <c r="E831" s="42"/>
    </row>
    <row r="832">
      <c r="E832" s="42"/>
    </row>
    <row r="833">
      <c r="E833" s="42"/>
    </row>
    <row r="834">
      <c r="E834" s="42"/>
    </row>
    <row r="835">
      <c r="E835" s="42"/>
    </row>
    <row r="836">
      <c r="E836" s="42"/>
    </row>
    <row r="837">
      <c r="E837" s="42"/>
    </row>
    <row r="838">
      <c r="E838" s="42"/>
    </row>
    <row r="839">
      <c r="E839" s="42"/>
    </row>
    <row r="840">
      <c r="E840" s="42"/>
    </row>
    <row r="841">
      <c r="E841" s="42"/>
    </row>
    <row r="842">
      <c r="E842" s="42"/>
    </row>
    <row r="843">
      <c r="E843" s="42"/>
    </row>
    <row r="844">
      <c r="E844" s="42"/>
    </row>
    <row r="845">
      <c r="E845" s="42"/>
    </row>
    <row r="846">
      <c r="E846" s="42"/>
    </row>
    <row r="847">
      <c r="E847" s="42"/>
    </row>
    <row r="848">
      <c r="E848" s="42"/>
    </row>
    <row r="849">
      <c r="E849" s="42"/>
    </row>
    <row r="850">
      <c r="E850" s="42"/>
    </row>
    <row r="851">
      <c r="E851" s="42"/>
    </row>
    <row r="852">
      <c r="E852" s="42"/>
    </row>
    <row r="853">
      <c r="E853" s="42"/>
    </row>
    <row r="854">
      <c r="E854" s="42"/>
    </row>
    <row r="855">
      <c r="E855" s="42"/>
    </row>
    <row r="856">
      <c r="E856" s="42"/>
    </row>
    <row r="857">
      <c r="E857" s="42"/>
    </row>
    <row r="858">
      <c r="E858" s="42"/>
    </row>
    <row r="859">
      <c r="E859" s="42"/>
    </row>
    <row r="860">
      <c r="E860" s="42"/>
    </row>
    <row r="861">
      <c r="E861" s="42"/>
    </row>
    <row r="862">
      <c r="E862" s="42"/>
    </row>
    <row r="863">
      <c r="E863" s="42"/>
    </row>
    <row r="864">
      <c r="E864" s="42"/>
    </row>
    <row r="865">
      <c r="E865" s="42"/>
    </row>
    <row r="866">
      <c r="E866" s="42"/>
    </row>
    <row r="867">
      <c r="E867" s="42"/>
    </row>
    <row r="868">
      <c r="E868" s="42"/>
    </row>
    <row r="869">
      <c r="E869" s="42"/>
    </row>
    <row r="870">
      <c r="E870" s="42"/>
    </row>
    <row r="871">
      <c r="E871" s="42"/>
    </row>
    <row r="872">
      <c r="E872" s="42"/>
    </row>
    <row r="873">
      <c r="E873" s="42"/>
    </row>
    <row r="874">
      <c r="E874" s="42"/>
    </row>
    <row r="875">
      <c r="E875" s="42"/>
    </row>
    <row r="876">
      <c r="E876" s="42"/>
    </row>
    <row r="877">
      <c r="E877" s="42"/>
    </row>
    <row r="878">
      <c r="E878" s="42"/>
    </row>
    <row r="879">
      <c r="E879" s="42"/>
    </row>
    <row r="880">
      <c r="E880" s="42"/>
    </row>
    <row r="881">
      <c r="E881" s="42"/>
    </row>
    <row r="882">
      <c r="E882" s="42"/>
    </row>
    <row r="883">
      <c r="E883" s="42"/>
    </row>
    <row r="884">
      <c r="E884" s="42"/>
    </row>
    <row r="885">
      <c r="E885" s="42"/>
    </row>
    <row r="886">
      <c r="E886" s="42"/>
    </row>
    <row r="887">
      <c r="E887" s="42"/>
    </row>
    <row r="888">
      <c r="E888" s="42"/>
    </row>
    <row r="889">
      <c r="E889" s="42"/>
    </row>
    <row r="890">
      <c r="E890" s="42"/>
    </row>
    <row r="891">
      <c r="E891" s="42"/>
    </row>
    <row r="892">
      <c r="E892" s="42"/>
    </row>
    <row r="893">
      <c r="E893" s="42"/>
    </row>
    <row r="894">
      <c r="E894" s="42"/>
    </row>
    <row r="895">
      <c r="E895" s="42"/>
    </row>
    <row r="896">
      <c r="E896" s="42"/>
    </row>
    <row r="897">
      <c r="E897" s="42"/>
    </row>
    <row r="898">
      <c r="E898" s="42"/>
    </row>
    <row r="899">
      <c r="E899" s="42"/>
    </row>
    <row r="900">
      <c r="E900" s="42"/>
    </row>
    <row r="901">
      <c r="E901" s="42"/>
    </row>
    <row r="902">
      <c r="E902" s="42"/>
    </row>
    <row r="903">
      <c r="E903" s="42"/>
    </row>
    <row r="904">
      <c r="E904" s="42"/>
    </row>
    <row r="905">
      <c r="E905" s="42"/>
    </row>
    <row r="906">
      <c r="E906" s="42"/>
    </row>
    <row r="907">
      <c r="E907" s="42"/>
    </row>
    <row r="908">
      <c r="E908" s="42"/>
    </row>
    <row r="909">
      <c r="E909" s="42"/>
    </row>
    <row r="910">
      <c r="E910" s="42"/>
    </row>
    <row r="911">
      <c r="E911" s="42"/>
    </row>
    <row r="912">
      <c r="E912" s="42"/>
    </row>
    <row r="913">
      <c r="E913" s="42"/>
    </row>
    <row r="914">
      <c r="E914" s="42"/>
    </row>
    <row r="915">
      <c r="E915" s="42"/>
    </row>
    <row r="916">
      <c r="E916" s="42"/>
    </row>
    <row r="917">
      <c r="E917" s="42"/>
    </row>
    <row r="918">
      <c r="E918" s="42"/>
    </row>
    <row r="919">
      <c r="E919" s="42"/>
    </row>
    <row r="920">
      <c r="E920" s="42"/>
    </row>
    <row r="921">
      <c r="E921" s="42"/>
    </row>
    <row r="922">
      <c r="E922" s="42"/>
    </row>
    <row r="923">
      <c r="E923" s="42"/>
    </row>
    <row r="924">
      <c r="E924" s="42"/>
    </row>
    <row r="925">
      <c r="E925" s="42"/>
    </row>
    <row r="926">
      <c r="E926" s="42"/>
    </row>
    <row r="927">
      <c r="E927" s="42"/>
    </row>
    <row r="928">
      <c r="E928" s="42"/>
    </row>
    <row r="929">
      <c r="E929" s="42"/>
    </row>
    <row r="930">
      <c r="E930" s="42"/>
    </row>
    <row r="931">
      <c r="E931" s="42"/>
    </row>
    <row r="932">
      <c r="E932" s="42"/>
    </row>
    <row r="933">
      <c r="E933" s="42"/>
    </row>
    <row r="934">
      <c r="E934" s="42"/>
    </row>
    <row r="935">
      <c r="E935" s="42"/>
    </row>
    <row r="936">
      <c r="E936" s="42"/>
    </row>
    <row r="937">
      <c r="E937" s="42"/>
    </row>
    <row r="938">
      <c r="E938" s="42"/>
    </row>
    <row r="939">
      <c r="E939" s="42"/>
    </row>
    <row r="940">
      <c r="E940" s="42"/>
    </row>
    <row r="941">
      <c r="E941" s="42"/>
    </row>
    <row r="942">
      <c r="E942" s="42"/>
    </row>
    <row r="943">
      <c r="E943" s="42"/>
    </row>
    <row r="944">
      <c r="E944" s="42"/>
    </row>
    <row r="945">
      <c r="E945" s="42"/>
    </row>
    <row r="946">
      <c r="E946" s="42"/>
    </row>
    <row r="947">
      <c r="E947" s="42"/>
    </row>
    <row r="948">
      <c r="E948" s="42"/>
    </row>
    <row r="949">
      <c r="E949" s="42"/>
    </row>
    <row r="950">
      <c r="E950" s="42"/>
    </row>
    <row r="951">
      <c r="E951" s="42"/>
    </row>
    <row r="952">
      <c r="E952" s="42"/>
    </row>
    <row r="953">
      <c r="E953" s="42"/>
    </row>
    <row r="954">
      <c r="E954" s="42"/>
    </row>
    <row r="955">
      <c r="E955" s="42"/>
    </row>
    <row r="956">
      <c r="E956" s="42"/>
    </row>
    <row r="957">
      <c r="E957" s="42"/>
    </row>
    <row r="958">
      <c r="E958" s="42"/>
    </row>
    <row r="959">
      <c r="E959" s="42"/>
    </row>
    <row r="960">
      <c r="E960" s="42"/>
    </row>
    <row r="961">
      <c r="E961" s="42"/>
    </row>
    <row r="962">
      <c r="E962" s="42"/>
    </row>
    <row r="963">
      <c r="E963" s="42"/>
    </row>
    <row r="964">
      <c r="E964" s="42"/>
    </row>
    <row r="965">
      <c r="E965" s="42"/>
    </row>
    <row r="966">
      <c r="E966" s="42"/>
    </row>
    <row r="967">
      <c r="E967" s="42"/>
    </row>
    <row r="968">
      <c r="E968" s="42"/>
    </row>
    <row r="969">
      <c r="E969" s="42"/>
    </row>
    <row r="970">
      <c r="E970" s="42"/>
    </row>
    <row r="971">
      <c r="E971" s="42"/>
    </row>
    <row r="972">
      <c r="E972" s="42"/>
    </row>
    <row r="973">
      <c r="E973" s="42"/>
    </row>
    <row r="974">
      <c r="E974" s="42"/>
    </row>
    <row r="975">
      <c r="E975" s="42"/>
    </row>
    <row r="976">
      <c r="E976" s="42"/>
    </row>
    <row r="977">
      <c r="E977" s="42"/>
    </row>
    <row r="978">
      <c r="E978" s="42"/>
    </row>
    <row r="979">
      <c r="E979" s="42"/>
    </row>
    <row r="980">
      <c r="E980" s="42"/>
    </row>
    <row r="981">
      <c r="E981" s="42"/>
    </row>
    <row r="982">
      <c r="E982" s="42"/>
    </row>
    <row r="983">
      <c r="E983" s="42"/>
    </row>
    <row r="984">
      <c r="E984" s="42"/>
    </row>
    <row r="985">
      <c r="E985" s="42"/>
    </row>
    <row r="986">
      <c r="E986" s="42"/>
    </row>
    <row r="987">
      <c r="E987" s="42"/>
    </row>
    <row r="988">
      <c r="E988" s="42"/>
    </row>
    <row r="989">
      <c r="E989" s="42"/>
    </row>
    <row r="990">
      <c r="E990" s="42"/>
    </row>
    <row r="991">
      <c r="E991" s="42"/>
    </row>
    <row r="992">
      <c r="E992" s="42"/>
    </row>
    <row r="993">
      <c r="E993" s="42"/>
    </row>
    <row r="994">
      <c r="E994" s="42"/>
    </row>
    <row r="995">
      <c r="E995" s="42"/>
    </row>
    <row r="996">
      <c r="E996" s="42"/>
    </row>
    <row r="997">
      <c r="E997" s="42"/>
    </row>
    <row r="998">
      <c r="E998" s="42"/>
    </row>
  </sheetData>
  <autoFilter ref="$A$1:$H$998"/>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16213</v>
      </c>
      <c r="B1" s="4" t="s">
        <v>1694</v>
      </c>
      <c r="C1" s="4" t="s">
        <v>16214</v>
      </c>
    </row>
    <row r="3">
      <c r="A3" s="4">
        <v>5.493424863362E12</v>
      </c>
      <c r="B3" s="4" t="s">
        <v>16215</v>
      </c>
      <c r="C3" s="4" t="s">
        <v>16216</v>
      </c>
    </row>
    <row r="4">
      <c r="A4" s="4">
        <v>5.493425672161E12</v>
      </c>
      <c r="B4" s="4" t="s">
        <v>16215</v>
      </c>
      <c r="C4" s="4" t="s">
        <v>16217</v>
      </c>
    </row>
    <row r="5">
      <c r="A5" s="4">
        <v>5.493426487779E12</v>
      </c>
      <c r="B5" s="4" t="s">
        <v>16215</v>
      </c>
      <c r="C5" s="4" t="s">
        <v>16217</v>
      </c>
    </row>
    <row r="6">
      <c r="A6" s="4">
        <v>5.492914745769E12</v>
      </c>
      <c r="B6" s="4" t="s">
        <v>16215</v>
      </c>
      <c r="C6" s="4" t="s">
        <v>16217</v>
      </c>
    </row>
    <row r="7">
      <c r="A7" s="4">
        <v>5.491123882436E12</v>
      </c>
      <c r="B7" s="4" t="s">
        <v>16215</v>
      </c>
      <c r="C7" s="4" t="s">
        <v>16217</v>
      </c>
    </row>
    <row r="8">
      <c r="A8" s="4">
        <v>5.49113027818E12</v>
      </c>
      <c r="B8" s="4" t="s">
        <v>16215</v>
      </c>
      <c r="C8" s="4" t="s">
        <v>16217</v>
      </c>
    </row>
    <row r="9">
      <c r="A9" s="4">
        <v>5.493426484326E12</v>
      </c>
      <c r="B9" s="4" t="s">
        <v>16215</v>
      </c>
      <c r="C9" s="4" t="s">
        <v>16217</v>
      </c>
    </row>
    <row r="11">
      <c r="A11" s="4">
        <v>5.491162909091E12</v>
      </c>
      <c r="B11" s="4" t="s">
        <v>16215</v>
      </c>
      <c r="C11" s="4" t="s">
        <v>16217</v>
      </c>
    </row>
    <row r="12">
      <c r="A12" s="4">
        <v>5.492914753952E12</v>
      </c>
      <c r="B12" s="4" t="s">
        <v>16215</v>
      </c>
      <c r="C12" s="4" t="s">
        <v>16217</v>
      </c>
    </row>
    <row r="14">
      <c r="A14" s="4">
        <v>5.493425672161E12</v>
      </c>
      <c r="B14" s="4" t="s">
        <v>16215</v>
      </c>
      <c r="C14" s="4" t="s">
        <v>16217</v>
      </c>
    </row>
    <row r="16">
      <c r="A16" s="4">
        <v>5.49112450931E12</v>
      </c>
      <c r="B16" s="4" t="s">
        <v>16218</v>
      </c>
      <c r="C16" s="4" t="s">
        <v>16217</v>
      </c>
    </row>
    <row r="17">
      <c r="A17" s="4">
        <v>5.492477223974E12</v>
      </c>
      <c r="B17" s="4" t="s">
        <v>16215</v>
      </c>
      <c r="C17" s="4" t="s">
        <v>16217</v>
      </c>
    </row>
    <row r="18">
      <c r="A18" s="4">
        <v>5.491167530061E12</v>
      </c>
      <c r="B18" s="4" t="s">
        <v>16218</v>
      </c>
      <c r="C18" s="4" t="s">
        <v>16217</v>
      </c>
    </row>
    <row r="20">
      <c r="A20" s="4">
        <v>5.491169086047E12</v>
      </c>
      <c r="B20" s="4" t="s">
        <v>16215</v>
      </c>
      <c r="C20" s="4" t="s">
        <v>16217</v>
      </c>
    </row>
    <row r="21">
      <c r="A21" s="4">
        <v>5.493524405893E12</v>
      </c>
      <c r="B21" s="4" t="s">
        <v>16215</v>
      </c>
      <c r="C21" s="4" t="s">
        <v>16217</v>
      </c>
    </row>
    <row r="22">
      <c r="A22" s="4">
        <v>5.49116674844E12</v>
      </c>
      <c r="B22" s="4" t="s">
        <v>16215</v>
      </c>
      <c r="C22" s="4" t="s">
        <v>16217</v>
      </c>
    </row>
    <row r="24">
      <c r="A24" s="4">
        <v>5.491159591676E12</v>
      </c>
      <c r="B24" s="4" t="s">
        <v>16215</v>
      </c>
      <c r="C24" s="4" t="s">
        <v>16217</v>
      </c>
    </row>
    <row r="25">
      <c r="A25" s="4">
        <v>5.49342549566E12</v>
      </c>
      <c r="B25" s="4" t="s">
        <v>16215</v>
      </c>
      <c r="C25" s="4" t="s">
        <v>16217</v>
      </c>
    </row>
    <row r="26">
      <c r="A26" s="4">
        <v>5.492995378271E12</v>
      </c>
      <c r="B26" s="4" t="s">
        <v>16215</v>
      </c>
      <c r="C26" s="4" t="s">
        <v>16217</v>
      </c>
    </row>
    <row r="27">
      <c r="A27" s="4">
        <v>5.493425497408E12</v>
      </c>
      <c r="B27" s="4" t="s">
        <v>16215</v>
      </c>
      <c r="C27" s="4" t="s">
        <v>16217</v>
      </c>
    </row>
    <row r="28">
      <c r="A28" s="4">
        <v>5.493756456483E12</v>
      </c>
      <c r="B28" s="4" t="s">
        <v>16215</v>
      </c>
      <c r="C28" s="4" t="s">
        <v>16217</v>
      </c>
    </row>
    <row r="29">
      <c r="A29" s="4">
        <v>5.49351244188E12</v>
      </c>
      <c r="B29" s="4" t="s">
        <v>16215</v>
      </c>
      <c r="C29" s="4" t="s">
        <v>16217</v>
      </c>
    </row>
    <row r="30">
      <c r="A30" s="4">
        <v>5.493755647116E12</v>
      </c>
      <c r="B30" s="4" t="s">
        <v>16218</v>
      </c>
      <c r="C30" s="4" t="s">
        <v>16217</v>
      </c>
    </row>
    <row r="31">
      <c r="A31" s="4">
        <v>5.493755647116E12</v>
      </c>
      <c r="B31" s="4" t="s">
        <v>16218</v>
      </c>
      <c r="C31" s="4" t="s">
        <v>16217</v>
      </c>
    </row>
    <row r="32">
      <c r="A32" s="4">
        <v>5.493855342597E12</v>
      </c>
      <c r="B32" s="4" t="s">
        <v>16215</v>
      </c>
      <c r="C32" s="4" t="s">
        <v>16217</v>
      </c>
    </row>
    <row r="33">
      <c r="A33" s="4">
        <v>5.491132389312E12</v>
      </c>
      <c r="B33" s="4" t="s">
        <v>16215</v>
      </c>
      <c r="C33" s="4" t="s">
        <v>16217</v>
      </c>
    </row>
    <row r="34">
      <c r="A34" s="4">
        <v>5.492665036264E12</v>
      </c>
      <c r="B34" s="4" t="s">
        <v>16215</v>
      </c>
      <c r="C34" s="4" t="s">
        <v>16217</v>
      </c>
    </row>
    <row r="35">
      <c r="A35" s="4">
        <v>5.492478400244E12</v>
      </c>
      <c r="B35" s="4" t="s">
        <v>16215</v>
      </c>
      <c r="C35" s="4" t="s">
        <v>16217</v>
      </c>
    </row>
    <row r="36">
      <c r="A36" s="4">
        <v>5.493512220339E12</v>
      </c>
      <c r="B36" s="4" t="s">
        <v>16215</v>
      </c>
      <c r="C36" s="4" t="s">
        <v>16217</v>
      </c>
    </row>
    <row r="37">
      <c r="A37" s="4">
        <v>5.493878435842E12</v>
      </c>
      <c r="B37" s="4" t="s">
        <v>16215</v>
      </c>
      <c r="C37" s="4" t="s">
        <v>16217</v>
      </c>
    </row>
    <row r="38">
      <c r="A38" s="4">
        <v>5.491144779922E12</v>
      </c>
      <c r="B38" s="4" t="s">
        <v>16215</v>
      </c>
      <c r="C38" s="4" t="s">
        <v>16217</v>
      </c>
    </row>
    <row r="39">
      <c r="A39" s="4">
        <v>5.493624271916E12</v>
      </c>
      <c r="B39" s="4" t="s">
        <v>16215</v>
      </c>
      <c r="C39" s="4" t="s">
        <v>16217</v>
      </c>
    </row>
    <row r="40">
      <c r="A40" s="4">
        <v>5.492345422235E12</v>
      </c>
      <c r="B40" s="4" t="s">
        <v>16215</v>
      </c>
      <c r="C40" s="4" t="s">
        <v>16217</v>
      </c>
    </row>
    <row r="41">
      <c r="A41" s="4">
        <v>5.493874448649E12</v>
      </c>
      <c r="B41" s="4" t="s">
        <v>16215</v>
      </c>
      <c r="C41" s="4" t="s">
        <v>16217</v>
      </c>
    </row>
    <row r="42">
      <c r="A42" s="4">
        <v>5.491159658222E12</v>
      </c>
      <c r="B42" s="4" t="s">
        <v>16215</v>
      </c>
      <c r="C42" s="4" t="s">
        <v>16217</v>
      </c>
    </row>
    <row r="43">
      <c r="A43" s="4">
        <v>5.49342485144E12</v>
      </c>
      <c r="B43" s="4" t="s">
        <v>16215</v>
      </c>
      <c r="C43" s="4" t="s">
        <v>16217</v>
      </c>
    </row>
    <row r="44">
      <c r="A44" s="4">
        <v>5.9895143435E10</v>
      </c>
      <c r="B44" s="4" t="s">
        <v>16215</v>
      </c>
      <c r="C44" s="4" t="s">
        <v>16217</v>
      </c>
    </row>
    <row r="45">
      <c r="A45" s="4">
        <v>5.49349226048E12</v>
      </c>
      <c r="B45" s="4" t="s">
        <v>16215</v>
      </c>
      <c r="C45" s="4" t="s">
        <v>16217</v>
      </c>
    </row>
    <row r="46">
      <c r="A46" s="4">
        <v>5.493426294957E12</v>
      </c>
      <c r="B46" s="4" t="s">
        <v>16215</v>
      </c>
      <c r="C46" s="4" t="s">
        <v>16217</v>
      </c>
    </row>
    <row r="47">
      <c r="A47" s="4">
        <v>5.492915034472E12</v>
      </c>
      <c r="B47" s="4" t="s">
        <v>16215</v>
      </c>
      <c r="C47" s="4" t="s">
        <v>16217</v>
      </c>
    </row>
    <row r="49">
      <c r="A49" s="4">
        <v>5.491169700737E12</v>
      </c>
      <c r="B49" s="4" t="s">
        <v>16215</v>
      </c>
      <c r="C49" s="4" t="s">
        <v>16217</v>
      </c>
    </row>
    <row r="50">
      <c r="A50" s="4">
        <v>5.491169700737E12</v>
      </c>
      <c r="B50" s="4" t="s">
        <v>16215</v>
      </c>
      <c r="C50" s="4" t="s">
        <v>16217</v>
      </c>
    </row>
    <row r="51">
      <c r="A51" s="4">
        <v>5.493764722472E12</v>
      </c>
      <c r="B51" s="4" t="s">
        <v>16215</v>
      </c>
      <c r="C51" s="4" t="s">
        <v>16217</v>
      </c>
    </row>
    <row r="52">
      <c r="A52" s="4">
        <v>5.493493449796E12</v>
      </c>
      <c r="B52" s="4" t="s">
        <v>16215</v>
      </c>
      <c r="C52" s="4" t="s">
        <v>16217</v>
      </c>
    </row>
    <row r="53">
      <c r="A53" s="4">
        <v>5.492644363388E12</v>
      </c>
      <c r="B53" s="4" t="s">
        <v>16215</v>
      </c>
      <c r="C53" s="4" t="s">
        <v>16217</v>
      </c>
    </row>
    <row r="54">
      <c r="A54" s="4">
        <v>5.491166260061E12</v>
      </c>
      <c r="B54" s="4" t="s">
        <v>16215</v>
      </c>
      <c r="C54" s="4" t="s">
        <v>16217</v>
      </c>
    </row>
    <row r="55">
      <c r="A55" s="4">
        <v>5.492915511001E12</v>
      </c>
      <c r="B55" s="4" t="s">
        <v>16215</v>
      </c>
      <c r="C55" s="4" t="s">
        <v>16217</v>
      </c>
    </row>
    <row r="56">
      <c r="A56" s="4">
        <v>5.41141624483E11</v>
      </c>
      <c r="B56" s="4" t="s">
        <v>16215</v>
      </c>
      <c r="C56" s="4" t="s">
        <v>16217</v>
      </c>
    </row>
    <row r="57">
      <c r="A57" s="4">
        <v>5.491165141093E12</v>
      </c>
      <c r="B57" s="4" t="s">
        <v>16215</v>
      </c>
      <c r="C57" s="4" t="s">
        <v>16217</v>
      </c>
    </row>
    <row r="58">
      <c r="A58" s="4">
        <v>5.49117152679E12</v>
      </c>
      <c r="B58" s="4" t="s">
        <v>16215</v>
      </c>
      <c r="C58" s="4" t="s">
        <v>16217</v>
      </c>
    </row>
    <row r="59">
      <c r="A59" s="4">
        <v>5.493816464575E12</v>
      </c>
      <c r="B59" s="4" t="s">
        <v>16215</v>
      </c>
      <c r="C59" s="4" t="s">
        <v>16217</v>
      </c>
    </row>
    <row r="60">
      <c r="A60" s="4">
        <v>5.493424476596E12</v>
      </c>
      <c r="B60" s="4" t="s">
        <v>16215</v>
      </c>
      <c r="C60" s="4" t="s">
        <v>16217</v>
      </c>
    </row>
    <row r="61">
      <c r="A61" s="4">
        <v>5.493425224991E12</v>
      </c>
      <c r="B61" s="4" t="s">
        <v>16215</v>
      </c>
      <c r="C61" s="4" t="s">
        <v>16217</v>
      </c>
    </row>
    <row r="62">
      <c r="A62" s="4">
        <v>5.491150270798E12</v>
      </c>
      <c r="B62" s="4" t="s">
        <v>16215</v>
      </c>
      <c r="C62" s="4" t="s">
        <v>16216</v>
      </c>
    </row>
    <row r="63">
      <c r="A63" s="4">
        <v>5.491150270798E12</v>
      </c>
      <c r="B63" s="4" t="s">
        <v>16215</v>
      </c>
      <c r="C63" s="4" t="s">
        <v>16216</v>
      </c>
    </row>
    <row r="64">
      <c r="A64" s="4">
        <v>5.491150270798E12</v>
      </c>
      <c r="B64" s="4" t="s">
        <v>16215</v>
      </c>
      <c r="C64" s="4" t="s">
        <v>16217</v>
      </c>
    </row>
    <row r="65">
      <c r="A65" s="4">
        <v>5.493804109774E12</v>
      </c>
      <c r="B65" s="4" t="s">
        <v>16215</v>
      </c>
      <c r="C65" s="4" t="s">
        <v>16217</v>
      </c>
    </row>
    <row r="66">
      <c r="A66" s="4">
        <v>5.493492322438E12</v>
      </c>
      <c r="B66" s="4" t="s">
        <v>16215</v>
      </c>
      <c r="C66" s="4" t="s">
        <v>16217</v>
      </c>
    </row>
    <row r="67">
      <c r="A67" s="4">
        <v>5.492227537708E12</v>
      </c>
      <c r="B67" s="4" t="s">
        <v>16215</v>
      </c>
      <c r="C67" s="4" t="s">
        <v>16217</v>
      </c>
    </row>
    <row r="68">
      <c r="A68" s="4">
        <v>5.491140857112E12</v>
      </c>
      <c r="B68" s="4" t="s">
        <v>16215</v>
      </c>
      <c r="C68" s="4" t="s">
        <v>16217</v>
      </c>
    </row>
    <row r="69">
      <c r="A69" s="4">
        <v>5.493424476596E12</v>
      </c>
      <c r="B69" s="4" t="s">
        <v>16215</v>
      </c>
      <c r="C69" s="4" t="s">
        <v>16217</v>
      </c>
    </row>
    <row r="70">
      <c r="A70" s="4">
        <v>5.493426293881E12</v>
      </c>
      <c r="B70" s="4" t="s">
        <v>16215</v>
      </c>
      <c r="C70" s="4" t="s">
        <v>16217</v>
      </c>
    </row>
    <row r="71">
      <c r="A71" s="4">
        <v>5.493854839381E12</v>
      </c>
      <c r="B71" s="4" t="s">
        <v>16215</v>
      </c>
      <c r="C71" s="4" t="s">
        <v>16217</v>
      </c>
    </row>
    <row r="72">
      <c r="A72" s="4">
        <v>5.491130687497E12</v>
      </c>
      <c r="B72" s="4" t="s">
        <v>16215</v>
      </c>
      <c r="C72" s="4" t="s">
        <v>16217</v>
      </c>
    </row>
    <row r="73">
      <c r="A73" s="4">
        <v>5.492236693059E12</v>
      </c>
      <c r="B73" s="4" t="s">
        <v>16218</v>
      </c>
      <c r="C73" s="4" t="s">
        <v>16217</v>
      </c>
    </row>
    <row r="74">
      <c r="A74" s="4">
        <v>5.492257414094E12</v>
      </c>
      <c r="B74" s="4" t="s">
        <v>16215</v>
      </c>
      <c r="C74" s="4" t="s">
        <v>16217</v>
      </c>
    </row>
    <row r="75">
      <c r="A75" s="4">
        <v>5.492494648585E12</v>
      </c>
      <c r="B75" s="4" t="s">
        <v>16215</v>
      </c>
      <c r="C75" s="4" t="s">
        <v>16217</v>
      </c>
    </row>
    <row r="76">
      <c r="A76" s="4">
        <v>5.493885702402E12</v>
      </c>
      <c r="B76" s="4" t="s">
        <v>16215</v>
      </c>
      <c r="C76" s="4" t="s">
        <v>16217</v>
      </c>
    </row>
    <row r="77">
      <c r="A77" s="4">
        <v>5.491135810617E12</v>
      </c>
      <c r="B77" s="4" t="s">
        <v>16215</v>
      </c>
      <c r="C77" s="4" t="s">
        <v>16217</v>
      </c>
    </row>
    <row r="78">
      <c r="A78" s="4">
        <v>5.492804869467E12</v>
      </c>
      <c r="B78" s="4" t="s">
        <v>16215</v>
      </c>
      <c r="C78" s="4" t="s">
        <v>16217</v>
      </c>
    </row>
    <row r="79">
      <c r="A79" s="4">
        <v>5.492804415385E12</v>
      </c>
      <c r="B79" s="4" t="s">
        <v>16215</v>
      </c>
      <c r="C79" s="4" t="s">
        <v>16217</v>
      </c>
    </row>
    <row r="80">
      <c r="A80" s="4">
        <v>5.493548573732E12</v>
      </c>
      <c r="B80" s="4" t="s">
        <v>16215</v>
      </c>
      <c r="C80" s="4" t="s">
        <v>16217</v>
      </c>
    </row>
    <row r="81">
      <c r="A81" s="4">
        <v>5.492664666647E12</v>
      </c>
      <c r="B81" s="4" t="s">
        <v>16215</v>
      </c>
      <c r="C81" s="4" t="s">
        <v>16217</v>
      </c>
    </row>
    <row r="82">
      <c r="A82" s="4">
        <v>5.493794953522E12</v>
      </c>
      <c r="B82" s="4" t="s">
        <v>16215</v>
      </c>
      <c r="C82" s="4" t="s">
        <v>16217</v>
      </c>
    </row>
    <row r="83">
      <c r="A83" s="4">
        <v>5.49349652086E12</v>
      </c>
      <c r="B83" s="4" t="s">
        <v>16215</v>
      </c>
      <c r="C83" s="4" t="s">
        <v>16217</v>
      </c>
    </row>
    <row r="84">
      <c r="A84" s="4">
        <v>5.493413629482E12</v>
      </c>
      <c r="B84" s="4" t="s">
        <v>16215</v>
      </c>
      <c r="C84" s="4" t="s">
        <v>16217</v>
      </c>
    </row>
    <row r="85">
      <c r="A85" s="4">
        <v>5.491134191501E12</v>
      </c>
      <c r="B85" s="4" t="s">
        <v>16215</v>
      </c>
      <c r="C85" s="4" t="s">
        <v>16217</v>
      </c>
    </row>
    <row r="86">
      <c r="A86" s="4">
        <v>5.49115308241E12</v>
      </c>
      <c r="B86" s="4" t="s">
        <v>16215</v>
      </c>
      <c r="C86" s="4" t="s">
        <v>16217</v>
      </c>
    </row>
    <row r="87">
      <c r="A87" s="4">
        <v>5.492926454738E12</v>
      </c>
      <c r="B87" s="4" t="s">
        <v>16215</v>
      </c>
      <c r="C87" s="4" t="s">
        <v>16217</v>
      </c>
    </row>
    <row r="88">
      <c r="A88" s="4">
        <v>5.491131505394E12</v>
      </c>
      <c r="B88" s="4" t="s">
        <v>16215</v>
      </c>
      <c r="C88" s="4" t="s">
        <v>16217</v>
      </c>
    </row>
    <row r="89">
      <c r="A89" s="4">
        <v>5.49113832862E12</v>
      </c>
      <c r="B89" s="4" t="s">
        <v>16215</v>
      </c>
      <c r="C89" s="4" t="s">
        <v>16217</v>
      </c>
    </row>
    <row r="90">
      <c r="A90" s="4">
        <v>5.493743436594E12</v>
      </c>
      <c r="B90" s="4" t="s">
        <v>16215</v>
      </c>
      <c r="C90" s="4" t="s">
        <v>16217</v>
      </c>
    </row>
    <row r="91">
      <c r="A91" s="4">
        <v>5.493863447565E12</v>
      </c>
      <c r="B91" s="4" t="s">
        <v>16215</v>
      </c>
      <c r="C91" s="4" t="s">
        <v>16217</v>
      </c>
    </row>
    <row r="92">
      <c r="A92" s="4">
        <v>5.492236718239E12</v>
      </c>
      <c r="B92" s="4" t="s">
        <v>16215</v>
      </c>
      <c r="C92" s="4" t="s">
        <v>16217</v>
      </c>
    </row>
    <row r="93">
      <c r="A93" s="4">
        <v>5.492916486666E12</v>
      </c>
      <c r="B93" s="4" t="s">
        <v>16215</v>
      </c>
      <c r="C93" s="4" t="s">
        <v>16217</v>
      </c>
    </row>
    <row r="94">
      <c r="A94" s="4">
        <v>5.491173636964E12</v>
      </c>
      <c r="B94" s="4" t="s">
        <v>16215</v>
      </c>
      <c r="C94" s="4" t="s">
        <v>16217</v>
      </c>
    </row>
    <row r="95">
      <c r="A95" s="4">
        <v>9.17805871889E11</v>
      </c>
      <c r="B95" s="4" t="s">
        <v>16215</v>
      </c>
      <c r="C95" s="4" t="s">
        <v>16217</v>
      </c>
    </row>
    <row r="96">
      <c r="A96" s="4">
        <v>5.493424434786E12</v>
      </c>
      <c r="B96" s="4" t="s">
        <v>16215</v>
      </c>
      <c r="C96" s="4" t="s">
        <v>16217</v>
      </c>
    </row>
    <row r="97">
      <c r="A97" s="4">
        <v>5.1929734457E10</v>
      </c>
      <c r="B97" s="4" t="s">
        <v>16215</v>
      </c>
      <c r="C97" s="4" t="s">
        <v>16217</v>
      </c>
    </row>
    <row r="98">
      <c r="A98" s="4">
        <v>5.492804353533E12</v>
      </c>
      <c r="B98" s="4" t="s">
        <v>16215</v>
      </c>
      <c r="C98" s="4" t="s">
        <v>16217</v>
      </c>
    </row>
    <row r="99">
      <c r="A99" s="4">
        <v>3.53834688541E11</v>
      </c>
      <c r="B99" s="4" t="s">
        <v>16215</v>
      </c>
      <c r="C99" s="4" t="s">
        <v>16217</v>
      </c>
    </row>
    <row r="100">
      <c r="A100" s="4">
        <v>5.492615006156E12</v>
      </c>
      <c r="B100" s="4" t="s">
        <v>16215</v>
      </c>
      <c r="C100" s="4" t="s">
        <v>16217</v>
      </c>
    </row>
    <row r="101">
      <c r="A101" s="4">
        <v>5.49341341669E12</v>
      </c>
      <c r="B101" s="4" t="s">
        <v>16215</v>
      </c>
      <c r="C101" s="4" t="s">
        <v>16217</v>
      </c>
    </row>
    <row r="102">
      <c r="A102" s="4">
        <v>5.493878510404E12</v>
      </c>
      <c r="B102" s="4" t="s">
        <v>16215</v>
      </c>
      <c r="C102" s="4" t="s">
        <v>16217</v>
      </c>
    </row>
    <row r="103">
      <c r="A103" s="4">
        <v>5.491155612539E12</v>
      </c>
      <c r="B103" s="4" t="s">
        <v>16215</v>
      </c>
      <c r="C103" s="4" t="s">
        <v>16217</v>
      </c>
    </row>
    <row r="104">
      <c r="A104" s="4">
        <v>5.493446251059E12</v>
      </c>
      <c r="B104" s="4" t="s">
        <v>16215</v>
      </c>
      <c r="C104" s="4" t="s">
        <v>16217</v>
      </c>
    </row>
    <row r="105">
      <c r="A105" s="4">
        <v>5.493489586842E12</v>
      </c>
      <c r="B105" s="4" t="s">
        <v>16215</v>
      </c>
      <c r="C105" s="4" t="s">
        <v>16217</v>
      </c>
    </row>
    <row r="106">
      <c r="A106" s="4">
        <v>5.73226786959E11</v>
      </c>
      <c r="B106" s="4" t="s">
        <v>16215</v>
      </c>
      <c r="C106" s="4" t="s">
        <v>16217</v>
      </c>
    </row>
    <row r="107">
      <c r="A107" s="4">
        <v>5.6982337053E10</v>
      </c>
      <c r="B107" s="4" t="s">
        <v>16215</v>
      </c>
      <c r="C107" s="4" t="s">
        <v>16217</v>
      </c>
    </row>
    <row r="108">
      <c r="A108" s="4">
        <v>5.492804595862E12</v>
      </c>
      <c r="B108" s="4" t="s">
        <v>16215</v>
      </c>
      <c r="C108" s="4" t="s">
        <v>16217</v>
      </c>
    </row>
    <row r="109">
      <c r="A109" s="4">
        <v>5.491130579E12</v>
      </c>
      <c r="B109" s="4" t="s">
        <v>16215</v>
      </c>
      <c r="C109" s="4" t="s">
        <v>16217</v>
      </c>
    </row>
    <row r="110">
      <c r="A110" s="4">
        <v>5.493416193366E12</v>
      </c>
      <c r="B110" s="4" t="s">
        <v>16215</v>
      </c>
      <c r="C110" s="4" t="s">
        <v>16217</v>
      </c>
    </row>
    <row r="111">
      <c r="A111" s="4">
        <v>5.493447402805E12</v>
      </c>
      <c r="B111" s="4" t="s">
        <v>16215</v>
      </c>
      <c r="C111" s="4" t="s">
        <v>16217</v>
      </c>
    </row>
    <row r="112">
      <c r="A112" s="4">
        <v>5.493424863362E12</v>
      </c>
      <c r="B112" s="4" t="s">
        <v>16215</v>
      </c>
      <c r="C112" s="4" t="s">
        <v>16217</v>
      </c>
    </row>
    <row r="113">
      <c r="A113" s="4">
        <v>5.493424455213E12</v>
      </c>
      <c r="B113" s="4" t="s">
        <v>16215</v>
      </c>
      <c r="C113" s="4" t="s">
        <v>16217</v>
      </c>
    </row>
    <row r="114">
      <c r="A114" s="4">
        <v>5.491160256535E12</v>
      </c>
      <c r="B114" s="4" t="s">
        <v>16215</v>
      </c>
      <c r="C114" s="4" t="s">
        <v>16217</v>
      </c>
    </row>
    <row r="115">
      <c r="A115" s="4">
        <v>5.491131961212E12</v>
      </c>
      <c r="B115" s="4" t="s">
        <v>16215</v>
      </c>
      <c r="C115" s="4" t="s">
        <v>16217</v>
      </c>
    </row>
    <row r="116">
      <c r="A116" s="4">
        <v>5.492914028441E12</v>
      </c>
      <c r="B116" s="4" t="s">
        <v>16215</v>
      </c>
      <c r="C116" s="4" t="s">
        <v>16217</v>
      </c>
    </row>
    <row r="117">
      <c r="A117" s="4">
        <v>5.49340664521E12</v>
      </c>
      <c r="B117" s="4" t="s">
        <v>16215</v>
      </c>
      <c r="C117" s="4" t="s">
        <v>16217</v>
      </c>
    </row>
    <row r="118">
      <c r="A118" s="4">
        <v>5.493425543999E12</v>
      </c>
      <c r="B118" s="4" t="s">
        <v>16215</v>
      </c>
      <c r="C118" s="4" t="s">
        <v>16217</v>
      </c>
    </row>
    <row r="119">
      <c r="A119" s="4">
        <v>5.492236248744E12</v>
      </c>
      <c r="B119" s="4" t="s">
        <v>16215</v>
      </c>
      <c r="C119" s="4" t="s">
        <v>16217</v>
      </c>
    </row>
    <row r="120">
      <c r="A120" s="4">
        <v>5.491144147627E12</v>
      </c>
      <c r="B120" s="4" t="s">
        <v>16215</v>
      </c>
      <c r="C120" s="4" t="s">
        <v>16217</v>
      </c>
    </row>
    <row r="121">
      <c r="A121" s="4">
        <v>5.49112464827E12</v>
      </c>
      <c r="B121" s="4" t="s">
        <v>16215</v>
      </c>
      <c r="C121" s="4" t="s">
        <v>16217</v>
      </c>
    </row>
    <row r="122">
      <c r="A122" s="4">
        <v>5.4911557901E12</v>
      </c>
      <c r="B122" s="4" t="s">
        <v>16215</v>
      </c>
      <c r="C122" s="4" t="s">
        <v>16217</v>
      </c>
    </row>
    <row r="123">
      <c r="A123" s="4">
        <v>5.492804553768E12</v>
      </c>
      <c r="B123" s="4" t="s">
        <v>16215</v>
      </c>
      <c r="C123" s="4" t="s">
        <v>16217</v>
      </c>
    </row>
    <row r="124">
      <c r="A124" s="4">
        <v>5.491133844888E12</v>
      </c>
      <c r="B124" s="4" t="s">
        <v>16215</v>
      </c>
      <c r="C124" s="4" t="s">
        <v>16217</v>
      </c>
    </row>
    <row r="125">
      <c r="A125" s="4">
        <v>5.492291417446E12</v>
      </c>
      <c r="B125" s="4" t="s">
        <v>16215</v>
      </c>
      <c r="C125" s="4" t="s">
        <v>16217</v>
      </c>
    </row>
    <row r="126">
      <c r="A126" s="4">
        <v>5.493425592088E12</v>
      </c>
      <c r="B126" s="4" t="s">
        <v>16215</v>
      </c>
      <c r="C126" s="4" t="s">
        <v>16217</v>
      </c>
    </row>
    <row r="127">
      <c r="A127" s="4">
        <v>5.49342445123E12</v>
      </c>
      <c r="B127" s="4" t="s">
        <v>16215</v>
      </c>
      <c r="C127" s="4" t="s">
        <v>16217</v>
      </c>
    </row>
    <row r="128">
      <c r="A128" s="4">
        <v>5.492214400853E12</v>
      </c>
      <c r="B128" s="4" t="s">
        <v>16215</v>
      </c>
      <c r="C128" s="4" t="s">
        <v>16217</v>
      </c>
    </row>
    <row r="129">
      <c r="A129" s="4">
        <v>5.492612160722E12</v>
      </c>
      <c r="B129" s="4" t="s">
        <v>16215</v>
      </c>
      <c r="C129" s="4" t="s">
        <v>16217</v>
      </c>
    </row>
    <row r="130">
      <c r="A130" s="4">
        <v>5.491158984984E12</v>
      </c>
      <c r="B130" s="4" t="s">
        <v>16215</v>
      </c>
      <c r="C130" s="4" t="s">
        <v>16217</v>
      </c>
    </row>
    <row r="131">
      <c r="A131" s="4">
        <v>5.492613640491E12</v>
      </c>
      <c r="B131" s="4" t="s">
        <v>16215</v>
      </c>
      <c r="C131" s="4" t="s">
        <v>16217</v>
      </c>
    </row>
    <row r="132">
      <c r="A132" s="4">
        <v>5.49112641531E12</v>
      </c>
      <c r="B132" s="4" t="s">
        <v>16215</v>
      </c>
      <c r="C132" s="4" t="s">
        <v>16217</v>
      </c>
    </row>
    <row r="133">
      <c r="A133" s="4">
        <v>5.493482200449E12</v>
      </c>
      <c r="B133" s="4" t="s">
        <v>16218</v>
      </c>
      <c r="C133" s="4" t="s">
        <v>16217</v>
      </c>
    </row>
    <row r="134">
      <c r="A134" s="4">
        <v>5.493468416502E12</v>
      </c>
      <c r="B134" s="4" t="s">
        <v>16215</v>
      </c>
      <c r="C134" s="4" t="s">
        <v>16217</v>
      </c>
    </row>
    <row r="135">
      <c r="A135" s="4">
        <v>5.491168472848E12</v>
      </c>
      <c r="B135" s="4" t="s">
        <v>16215</v>
      </c>
      <c r="C135" s="4" t="s">
        <v>16217</v>
      </c>
    </row>
    <row r="136">
      <c r="A136" s="4">
        <v>5.49342539177E12</v>
      </c>
      <c r="B136" s="4" t="s">
        <v>16215</v>
      </c>
      <c r="C136" s="4" t="s">
        <v>16217</v>
      </c>
    </row>
    <row r="137">
      <c r="A137" s="4">
        <v>5.491130119257E12</v>
      </c>
      <c r="B137" s="4" t="s">
        <v>16215</v>
      </c>
      <c r="C137" s="4" t="s">
        <v>16217</v>
      </c>
    </row>
    <row r="138">
      <c r="A138" s="4">
        <v>5.492976236484E12</v>
      </c>
      <c r="B138" s="4" t="s">
        <v>16215</v>
      </c>
      <c r="C138" s="4" t="s">
        <v>16217</v>
      </c>
    </row>
    <row r="139">
      <c r="A139" s="4">
        <v>5.491161361213E12</v>
      </c>
      <c r="B139" s="4" t="s">
        <v>16215</v>
      </c>
      <c r="C139" s="4" t="s">
        <v>16217</v>
      </c>
    </row>
    <row r="140">
      <c r="A140" s="4">
        <v>5.49113377895E12</v>
      </c>
      <c r="B140" s="4" t="s">
        <v>16215</v>
      </c>
      <c r="C140" s="4" t="s">
        <v>16217</v>
      </c>
    </row>
    <row r="141">
      <c r="A141" s="4">
        <v>5.493413141514E12</v>
      </c>
      <c r="B141" s="4" t="s">
        <v>16215</v>
      </c>
      <c r="C141" s="4" t="s">
        <v>16217</v>
      </c>
    </row>
    <row r="142">
      <c r="A142" s="4">
        <v>5.491156366018E12</v>
      </c>
      <c r="B142" s="4" t="s">
        <v>16215</v>
      </c>
      <c r="C142" s="4" t="s">
        <v>16217</v>
      </c>
    </row>
    <row r="143">
      <c r="A143" s="4">
        <v>5.491156366018E12</v>
      </c>
      <c r="B143" s="4" t="s">
        <v>16215</v>
      </c>
      <c r="C143" s="4" t="s">
        <v>16217</v>
      </c>
    </row>
    <row r="144">
      <c r="A144" s="4">
        <v>5.493424782555E12</v>
      </c>
      <c r="B144" s="4" t="s">
        <v>16215</v>
      </c>
      <c r="C144" s="4" t="s">
        <v>16217</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13"/>
    <col customWidth="1" min="6" max="6" width="16.38"/>
    <col customWidth="1" min="7" max="7" width="14.13"/>
    <col customWidth="1" min="9" max="9" width="16.25"/>
  </cols>
  <sheetData>
    <row r="1">
      <c r="A1" s="4" t="s">
        <v>15911</v>
      </c>
      <c r="B1" s="4" t="s">
        <v>2094</v>
      </c>
      <c r="C1" s="4" t="s">
        <v>1407</v>
      </c>
      <c r="D1" s="20" t="s">
        <v>147</v>
      </c>
      <c r="E1" s="4" t="s">
        <v>15912</v>
      </c>
      <c r="F1" s="4" t="s">
        <v>126</v>
      </c>
      <c r="G1" s="4" t="s">
        <v>15913</v>
      </c>
      <c r="H1" s="23"/>
      <c r="I1" s="23"/>
      <c r="J1" s="23"/>
      <c r="K1" s="23"/>
      <c r="L1" s="23"/>
      <c r="M1" s="23"/>
      <c r="N1" s="23"/>
      <c r="O1" s="23"/>
      <c r="P1" s="23"/>
      <c r="Q1" s="23"/>
      <c r="R1" s="23"/>
      <c r="S1" s="23"/>
      <c r="T1" s="23"/>
      <c r="U1" s="23"/>
      <c r="V1" s="23"/>
      <c r="W1" s="23"/>
      <c r="X1" s="23"/>
      <c r="Y1" s="23"/>
      <c r="Z1" s="23"/>
    </row>
    <row r="2">
      <c r="A2" s="4" t="s">
        <v>15914</v>
      </c>
      <c r="B2" s="4" t="s">
        <v>15915</v>
      </c>
      <c r="C2" s="4" t="s">
        <v>1419</v>
      </c>
      <c r="D2" s="20">
        <v>3.492310311E9</v>
      </c>
      <c r="E2" s="4" t="s">
        <v>15916</v>
      </c>
      <c r="F2" s="4" t="s">
        <v>15917</v>
      </c>
      <c r="G2" s="4" t="s">
        <v>15918</v>
      </c>
      <c r="H2" s="81" t="str">
        <f t="shared" ref="H2:H68" si="1">"https://api.textmebot.com/send.php?recipient=+549"&amp;D2&amp;"&amp;apikey=xoF6EUkK31se&amp;text="&amp;ENCODEURL(
"*Hola ")&amp;A2&amp; ENCODEURL("!* ✨
Quería aprovechar este momento para agradecerte por ser parte de nuestro camino. 🙌 
Te comparto esta imagen con nuestros mejores deseos para el 2025. 🚀 
¡Que sea un año lleno de oportunidades, crecimiento y logros compartidos! Estamos listos para s"&amp;"eguir acompañándote. 💼 
Un abrazo, 
*Adrián - APSOL Consultora 🚀*")&amp;"&amp;file=https://drive.google.com/file/d/1JaFnZX621m4NuQCT9q_ijIF3FEsfpcuG/view?usp=sharing"
</f>
        <v>https://api.textmebot.com/send.php?recipient=+5493492310311&amp;apikey=xoF6EUkK31se&amp;text=%2AHola%20Ezequiel%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 s="82">
        <v>45657.581342592595</v>
      </c>
    </row>
    <row r="3">
      <c r="A3" s="4" t="s">
        <v>15919</v>
      </c>
      <c r="B3" s="4" t="s">
        <v>15920</v>
      </c>
      <c r="C3" s="4" t="s">
        <v>1419</v>
      </c>
      <c r="D3" s="20">
        <v>3.493666812E9</v>
      </c>
      <c r="E3" s="4" t="s">
        <v>15921</v>
      </c>
      <c r="F3" s="4" t="s">
        <v>15922</v>
      </c>
      <c r="G3" s="4" t="s">
        <v>15923</v>
      </c>
      <c r="H3" s="81" t="str">
        <f t="shared" si="1"/>
        <v>https://api.textmebot.com/send.php?recipient=+5493493666812&amp;apikey=xoF6EUkK31se&amp;text=%2AHola%20Cristia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 s="28">
        <v>45657.58155092593</v>
      </c>
    </row>
    <row r="4">
      <c r="A4" s="4" t="s">
        <v>15924</v>
      </c>
      <c r="B4" s="4" t="s">
        <v>15925</v>
      </c>
      <c r="C4" s="4" t="s">
        <v>1426</v>
      </c>
      <c r="D4" s="20">
        <v>3.425389073E9</v>
      </c>
      <c r="E4" s="4" t="s">
        <v>15926</v>
      </c>
      <c r="F4" s="4" t="s">
        <v>15917</v>
      </c>
      <c r="G4" s="4" t="s">
        <v>15918</v>
      </c>
      <c r="H4" s="81" t="str">
        <f t="shared" si="1"/>
        <v>https://api.textmebot.com/send.php?recipient=+5493425389073&amp;apikey=xoF6EUkK31se&amp;text=%2AHola%20Marti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 s="28">
        <v>45657.58173611111</v>
      </c>
    </row>
    <row r="5">
      <c r="A5" s="4" t="s">
        <v>15927</v>
      </c>
      <c r="B5" s="4" t="s">
        <v>15928</v>
      </c>
      <c r="C5" s="4" t="s">
        <v>1433</v>
      </c>
      <c r="D5" s="20">
        <v>3.425225459E9</v>
      </c>
      <c r="E5" s="4" t="s">
        <v>15929</v>
      </c>
      <c r="F5" s="4" t="s">
        <v>129</v>
      </c>
      <c r="G5" s="4" t="s">
        <v>15918</v>
      </c>
      <c r="H5" s="81" t="str">
        <f t="shared" si="1"/>
        <v>https://api.textmebot.com/send.php?recipient=+5493425225459&amp;apikey=xoF6EUkK31se&amp;text=%2AHola%20Ignaci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 s="28">
        <v>45657.581921296296</v>
      </c>
    </row>
    <row r="6">
      <c r="A6" s="4" t="s">
        <v>15930</v>
      </c>
      <c r="B6" s="4" t="s">
        <v>15931</v>
      </c>
      <c r="C6" s="4" t="s">
        <v>1433</v>
      </c>
      <c r="D6" s="20">
        <v>3.425101487E9</v>
      </c>
      <c r="E6" s="2"/>
      <c r="F6" s="4" t="s">
        <v>15933</v>
      </c>
      <c r="G6" s="4" t="s">
        <v>15918</v>
      </c>
      <c r="H6" s="81" t="str">
        <f t="shared" si="1"/>
        <v>https://api.textmebot.com/send.php?recipient=+5493425101487&amp;apikey=xoF6EUkK31se&amp;text=%2AHola%20Pedr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 s="28">
        <v>45657.582094907404</v>
      </c>
    </row>
    <row r="7">
      <c r="A7" s="4" t="s">
        <v>15935</v>
      </c>
      <c r="B7" s="4" t="s">
        <v>15928</v>
      </c>
      <c r="C7" s="4" t="s">
        <v>1433</v>
      </c>
      <c r="D7" s="20">
        <v>3.42531606E9</v>
      </c>
      <c r="E7" s="2"/>
      <c r="F7" s="4" t="s">
        <v>129</v>
      </c>
      <c r="G7" s="4" t="s">
        <v>1612</v>
      </c>
      <c r="H7" s="81" t="str">
        <f t="shared" si="1"/>
        <v>https://api.textmebot.com/send.php?recipient=+5493425316060&amp;apikey=xoF6EUkK31se&amp;text=%2AHola%20Ramir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7" s="28">
        <v>45657.58225694444</v>
      </c>
    </row>
    <row r="8">
      <c r="A8" s="4" t="s">
        <v>15937</v>
      </c>
      <c r="B8" s="4" t="s">
        <v>15928</v>
      </c>
      <c r="C8" s="4" t="s">
        <v>1433</v>
      </c>
      <c r="D8" s="20">
        <v>3.425270937E9</v>
      </c>
      <c r="E8" s="2"/>
      <c r="F8" s="4" t="s">
        <v>129</v>
      </c>
      <c r="G8" s="4" t="s">
        <v>12843</v>
      </c>
      <c r="H8" s="81" t="str">
        <f t="shared" si="1"/>
        <v>https://api.textmebot.com/send.php?recipient=+5493425270937&amp;apikey=xoF6EUkK31se&amp;text=%2AHola%20Rodrig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8" s="28">
        <v>45657.58243055556</v>
      </c>
    </row>
    <row r="9">
      <c r="A9" s="4" t="s">
        <v>15938</v>
      </c>
      <c r="B9" s="4" t="s">
        <v>15939</v>
      </c>
      <c r="C9" s="4" t="s">
        <v>1535</v>
      </c>
      <c r="D9" s="20">
        <v>3.424062455E9</v>
      </c>
      <c r="E9" s="4" t="s">
        <v>15940</v>
      </c>
      <c r="F9" s="4" t="s">
        <v>15933</v>
      </c>
      <c r="G9" s="4" t="s">
        <v>12843</v>
      </c>
      <c r="H9" s="81" t="str">
        <f t="shared" si="1"/>
        <v>https://api.textmebot.com/send.php?recipient=+5493424062455&amp;apikey=xoF6EUkK31se&amp;text=%2AHola%20Gonzal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9" s="28">
        <v>45657.582604166666</v>
      </c>
    </row>
    <row r="10">
      <c r="A10" s="4" t="s">
        <v>2118</v>
      </c>
      <c r="C10" s="7" t="s">
        <v>1443</v>
      </c>
      <c r="D10" s="41" t="s">
        <v>15941</v>
      </c>
      <c r="E10" s="2"/>
      <c r="F10" s="4" t="s">
        <v>15933</v>
      </c>
      <c r="G10" s="4" t="s">
        <v>1612</v>
      </c>
      <c r="H10" s="81" t="str">
        <f t="shared" si="1"/>
        <v>https://api.textmebot.com/send.php?recipient=+5492478442797&amp;apikey=xoF6EUkK31se&amp;text=%2AHola%20Santiag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0" s="28">
        <v>45657.58277777778</v>
      </c>
    </row>
    <row r="11">
      <c r="A11" s="4" t="s">
        <v>16219</v>
      </c>
      <c r="B11" s="4" t="s">
        <v>16220</v>
      </c>
      <c r="C11" s="4" t="s">
        <v>1447</v>
      </c>
      <c r="D11" s="20">
        <v>3.79470545E9</v>
      </c>
      <c r="E11" s="4" t="s">
        <v>16221</v>
      </c>
      <c r="H11" s="3" t="str">
        <f t="shared" si="1"/>
        <v>https://api.textmebot.com/send.php?recipient=+5493794705450&amp;apikey=xoF6EUkK31se&amp;text=%2AHola%20Maria José%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1" s="28">
        <v>45657.58289351852</v>
      </c>
    </row>
    <row r="12">
      <c r="A12" s="4" t="s">
        <v>15942</v>
      </c>
      <c r="B12" s="7" t="s">
        <v>1592</v>
      </c>
      <c r="C12" s="4" t="s">
        <v>1450</v>
      </c>
      <c r="D12" s="20">
        <v>3.492210048E9</v>
      </c>
      <c r="E12" s="4" t="s">
        <v>15943</v>
      </c>
      <c r="F12" s="4" t="s">
        <v>129</v>
      </c>
      <c r="G12" s="4" t="s">
        <v>15918</v>
      </c>
      <c r="H12" s="81" t="str">
        <f t="shared" si="1"/>
        <v>https://api.textmebot.com/send.php?recipient=+5493492210048&amp;apikey=xoF6EUkK31se&amp;text=%2AHola%20Yani%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2" s="28">
        <v>45657.583090277774</v>
      </c>
    </row>
    <row r="13">
      <c r="A13" s="4" t="s">
        <v>15944</v>
      </c>
      <c r="B13" s="4" t="s">
        <v>15945</v>
      </c>
      <c r="C13" s="4" t="s">
        <v>1453</v>
      </c>
      <c r="D13" s="20">
        <v>3.4043501E7</v>
      </c>
      <c r="E13" s="4" t="s">
        <v>15946</v>
      </c>
      <c r="F13" s="4" t="s">
        <v>129</v>
      </c>
      <c r="G13" s="4" t="s">
        <v>15923</v>
      </c>
      <c r="H13" s="81" t="str">
        <f t="shared" si="1"/>
        <v>https://api.textmebot.com/send.php?recipient=+54934043501&amp;apikey=xoF6EUkK31se&amp;text=%2AHola%20Iva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3" s="28">
        <v>45657.58321759259</v>
      </c>
    </row>
    <row r="14">
      <c r="A14" s="4" t="s">
        <v>15947</v>
      </c>
      <c r="B14" s="4" t="s">
        <v>1458</v>
      </c>
      <c r="C14" s="4" t="s">
        <v>1457</v>
      </c>
      <c r="D14" s="20">
        <v>3.404638467E9</v>
      </c>
      <c r="E14" s="2"/>
      <c r="F14" s="4" t="s">
        <v>129</v>
      </c>
      <c r="G14" s="4" t="s">
        <v>15923</v>
      </c>
      <c r="H14" s="81" t="str">
        <f t="shared" si="1"/>
        <v>https://api.textmebot.com/send.php?recipient=+5493404638467&amp;apikey=xoF6EUkK31se&amp;text=%2AHola%20Oscar%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4" s="28">
        <v>45657.583391203705</v>
      </c>
    </row>
    <row r="15">
      <c r="A15" s="4" t="s">
        <v>15948</v>
      </c>
      <c r="B15" s="4" t="s">
        <v>15949</v>
      </c>
      <c r="C15" s="4" t="s">
        <v>1460</v>
      </c>
      <c r="D15" s="42"/>
      <c r="E15" s="4" t="s">
        <v>15950</v>
      </c>
      <c r="F15" s="4" t="s">
        <v>129</v>
      </c>
      <c r="G15" s="4" t="s">
        <v>15918</v>
      </c>
      <c r="H15" s="81" t="str">
        <f t="shared" si="1"/>
        <v>https://api.textmebot.com/send.php?recipient=+549&amp;apikey=xoF6EUkK31se&amp;text=%2AHola%20Mari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5" s="28">
        <v>45657.58353009259</v>
      </c>
    </row>
    <row r="16">
      <c r="A16" s="4" t="s">
        <v>15951</v>
      </c>
      <c r="B16" s="4" t="s">
        <v>15952</v>
      </c>
      <c r="C16" s="4" t="s">
        <v>1464</v>
      </c>
      <c r="D16" s="41" t="s">
        <v>15953</v>
      </c>
      <c r="E16" s="4" t="s">
        <v>15954</v>
      </c>
      <c r="F16" s="4" t="s">
        <v>129</v>
      </c>
      <c r="G16" s="4" t="s">
        <v>15923</v>
      </c>
      <c r="H16" s="3" t="str">
        <f t="shared" si="1"/>
        <v>https://api.textmebot.com/send.php?recipient=+549899356963&amp;apikey=xoF6EUkK31se&amp;text=%2AHola%20Juan Jose%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6" s="28">
        <v>45657.583657407406</v>
      </c>
    </row>
    <row r="17">
      <c r="A17" s="4" t="s">
        <v>15955</v>
      </c>
      <c r="B17" s="4" t="s">
        <v>15956</v>
      </c>
      <c r="C17" s="4" t="s">
        <v>1468</v>
      </c>
      <c r="D17" s="20">
        <v>3.79506217E9</v>
      </c>
      <c r="E17" s="4" t="s">
        <v>15957</v>
      </c>
      <c r="F17" s="4" t="s">
        <v>129</v>
      </c>
      <c r="G17" s="4" t="s">
        <v>12843</v>
      </c>
      <c r="H17" s="81" t="str">
        <f t="shared" si="1"/>
        <v>https://api.textmebot.com/send.php?recipient=+5493795062170&amp;apikey=xoF6EUkK31se&amp;text=%2AHola%20Javier%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7" s="28">
        <v>45657.58384259259</v>
      </c>
    </row>
    <row r="18">
      <c r="A18" s="4" t="s">
        <v>15958</v>
      </c>
      <c r="B18" s="4" t="s">
        <v>15959</v>
      </c>
      <c r="C18" s="4" t="s">
        <v>1471</v>
      </c>
      <c r="D18" s="20">
        <v>2.26743432E9</v>
      </c>
      <c r="E18" s="4" t="s">
        <v>15960</v>
      </c>
      <c r="F18" s="4" t="s">
        <v>129</v>
      </c>
      <c r="G18" s="4" t="s">
        <v>12843</v>
      </c>
      <c r="H18" s="81" t="str">
        <f t="shared" si="1"/>
        <v>https://api.textmebot.com/send.php?recipient=+5492267434320&amp;apikey=xoF6EUkK31se&amp;text=%2AHola%20Pabl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8" s="28">
        <v>45657.58400462963</v>
      </c>
    </row>
    <row r="19">
      <c r="A19" s="4" t="s">
        <v>15961</v>
      </c>
      <c r="B19" s="4" t="s">
        <v>15962</v>
      </c>
      <c r="C19" s="4" t="s">
        <v>1419</v>
      </c>
      <c r="D19" s="20">
        <v>3.493661975E9</v>
      </c>
      <c r="E19" s="4" t="s">
        <v>15963</v>
      </c>
      <c r="F19" s="4" t="s">
        <v>15922</v>
      </c>
      <c r="G19" s="4" t="s">
        <v>15918</v>
      </c>
      <c r="H19" s="81" t="str">
        <f t="shared" si="1"/>
        <v>https://api.textmebot.com/send.php?recipient=+5493493661975&amp;apikey=xoF6EUkK31se&amp;text=%2AHola%20Estefani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19" s="28">
        <v>45657.584189814814</v>
      </c>
    </row>
    <row r="20">
      <c r="A20" s="4" t="s">
        <v>15964</v>
      </c>
      <c r="C20" s="4" t="s">
        <v>1474</v>
      </c>
      <c r="D20" s="20">
        <v>3.415763555E9</v>
      </c>
      <c r="E20" s="4" t="s">
        <v>15965</v>
      </c>
      <c r="F20" s="4" t="s">
        <v>15933</v>
      </c>
      <c r="G20" s="4" t="s">
        <v>15923</v>
      </c>
      <c r="H20" s="81" t="str">
        <f t="shared" si="1"/>
        <v>https://api.textmebot.com/send.php?recipient=+5493415763555&amp;apikey=xoF6EUkK31se&amp;text=%2AHola%20Nahuel%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0" s="28">
        <v>45657.58436342593</v>
      </c>
    </row>
    <row r="21">
      <c r="A21" s="4" t="s">
        <v>15966</v>
      </c>
      <c r="B21" s="4" t="s">
        <v>15967</v>
      </c>
      <c r="C21" s="4" t="s">
        <v>1476</v>
      </c>
      <c r="D21" s="20">
        <v>3.574453732E9</v>
      </c>
      <c r="E21" s="4" t="s">
        <v>15968</v>
      </c>
      <c r="F21" s="4" t="s">
        <v>129</v>
      </c>
      <c r="G21" s="4" t="s">
        <v>15918</v>
      </c>
      <c r="H21" s="3" t="str">
        <f t="shared" si="1"/>
        <v>https://api.textmebot.com/send.php?recipient=+5493574453732&amp;apikey=xoF6EUkK31se&amp;text=%2AHola%20Lucas Gabriel%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1" s="28">
        <v>45657.58452546296</v>
      </c>
    </row>
    <row r="22">
      <c r="A22" s="4" t="s">
        <v>15969</v>
      </c>
      <c r="B22" s="4" t="s">
        <v>15970</v>
      </c>
      <c r="C22" s="4" t="s">
        <v>1479</v>
      </c>
      <c r="D22" s="20">
        <v>3.416717294E9</v>
      </c>
      <c r="E22" s="4" t="s">
        <v>15971</v>
      </c>
      <c r="F22" s="4" t="s">
        <v>129</v>
      </c>
      <c r="G22" s="4" t="s">
        <v>15923</v>
      </c>
      <c r="H22" s="81" t="str">
        <f t="shared" si="1"/>
        <v>https://api.textmebot.com/send.php?recipient=+5493416717294&amp;apikey=xoF6EUkK31se&amp;text=%2AHola%20Leandr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2" s="28">
        <v>45657.584699074076</v>
      </c>
    </row>
    <row r="23">
      <c r="A23" s="4" t="s">
        <v>15972</v>
      </c>
      <c r="B23" s="4" t="s">
        <v>15973</v>
      </c>
      <c r="C23" s="4" t="s">
        <v>1482</v>
      </c>
      <c r="D23" s="20">
        <v>3.543546382E9</v>
      </c>
      <c r="E23" s="4" t="s">
        <v>15974</v>
      </c>
      <c r="F23" s="4" t="s">
        <v>129</v>
      </c>
      <c r="G23" s="4" t="s">
        <v>12843</v>
      </c>
      <c r="H23" s="81" t="str">
        <f t="shared" si="1"/>
        <v>https://api.textmebot.com/send.php?recipient=+5493543546382&amp;apikey=xoF6EUkK31se&amp;text=%2AHola%20Laur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3" s="28">
        <v>45657.584861111114</v>
      </c>
    </row>
    <row r="24">
      <c r="A24" s="4" t="s">
        <v>15938</v>
      </c>
      <c r="B24" s="4" t="s">
        <v>15931</v>
      </c>
      <c r="C24" s="4" t="s">
        <v>1437</v>
      </c>
      <c r="D24" s="20">
        <v>3.424236299E9</v>
      </c>
      <c r="E24" s="4" t="s">
        <v>15975</v>
      </c>
      <c r="F24" s="4" t="s">
        <v>15922</v>
      </c>
      <c r="G24" s="4" t="s">
        <v>12843</v>
      </c>
      <c r="H24" s="81" t="str">
        <f t="shared" si="1"/>
        <v>https://api.textmebot.com/send.php?recipient=+5493424236299&amp;apikey=xoF6EUkK31se&amp;text=%2AHola%20Gonzal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4" s="28">
        <v>45657.5850462963</v>
      </c>
    </row>
    <row r="25">
      <c r="A25" s="4" t="s">
        <v>15977</v>
      </c>
      <c r="B25" s="4" t="s">
        <v>15978</v>
      </c>
      <c r="C25" s="4" t="s">
        <v>1484</v>
      </c>
      <c r="D25" s="20">
        <v>1.155285364E9</v>
      </c>
      <c r="E25" s="4" t="s">
        <v>15979</v>
      </c>
      <c r="F25" s="4" t="s">
        <v>129</v>
      </c>
      <c r="G25" s="4" t="s">
        <v>15923</v>
      </c>
      <c r="H25" s="81" t="str">
        <f t="shared" si="1"/>
        <v>https://api.textmebot.com/send.php?recipient=+5491155285364&amp;apikey=xoF6EUkK31se&amp;text=%2AHola%20Carolin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5" s="28">
        <v>45657.58520833333</v>
      </c>
    </row>
    <row r="26">
      <c r="A26" s="4" t="s">
        <v>2110</v>
      </c>
      <c r="B26" s="4" t="s">
        <v>2114</v>
      </c>
      <c r="C26" s="4" t="s">
        <v>1486</v>
      </c>
      <c r="D26" s="20">
        <v>3.425305933E9</v>
      </c>
      <c r="E26" s="4" t="s">
        <v>130</v>
      </c>
      <c r="F26" s="4" t="s">
        <v>129</v>
      </c>
      <c r="G26" s="4" t="s">
        <v>15923</v>
      </c>
      <c r="H26" s="81" t="str">
        <f t="shared" si="1"/>
        <v>https://api.textmebot.com/send.php?recipient=+5493425305933&amp;apikey=xoF6EUkK31se&amp;text=%2AHola%20Renat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6" s="28">
        <v>45657.58537037037</v>
      </c>
    </row>
    <row r="27">
      <c r="A27" s="4" t="s">
        <v>15980</v>
      </c>
      <c r="B27" s="4" t="s">
        <v>15981</v>
      </c>
      <c r="C27" s="4" t="s">
        <v>1419</v>
      </c>
      <c r="D27" s="20">
        <v>3.493420977E9</v>
      </c>
      <c r="E27" s="4" t="s">
        <v>15982</v>
      </c>
      <c r="F27" s="4" t="s">
        <v>15922</v>
      </c>
      <c r="G27" s="4" t="s">
        <v>15918</v>
      </c>
      <c r="H27" s="81" t="str">
        <f t="shared" si="1"/>
        <v>https://api.textmebot.com/send.php?recipient=+5493493420977&amp;apikey=xoF6EUkK31se&amp;text=%2AHola%20Gustav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7" s="28">
        <v>45657.58611111111</v>
      </c>
    </row>
    <row r="28">
      <c r="A28" s="4" t="s">
        <v>11299</v>
      </c>
      <c r="B28" s="4" t="s">
        <v>15918</v>
      </c>
      <c r="C28" s="4" t="s">
        <v>1437</v>
      </c>
      <c r="D28" s="20">
        <v>3.425380483E9</v>
      </c>
      <c r="E28" s="4" t="s">
        <v>15983</v>
      </c>
      <c r="F28" s="4" t="s">
        <v>15922</v>
      </c>
      <c r="G28" s="4" t="s">
        <v>15918</v>
      </c>
      <c r="H28" s="81" t="str">
        <f t="shared" si="1"/>
        <v>https://api.textmebot.com/send.php?recipient=+5493425380483&amp;apikey=xoF6EUkK31se&amp;text=%2AHola%20Marketing%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8" s="28">
        <v>45657.58628472222</v>
      </c>
    </row>
    <row r="29">
      <c r="A29" s="4" t="s">
        <v>16222</v>
      </c>
      <c r="B29" s="4" t="s">
        <v>6795</v>
      </c>
      <c r="C29" s="4" t="s">
        <v>1447</v>
      </c>
      <c r="D29" s="20">
        <v>12364.0</v>
      </c>
      <c r="E29" s="4" t="s">
        <v>16223</v>
      </c>
      <c r="F29" s="4" t="s">
        <v>15922</v>
      </c>
      <c r="G29" s="4" t="s">
        <v>1612</v>
      </c>
      <c r="H29" s="81" t="str">
        <f t="shared" si="1"/>
        <v>https://api.textmebot.com/send.php?recipient=+54912364&amp;apikey=xoF6EUkK31se&amp;text=%2AHola%20Papá%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29" s="28">
        <v>45657.58641203704</v>
      </c>
    </row>
    <row r="30">
      <c r="A30" s="4" t="s">
        <v>15984</v>
      </c>
      <c r="B30" s="4" t="s">
        <v>15985</v>
      </c>
      <c r="C30" s="4" t="s">
        <v>1489</v>
      </c>
      <c r="D30" s="20">
        <v>2.346653423E9</v>
      </c>
      <c r="E30" s="4" t="s">
        <v>15986</v>
      </c>
      <c r="F30" s="4" t="s">
        <v>15933</v>
      </c>
      <c r="G30" s="4" t="s">
        <v>15918</v>
      </c>
      <c r="H30" s="81" t="str">
        <f t="shared" si="1"/>
        <v>https://api.textmebot.com/send.php?recipient=+5492346653423&amp;apikey=xoF6EUkK31se&amp;text=%2AHola%20Franc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0" s="28">
        <v>45657.58658564815</v>
      </c>
    </row>
    <row r="31">
      <c r="A31" s="4" t="s">
        <v>16224</v>
      </c>
      <c r="B31" s="7" t="s">
        <v>2147</v>
      </c>
      <c r="C31" s="4" t="s">
        <v>1419</v>
      </c>
      <c r="D31" s="20">
        <v>312.0</v>
      </c>
      <c r="E31" s="4" t="s">
        <v>33</v>
      </c>
      <c r="H31" s="81" t="str">
        <f t="shared" si="1"/>
        <v>https://api.textmebot.com/send.php?recipient=+549312&amp;apikey=xoF6EUkK31se&amp;text=%2AHola%20Adrianch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1" s="28">
        <v>45657.58671296296</v>
      </c>
    </row>
    <row r="32">
      <c r="A32" s="4" t="s">
        <v>15924</v>
      </c>
      <c r="B32" s="4" t="s">
        <v>15987</v>
      </c>
      <c r="C32" s="4" t="s">
        <v>1491</v>
      </c>
      <c r="D32" s="20">
        <v>1.168472848E9</v>
      </c>
      <c r="E32" s="4" t="s">
        <v>15988</v>
      </c>
      <c r="F32" s="4" t="s">
        <v>129</v>
      </c>
      <c r="G32" s="4" t="s">
        <v>15923</v>
      </c>
      <c r="H32" s="81" t="str">
        <f t="shared" si="1"/>
        <v>https://api.textmebot.com/send.php?recipient=+5491168472848&amp;apikey=xoF6EUkK31se&amp;text=%2AHola%20Marti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2" s="28">
        <v>45657.58689814815</v>
      </c>
    </row>
    <row r="33">
      <c r="A33" s="4" t="s">
        <v>15989</v>
      </c>
      <c r="B33" s="4" t="s">
        <v>1496</v>
      </c>
      <c r="C33" s="4" t="s">
        <v>1495</v>
      </c>
      <c r="D33" s="20">
        <v>1.160330493E9</v>
      </c>
      <c r="E33" s="4" t="s">
        <v>15990</v>
      </c>
      <c r="F33" s="4" t="s">
        <v>129</v>
      </c>
      <c r="G33" s="4" t="s">
        <v>15918</v>
      </c>
      <c r="H33" s="81" t="str">
        <f t="shared" si="1"/>
        <v>https://api.textmebot.com/send.php?recipient=+5491160330493&amp;apikey=xoF6EUkK31se&amp;text=%2AHola%20Norali%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3" s="28">
        <v>45657.58707175926</v>
      </c>
    </row>
    <row r="34">
      <c r="A34" s="4" t="s">
        <v>15991</v>
      </c>
      <c r="B34" s="4" t="s">
        <v>15992</v>
      </c>
      <c r="C34" s="7" t="s">
        <v>1498</v>
      </c>
      <c r="D34" s="20">
        <v>3.434389839E9</v>
      </c>
      <c r="E34" s="4" t="s">
        <v>15993</v>
      </c>
      <c r="F34" s="4" t="s">
        <v>129</v>
      </c>
      <c r="G34" s="4" t="s">
        <v>12843</v>
      </c>
      <c r="H34" s="81" t="str">
        <f t="shared" si="1"/>
        <v>https://api.textmebot.com/send.php?recipient=+5493434389839&amp;apikey=xoF6EUkK31se&amp;text=%2AHola%20Kare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4" s="28">
        <v>45657.587233796294</v>
      </c>
    </row>
    <row r="35">
      <c r="A35" s="4" t="s">
        <v>15994</v>
      </c>
      <c r="B35" s="4" t="s">
        <v>15995</v>
      </c>
      <c r="C35" s="4" t="s">
        <v>1501</v>
      </c>
      <c r="D35" s="20">
        <v>1.1951248813E10</v>
      </c>
      <c r="E35" s="4" t="s">
        <v>15996</v>
      </c>
      <c r="F35" s="4" t="s">
        <v>129</v>
      </c>
      <c r="G35" s="4" t="s">
        <v>15918</v>
      </c>
      <c r="H35" s="81" t="str">
        <f t="shared" si="1"/>
        <v>https://api.textmebot.com/send.php?recipient=+54911951248813&amp;apikey=xoF6EUkK31se&amp;text=%2AHola%20Flavi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5" s="28">
        <v>45657.58736111111</v>
      </c>
    </row>
    <row r="36">
      <c r="A36" s="4" t="s">
        <v>15997</v>
      </c>
      <c r="C36" s="4" t="s">
        <v>1504</v>
      </c>
      <c r="D36" s="20">
        <v>1.166874439E9</v>
      </c>
      <c r="E36" s="4" t="s">
        <v>15998</v>
      </c>
      <c r="F36" s="4" t="s">
        <v>129</v>
      </c>
      <c r="G36" s="4" t="s">
        <v>15923</v>
      </c>
      <c r="H36" s="81" t="str">
        <f t="shared" si="1"/>
        <v>https://api.textmebot.com/send.php?recipient=+5491166874439&amp;apikey=xoF6EUkK31se&amp;text=%2AHola%20Nicolas%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6" s="28">
        <v>45657.587534722225</v>
      </c>
    </row>
    <row r="37">
      <c r="A37" s="4" t="s">
        <v>15977</v>
      </c>
      <c r="B37" s="4" t="s">
        <v>15999</v>
      </c>
      <c r="C37" s="4" t="s">
        <v>1507</v>
      </c>
      <c r="D37" s="20">
        <v>1.161410396E9</v>
      </c>
      <c r="E37" s="4" t="s">
        <v>16000</v>
      </c>
      <c r="F37" s="4" t="s">
        <v>129</v>
      </c>
      <c r="G37" s="4" t="s">
        <v>15918</v>
      </c>
      <c r="H37" s="81" t="str">
        <f t="shared" si="1"/>
        <v>https://api.textmebot.com/send.php?recipient=+5491161410396&amp;apikey=xoF6EUkK31se&amp;text=%2AHola%20Carolin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7" s="28">
        <v>45657.58770833333</v>
      </c>
    </row>
    <row r="38">
      <c r="A38" s="4" t="s">
        <v>16001</v>
      </c>
      <c r="B38" s="4" t="s">
        <v>16002</v>
      </c>
      <c r="C38" s="4" t="s">
        <v>1509</v>
      </c>
      <c r="D38" s="20">
        <v>2.98011084E9</v>
      </c>
      <c r="E38" s="4" t="s">
        <v>16003</v>
      </c>
      <c r="F38" s="4" t="s">
        <v>129</v>
      </c>
      <c r="G38" s="4" t="s">
        <v>15923</v>
      </c>
      <c r="H38" s="81" t="str">
        <f t="shared" si="1"/>
        <v>https://api.textmebot.com/send.php?recipient=+5492980110840&amp;apikey=xoF6EUkK31se&amp;text=%2AHola%20Germa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8" s="28">
        <v>45657.58783564815</v>
      </c>
    </row>
    <row r="39">
      <c r="A39" s="4" t="s">
        <v>16004</v>
      </c>
      <c r="B39" s="4" t="s">
        <v>16005</v>
      </c>
      <c r="C39" s="4" t="s">
        <v>1512</v>
      </c>
      <c r="D39" s="20">
        <v>1.124030568E9</v>
      </c>
      <c r="E39" s="4" t="s">
        <v>16006</v>
      </c>
      <c r="F39" s="4" t="s">
        <v>16007</v>
      </c>
      <c r="G39" s="4" t="s">
        <v>15923</v>
      </c>
      <c r="H39" s="81" t="str">
        <f t="shared" si="1"/>
        <v>https://api.textmebot.com/send.php?recipient=+5491124030568&amp;apikey=xoF6EUkK31se&amp;text=%2AHola%20Nin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39" s="28">
        <v>45657.58804398148</v>
      </c>
    </row>
    <row r="40">
      <c r="A40" s="4" t="s">
        <v>16008</v>
      </c>
      <c r="B40" s="4" t="s">
        <v>16009</v>
      </c>
      <c r="C40" s="4" t="s">
        <v>1426</v>
      </c>
      <c r="D40" s="20">
        <v>3.425562787E9</v>
      </c>
      <c r="E40" s="4" t="s">
        <v>16010</v>
      </c>
      <c r="F40" s="4" t="s">
        <v>16011</v>
      </c>
      <c r="G40" s="4" t="s">
        <v>15918</v>
      </c>
      <c r="H40" s="81" t="str">
        <f t="shared" si="1"/>
        <v>https://api.textmebot.com/send.php?recipient=+5493425562787&amp;apikey=xoF6EUkK31se&amp;text=%2AHola%20Silvan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0" s="28">
        <v>45657.588217592594</v>
      </c>
    </row>
    <row r="41">
      <c r="A41" s="4" t="s">
        <v>16012</v>
      </c>
      <c r="B41" s="4" t="s">
        <v>16013</v>
      </c>
      <c r="C41" s="4" t="s">
        <v>1515</v>
      </c>
      <c r="D41" s="20">
        <v>1.164305365E9</v>
      </c>
      <c r="E41" s="4" t="s">
        <v>16014</v>
      </c>
      <c r="F41" s="4" t="s">
        <v>129</v>
      </c>
      <c r="G41" s="4" t="s">
        <v>16015</v>
      </c>
      <c r="H41" s="81" t="str">
        <f t="shared" si="1"/>
        <v>https://api.textmebot.com/send.php?recipient=+5491164305365&amp;apikey=xoF6EUkK31se&amp;text=%2AHola%20Fabrizi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1" s="28">
        <v>45657.5883912037</v>
      </c>
    </row>
    <row r="42">
      <c r="A42" s="4" t="s">
        <v>11392</v>
      </c>
      <c r="C42" s="4" t="s">
        <v>1559</v>
      </c>
      <c r="D42" s="20">
        <v>3.425564242E9</v>
      </c>
      <c r="E42" s="4" t="s">
        <v>16016</v>
      </c>
      <c r="F42" s="4" t="s">
        <v>129</v>
      </c>
      <c r="G42" s="4" t="s">
        <v>16015</v>
      </c>
      <c r="H42" s="81" t="str">
        <f t="shared" si="1"/>
        <v>https://api.textmebot.com/send.php?recipient=+5493425564242&amp;apikey=xoF6EUkK31se&amp;text=%2AHola%20Guillerm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2" s="28">
        <v>45657.58856481482</v>
      </c>
    </row>
    <row r="43">
      <c r="A43" s="4" t="s">
        <v>15947</v>
      </c>
      <c r="B43" s="4" t="s">
        <v>16018</v>
      </c>
      <c r="C43" s="4" t="s">
        <v>1520</v>
      </c>
      <c r="D43" s="20">
        <v>3.463401084E9</v>
      </c>
      <c r="E43" s="4" t="s">
        <v>16019</v>
      </c>
      <c r="F43" s="4" t="s">
        <v>15917</v>
      </c>
      <c r="G43" s="4" t="s">
        <v>16015</v>
      </c>
      <c r="H43" s="81" t="str">
        <f t="shared" si="1"/>
        <v>https://api.textmebot.com/send.php?recipient=+5493463401084&amp;apikey=xoF6EUkK31se&amp;text=%2AHola%20Oscar%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3" s="28">
        <v>45657.58877314815</v>
      </c>
    </row>
    <row r="44">
      <c r="A44" s="4" t="s">
        <v>16020</v>
      </c>
      <c r="B44" s="4" t="s">
        <v>16021</v>
      </c>
      <c r="C44" s="4" t="s">
        <v>1522</v>
      </c>
      <c r="D44" s="20">
        <v>3.412845461E9</v>
      </c>
      <c r="E44" s="4" t="s">
        <v>16022</v>
      </c>
      <c r="F44" s="4" t="s">
        <v>15917</v>
      </c>
      <c r="G44" s="4" t="s">
        <v>16015</v>
      </c>
      <c r="H44" s="81" t="str">
        <f t="shared" si="1"/>
        <v>https://api.textmebot.com/send.php?recipient=+5493412845461&amp;apikey=xoF6EUkK31se&amp;text=%2AHola%20Dari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4" s="28">
        <v>45657.58894675926</v>
      </c>
    </row>
    <row r="45">
      <c r="A45" s="4" t="s">
        <v>16023</v>
      </c>
      <c r="B45" s="4" t="s">
        <v>16024</v>
      </c>
      <c r="C45" s="4" t="s">
        <v>1524</v>
      </c>
      <c r="D45" s="20">
        <v>1.131979663E9</v>
      </c>
      <c r="E45" s="4" t="s">
        <v>16025</v>
      </c>
      <c r="F45" s="4" t="s">
        <v>15933</v>
      </c>
      <c r="G45" s="4" t="s">
        <v>16026</v>
      </c>
      <c r="H45" s="81" t="str">
        <f t="shared" si="1"/>
        <v>https://api.textmebot.com/send.php?recipient=+5491131979663&amp;apikey=xoF6EUkK31se&amp;text=%2AHola%20Emilce%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5" s="28">
        <v>45657.58912037037</v>
      </c>
    </row>
    <row r="46">
      <c r="A46" s="4" t="s">
        <v>16027</v>
      </c>
      <c r="B46" s="4" t="s">
        <v>16028</v>
      </c>
      <c r="C46" s="4" t="s">
        <v>1526</v>
      </c>
      <c r="D46" s="20">
        <v>2.2362125E9</v>
      </c>
      <c r="E46" s="4" t="s">
        <v>16029</v>
      </c>
      <c r="F46" s="4" t="s">
        <v>15933</v>
      </c>
      <c r="G46" s="4" t="s">
        <v>12843</v>
      </c>
      <c r="H46" s="81" t="str">
        <f t="shared" si="1"/>
        <v>https://api.textmebot.com/send.php?recipient=+5492236212500&amp;apikey=xoF6EUkK31se&amp;text=%2AHola%20Valenti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6" s="28">
        <v>45657.58929398148</v>
      </c>
    </row>
    <row r="47">
      <c r="A47" s="4" t="s">
        <v>11392</v>
      </c>
      <c r="B47" s="4" t="s">
        <v>16031</v>
      </c>
      <c r="C47" s="4" t="s">
        <v>1528</v>
      </c>
      <c r="D47" s="20">
        <v>1.144214841E9</v>
      </c>
      <c r="E47" s="4" t="s">
        <v>16032</v>
      </c>
      <c r="F47" s="4" t="s">
        <v>129</v>
      </c>
      <c r="G47" s="4" t="s">
        <v>15923</v>
      </c>
      <c r="H47" s="81" t="str">
        <f t="shared" si="1"/>
        <v>https://api.textmebot.com/send.php?recipient=+5491144214841&amp;apikey=xoF6EUkK31se&amp;text=%2AHola%20Guillerm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7" s="28">
        <v>45657.589467592596</v>
      </c>
    </row>
    <row r="48">
      <c r="A48" s="4" t="s">
        <v>16034</v>
      </c>
      <c r="C48" s="4" t="s">
        <v>1530</v>
      </c>
      <c r="D48" s="20">
        <v>1.154282128E9</v>
      </c>
      <c r="E48" s="4" t="s">
        <v>16035</v>
      </c>
      <c r="F48" s="4" t="s">
        <v>129</v>
      </c>
      <c r="G48" s="4" t="s">
        <v>12843</v>
      </c>
      <c r="H48" s="81" t="str">
        <f t="shared" si="1"/>
        <v>https://api.textmebot.com/send.php?recipient=+5491154282128&amp;apikey=xoF6EUkK31se&amp;text=%2AHola%20Fernand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8" s="28">
        <v>45657.58962962963</v>
      </c>
    </row>
    <row r="49">
      <c r="A49" s="4" t="s">
        <v>9499</v>
      </c>
      <c r="B49" s="4" t="s">
        <v>16037</v>
      </c>
      <c r="C49" s="4" t="s">
        <v>1532</v>
      </c>
      <c r="D49" s="20">
        <v>1.133618978E9</v>
      </c>
      <c r="E49" s="4" t="s">
        <v>16038</v>
      </c>
      <c r="F49" s="4" t="s">
        <v>129</v>
      </c>
      <c r="G49" s="4" t="s">
        <v>15923</v>
      </c>
      <c r="H49" s="81" t="str">
        <f t="shared" si="1"/>
        <v>https://api.textmebot.com/send.php?recipient=+5491133618978&amp;apikey=xoF6EUkK31se&amp;text=%2AHola%20Damia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49" s="28">
        <v>45657.58980324074</v>
      </c>
    </row>
    <row r="50">
      <c r="A50" s="4" t="s">
        <v>16039</v>
      </c>
      <c r="B50" s="4" t="s">
        <v>16040</v>
      </c>
      <c r="C50" s="4" t="s">
        <v>1437</v>
      </c>
      <c r="D50" s="20">
        <v>3.424770891E9</v>
      </c>
      <c r="E50" s="4" t="s">
        <v>16041</v>
      </c>
      <c r="F50" s="4" t="s">
        <v>15922</v>
      </c>
      <c r="G50" s="4" t="s">
        <v>1612</v>
      </c>
      <c r="H50" s="81" t="str">
        <f t="shared" si="1"/>
        <v>https://api.textmebot.com/send.php?recipient=+5493424770891&amp;apikey=xoF6EUkK31se&amp;text=%2AHola%20Jua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0" s="28">
        <v>45657.58998842593</v>
      </c>
    </row>
    <row r="51">
      <c r="A51" s="4" t="s">
        <v>16042</v>
      </c>
      <c r="B51" s="4" t="s">
        <v>16043</v>
      </c>
      <c r="C51" s="4" t="s">
        <v>1539</v>
      </c>
      <c r="D51" s="20">
        <v>3.521639222E9</v>
      </c>
      <c r="E51" s="4" t="s">
        <v>16044</v>
      </c>
      <c r="F51" s="4" t="s">
        <v>129</v>
      </c>
      <c r="G51" s="4" t="s">
        <v>15918</v>
      </c>
      <c r="H51" s="81" t="str">
        <f t="shared" si="1"/>
        <v>https://api.textmebot.com/send.php?recipient=+5493521639222&amp;apikey=xoF6EUkK31se&amp;text=%2AHola%20Ala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1" s="28">
        <v>45657.590150462966</v>
      </c>
    </row>
    <row r="52">
      <c r="A52" s="4" t="s">
        <v>15958</v>
      </c>
      <c r="B52" s="4" t="s">
        <v>16045</v>
      </c>
      <c r="C52" s="4" t="s">
        <v>1543</v>
      </c>
      <c r="D52" s="20">
        <v>3.496413398E9</v>
      </c>
      <c r="E52" s="4" t="s">
        <v>16046</v>
      </c>
      <c r="F52" s="4" t="s">
        <v>15933</v>
      </c>
      <c r="G52" s="4" t="s">
        <v>12843</v>
      </c>
      <c r="H52" s="81" t="str">
        <f t="shared" si="1"/>
        <v>https://api.textmebot.com/send.php?recipient=+5493496413398&amp;apikey=xoF6EUkK31se&amp;text=%2AHola%20Pabl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2" s="28">
        <v>45657.59076388889</v>
      </c>
    </row>
    <row r="53">
      <c r="A53" s="4" t="s">
        <v>16047</v>
      </c>
      <c r="B53" s="4" t="s">
        <v>1546</v>
      </c>
      <c r="C53" s="4" t="s">
        <v>1545</v>
      </c>
      <c r="D53" s="20">
        <v>3.416015831E9</v>
      </c>
      <c r="E53" s="4" t="s">
        <v>16048</v>
      </c>
      <c r="F53" s="4" t="s">
        <v>129</v>
      </c>
      <c r="G53" s="4" t="s">
        <v>15923</v>
      </c>
      <c r="H53" s="81" t="str">
        <f t="shared" si="1"/>
        <v>https://api.textmebot.com/send.php?recipient=+5493416015831&amp;apikey=xoF6EUkK31se&amp;text=%2AHola%20Gianluc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3" s="28">
        <v>45657.590949074074</v>
      </c>
    </row>
    <row r="54">
      <c r="A54" s="4" t="s">
        <v>16049</v>
      </c>
      <c r="B54" s="4" t="s">
        <v>16050</v>
      </c>
      <c r="C54" s="4" t="s">
        <v>1547</v>
      </c>
      <c r="D54" s="20">
        <v>1.131101813E9</v>
      </c>
      <c r="E54" s="4" t="s">
        <v>16051</v>
      </c>
      <c r="F54" s="4" t="s">
        <v>129</v>
      </c>
      <c r="G54" s="4" t="s">
        <v>15923</v>
      </c>
      <c r="H54" s="81" t="str">
        <f t="shared" si="1"/>
        <v>https://api.textmebot.com/send.php?recipient=+5491131101813&amp;apikey=xoF6EUkK31se&amp;text=%2AHola%20Dieg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4" s="28">
        <v>45657.59112268518</v>
      </c>
    </row>
    <row r="55">
      <c r="A55" s="4" t="s">
        <v>15958</v>
      </c>
      <c r="B55" s="4" t="s">
        <v>16052</v>
      </c>
      <c r="C55" s="4" t="s">
        <v>1549</v>
      </c>
      <c r="D55" s="20">
        <v>3.425257095E9</v>
      </c>
      <c r="E55" s="4" t="s">
        <v>16053</v>
      </c>
      <c r="F55" s="4" t="s">
        <v>129</v>
      </c>
      <c r="G55" s="4" t="s">
        <v>12843</v>
      </c>
      <c r="H55" s="81" t="str">
        <f t="shared" si="1"/>
        <v>https://api.textmebot.com/send.php?recipient=+5493425257095&amp;apikey=xoF6EUkK31se&amp;text=%2AHola%20Pabl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5" s="28">
        <v>45657.59128472222</v>
      </c>
    </row>
    <row r="56">
      <c r="A56" s="4" t="s">
        <v>15919</v>
      </c>
      <c r="C56" s="4" t="s">
        <v>1551</v>
      </c>
      <c r="D56" s="20">
        <v>3.42594875E9</v>
      </c>
      <c r="E56" s="4" t="s">
        <v>16054</v>
      </c>
      <c r="F56" s="4" t="s">
        <v>15933</v>
      </c>
      <c r="G56" s="4" t="s">
        <v>15923</v>
      </c>
      <c r="H56" s="81" t="str">
        <f t="shared" si="1"/>
        <v>https://api.textmebot.com/send.php?recipient=+5493425948750&amp;apikey=xoF6EUkK31se&amp;text=%2AHola%20Cristian%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6" s="28">
        <v>45657.591469907406</v>
      </c>
    </row>
    <row r="57">
      <c r="A57" s="4" t="s">
        <v>16055</v>
      </c>
      <c r="B57" s="4" t="s">
        <v>16056</v>
      </c>
      <c r="C57" s="4" t="s">
        <v>1553</v>
      </c>
      <c r="D57" s="20">
        <v>1.159899901E9</v>
      </c>
      <c r="E57" s="4" t="s">
        <v>16057</v>
      </c>
      <c r="F57" s="4" t="s">
        <v>129</v>
      </c>
      <c r="G57" s="4" t="s">
        <v>12843</v>
      </c>
      <c r="H57" s="81" t="str">
        <f t="shared" si="1"/>
        <v>https://api.textmebot.com/send.php?recipient=+5491159899901&amp;apikey=xoF6EUkK31se&amp;text=%2AHola%20Agustin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7" s="28">
        <v>45657.59164351852</v>
      </c>
    </row>
    <row r="58">
      <c r="A58" s="4" t="s">
        <v>16058</v>
      </c>
      <c r="C58" s="4" t="s">
        <v>1491</v>
      </c>
      <c r="D58" s="20">
        <v>1.136214749E9</v>
      </c>
      <c r="E58" s="4" t="s">
        <v>16059</v>
      </c>
      <c r="F58" s="4" t="s">
        <v>16011</v>
      </c>
      <c r="G58" s="4" t="s">
        <v>15918</v>
      </c>
      <c r="H58" s="81" t="str">
        <f t="shared" si="1"/>
        <v>https://api.textmebot.com/send.php?recipient=+5491136214749&amp;apikey=xoF6EUkK31se&amp;text=%2AHola%20Valeri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8" s="28">
        <v>45657.59181712963</v>
      </c>
    </row>
    <row r="59">
      <c r="A59" s="4" t="s">
        <v>16060</v>
      </c>
      <c r="B59" s="4" t="s">
        <v>16061</v>
      </c>
      <c r="C59" s="4" t="s">
        <v>1556</v>
      </c>
      <c r="D59" s="20">
        <v>1.152609525E9</v>
      </c>
      <c r="E59" s="4" t="s">
        <v>16062</v>
      </c>
      <c r="F59" s="4" t="s">
        <v>129</v>
      </c>
      <c r="G59" s="4" t="s">
        <v>16015</v>
      </c>
      <c r="H59" s="81" t="str">
        <f t="shared" si="1"/>
        <v>https://api.textmebot.com/send.php?recipient=+5491152609525&amp;apikey=xoF6EUkK31se&amp;text=%2AHola%20Daniel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59" s="28">
        <v>45657.591990740744</v>
      </c>
    </row>
    <row r="60">
      <c r="A60" s="4" t="s">
        <v>16225</v>
      </c>
      <c r="B60" s="4" t="s">
        <v>16226</v>
      </c>
      <c r="C60" s="4" t="s">
        <v>1517</v>
      </c>
      <c r="D60" s="42"/>
      <c r="E60" s="4" t="s">
        <v>16227</v>
      </c>
      <c r="F60" s="4" t="s">
        <v>129</v>
      </c>
      <c r="G60" s="4" t="s">
        <v>15923</v>
      </c>
      <c r="H60" s="81" t="str">
        <f t="shared" si="1"/>
        <v>https://api.textmebot.com/send.php?recipient=+549&amp;apikey=xoF6EUkK31se&amp;text=%2AHola%20Eduard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0" s="28">
        <v>45657.59211805555</v>
      </c>
    </row>
    <row r="61">
      <c r="A61" s="4" t="s">
        <v>16228</v>
      </c>
      <c r="B61" s="7" t="s">
        <v>9950</v>
      </c>
      <c r="C61" s="4" t="s">
        <v>1559</v>
      </c>
      <c r="D61" s="20" t="s">
        <v>9950</v>
      </c>
      <c r="E61" s="4" t="s">
        <v>16229</v>
      </c>
      <c r="F61" s="4" t="s">
        <v>16011</v>
      </c>
      <c r="G61" s="4" t="s">
        <v>15918</v>
      </c>
      <c r="H61" s="81" t="str">
        <f t="shared" si="1"/>
        <v>https://api.textmebot.com/send.php?recipient=+549.&amp;apikey=xoF6EUkK31se&amp;text=%2AHola%20Lucian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1" s="28">
        <v>45657.59224537037</v>
      </c>
    </row>
    <row r="62">
      <c r="A62" s="4" t="s">
        <v>15980</v>
      </c>
      <c r="B62" s="4" t="s">
        <v>16064</v>
      </c>
      <c r="C62" s="4" t="s">
        <v>1426</v>
      </c>
      <c r="D62" s="20">
        <v>3.424351404E9</v>
      </c>
      <c r="E62" s="4" t="s">
        <v>16065</v>
      </c>
      <c r="F62" s="4" t="s">
        <v>16007</v>
      </c>
      <c r="G62" s="4" t="s">
        <v>16066</v>
      </c>
      <c r="H62" s="81" t="str">
        <f t="shared" si="1"/>
        <v>https://api.textmebot.com/send.php?recipient=+5493424351404&amp;apikey=xoF6EUkK31se&amp;text=%2AHola%20Gustav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2" s="28">
        <v>45657.59241898148</v>
      </c>
    </row>
    <row r="63">
      <c r="A63" s="4" t="s">
        <v>16068</v>
      </c>
      <c r="B63" s="4" t="s">
        <v>16069</v>
      </c>
      <c r="C63" s="4" t="s">
        <v>1426</v>
      </c>
      <c r="D63" s="20">
        <v>3.424351404E9</v>
      </c>
      <c r="E63" s="4" t="s">
        <v>16070</v>
      </c>
      <c r="F63" s="4" t="s">
        <v>16007</v>
      </c>
      <c r="G63" s="4" t="s">
        <v>1612</v>
      </c>
      <c r="H63" s="81" t="str">
        <f t="shared" si="1"/>
        <v>https://api.textmebot.com/send.php?recipient=+5493424351404&amp;apikey=xoF6EUkK31se&amp;text=%2AHola%20Ariel%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3" s="28">
        <v>45657.59259259259</v>
      </c>
    </row>
    <row r="64">
      <c r="A64" s="4" t="s">
        <v>16071</v>
      </c>
      <c r="B64" s="4" t="s">
        <v>16072</v>
      </c>
      <c r="C64" s="4" t="s">
        <v>1563</v>
      </c>
      <c r="D64" s="20">
        <v>3.413844758E9</v>
      </c>
      <c r="E64" s="4" t="s">
        <v>16073</v>
      </c>
      <c r="F64" s="4" t="s">
        <v>129</v>
      </c>
      <c r="G64" s="4" t="s">
        <v>15923</v>
      </c>
      <c r="H64" s="81" t="str">
        <f t="shared" si="1"/>
        <v>https://api.textmebot.com/send.php?recipient=+5493413844758&amp;apikey=xoF6EUkK31se&amp;text=%2AHola%20Daian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4" s="28">
        <v>45657.59276620371</v>
      </c>
    </row>
    <row r="65">
      <c r="A65" s="4" t="s">
        <v>16074</v>
      </c>
      <c r="B65" s="4" t="s">
        <v>16075</v>
      </c>
      <c r="C65" s="4" t="s">
        <v>1419</v>
      </c>
      <c r="D65" s="20">
        <v>3.493447152E9</v>
      </c>
      <c r="E65" s="4" t="s">
        <v>16076</v>
      </c>
      <c r="F65" s="4" t="s">
        <v>15933</v>
      </c>
      <c r="G65" s="4" t="s">
        <v>5795</v>
      </c>
      <c r="H65" s="81" t="str">
        <f t="shared" si="1"/>
        <v>https://api.textmebot.com/send.php?recipient=+5493493447152&amp;apikey=xoF6EUkK31se&amp;text=%2AHola%20Emanuel%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5" s="28">
        <v>45657.592939814815</v>
      </c>
    </row>
    <row r="66">
      <c r="A66" s="4" t="s">
        <v>16077</v>
      </c>
      <c r="B66" s="4" t="s">
        <v>16078</v>
      </c>
      <c r="C66" s="4" t="s">
        <v>1566</v>
      </c>
      <c r="D66" s="20">
        <v>2.942576747E9</v>
      </c>
      <c r="E66" s="4" t="s">
        <v>16079</v>
      </c>
      <c r="F66" s="4" t="s">
        <v>129</v>
      </c>
      <c r="G66" s="4" t="s">
        <v>15918</v>
      </c>
      <c r="H66" s="81" t="str">
        <f t="shared" si="1"/>
        <v>https://api.textmebot.com/send.php?recipient=+5492942576747&amp;apikey=xoF6EUkK31se&amp;text=%2AHola%20Gino%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6" s="28">
        <v>45657.59310185185</v>
      </c>
    </row>
    <row r="67">
      <c r="A67" s="4" t="s">
        <v>16080</v>
      </c>
      <c r="B67" s="4" t="s">
        <v>16081</v>
      </c>
      <c r="C67" s="4" t="s">
        <v>1569</v>
      </c>
      <c r="D67" s="20">
        <v>3.425977777E9</v>
      </c>
      <c r="E67" s="4" t="s">
        <v>16082</v>
      </c>
      <c r="F67" s="4" t="s">
        <v>129</v>
      </c>
      <c r="G67" s="4" t="s">
        <v>12843</v>
      </c>
      <c r="H67" s="81" t="str">
        <f t="shared" si="1"/>
        <v>https://api.textmebot.com/send.php?recipient=+5493425977777&amp;apikey=xoF6EUkK31se&amp;text=%2AHola%20Hector%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7" s="28">
        <v>45657.59328703704</v>
      </c>
    </row>
    <row r="68">
      <c r="A68" s="4" t="s">
        <v>16083</v>
      </c>
      <c r="B68" s="4" t="s">
        <v>16084</v>
      </c>
      <c r="C68" s="4" t="s">
        <v>1419</v>
      </c>
      <c r="D68" s="20">
        <v>3.49344142E9</v>
      </c>
      <c r="E68" s="4" t="s">
        <v>16085</v>
      </c>
      <c r="F68" s="4" t="s">
        <v>15933</v>
      </c>
      <c r="G68" s="4" t="s">
        <v>16086</v>
      </c>
      <c r="H68" s="81" t="str">
        <f t="shared" si="1"/>
        <v>https://api.textmebot.com/send.php?recipient=+5493493441420&amp;apikey=xoF6EUkK31se&amp;text=%2AHola%20Delfina%21%2A%20%E2%9C%A8%0AQuer%C3%ADa%20aprovechar%20este%20momento%20para%20agradecerte%20por%20ser%20parte%20de%20nuestro%20camino.%20%F0%9F%99%8C%20%0ATe%20comparto%20esta%20imagen%20con%20nuestros%20mejores%20deseos%20para%20el%202025.%20%F0%9F%9A%80%20%0A%C2%A1Que%20sea%20un%20a%C3%B1o%20lleno%20de%20oportunidades%2C%20crecimiento%20y%20logros%20compartidos%21%20Estamos%20listos%20para%20seguir%20acompa%C3%B1%C3%A1ndote.%20%F0%9F%92%BC%20%0AUn%20abrazo%2C%20%0A%0A%2AAdri%C3%A1n%20-%20APSOL%20Consultora%20%F0%9F%9A%80%2A&amp;file=https://drive.google.com/file/d/1JaFnZX621m4NuQCT9q_ijIF3FEsfpcuG/view?usp=sharing</v>
      </c>
      <c r="I68" s="28">
        <v>45657.593460648146</v>
      </c>
    </row>
  </sheetData>
  <drawing r:id="rId1"/>
</worksheet>
</file>